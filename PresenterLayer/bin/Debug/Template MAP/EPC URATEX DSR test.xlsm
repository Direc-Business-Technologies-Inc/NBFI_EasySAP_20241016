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120" yWindow="330" windowWidth="29040" windowHeight="15990" activeTab="6"/>
  </bookViews>
  <sheets>
    <sheet name="Setup" sheetId="7" r:id="rId1"/>
    <sheet name="xxTEMPLATExx" sheetId="13" state="hidden" r:id="rId2"/>
    <sheet name="TEMPLATE" sheetId="17" r:id="rId3"/>
    <sheet name="SKU Maintenance" sheetId="11" r:id="rId4"/>
    <sheet name="Data" sheetId="12" r:id="rId5"/>
    <sheet name="ITEM NOT FOUND" sheetId="14" r:id="rId6"/>
    <sheet name="UPLOADING" sheetId="15" r:id="rId7"/>
  </sheets>
  <functionGroups builtInGroupCount="18"/>
  <definedNames>
    <definedName name="_xlnm._FilterDatabase" localSheetId="4" hidden="1">Data!$A$1:$J$9998</definedName>
    <definedName name="_xlnm._FilterDatabase" localSheetId="3" hidden="1">'SKU Maintenance'!$A$1:$I$22357</definedName>
    <definedName name="_xlnm._FilterDatabase" localSheetId="2" hidden="1">TEMPLATE!$A$3:$H$931</definedName>
    <definedName name="_xlnm._FilterDatabase" localSheetId="6" hidden="1">UPLOADING!$A$3:$W$931</definedName>
    <definedName name="_xlnm._FilterDatabase" localSheetId="1" hidden="1">xxTEMPLATExx!$A$4:$J$552</definedName>
    <definedName name="_xlcn.WorksheetConnection_DataAI1" hidden="1">Data!$A:$I</definedName>
    <definedName name="RawData">OFFSET(#REF!,0,0,COUNTA(#REF!),8)</definedName>
  </definedNames>
  <calcPr calcId="162913"/>
  <pivotCaches>
    <pivotCache cacheId="24" r:id="rId8"/>
    <pivotCache cacheId="25" r:id="rId9"/>
  </pivotCaches>
  <extLst>
    <ext xmlns:x15="http://schemas.microsoft.com/office/spreadsheetml/2010/11/main" uri="{FCE2AD5D-F65C-4FA6-A056-5C36A1767C68}">
      <x15:dataModel>
        <x15:modelTables>
          <x15:modelTable id="Range1" name="Range1" connection="WorksheetConnection_Data!$A:$I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" i="15" l="1"/>
  <c r="U2" i="15"/>
  <c r="A931" i="15"/>
  <c r="A930" i="15"/>
  <c r="A929" i="15"/>
  <c r="A928" i="15"/>
  <c r="A927" i="15"/>
  <c r="A926" i="15"/>
  <c r="A925" i="15"/>
  <c r="A924" i="15"/>
  <c r="A923" i="15"/>
  <c r="A922" i="15"/>
  <c r="A921" i="15"/>
  <c r="A920" i="15"/>
  <c r="A919" i="15"/>
  <c r="A918" i="15"/>
  <c r="A917" i="15"/>
  <c r="A916" i="15"/>
  <c r="A915" i="15"/>
  <c r="A914" i="15"/>
  <c r="A913" i="15"/>
  <c r="A912" i="15"/>
  <c r="A911" i="15"/>
  <c r="A910" i="15"/>
  <c r="A909" i="15"/>
  <c r="A908" i="15"/>
  <c r="A907" i="15"/>
  <c r="A906" i="15"/>
  <c r="A905" i="15"/>
  <c r="A904" i="15"/>
  <c r="A903" i="15"/>
  <c r="A902" i="15"/>
  <c r="A901" i="15"/>
  <c r="A900" i="15"/>
  <c r="A899" i="15"/>
  <c r="A898" i="15"/>
  <c r="A897" i="15"/>
  <c r="A896" i="15"/>
  <c r="A895" i="15"/>
  <c r="A894" i="15"/>
  <c r="A893" i="15"/>
  <c r="A892" i="15"/>
  <c r="A891" i="15"/>
  <c r="A890" i="15"/>
  <c r="A889" i="15"/>
  <c r="A888" i="15"/>
  <c r="A887" i="15"/>
  <c r="A886" i="15"/>
  <c r="A885" i="15"/>
  <c r="A884" i="15"/>
  <c r="A883" i="15"/>
  <c r="A882" i="15"/>
  <c r="A881" i="15"/>
  <c r="A880" i="15"/>
  <c r="A879" i="15"/>
  <c r="A878" i="15"/>
  <c r="A877" i="15"/>
  <c r="A876" i="15"/>
  <c r="A875" i="15"/>
  <c r="A874" i="15"/>
  <c r="A873" i="15"/>
  <c r="A872" i="15"/>
  <c r="A871" i="15"/>
  <c r="A870" i="15"/>
  <c r="A869" i="15"/>
  <c r="A868" i="15"/>
  <c r="A867" i="15"/>
  <c r="A866" i="15"/>
  <c r="A865" i="15"/>
  <c r="A864" i="15"/>
  <c r="A863" i="15"/>
  <c r="A862" i="15"/>
  <c r="A861" i="15"/>
  <c r="A860" i="15"/>
  <c r="A859" i="15"/>
  <c r="A858" i="15"/>
  <c r="A857" i="15"/>
  <c r="A856" i="15"/>
  <c r="A855" i="15"/>
  <c r="A854" i="15"/>
  <c r="A853" i="15"/>
  <c r="A852" i="15"/>
  <c r="A851" i="15"/>
  <c r="A850" i="15"/>
  <c r="A849" i="15"/>
  <c r="A848" i="15"/>
  <c r="A847" i="15"/>
  <c r="A846" i="15"/>
  <c r="A845" i="15"/>
  <c r="A844" i="15"/>
  <c r="A843" i="15"/>
  <c r="A842" i="15"/>
  <c r="A841" i="15"/>
  <c r="A840" i="15"/>
  <c r="A839" i="15"/>
  <c r="A838" i="15"/>
  <c r="A837" i="15"/>
  <c r="A836" i="15"/>
  <c r="A835" i="15"/>
  <c r="A834" i="15"/>
  <c r="A833" i="15"/>
  <c r="A832" i="15"/>
  <c r="A831" i="15"/>
  <c r="A830" i="15"/>
  <c r="A829" i="15"/>
  <c r="A828" i="15"/>
  <c r="A827" i="15"/>
  <c r="A826" i="15"/>
  <c r="A825" i="15"/>
  <c r="A824" i="15"/>
  <c r="A823" i="15"/>
  <c r="A822" i="15"/>
  <c r="A821" i="15"/>
  <c r="A820" i="15"/>
  <c r="A819" i="15"/>
  <c r="A818" i="15"/>
  <c r="A817" i="15"/>
  <c r="A816" i="15"/>
  <c r="A815" i="15"/>
  <c r="A814" i="15"/>
  <c r="A813" i="15"/>
  <c r="A812" i="15"/>
  <c r="A811" i="15"/>
  <c r="A810" i="15"/>
  <c r="A809" i="15"/>
  <c r="A808" i="15"/>
  <c r="A807" i="15"/>
  <c r="A806" i="15"/>
  <c r="A805" i="15"/>
  <c r="A804" i="15"/>
  <c r="A803" i="15"/>
  <c r="A802" i="15"/>
  <c r="A801" i="15"/>
  <c r="A800" i="15"/>
  <c r="A799" i="15"/>
  <c r="A798" i="15"/>
  <c r="A797" i="15"/>
  <c r="A796" i="15"/>
  <c r="A795" i="15"/>
  <c r="A794" i="15"/>
  <c r="A793" i="15"/>
  <c r="A792" i="15"/>
  <c r="A791" i="15"/>
  <c r="A790" i="15"/>
  <c r="A789" i="15"/>
  <c r="A788" i="15"/>
  <c r="A787" i="15"/>
  <c r="A786" i="15"/>
  <c r="A785" i="15"/>
  <c r="A784" i="15"/>
  <c r="A783" i="15"/>
  <c r="A782" i="15"/>
  <c r="A781" i="15"/>
  <c r="A780" i="15"/>
  <c r="A779" i="15"/>
  <c r="A778" i="15"/>
  <c r="A777" i="15"/>
  <c r="A776" i="15"/>
  <c r="A775" i="15"/>
  <c r="A774" i="15"/>
  <c r="A773" i="15"/>
  <c r="A772" i="15"/>
  <c r="A771" i="15"/>
  <c r="A770" i="15"/>
  <c r="A769" i="15"/>
  <c r="A768" i="15"/>
  <c r="A767" i="15"/>
  <c r="A766" i="15"/>
  <c r="A765" i="15"/>
  <c r="A764" i="15"/>
  <c r="A763" i="15"/>
  <c r="A762" i="15"/>
  <c r="A761" i="15"/>
  <c r="A760" i="15"/>
  <c r="A759" i="15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810" i="17"/>
  <c r="A809" i="17"/>
  <c r="A808" i="17"/>
  <c r="A807" i="17"/>
  <c r="A801" i="17"/>
  <c r="A800" i="17"/>
  <c r="A799" i="17"/>
  <c r="A753" i="17"/>
  <c r="A752" i="17"/>
  <c r="A751" i="17"/>
  <c r="A750" i="17"/>
  <c r="A749" i="17"/>
  <c r="A748" i="17"/>
  <c r="A747" i="17"/>
  <c r="A746" i="17"/>
  <c r="A476" i="17"/>
  <c r="A475" i="17"/>
  <c r="A474" i="17"/>
  <c r="A473" i="17"/>
  <c r="A472" i="17"/>
  <c r="A471" i="17"/>
  <c r="A470" i="17"/>
  <c r="A469" i="17"/>
  <c r="A66" i="17"/>
  <c r="A65" i="17"/>
  <c r="A64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802" i="17"/>
  <c r="A803" i="17"/>
  <c r="A804" i="17"/>
  <c r="A805" i="17"/>
  <c r="A806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H4" i="17" l="1"/>
  <c r="H832" i="17"/>
  <c r="H833" i="17"/>
  <c r="H834" i="17"/>
  <c r="H835" i="17"/>
  <c r="H836" i="17"/>
  <c r="H837" i="17"/>
  <c r="H838" i="17"/>
  <c r="H839" i="17"/>
  <c r="H840" i="17"/>
  <c r="H841" i="17"/>
  <c r="H842" i="17"/>
  <c r="H843" i="17"/>
  <c r="H844" i="17"/>
  <c r="H845" i="17"/>
  <c r="H846" i="17"/>
  <c r="H847" i="17"/>
  <c r="H848" i="17"/>
  <c r="H849" i="17"/>
  <c r="H850" i="17"/>
  <c r="H851" i="17"/>
  <c r="H852" i="17"/>
  <c r="H853" i="17"/>
  <c r="H854" i="17"/>
  <c r="H855" i="17"/>
  <c r="H856" i="17"/>
  <c r="H857" i="17"/>
  <c r="H858" i="17"/>
  <c r="H859" i="17"/>
  <c r="H860" i="17"/>
  <c r="H861" i="17"/>
  <c r="H862" i="17"/>
  <c r="H863" i="17"/>
  <c r="H864" i="17"/>
  <c r="H865" i="17"/>
  <c r="H866" i="17"/>
  <c r="H867" i="17"/>
  <c r="H868" i="17"/>
  <c r="H869" i="17"/>
  <c r="H870" i="17"/>
  <c r="H871" i="17"/>
  <c r="H872" i="17"/>
  <c r="H873" i="17"/>
  <c r="H874" i="17"/>
  <c r="H875" i="17"/>
  <c r="H876" i="17"/>
  <c r="H877" i="17"/>
  <c r="H878" i="17"/>
  <c r="H879" i="17"/>
  <c r="H880" i="17"/>
  <c r="H881" i="17"/>
  <c r="H882" i="17"/>
  <c r="H883" i="17"/>
  <c r="H884" i="17"/>
  <c r="H885" i="17"/>
  <c r="H886" i="17"/>
  <c r="H887" i="17"/>
  <c r="H888" i="17"/>
  <c r="H889" i="17"/>
  <c r="H890" i="17"/>
  <c r="H891" i="17"/>
  <c r="H892" i="17"/>
  <c r="H893" i="17"/>
  <c r="H894" i="17"/>
  <c r="H895" i="17"/>
  <c r="H896" i="17"/>
  <c r="H897" i="17"/>
  <c r="H898" i="17"/>
  <c r="H899" i="17"/>
  <c r="H900" i="17"/>
  <c r="H901" i="17"/>
  <c r="H902" i="17"/>
  <c r="H903" i="17"/>
  <c r="H904" i="17"/>
  <c r="H905" i="17"/>
  <c r="H906" i="17"/>
  <c r="H907" i="17"/>
  <c r="H908" i="17"/>
  <c r="H909" i="17"/>
  <c r="H910" i="17"/>
  <c r="H911" i="17"/>
  <c r="H912" i="17"/>
  <c r="H913" i="17"/>
  <c r="H914" i="17"/>
  <c r="H915" i="17"/>
  <c r="H916" i="17"/>
  <c r="H917" i="17"/>
  <c r="H918" i="17"/>
  <c r="H919" i="17"/>
  <c r="H920" i="17"/>
  <c r="H921" i="17"/>
  <c r="H922" i="17"/>
  <c r="H923" i="17"/>
  <c r="H924" i="17"/>
  <c r="H925" i="17"/>
  <c r="H926" i="17"/>
  <c r="H927" i="17"/>
  <c r="H928" i="17"/>
  <c r="H929" i="17"/>
  <c r="H930" i="17"/>
  <c r="H931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108" i="17"/>
  <c r="H109" i="17"/>
  <c r="H110" i="17"/>
  <c r="H111" i="17"/>
  <c r="H112" i="17"/>
  <c r="H113" i="17"/>
  <c r="H114" i="17"/>
  <c r="H115" i="17"/>
  <c r="H116" i="17"/>
  <c r="H117" i="17"/>
  <c r="H118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60" i="17"/>
  <c r="H161" i="17"/>
  <c r="H162" i="17"/>
  <c r="H163" i="17"/>
  <c r="H164" i="17"/>
  <c r="H165" i="17"/>
  <c r="H166" i="17"/>
  <c r="H167" i="17"/>
  <c r="H168" i="17"/>
  <c r="H169" i="17"/>
  <c r="H170" i="17"/>
  <c r="H171" i="17"/>
  <c r="H172" i="17"/>
  <c r="H173" i="17"/>
  <c r="H174" i="17"/>
  <c r="H175" i="17"/>
  <c r="H176" i="17"/>
  <c r="H177" i="17"/>
  <c r="H178" i="17"/>
  <c r="H179" i="17"/>
  <c r="H180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196" i="17"/>
  <c r="H197" i="17"/>
  <c r="H198" i="17"/>
  <c r="H199" i="17"/>
  <c r="H200" i="17"/>
  <c r="H201" i="17"/>
  <c r="H202" i="17"/>
  <c r="H203" i="17"/>
  <c r="H204" i="17"/>
  <c r="H205" i="17"/>
  <c r="H206" i="17"/>
  <c r="H207" i="17"/>
  <c r="H208" i="17"/>
  <c r="H209" i="17"/>
  <c r="H210" i="17"/>
  <c r="H211" i="17"/>
  <c r="H212" i="17"/>
  <c r="H213" i="17"/>
  <c r="H214" i="17"/>
  <c r="H215" i="17"/>
  <c r="H216" i="17"/>
  <c r="H217" i="17"/>
  <c r="H218" i="17"/>
  <c r="H219" i="17"/>
  <c r="H220" i="17"/>
  <c r="H221" i="17"/>
  <c r="H222" i="17"/>
  <c r="H223" i="17"/>
  <c r="H224" i="17"/>
  <c r="H225" i="17"/>
  <c r="H226" i="17"/>
  <c r="H227" i="17"/>
  <c r="H228" i="17"/>
  <c r="H229" i="17"/>
  <c r="H230" i="17"/>
  <c r="H231" i="17"/>
  <c r="H232" i="17"/>
  <c r="H233" i="17"/>
  <c r="H234" i="17"/>
  <c r="H235" i="17"/>
  <c r="H236" i="17"/>
  <c r="H237" i="17"/>
  <c r="H238" i="17"/>
  <c r="H239" i="17"/>
  <c r="H240" i="17"/>
  <c r="H241" i="17"/>
  <c r="H242" i="17"/>
  <c r="H243" i="17"/>
  <c r="H244" i="17"/>
  <c r="H245" i="17"/>
  <c r="H246" i="17"/>
  <c r="H247" i="17"/>
  <c r="H248" i="17"/>
  <c r="H249" i="17"/>
  <c r="H250" i="17"/>
  <c r="H251" i="17"/>
  <c r="H252" i="17"/>
  <c r="H253" i="17"/>
  <c r="H254" i="17"/>
  <c r="H255" i="17"/>
  <c r="H256" i="17"/>
  <c r="H257" i="17"/>
  <c r="H258" i="17"/>
  <c r="H259" i="17"/>
  <c r="H260" i="17"/>
  <c r="H261" i="17"/>
  <c r="H262" i="17"/>
  <c r="H263" i="17"/>
  <c r="H264" i="17"/>
  <c r="H265" i="17"/>
  <c r="H266" i="17"/>
  <c r="H267" i="17"/>
  <c r="H268" i="17"/>
  <c r="H269" i="17"/>
  <c r="H270" i="17"/>
  <c r="H271" i="17"/>
  <c r="H272" i="17"/>
  <c r="H273" i="17"/>
  <c r="H274" i="17"/>
  <c r="H275" i="17"/>
  <c r="H276" i="17"/>
  <c r="H277" i="17"/>
  <c r="H278" i="17"/>
  <c r="H279" i="17"/>
  <c r="H280" i="17"/>
  <c r="H281" i="17"/>
  <c r="H282" i="17"/>
  <c r="H283" i="17"/>
  <c r="H284" i="17"/>
  <c r="H285" i="17"/>
  <c r="H286" i="17"/>
  <c r="H287" i="17"/>
  <c r="H288" i="17"/>
  <c r="H289" i="17"/>
  <c r="H290" i="17"/>
  <c r="H291" i="17"/>
  <c r="H292" i="17"/>
  <c r="H293" i="17"/>
  <c r="H294" i="17"/>
  <c r="H295" i="17"/>
  <c r="H296" i="17"/>
  <c r="H297" i="17"/>
  <c r="H298" i="17"/>
  <c r="H299" i="17"/>
  <c r="H300" i="17"/>
  <c r="H301" i="17"/>
  <c r="H302" i="17"/>
  <c r="H303" i="17"/>
  <c r="H304" i="17"/>
  <c r="H305" i="17"/>
  <c r="H306" i="17"/>
  <c r="H307" i="17"/>
  <c r="H308" i="17"/>
  <c r="H309" i="17"/>
  <c r="H310" i="17"/>
  <c r="H311" i="17"/>
  <c r="H312" i="17"/>
  <c r="H313" i="17"/>
  <c r="H314" i="17"/>
  <c r="H315" i="17"/>
  <c r="H316" i="17"/>
  <c r="H317" i="17"/>
  <c r="H318" i="17"/>
  <c r="H319" i="17"/>
  <c r="H320" i="17"/>
  <c r="H321" i="17"/>
  <c r="H322" i="17"/>
  <c r="H323" i="17"/>
  <c r="H324" i="17"/>
  <c r="H325" i="17"/>
  <c r="H326" i="17"/>
  <c r="H327" i="17"/>
  <c r="H328" i="17"/>
  <c r="H329" i="17"/>
  <c r="H330" i="17"/>
  <c r="H331" i="17"/>
  <c r="H332" i="17"/>
  <c r="H333" i="17"/>
  <c r="H334" i="17"/>
  <c r="H335" i="17"/>
  <c r="H336" i="17"/>
  <c r="H337" i="17"/>
  <c r="H338" i="17"/>
  <c r="H339" i="17"/>
  <c r="H340" i="17"/>
  <c r="H341" i="17"/>
  <c r="H342" i="17"/>
  <c r="H343" i="17"/>
  <c r="H344" i="17"/>
  <c r="H345" i="17"/>
  <c r="H346" i="17"/>
  <c r="H347" i="17"/>
  <c r="H348" i="17"/>
  <c r="H349" i="17"/>
  <c r="H350" i="17"/>
  <c r="H351" i="17"/>
  <c r="H352" i="17"/>
  <c r="H353" i="17"/>
  <c r="H354" i="17"/>
  <c r="H355" i="17"/>
  <c r="H356" i="17"/>
  <c r="H357" i="17"/>
  <c r="H358" i="17"/>
  <c r="H359" i="17"/>
  <c r="H360" i="17"/>
  <c r="H361" i="17"/>
  <c r="H362" i="17"/>
  <c r="H363" i="17"/>
  <c r="H364" i="17"/>
  <c r="H365" i="17"/>
  <c r="H366" i="17"/>
  <c r="H367" i="17"/>
  <c r="H368" i="17"/>
  <c r="H369" i="17"/>
  <c r="H370" i="17"/>
  <c r="H371" i="17"/>
  <c r="H372" i="17"/>
  <c r="H373" i="17"/>
  <c r="H374" i="17"/>
  <c r="H375" i="17"/>
  <c r="H376" i="17"/>
  <c r="H377" i="17"/>
  <c r="H378" i="17"/>
  <c r="H379" i="17"/>
  <c r="H380" i="17"/>
  <c r="H381" i="17"/>
  <c r="H382" i="17"/>
  <c r="H383" i="17"/>
  <c r="H384" i="17"/>
  <c r="H385" i="17"/>
  <c r="H386" i="17"/>
  <c r="H387" i="17"/>
  <c r="H388" i="17"/>
  <c r="H389" i="17"/>
  <c r="H390" i="17"/>
  <c r="H391" i="17"/>
  <c r="H392" i="17"/>
  <c r="H393" i="17"/>
  <c r="H394" i="17"/>
  <c r="H395" i="17"/>
  <c r="H396" i="17"/>
  <c r="H397" i="17"/>
  <c r="H398" i="17"/>
  <c r="H399" i="17"/>
  <c r="H400" i="17"/>
  <c r="H401" i="17"/>
  <c r="H402" i="17"/>
  <c r="H403" i="17"/>
  <c r="H404" i="17"/>
  <c r="H405" i="17"/>
  <c r="H406" i="17"/>
  <c r="H407" i="17"/>
  <c r="H408" i="17"/>
  <c r="H409" i="17"/>
  <c r="H410" i="17"/>
  <c r="H411" i="17"/>
  <c r="H412" i="17"/>
  <c r="H413" i="17"/>
  <c r="H414" i="17"/>
  <c r="H415" i="17"/>
  <c r="H416" i="17"/>
  <c r="H417" i="17"/>
  <c r="H418" i="17"/>
  <c r="H419" i="17"/>
  <c r="H420" i="17"/>
  <c r="H421" i="17"/>
  <c r="H422" i="17"/>
  <c r="H423" i="17"/>
  <c r="H424" i="17"/>
  <c r="H425" i="17"/>
  <c r="H426" i="17"/>
  <c r="H427" i="17"/>
  <c r="H428" i="17"/>
  <c r="H429" i="17"/>
  <c r="H430" i="17"/>
  <c r="H431" i="17"/>
  <c r="H432" i="17"/>
  <c r="H433" i="17"/>
  <c r="H434" i="17"/>
  <c r="H435" i="17"/>
  <c r="H436" i="17"/>
  <c r="H437" i="17"/>
  <c r="H438" i="17"/>
  <c r="H439" i="17"/>
  <c r="H440" i="17"/>
  <c r="H441" i="17"/>
  <c r="H442" i="17"/>
  <c r="H443" i="17"/>
  <c r="H444" i="17"/>
  <c r="H445" i="17"/>
  <c r="H446" i="17"/>
  <c r="H447" i="17"/>
  <c r="H448" i="17"/>
  <c r="H449" i="17"/>
  <c r="H450" i="17"/>
  <c r="H451" i="17"/>
  <c r="H452" i="17"/>
  <c r="H453" i="17"/>
  <c r="H454" i="17"/>
  <c r="H455" i="17"/>
  <c r="H456" i="17"/>
  <c r="H457" i="17"/>
  <c r="H458" i="17"/>
  <c r="H459" i="17"/>
  <c r="H460" i="17"/>
  <c r="H461" i="17"/>
  <c r="H462" i="17"/>
  <c r="H463" i="17"/>
  <c r="H464" i="17"/>
  <c r="H465" i="17"/>
  <c r="H466" i="17"/>
  <c r="H467" i="17"/>
  <c r="H468" i="17"/>
  <c r="H469" i="17"/>
  <c r="H470" i="17"/>
  <c r="H471" i="17"/>
  <c r="H472" i="17"/>
  <c r="H473" i="17"/>
  <c r="H474" i="17"/>
  <c r="H475" i="17"/>
  <c r="H476" i="17"/>
  <c r="H477" i="17"/>
  <c r="H478" i="17"/>
  <c r="H479" i="17"/>
  <c r="H480" i="17"/>
  <c r="H481" i="17"/>
  <c r="H482" i="17"/>
  <c r="H483" i="17"/>
  <c r="H484" i="17"/>
  <c r="H485" i="17"/>
  <c r="H486" i="17"/>
  <c r="H487" i="17"/>
  <c r="H488" i="17"/>
  <c r="H489" i="17"/>
  <c r="H490" i="17"/>
  <c r="H491" i="17"/>
  <c r="H492" i="17"/>
  <c r="H493" i="17"/>
  <c r="H494" i="17"/>
  <c r="H495" i="17"/>
  <c r="H496" i="17"/>
  <c r="H497" i="17"/>
  <c r="H498" i="17"/>
  <c r="H499" i="17"/>
  <c r="H500" i="17"/>
  <c r="H501" i="17"/>
  <c r="H502" i="17"/>
  <c r="H503" i="17"/>
  <c r="H504" i="17"/>
  <c r="H505" i="17"/>
  <c r="H506" i="17"/>
  <c r="H507" i="17"/>
  <c r="H508" i="17"/>
  <c r="H509" i="17"/>
  <c r="H510" i="17"/>
  <c r="H511" i="17"/>
  <c r="H512" i="17"/>
  <c r="H513" i="17"/>
  <c r="H514" i="17"/>
  <c r="H515" i="17"/>
  <c r="H516" i="17"/>
  <c r="H517" i="17"/>
  <c r="H518" i="17"/>
  <c r="H519" i="17"/>
  <c r="H520" i="17"/>
  <c r="H521" i="17"/>
  <c r="H522" i="17"/>
  <c r="H523" i="17"/>
  <c r="H524" i="17"/>
  <c r="H525" i="17"/>
  <c r="H526" i="17"/>
  <c r="H527" i="17"/>
  <c r="H528" i="17"/>
  <c r="H529" i="17"/>
  <c r="H530" i="17"/>
  <c r="H531" i="17"/>
  <c r="H532" i="17"/>
  <c r="H533" i="17"/>
  <c r="H534" i="17"/>
  <c r="H535" i="17"/>
  <c r="H536" i="17"/>
  <c r="H537" i="17"/>
  <c r="H538" i="17"/>
  <c r="H539" i="17"/>
  <c r="H540" i="17"/>
  <c r="H541" i="17"/>
  <c r="H542" i="17"/>
  <c r="H543" i="17"/>
  <c r="H544" i="17"/>
  <c r="H545" i="17"/>
  <c r="H546" i="17"/>
  <c r="H547" i="17"/>
  <c r="H548" i="17"/>
  <c r="H549" i="17"/>
  <c r="H550" i="17"/>
  <c r="H551" i="17"/>
  <c r="H552" i="17"/>
  <c r="H553" i="17"/>
  <c r="H554" i="17"/>
  <c r="H555" i="17"/>
  <c r="H556" i="17"/>
  <c r="H557" i="17"/>
  <c r="H558" i="17"/>
  <c r="H559" i="17"/>
  <c r="H560" i="17"/>
  <c r="H561" i="17"/>
  <c r="H562" i="17"/>
  <c r="H563" i="17"/>
  <c r="H564" i="17"/>
  <c r="H565" i="17"/>
  <c r="H566" i="17"/>
  <c r="H567" i="17"/>
  <c r="H568" i="17"/>
  <c r="H569" i="17"/>
  <c r="H570" i="17"/>
  <c r="H571" i="17"/>
  <c r="H572" i="17"/>
  <c r="H573" i="17"/>
  <c r="H574" i="17"/>
  <c r="H575" i="17"/>
  <c r="H576" i="17"/>
  <c r="H577" i="17"/>
  <c r="H578" i="17"/>
  <c r="H579" i="17"/>
  <c r="H580" i="17"/>
  <c r="H581" i="17"/>
  <c r="H582" i="17"/>
  <c r="H583" i="17"/>
  <c r="H584" i="17"/>
  <c r="H585" i="17"/>
  <c r="H586" i="17"/>
  <c r="H587" i="17"/>
  <c r="H588" i="17"/>
  <c r="H589" i="17"/>
  <c r="H590" i="17"/>
  <c r="H591" i="17"/>
  <c r="H592" i="17"/>
  <c r="H593" i="17"/>
  <c r="H594" i="17"/>
  <c r="H595" i="17"/>
  <c r="H596" i="17"/>
  <c r="H597" i="17"/>
  <c r="H598" i="17"/>
  <c r="H599" i="17"/>
  <c r="H600" i="17"/>
  <c r="H601" i="17"/>
  <c r="H602" i="17"/>
  <c r="H603" i="17"/>
  <c r="H604" i="17"/>
  <c r="H605" i="17"/>
  <c r="H606" i="17"/>
  <c r="H607" i="17"/>
  <c r="H608" i="17"/>
  <c r="H609" i="17"/>
  <c r="H610" i="17"/>
  <c r="H611" i="17"/>
  <c r="H612" i="17"/>
  <c r="H613" i="17"/>
  <c r="H614" i="17"/>
  <c r="H615" i="17"/>
  <c r="H616" i="17"/>
  <c r="H617" i="17"/>
  <c r="H618" i="17"/>
  <c r="H619" i="17"/>
  <c r="H620" i="17"/>
  <c r="H621" i="17"/>
  <c r="H622" i="17"/>
  <c r="H623" i="17"/>
  <c r="H624" i="17"/>
  <c r="H625" i="17"/>
  <c r="H626" i="17"/>
  <c r="H627" i="17"/>
  <c r="H628" i="17"/>
  <c r="H629" i="17"/>
  <c r="H630" i="17"/>
  <c r="H631" i="17"/>
  <c r="H632" i="17"/>
  <c r="H633" i="17"/>
  <c r="H634" i="17"/>
  <c r="H635" i="17"/>
  <c r="H636" i="17"/>
  <c r="H637" i="17"/>
  <c r="H638" i="17"/>
  <c r="H639" i="17"/>
  <c r="H640" i="17"/>
  <c r="H641" i="17"/>
  <c r="H642" i="17"/>
  <c r="H643" i="17"/>
  <c r="H644" i="17"/>
  <c r="H645" i="17"/>
  <c r="H646" i="17"/>
  <c r="H647" i="17"/>
  <c r="H648" i="17"/>
  <c r="H649" i="17"/>
  <c r="H650" i="17"/>
  <c r="H651" i="17"/>
  <c r="H652" i="17"/>
  <c r="H653" i="17"/>
  <c r="H654" i="17"/>
  <c r="H655" i="17"/>
  <c r="H656" i="17"/>
  <c r="H657" i="17"/>
  <c r="H658" i="17"/>
  <c r="H659" i="17"/>
  <c r="H660" i="17"/>
  <c r="H661" i="17"/>
  <c r="H662" i="17"/>
  <c r="H663" i="17"/>
  <c r="H664" i="17"/>
  <c r="H665" i="17"/>
  <c r="H666" i="17"/>
  <c r="H667" i="17"/>
  <c r="H668" i="17"/>
  <c r="H669" i="17"/>
  <c r="H670" i="17"/>
  <c r="H671" i="17"/>
  <c r="H672" i="17"/>
  <c r="H673" i="17"/>
  <c r="H674" i="17"/>
  <c r="H675" i="17"/>
  <c r="H676" i="17"/>
  <c r="H677" i="17"/>
  <c r="H678" i="17"/>
  <c r="H679" i="17"/>
  <c r="H680" i="17"/>
  <c r="H681" i="17"/>
  <c r="H682" i="17"/>
  <c r="H683" i="17"/>
  <c r="H684" i="17"/>
  <c r="H685" i="17"/>
  <c r="H686" i="17"/>
  <c r="H687" i="17"/>
  <c r="H688" i="17"/>
  <c r="H689" i="17"/>
  <c r="H690" i="17"/>
  <c r="H691" i="17"/>
  <c r="H692" i="17"/>
  <c r="H693" i="17"/>
  <c r="H694" i="17"/>
  <c r="H695" i="17"/>
  <c r="H696" i="17"/>
  <c r="H697" i="17"/>
  <c r="H698" i="17"/>
  <c r="H699" i="17"/>
  <c r="H700" i="17"/>
  <c r="H701" i="17"/>
  <c r="H702" i="17"/>
  <c r="H703" i="17"/>
  <c r="H704" i="17"/>
  <c r="H705" i="17"/>
  <c r="H706" i="17"/>
  <c r="H707" i="17"/>
  <c r="H708" i="17"/>
  <c r="H709" i="17"/>
  <c r="H710" i="17"/>
  <c r="H711" i="17"/>
  <c r="H712" i="17"/>
  <c r="H713" i="17"/>
  <c r="H714" i="17"/>
  <c r="H715" i="17"/>
  <c r="H716" i="17"/>
  <c r="H717" i="17"/>
  <c r="H718" i="17"/>
  <c r="H719" i="17"/>
  <c r="H720" i="17"/>
  <c r="H721" i="17"/>
  <c r="H722" i="17"/>
  <c r="H723" i="17"/>
  <c r="H724" i="17"/>
  <c r="H725" i="17"/>
  <c r="H726" i="17"/>
  <c r="H727" i="17"/>
  <c r="H728" i="17"/>
  <c r="H729" i="17"/>
  <c r="H730" i="17"/>
  <c r="H731" i="17"/>
  <c r="H732" i="17"/>
  <c r="H733" i="17"/>
  <c r="H734" i="17"/>
  <c r="H735" i="17"/>
  <c r="H736" i="17"/>
  <c r="H737" i="17"/>
  <c r="H738" i="17"/>
  <c r="H739" i="17"/>
  <c r="H740" i="17"/>
  <c r="H741" i="17"/>
  <c r="H742" i="17"/>
  <c r="H743" i="17"/>
  <c r="H744" i="17"/>
  <c r="H745" i="17"/>
  <c r="H746" i="17"/>
  <c r="H747" i="17"/>
  <c r="H748" i="17"/>
  <c r="H749" i="17"/>
  <c r="H750" i="17"/>
  <c r="H751" i="17"/>
  <c r="H752" i="17"/>
  <c r="H753" i="17"/>
  <c r="H754" i="17"/>
  <c r="H755" i="17"/>
  <c r="H756" i="17"/>
  <c r="H757" i="17"/>
  <c r="H758" i="17"/>
  <c r="H759" i="17"/>
  <c r="H760" i="17"/>
  <c r="H761" i="17"/>
  <c r="H762" i="17"/>
  <c r="H763" i="17"/>
  <c r="H764" i="17"/>
  <c r="H765" i="17"/>
  <c r="H766" i="17"/>
  <c r="H767" i="17"/>
  <c r="H768" i="17"/>
  <c r="H769" i="17"/>
  <c r="H770" i="17"/>
  <c r="H771" i="17"/>
  <c r="H772" i="17"/>
  <c r="H773" i="17"/>
  <c r="H774" i="17"/>
  <c r="H775" i="17"/>
  <c r="H776" i="17"/>
  <c r="H777" i="17"/>
  <c r="H778" i="17"/>
  <c r="H779" i="17"/>
  <c r="H780" i="17"/>
  <c r="H781" i="17"/>
  <c r="H782" i="17"/>
  <c r="H783" i="17"/>
  <c r="H784" i="17"/>
  <c r="H785" i="17"/>
  <c r="H786" i="17"/>
  <c r="H787" i="17"/>
  <c r="H788" i="17"/>
  <c r="H789" i="17"/>
  <c r="H790" i="17"/>
  <c r="H791" i="17"/>
  <c r="H792" i="17"/>
  <c r="H793" i="17"/>
  <c r="H794" i="17"/>
  <c r="H795" i="17"/>
  <c r="H796" i="17"/>
  <c r="H797" i="17"/>
  <c r="H798" i="17"/>
  <c r="H799" i="17"/>
  <c r="H800" i="17"/>
  <c r="H801" i="17"/>
  <c r="H802" i="17"/>
  <c r="H803" i="17"/>
  <c r="H804" i="17"/>
  <c r="H805" i="17"/>
  <c r="H806" i="17"/>
  <c r="H807" i="17"/>
  <c r="H808" i="17"/>
  <c r="H809" i="17"/>
  <c r="H810" i="17"/>
  <c r="H811" i="17"/>
  <c r="H812" i="17"/>
  <c r="H813" i="17"/>
  <c r="H814" i="17"/>
  <c r="H815" i="17"/>
  <c r="H816" i="17"/>
  <c r="H817" i="17"/>
  <c r="H818" i="17"/>
  <c r="H819" i="17"/>
  <c r="H820" i="17"/>
  <c r="H821" i="17"/>
  <c r="H822" i="17"/>
  <c r="H823" i="17"/>
  <c r="H824" i="17"/>
  <c r="H825" i="17"/>
  <c r="H826" i="17"/>
  <c r="H827" i="17"/>
  <c r="H828" i="17"/>
  <c r="H829" i="17"/>
  <c r="H830" i="17"/>
  <c r="H831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A4" i="17" l="1"/>
  <c r="A5" i="17"/>
  <c r="Q1" i="15" l="1"/>
  <c r="Q2" i="15"/>
  <c r="A15" i="13" l="1"/>
  <c r="A8" i="13"/>
  <c r="A16" i="13"/>
  <c r="A9" i="13"/>
  <c r="A12" i="13"/>
  <c r="A26" i="13"/>
  <c r="A20" i="13"/>
  <c r="A18" i="13"/>
  <c r="A21" i="13"/>
  <c r="A27" i="13"/>
  <c r="A7" i="13"/>
  <c r="A10" i="13"/>
  <c r="A24" i="13"/>
  <c r="A30" i="13"/>
  <c r="A32" i="13"/>
  <c r="A33" i="13"/>
  <c r="A34" i="13"/>
  <c r="A36" i="13"/>
  <c r="A38" i="13"/>
  <c r="A39" i="13"/>
  <c r="A40" i="13"/>
  <c r="A42" i="13"/>
  <c r="A44" i="13"/>
  <c r="A45" i="13"/>
  <c r="A46" i="13"/>
  <c r="A48" i="13"/>
  <c r="A50" i="13"/>
  <c r="A51" i="13"/>
  <c r="A52" i="13"/>
  <c r="A54" i="13"/>
  <c r="A56" i="13"/>
  <c r="A57" i="13"/>
  <c r="A58" i="13"/>
  <c r="A60" i="13"/>
  <c r="A62" i="13"/>
  <c r="A63" i="13"/>
  <c r="A64" i="13"/>
  <c r="A66" i="13"/>
  <c r="A68" i="13"/>
  <c r="A69" i="13"/>
  <c r="A70" i="13"/>
  <c r="A72" i="13"/>
  <c r="A74" i="13"/>
  <c r="A75" i="13"/>
  <c r="A76" i="13"/>
  <c r="A78" i="13"/>
  <c r="A80" i="13"/>
  <c r="A81" i="13"/>
  <c r="A82" i="13"/>
  <c r="A84" i="13"/>
  <c r="A86" i="13"/>
  <c r="A87" i="13"/>
  <c r="A88" i="13"/>
  <c r="A90" i="13"/>
  <c r="A92" i="13"/>
  <c r="A93" i="13"/>
  <c r="A94" i="13"/>
  <c r="A96" i="13"/>
  <c r="A98" i="13"/>
  <c r="A99" i="13"/>
  <c r="A100" i="13"/>
  <c r="A102" i="13"/>
  <c r="A104" i="13"/>
  <c r="A105" i="13"/>
  <c r="A106" i="13"/>
  <c r="A108" i="13"/>
  <c r="A110" i="13"/>
  <c r="A111" i="13"/>
  <c r="A112" i="13"/>
  <c r="A114" i="13"/>
  <c r="A116" i="13"/>
  <c r="A117" i="13"/>
  <c r="A118" i="13"/>
  <c r="A120" i="13"/>
  <c r="A122" i="13"/>
  <c r="A123" i="13"/>
  <c r="A124" i="13"/>
  <c r="A126" i="13"/>
  <c r="A128" i="13"/>
  <c r="A129" i="13"/>
  <c r="A130" i="13"/>
  <c r="A132" i="13"/>
  <c r="A134" i="13"/>
  <c r="A135" i="13"/>
  <c r="A136" i="13"/>
  <c r="A138" i="13"/>
  <c r="A140" i="13"/>
  <c r="A141" i="13"/>
  <c r="A142" i="13"/>
  <c r="A144" i="13"/>
  <c r="A146" i="13"/>
  <c r="A147" i="13"/>
  <c r="A148" i="13"/>
  <c r="A150" i="13"/>
  <c r="A152" i="13"/>
  <c r="A153" i="13"/>
  <c r="A154" i="13"/>
  <c r="A156" i="13"/>
  <c r="A158" i="13"/>
  <c r="A159" i="13"/>
  <c r="A160" i="13"/>
  <c r="A162" i="13"/>
  <c r="A164" i="13"/>
  <c r="A165" i="13"/>
  <c r="A166" i="13"/>
  <c r="A168" i="13"/>
  <c r="A170" i="13"/>
  <c r="A171" i="13"/>
  <c r="A172" i="13"/>
  <c r="A174" i="13"/>
  <c r="A176" i="13"/>
  <c r="A177" i="13"/>
  <c r="A178" i="13"/>
  <c r="A180" i="13"/>
  <c r="A182" i="13"/>
  <c r="A183" i="13"/>
  <c r="A184" i="13"/>
  <c r="A186" i="13"/>
  <c r="A188" i="13"/>
  <c r="A189" i="13"/>
  <c r="A190" i="13"/>
  <c r="A192" i="13"/>
  <c r="A194" i="13"/>
  <c r="A195" i="13"/>
  <c r="A196" i="13"/>
  <c r="A198" i="13"/>
  <c r="A200" i="13"/>
  <c r="A201" i="13"/>
  <c r="A202" i="13"/>
  <c r="A204" i="13"/>
  <c r="A206" i="13"/>
  <c r="A207" i="13"/>
  <c r="A208" i="13"/>
  <c r="A210" i="13"/>
  <c r="A212" i="13"/>
  <c r="A213" i="13"/>
  <c r="A214" i="13"/>
  <c r="A216" i="13"/>
  <c r="A218" i="13"/>
  <c r="A219" i="13"/>
  <c r="A220" i="13"/>
  <c r="A222" i="13"/>
  <c r="A224" i="13"/>
  <c r="A225" i="13"/>
  <c r="A226" i="13"/>
  <c r="A228" i="13"/>
  <c r="A230" i="13"/>
  <c r="A231" i="13"/>
  <c r="A232" i="13"/>
  <c r="A234" i="13"/>
  <c r="A236" i="13"/>
  <c r="A237" i="13"/>
  <c r="A238" i="13"/>
  <c r="A240" i="13"/>
  <c r="A242" i="13"/>
  <c r="A243" i="13"/>
  <c r="A244" i="13"/>
  <c r="A246" i="13"/>
  <c r="A247" i="13"/>
  <c r="A248" i="13"/>
  <c r="A249" i="13"/>
  <c r="A250" i="13"/>
  <c r="A252" i="13"/>
  <c r="A253" i="13"/>
  <c r="A254" i="13"/>
  <c r="A255" i="13"/>
  <c r="A256" i="13"/>
  <c r="A258" i="13"/>
  <c r="A259" i="13"/>
  <c r="A260" i="13"/>
  <c r="A261" i="13"/>
  <c r="A262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318" i="13"/>
  <c r="A319" i="13"/>
  <c r="A320" i="13"/>
  <c r="A321" i="13"/>
  <c r="A322" i="13"/>
  <c r="A323" i="13"/>
  <c r="A324" i="13"/>
  <c r="A325" i="13"/>
  <c r="A326" i="13"/>
  <c r="A327" i="13"/>
  <c r="A328" i="13"/>
  <c r="A329" i="13"/>
  <c r="A330" i="13"/>
  <c r="A331" i="13"/>
  <c r="A332" i="13"/>
  <c r="A333" i="13"/>
  <c r="A334" i="13"/>
  <c r="A335" i="13"/>
  <c r="A336" i="13"/>
  <c r="A337" i="13"/>
  <c r="A338" i="13"/>
  <c r="A339" i="13"/>
  <c r="A340" i="13"/>
  <c r="A341" i="13"/>
  <c r="A342" i="13"/>
  <c r="A343" i="13"/>
  <c r="A344" i="13"/>
  <c r="A345" i="13"/>
  <c r="A346" i="13"/>
  <c r="A347" i="13"/>
  <c r="A348" i="13"/>
  <c r="A349" i="13"/>
  <c r="A350" i="13"/>
  <c r="A351" i="13"/>
  <c r="A352" i="13"/>
  <c r="A353" i="13"/>
  <c r="A354" i="13"/>
  <c r="A355" i="13"/>
  <c r="A356" i="13"/>
  <c r="A357" i="13"/>
  <c r="A358" i="13"/>
  <c r="A359" i="13"/>
  <c r="A360" i="13"/>
  <c r="A361" i="13"/>
  <c r="A362" i="13"/>
  <c r="A363" i="13"/>
  <c r="A364" i="13"/>
  <c r="A365" i="13"/>
  <c r="A366" i="13"/>
  <c r="A367" i="13"/>
  <c r="A368" i="13"/>
  <c r="A369" i="13"/>
  <c r="A370" i="13"/>
  <c r="A371" i="13"/>
  <c r="A372" i="13"/>
  <c r="A373" i="13"/>
  <c r="A374" i="13"/>
  <c r="A375" i="13"/>
  <c r="A376" i="13"/>
  <c r="A377" i="13"/>
  <c r="A378" i="13"/>
  <c r="A379" i="13"/>
  <c r="A380" i="13"/>
  <c r="A381" i="13"/>
  <c r="A382" i="13"/>
  <c r="A383" i="13"/>
  <c r="A384" i="13"/>
  <c r="A385" i="13"/>
  <c r="A386" i="13"/>
  <c r="A387" i="13"/>
  <c r="A388" i="13"/>
  <c r="A389" i="13"/>
  <c r="A390" i="13"/>
  <c r="A391" i="13"/>
  <c r="A392" i="13"/>
  <c r="A393" i="13"/>
  <c r="A394" i="13"/>
  <c r="A395" i="13"/>
  <c r="A396" i="13"/>
  <c r="A397" i="13"/>
  <c r="A398" i="13"/>
  <c r="A399" i="13"/>
  <c r="A400" i="13"/>
  <c r="A401" i="13"/>
  <c r="A402" i="13"/>
  <c r="A403" i="13"/>
  <c r="A404" i="13"/>
  <c r="A405" i="13"/>
  <c r="A406" i="13"/>
  <c r="A407" i="13"/>
  <c r="A408" i="13"/>
  <c r="A409" i="13"/>
  <c r="A410" i="13"/>
  <c r="A411" i="13"/>
  <c r="A412" i="13"/>
  <c r="A413" i="13"/>
  <c r="A414" i="13"/>
  <c r="A415" i="13"/>
  <c r="A416" i="13"/>
  <c r="A417" i="13"/>
  <c r="A418" i="13"/>
  <c r="A419" i="13"/>
  <c r="A420" i="13"/>
  <c r="A421" i="13"/>
  <c r="A422" i="13"/>
  <c r="A423" i="13"/>
  <c r="A424" i="13"/>
  <c r="A425" i="13"/>
  <c r="A426" i="13"/>
  <c r="A427" i="13"/>
  <c r="A428" i="13"/>
  <c r="A429" i="13"/>
  <c r="A430" i="13"/>
  <c r="A431" i="13"/>
  <c r="A432" i="13"/>
  <c r="A433" i="13"/>
  <c r="A434" i="13"/>
  <c r="A435" i="13"/>
  <c r="A436" i="13"/>
  <c r="A437" i="13"/>
  <c r="A438" i="13"/>
  <c r="A439" i="13"/>
  <c r="A440" i="13"/>
  <c r="A441" i="13"/>
  <c r="A442" i="13"/>
  <c r="A443" i="13"/>
  <c r="A444" i="13"/>
  <c r="A445" i="13"/>
  <c r="A446" i="13"/>
  <c r="A447" i="13"/>
  <c r="A448" i="13"/>
  <c r="A449" i="13"/>
  <c r="A450" i="13"/>
  <c r="A451" i="13"/>
  <c r="A452" i="13"/>
  <c r="A453" i="13"/>
  <c r="A454" i="13"/>
  <c r="A455" i="13"/>
  <c r="A456" i="13"/>
  <c r="A457" i="13"/>
  <c r="A458" i="13"/>
  <c r="A459" i="13"/>
  <c r="A460" i="13"/>
  <c r="A461" i="13"/>
  <c r="A462" i="13"/>
  <c r="A463" i="13"/>
  <c r="A464" i="13"/>
  <c r="A465" i="13"/>
  <c r="A466" i="13"/>
  <c r="A467" i="13"/>
  <c r="A468" i="13"/>
  <c r="A469" i="13"/>
  <c r="A470" i="13"/>
  <c r="A471" i="13"/>
  <c r="A472" i="13"/>
  <c r="A473" i="13"/>
  <c r="A474" i="13"/>
  <c r="A475" i="13"/>
  <c r="A476" i="13"/>
  <c r="A477" i="13"/>
  <c r="A478" i="13"/>
  <c r="A479" i="13"/>
  <c r="A480" i="13"/>
  <c r="A481" i="13"/>
  <c r="A482" i="13"/>
  <c r="A483" i="13"/>
  <c r="A484" i="13"/>
  <c r="A485" i="13"/>
  <c r="A486" i="13"/>
  <c r="A487" i="13"/>
  <c r="A488" i="13"/>
  <c r="A489" i="13"/>
  <c r="A490" i="13"/>
  <c r="A491" i="13"/>
  <c r="A492" i="13"/>
  <c r="A493" i="13"/>
  <c r="A494" i="13"/>
  <c r="A495" i="13"/>
  <c r="A496" i="13"/>
  <c r="A497" i="13"/>
  <c r="A498" i="13"/>
  <c r="A499" i="13"/>
  <c r="A500" i="13"/>
  <c r="A501" i="13"/>
  <c r="A502" i="13"/>
  <c r="A503" i="13"/>
  <c r="A504" i="13"/>
  <c r="A505" i="13"/>
  <c r="A506" i="13"/>
  <c r="A507" i="13"/>
  <c r="A508" i="13"/>
  <c r="A509" i="13"/>
  <c r="A510" i="13"/>
  <c r="A511" i="13"/>
  <c r="A512" i="13"/>
  <c r="A513" i="13"/>
  <c r="A514" i="13"/>
  <c r="A515" i="13"/>
  <c r="A516" i="13"/>
  <c r="A517" i="13"/>
  <c r="A518" i="13"/>
  <c r="A519" i="13"/>
  <c r="A520" i="13"/>
  <c r="A521" i="13"/>
  <c r="A522" i="13"/>
  <c r="A523" i="13"/>
  <c r="A524" i="13"/>
  <c r="A525" i="13"/>
  <c r="A526" i="13"/>
  <c r="A527" i="13"/>
  <c r="A528" i="13"/>
  <c r="A529" i="13"/>
  <c r="A530" i="13"/>
  <c r="A531" i="13"/>
  <c r="A532" i="13"/>
  <c r="A533" i="13"/>
  <c r="A534" i="13"/>
  <c r="A535" i="13"/>
  <c r="A536" i="13"/>
  <c r="A537" i="13"/>
  <c r="A538" i="13"/>
  <c r="A539" i="13"/>
  <c r="A540" i="13"/>
  <c r="A541" i="13"/>
  <c r="A542" i="13"/>
  <c r="A543" i="13"/>
  <c r="A544" i="13"/>
  <c r="A545" i="13"/>
  <c r="A546" i="13"/>
  <c r="A547" i="13"/>
  <c r="A548" i="13"/>
  <c r="A549" i="13"/>
  <c r="A550" i="13"/>
  <c r="A551" i="13"/>
  <c r="A552" i="13"/>
  <c r="A5" i="13"/>
  <c r="A6" i="13"/>
  <c r="A22" i="13" l="1"/>
  <c r="A14" i="13"/>
  <c r="A28" i="13"/>
  <c r="A263" i="13"/>
  <c r="A257" i="13"/>
  <c r="A251" i="13"/>
  <c r="A245" i="13"/>
  <c r="A239" i="13"/>
  <c r="A233" i="13"/>
  <c r="A227" i="13"/>
  <c r="A221" i="13"/>
  <c r="A215" i="13"/>
  <c r="A209" i="13"/>
  <c r="A203" i="13"/>
  <c r="A197" i="13"/>
  <c r="A191" i="13"/>
  <c r="A185" i="13"/>
  <c r="A179" i="13"/>
  <c r="A173" i="13"/>
  <c r="A167" i="13"/>
  <c r="A161" i="13"/>
  <c r="A155" i="13"/>
  <c r="A149" i="13"/>
  <c r="A143" i="13"/>
  <c r="A137" i="13"/>
  <c r="A131" i="13"/>
  <c r="A125" i="13"/>
  <c r="A119" i="13"/>
  <c r="A113" i="13"/>
  <c r="A107" i="13"/>
  <c r="A101" i="13"/>
  <c r="A95" i="13"/>
  <c r="A89" i="13"/>
  <c r="A83" i="13"/>
  <c r="A77" i="13"/>
  <c r="A71" i="13"/>
  <c r="A65" i="13"/>
  <c r="A59" i="13"/>
  <c r="A53" i="13"/>
  <c r="A47" i="13"/>
  <c r="A41" i="13"/>
  <c r="A35" i="13"/>
  <c r="A29" i="13"/>
  <c r="A23" i="13"/>
  <c r="A17" i="13"/>
  <c r="A11" i="13"/>
  <c r="A241" i="13"/>
  <c r="A235" i="13"/>
  <c r="A229" i="13"/>
  <c r="A223" i="13"/>
  <c r="A217" i="13"/>
  <c r="A211" i="13"/>
  <c r="A205" i="13"/>
  <c r="A199" i="13"/>
  <c r="A193" i="13"/>
  <c r="A187" i="13"/>
  <c r="A181" i="13"/>
  <c r="A175" i="13"/>
  <c r="A169" i="13"/>
  <c r="A163" i="13"/>
  <c r="A157" i="13"/>
  <c r="A151" i="13"/>
  <c r="A145" i="13"/>
  <c r="A139" i="13"/>
  <c r="A133" i="13"/>
  <c r="A127" i="13"/>
  <c r="A121" i="13"/>
  <c r="A115" i="13"/>
  <c r="A109" i="13"/>
  <c r="A103" i="13"/>
  <c r="A97" i="13"/>
  <c r="A91" i="13"/>
  <c r="A85" i="13"/>
  <c r="A79" i="13"/>
  <c r="A73" i="13"/>
  <c r="A67" i="13"/>
  <c r="A61" i="13"/>
  <c r="A55" i="13"/>
  <c r="A49" i="13"/>
  <c r="A43" i="13"/>
  <c r="A37" i="13"/>
  <c r="A31" i="13"/>
  <c r="A25" i="13"/>
  <c r="A19" i="13"/>
  <c r="A13" i="13"/>
  <c r="Q3" i="15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Data!$A:$I" type="102" refreshedVersion="6" minRefreshableVersion="5">
    <extLst>
      <ext xmlns:x15="http://schemas.microsoft.com/office/spreadsheetml/2010/11/main" uri="{DE250136-89BD-433C-8126-D09CA5730AF9}">
        <x15:connection id="Range1" autoDelete="1">
          <x15:rangePr sourceName="_xlcn.WorksheetConnection_DataAI1"/>
        </x15:connection>
      </ext>
    </extLst>
  </connection>
</connections>
</file>

<file path=xl/sharedStrings.xml><?xml version="1.0" encoding="utf-8"?>
<sst xmlns="http://schemas.openxmlformats.org/spreadsheetml/2006/main" count="20463" uniqueCount="6960">
  <si>
    <t>DB Server</t>
  </si>
  <si>
    <t>DB</t>
  </si>
  <si>
    <t>DB User</t>
  </si>
  <si>
    <t>SYSTEM</t>
  </si>
  <si>
    <t>DB Password</t>
  </si>
  <si>
    <t>Comp User</t>
  </si>
  <si>
    <t>manager</t>
  </si>
  <si>
    <t>Password</t>
  </si>
  <si>
    <t>B1Admin#</t>
  </si>
  <si>
    <t>SERVER IP</t>
  </si>
  <si>
    <t>192.168.2.248</t>
  </si>
  <si>
    <t>Path:</t>
  </si>
  <si>
    <t>Remarks:</t>
  </si>
  <si>
    <t>Computer Name:</t>
  </si>
  <si>
    <t>Local IP:</t>
  </si>
  <si>
    <t>Parameters</t>
  </si>
  <si>
    <t>Year</t>
  </si>
  <si>
    <t>Chain</t>
  </si>
  <si>
    <t>Sb1@nbfi</t>
  </si>
  <si>
    <t>SavePath:</t>
  </si>
  <si>
    <t>Time:</t>
  </si>
  <si>
    <t>AutoSave:</t>
  </si>
  <si>
    <t>HANASERVERNBFI:30015</t>
  </si>
  <si>
    <t>ITEM NOT FOUND</t>
  </si>
  <si>
    <t>UPLOADING</t>
  </si>
  <si>
    <t>INF+UPLOADING</t>
  </si>
  <si>
    <r>
      <t xml:space="preserve">TOTAL </t>
    </r>
    <r>
      <rPr>
        <b/>
        <sz val="14"/>
        <color theme="0"/>
        <rFont val="Calibri"/>
        <family val="2"/>
        <scheme val="minor"/>
      </rPr>
      <t>RAW</t>
    </r>
    <r>
      <rPr>
        <sz val="11"/>
        <color theme="0"/>
        <rFont val="Calibri"/>
        <family val="2"/>
        <scheme val="minor"/>
      </rPr>
      <t xml:space="preserve"> DATA NEED TO UPLOAD</t>
    </r>
  </si>
  <si>
    <r>
      <t xml:space="preserve">TOTAL </t>
    </r>
    <r>
      <rPr>
        <b/>
        <sz val="14"/>
        <color theme="0"/>
        <rFont val="Calibri"/>
        <family val="2"/>
        <scheme val="minor"/>
      </rPr>
      <t>TEMPLATE</t>
    </r>
    <r>
      <rPr>
        <b/>
        <sz val="11"/>
        <color theme="0"/>
        <rFont val="Calibri"/>
        <family val="2"/>
        <scheme val="minor"/>
      </rPr>
      <t xml:space="preserve"> </t>
    </r>
    <r>
      <rPr>
        <sz val="11"/>
        <color theme="0"/>
        <rFont val="Calibri"/>
        <family val="2"/>
        <scheme val="minor"/>
      </rPr>
      <t>DATA GROSS SALES</t>
    </r>
  </si>
  <si>
    <t>GROSS SALES TY</t>
  </si>
  <si>
    <t>ITEMCODE</t>
  </si>
  <si>
    <t>Branch Code</t>
  </si>
  <si>
    <t>SKU Code</t>
  </si>
  <si>
    <t>BP Code</t>
  </si>
  <si>
    <t>Item Code</t>
  </si>
  <si>
    <t>Branch Name</t>
  </si>
  <si>
    <t>Description</t>
  </si>
  <si>
    <t>QTY</t>
  </si>
  <si>
    <t>Post Date</t>
  </si>
  <si>
    <t>Gross Sales Amount</t>
  </si>
  <si>
    <t>STORE</t>
  </si>
  <si>
    <t>DATE</t>
  </si>
  <si>
    <t>OR #</t>
  </si>
  <si>
    <t>SUPPLIER</t>
  </si>
  <si>
    <t>CATEGORY</t>
  </si>
  <si>
    <t>MATCODE</t>
  </si>
  <si>
    <t>ITEM DESCRIPTION</t>
  </si>
  <si>
    <t>QTY SOLD</t>
  </si>
  <si>
    <t>AMOUNT</t>
  </si>
  <si>
    <t>ALABANG</t>
  </si>
  <si>
    <t>EVERYDAY PRODUCTS</t>
  </si>
  <si>
    <t>S-ACCESSORIES &amp; DECORS</t>
  </si>
  <si>
    <t>EPC ESSE FRAG OIL 15 ML JCB PI</t>
  </si>
  <si>
    <t>EPC ZOELLA CERAMIC TABLE LAMP</t>
  </si>
  <si>
    <t>EPC GAYLE WMN LNE CER T LMP A</t>
  </si>
  <si>
    <t>EPC ESS BRUCEANLOG T CLOCK BLK</t>
  </si>
  <si>
    <t>EPC WALLACE WALL CLOCK</t>
  </si>
  <si>
    <t>EPC 10 UNSCENTED TLIGHT WHT</t>
  </si>
  <si>
    <t>EPC ESSE FRAG OIL 15 ML CH BRO</t>
  </si>
  <si>
    <t>EPC ESS MARGAUX-S OIL BURNER W</t>
  </si>
  <si>
    <t>EPC JACKSON WALL CLOCK BLK L</t>
  </si>
  <si>
    <t>EPC JUST AUTMN FLWERS CNVS ART</t>
  </si>
  <si>
    <t>EPC ESS MINIMAL A PHTO FRM 5X7</t>
  </si>
  <si>
    <t>EPC LOVE FLWR SQR WCLOK L CRM</t>
  </si>
  <si>
    <t>EPC JENNIFER SQ W. CLOCK CRM</t>
  </si>
  <si>
    <t>EPC MISTY FOREST PILLAR CNDLEP</t>
  </si>
  <si>
    <t>EPC BALINESE RECTANGLE CHOLDER</t>
  </si>
  <si>
    <t>EPC WHITNEY ART P. CNDL 2X4 GR</t>
  </si>
  <si>
    <t>EPC SCENTED VOTIVE LAVANDERVIO</t>
  </si>
  <si>
    <t>EPC LAURA WALL CLOCK LUMINUOUS</t>
  </si>
  <si>
    <t>EPC CAR DCR CTUS PLNT C GRN FS</t>
  </si>
  <si>
    <t>EPC ESS INC STCK CH BLOSMS PNK</t>
  </si>
  <si>
    <t>EPC BSIC MDRN PLR CNDL PUR LRG</t>
  </si>
  <si>
    <t>EPC WHITNEY ART P. CNDL 2X3 CR</t>
  </si>
  <si>
    <t>EPC SCENTED VOTIVE ROSEPINK</t>
  </si>
  <si>
    <t>EPC ESS WARREN METAL LNTRN BGE</t>
  </si>
  <si>
    <t>EPC ESS WARREN METAL LNTRN BLK</t>
  </si>
  <si>
    <t>EPC JARI WALL CLOCK LRG GRN</t>
  </si>
  <si>
    <t>EPC RUDOLPH WALL CLOCK WHT</t>
  </si>
  <si>
    <t>EPC BSIC MDRN PLR CNDL ORA LRG</t>
  </si>
  <si>
    <t>EPC BSIC MDRN PLR CNDL GRN LRG</t>
  </si>
  <si>
    <t>EPC WHITNEY ART P. CNDL 3X3 PR</t>
  </si>
  <si>
    <t>EPC 36 SCENTED TLIGHT LEMONORA</t>
  </si>
  <si>
    <t>EPC CARA DCR SUC PLNT C GRN FS</t>
  </si>
  <si>
    <t>EPC CAR DCR CTUS PLNT A GRN FS</t>
  </si>
  <si>
    <t>EPC ZURI CERAMIC TABLE LAMP CR</t>
  </si>
  <si>
    <t>EPC ESS JANE P FRM SET2 4X6 G</t>
  </si>
  <si>
    <t>EPC ZION CERAMIC TABLE LAMP WH</t>
  </si>
  <si>
    <t>EPC C/S WHS&amp;DRMS J CDL PRPLE F</t>
  </si>
  <si>
    <t>EPC C/S WTRSIDE J CDL YEL FS</t>
  </si>
  <si>
    <t>EPC C/S WTRSIDE J CDL BLU FS</t>
  </si>
  <si>
    <t>EPC MY SCALE PATTRN OIL BRNER</t>
  </si>
  <si>
    <t>EPC RUDOLPH WALL CLOCK BLK</t>
  </si>
  <si>
    <t>EPC ELF 3D ROUND TABLE CLOCK B</t>
  </si>
  <si>
    <t>EPC BALINESE ROUND CHOLDER S B</t>
  </si>
  <si>
    <t>EPC DARK NATALIE PHTO FRME-8X1</t>
  </si>
  <si>
    <t>EPC LUSH FOREST PILLAR CNDLEPU</t>
  </si>
  <si>
    <t>EPC JOEY DWN THE ST. CNVAS ART</t>
  </si>
  <si>
    <t>EPC ZENDAYA RAW LIFE PFRAME 5X</t>
  </si>
  <si>
    <t>EPC ESSE FRAG OIL 15 ML HS LIG</t>
  </si>
  <si>
    <t>EPC ESS TLGHT CNDL 36PCS LMN O</t>
  </si>
  <si>
    <t>EPC ESS TLGHT CNDL 36PCS LMN G</t>
  </si>
  <si>
    <t>EPC ESS MINIMAL A PHTO FRM 8X1</t>
  </si>
  <si>
    <t>EPC ESS RIPLEY DOC FRM A4 NTRL</t>
  </si>
  <si>
    <t>EPC NTRAL HUES PILLAR CNDLEGRY</t>
  </si>
  <si>
    <t>EPCJEWEL TONE PLR CNDL PUR MED</t>
  </si>
  <si>
    <t>EPC W.FRM CERISE MOON S NTRL F</t>
  </si>
  <si>
    <t>EPC ZELDA PASTEL SMMR PFRME 5X</t>
  </si>
  <si>
    <t>EPC ESS GRIMM W. CLOCK MCHA M</t>
  </si>
  <si>
    <t>EPC WAVERLY QTES P. CNDL 3X3 P</t>
  </si>
  <si>
    <t>EPC WYETH J. CNDL 2.75X4 GRN S</t>
  </si>
  <si>
    <t>EPC YVETTE CER. VASE L WHT</t>
  </si>
  <si>
    <t>EPC LUSH FOREST PILLAR CNDLEPN</t>
  </si>
  <si>
    <t>EPC WHITNEY ART P. CNDL 3X3 CR</t>
  </si>
  <si>
    <t>EPCJEWEL TONE PLR CNDL PUR LRG</t>
  </si>
  <si>
    <t>EPC ESSE FRAG OIL 15 ML ABR ED</t>
  </si>
  <si>
    <t>EPC TAYLOR DOG B TTOP DECOR GL</t>
  </si>
  <si>
    <t>EPC ZEDD FAMILY FRAME - SET 4</t>
  </si>
  <si>
    <t>EPC ESS TLGHT CNDL 36PCS RSE P</t>
  </si>
  <si>
    <t>EPC LOUISE CERAMIC TABLE LAMP</t>
  </si>
  <si>
    <t>EPC METALLICNATALIE SOF2 PFRME</t>
  </si>
  <si>
    <t>EPC KELSY DECOR FAUX PLNT LAR</t>
  </si>
  <si>
    <t>EPC ESS YSSA BULB DESK LAMP BL</t>
  </si>
  <si>
    <t>EPC W.FRM ADELAIDE A S DK BWN</t>
  </si>
  <si>
    <t>EPC ELF 3D TABLE CLOCK GRY M</t>
  </si>
  <si>
    <t>EPC ESS GREY W. CLOCK SLVR M</t>
  </si>
  <si>
    <t>EPC 36 SCENTED TLIGHT ROSEPINK</t>
  </si>
  <si>
    <t>EPC ESSE FRAG OIL 15 ML FRA GR</t>
  </si>
  <si>
    <t>EPC ESS INC STCK BERGAMOT BLU</t>
  </si>
  <si>
    <t>EPC ESS GREY W. CLOCK BLK M</t>
  </si>
  <si>
    <t>EPC W.FRM RUS LINE A S BLK FS</t>
  </si>
  <si>
    <t>EPC W.FRM RUS LINE B S BLK FS</t>
  </si>
  <si>
    <t>EPC ESS MINIMAL B PHTO FRM 8X1</t>
  </si>
  <si>
    <t>EPC AUTUMN FAM FRAME - 3OPENIN</t>
  </si>
  <si>
    <t>EPC ZINIA PSTEL SMMR PFRME 4X</t>
  </si>
  <si>
    <t>EPC ESS BRODY ANLOG T. CLOCK G</t>
  </si>
  <si>
    <t>EPC ETHNICITY LOVE CERAMIC VAS</t>
  </si>
  <si>
    <t>EPC BAXTER PFRAME NW 5X7</t>
  </si>
  <si>
    <t>EPC W.FRM BEHIND THE SUN L NTR</t>
  </si>
  <si>
    <t>EPC JOEY BY THE BCH B CNVS ART</t>
  </si>
  <si>
    <t>EPC JACKIE WALL CLOCK CRM M</t>
  </si>
  <si>
    <t>EPC NATURALIST D WALL CLOCK</t>
  </si>
  <si>
    <t>EPC W.FRM NAT ART B S NTRL FS</t>
  </si>
  <si>
    <t>EPC BASIC TAPERED CNDLE LEMONG</t>
  </si>
  <si>
    <t>EPC BASIC TAPERED CNDLE CITRON</t>
  </si>
  <si>
    <t>EPC BASIC TAPERED CNDLE ROSEPI</t>
  </si>
  <si>
    <t>EPC W.FRM HANG POT 12X12 NTRL</t>
  </si>
  <si>
    <t>EPC XANDER BASIC CERAMIC BALL</t>
  </si>
  <si>
    <t>EPC DCRTIVE BALLS BLU TILES SN</t>
  </si>
  <si>
    <t>EPC W.FRM POLKA POT 12X12 NTRL</t>
  </si>
  <si>
    <t>EPC ZYE CERAMIC TABLE LAMP G</t>
  </si>
  <si>
    <t>EPC ZYE CERAMIC TABLE LAMP C</t>
  </si>
  <si>
    <t>EPC ESS DECOR BALLS PALMS YEL</t>
  </si>
  <si>
    <t>EPC ZYE CERAMIC TABLE LAMP W</t>
  </si>
  <si>
    <t>EPC W.FRM LIL SHADOW S NTRL FS</t>
  </si>
  <si>
    <t>EPC GLADYS WALL ART C WHT FS</t>
  </si>
  <si>
    <t>EPC ESS RAPHAEL MEDAL FRM L 4P</t>
  </si>
  <si>
    <t>EPC BETSY FAMILY F FRAME-4 OPE</t>
  </si>
  <si>
    <t>EPC ESS BIANCA DIG CLOCK BLK F</t>
  </si>
  <si>
    <t>EPC ZYRA PHOTO FRM 8X10 GRY XL</t>
  </si>
  <si>
    <t>EPC ZURI CERAMIC TABLE LAMP GR</t>
  </si>
  <si>
    <t>EPC NATURALIST C WALL CLOCK</t>
  </si>
  <si>
    <t>EPC ZION CERAMIC TABLE LAMP CR</t>
  </si>
  <si>
    <t>EPC ESS GRIMM W. CLOCK BLK M</t>
  </si>
  <si>
    <t>EPC GENEVIVE WMN LNE CER T LMP</t>
  </si>
  <si>
    <t>EPC JOEY ST. SIDES CANVAS ART</t>
  </si>
  <si>
    <t>EPC MATTERS MOST WOOD TTOP DCO</t>
  </si>
  <si>
    <t>EPC ESS TLGHT CNDL 36PCS UNSCN</t>
  </si>
  <si>
    <t>EPC PACCO PFRAME 8X10 WHT</t>
  </si>
  <si>
    <t>EPC JACKLYN WALL CLOCK GRY L</t>
  </si>
  <si>
    <t>EPC JACKSON WALL CLOCK GRY L</t>
  </si>
  <si>
    <t>EPC ESS INC STCK SANDLWOOD CRM</t>
  </si>
  <si>
    <t>EPC ESS ZUELLIG TLAMP MATTE GR</t>
  </si>
  <si>
    <t>EPC BRIANNA VINTAGE TABLE CLOC</t>
  </si>
  <si>
    <t>EPC ESS MARIBELLE-S OIL BURNER</t>
  </si>
  <si>
    <t>EPC NTRAL HUES PILLAR CNDLEBRW</t>
  </si>
  <si>
    <t>EPC SMMER FAM LTTR FRM 4 OPENN</t>
  </si>
  <si>
    <t>EPC ESS RIPLEY DOC FRM A4 SLVR</t>
  </si>
  <si>
    <t>EPC ZAPATA TABLE LAMP BLK FS</t>
  </si>
  <si>
    <t>EPC DCRTIVE BALLS WHT SNTRINI</t>
  </si>
  <si>
    <t>EPC XION DAMASK PATTERN ORANGE</t>
  </si>
  <si>
    <t>EPC ESS DECOR BALLS PALMS GRY</t>
  </si>
  <si>
    <t>EPC ESS DECOR BALLS PAISLEY WH</t>
  </si>
  <si>
    <t>EPC ESS BRYANT ANLOG T. CLOCK.</t>
  </si>
  <si>
    <t>EPC GEORGIA GLASS CANDLE HOLDE</t>
  </si>
  <si>
    <t>EPC JUST FLORAL GIFTY WCLOCK W</t>
  </si>
  <si>
    <t>EPC JARI WALL CLOCK LRG CRM</t>
  </si>
  <si>
    <t>EPC BSIC MDRN PLR CNDL ORA SML</t>
  </si>
  <si>
    <t>EPC CURTIS DCR ORC PLNT WHT FS</t>
  </si>
  <si>
    <t>EPCCAVALLI DCR CACTUS A GRN FS</t>
  </si>
  <si>
    <t>EPC NTRAL HUES PILLAR CNDLEWHT</t>
  </si>
  <si>
    <t>EPC BEACH AZTEC PFRME 5X7 SET</t>
  </si>
  <si>
    <t>EPC W.FRM SHADOW WS B 12X12 DK</t>
  </si>
  <si>
    <t>EPC W.FRM KEEP SIMPLE 12X12 N</t>
  </si>
  <si>
    <t>EPC ZELDA PSTEL SMMR PFRME 8X1</t>
  </si>
  <si>
    <t>EPC ZENDAYA PFRM 8X10 BLK XL</t>
  </si>
  <si>
    <t>EPC ZENDAYA P FRM 8X10 GRY XL</t>
  </si>
  <si>
    <t>EPC JST HOME STYL WCLOK MED GR</t>
  </si>
  <si>
    <t>EPC LIGHT NATALIE PFRAME NATUR</t>
  </si>
  <si>
    <t>EPC W.FRM FLUSH PLNTB 12X12 NT</t>
  </si>
  <si>
    <t>EPC JARI WALL CLOCK LRG WGRY</t>
  </si>
  <si>
    <t>EPC KEN DECOR FAUX PLNT MED BL</t>
  </si>
  <si>
    <t>EPCCAEL DCR RBBR TREE A RED FS</t>
  </si>
  <si>
    <t>EPC CLEMENCE WALL CLOCK LUMINO</t>
  </si>
  <si>
    <t>EPC JUMBO WOOD MIRROR FRAMENAT</t>
  </si>
  <si>
    <t>EPC JOEY BY THE BCH A CNVS ART</t>
  </si>
  <si>
    <t>EPC WINONA ART P. CNDL 3X3 TAU</t>
  </si>
  <si>
    <t>EPC ESS BRYANT ANLOG T. CLOCK</t>
  </si>
  <si>
    <t>EPCJEWEL TONE PLR CNDL PUR SML</t>
  </si>
  <si>
    <t>EPC BEACH MORPH PFRME 5X7 SET</t>
  </si>
  <si>
    <t>EPC ESS JUMBO W. MIRROR 16X20</t>
  </si>
  <si>
    <t>EPC ESS RIDLEY DOCUMNT FRME 11</t>
  </si>
  <si>
    <t>EPC RIPLEY CRTIFCATE FRAME A4</t>
  </si>
  <si>
    <t>EPC BASIC INCENSE STICK SET 20</t>
  </si>
  <si>
    <t>EPC ESS WILSON METAL LNTRN BLK</t>
  </si>
  <si>
    <t>EPC BETSY FAMILY FFRAME-4 OPEN</t>
  </si>
  <si>
    <t>EPC YEISHA PLANTER L WHT</t>
  </si>
  <si>
    <t>EPC C/S WHS&amp;DRMS J CDL BLU FS</t>
  </si>
  <si>
    <t>EPC ESS INC STCK TRP FRTS ORA</t>
  </si>
  <si>
    <t>EPC PRINCE PLASTIC DESK LAMP</t>
  </si>
  <si>
    <t>EPC GEORGINA WALL ART A BLK FS</t>
  </si>
  <si>
    <t>EPC FARRAH SUNSET LEDTBLLAMP C</t>
  </si>
  <si>
    <t>EPC WINSLET QTES P. CNDL 2X3 G</t>
  </si>
  <si>
    <t>EPC W.FRM UMBER SUN L NTRL FS</t>
  </si>
  <si>
    <t>EPC W.FRM UNDR THE SUN S NTRL</t>
  </si>
  <si>
    <t>EPC W.FRM CERISE NIGHT S NTRL</t>
  </si>
  <si>
    <t>EPCCAREN DCR SUC PLNT B GRN FS</t>
  </si>
  <si>
    <t>EPC ESS INC STCK BAMBOO GRN</t>
  </si>
  <si>
    <t>EPC ESS WILSON METAL LNTRN GLD</t>
  </si>
  <si>
    <t>EPCCAEL DCR RBBR TREE C GRN FS</t>
  </si>
  <si>
    <t>EPC XANDER DOTTED CERAMIC BALL</t>
  </si>
  <si>
    <t>EPC W.FRM NAT ART A S NTRL FS</t>
  </si>
  <si>
    <t>EPC ESS DECOR BALLS TROPICS YE</t>
  </si>
  <si>
    <t>EPC YANNA D DECO PLANTS BLK</t>
  </si>
  <si>
    <t>MHW</t>
  </si>
  <si>
    <t>EPC D/XC JARETT METAL TABLE LA</t>
  </si>
  <si>
    <t>EPC ESSE FRAG OIL 15 ML CC BLU</t>
  </si>
  <si>
    <t>EPC ESSE FRAG OIL 15ML NO ORAN</t>
  </si>
  <si>
    <t>EPC BENJ CERAMIC VASE SML GRY</t>
  </si>
  <si>
    <t>EPC ESS GREY W. CLOCK WHT M</t>
  </si>
  <si>
    <t>EPC ESS KITCH. PAN STEAK W. CL</t>
  </si>
  <si>
    <t>EPC LOVE FLWR RND WCLOK L CRM</t>
  </si>
  <si>
    <t>EPC ZHAQ CERAMIC TABLE LAMP G</t>
  </si>
  <si>
    <t>EPC ESS JANE P FRM SET2 5X7 GR</t>
  </si>
  <si>
    <t>EPC ESS PRINCE BULB DESK LAMP</t>
  </si>
  <si>
    <t>EPC JACKLYN WALL CLOCK CRM L</t>
  </si>
  <si>
    <t>EPC JASMINE METAL FLOOR MIRROR</t>
  </si>
  <si>
    <t>EPC ESS JANE P FRM SET2 8X10 G</t>
  </si>
  <si>
    <t>EPC BSIC MDRN PLR CNDLGRN SML</t>
  </si>
  <si>
    <t>EPC EUNICE METAL WALL CLOCK BL</t>
  </si>
  <si>
    <t>EPC JUST LEAF GIFTY WALL CLOCK</t>
  </si>
  <si>
    <t>EPC JUST SIMPLE GIFTY WALL CL</t>
  </si>
  <si>
    <t>EPC JUST SIMPLE GIFTY WCLOCK</t>
  </si>
  <si>
    <t>EPC BEACH AZTEC PFRME 4X6 SET</t>
  </si>
  <si>
    <t>EPC BROOKLYN PHOTO FRAME SET O</t>
  </si>
  <si>
    <t>EPC ESSE FRAG OIL 15 ML LG LIG</t>
  </si>
  <si>
    <t>EPC LOVE FLWR RND WCLOK L PNK</t>
  </si>
  <si>
    <t>EPC PEABO PHTO FRAME 5X7 GRY</t>
  </si>
  <si>
    <t>EPC W.FRM NAT ART C L NTRL FS</t>
  </si>
  <si>
    <t>EPC W.FRM NAT ART D L NTRL FS</t>
  </si>
  <si>
    <t>EPC BSIC MDRN PLR CNDL ORA MED</t>
  </si>
  <si>
    <t>EPC ESS GRIMM W. CLOCK COOL GR</t>
  </si>
  <si>
    <t>EPC JARI WALL CLOCK MED CRM</t>
  </si>
  <si>
    <t>EPC RICKA CER T LMP CRM FS</t>
  </si>
  <si>
    <t>EPC WILLY WALL CLOCK BLK</t>
  </si>
  <si>
    <t>EPC ESS YANNA CLIP DESK LAMP B</t>
  </si>
  <si>
    <t>EPC JARI WALL CLOCK MED WGRY</t>
  </si>
  <si>
    <t>EPCJEWEL TONE PLR CNDL GRN LRG</t>
  </si>
  <si>
    <t>EPC KEN DECOR FAUX PLNT SMA BL</t>
  </si>
  <si>
    <t>EPC C/S WTRSIDE J CDL PNK FS</t>
  </si>
  <si>
    <t>EPC D/XD LUXE GEOM RD DIF GLD</t>
  </si>
  <si>
    <t>EPC ESS YSSA BULB DESK LAMP WH</t>
  </si>
  <si>
    <t>EPC JULIEN WALL CLOCK LUMINOUS</t>
  </si>
  <si>
    <t>EPC LABELLE W. CLOCK BLK L</t>
  </si>
  <si>
    <t>EPC BEACH MORPH PFRME 8X10 SET</t>
  </si>
  <si>
    <t>EPC RICKA CER T LMP WHT FS</t>
  </si>
  <si>
    <t>EPCCALLISTO DCR CCTUS A GRN FS</t>
  </si>
  <si>
    <t>EPCCALLISTO DCR CCTUS B GRN FS</t>
  </si>
  <si>
    <t>EPC ZACH PSTEL SMMR PFRME 8X1</t>
  </si>
  <si>
    <t>EPC ESS JUMBO W. MIRROR 12X36</t>
  </si>
  <si>
    <t>EPC W.FRM EVE FIGURE S BLK FS</t>
  </si>
  <si>
    <t>EPC ESS RIDLEY DOCUMNT FRME 8.</t>
  </si>
  <si>
    <t>EPC ESS WARREN METAL LNTRN GLD</t>
  </si>
  <si>
    <t>EPC ESSE FRAG OIL 15 ML RP PIN</t>
  </si>
  <si>
    <t>EPC ESSE LED VOTIVE SET OF 4 G</t>
  </si>
  <si>
    <t>EPC LABELLE W. CLOCK SILVER CH</t>
  </si>
  <si>
    <t>EPC LIZZY W. CLOCK SLVR L</t>
  </si>
  <si>
    <t>EPC XANDER MODERN PTTRN CRAMIC</t>
  </si>
  <si>
    <t>EPCCAREN DCR SUC PLNT C GRN FS</t>
  </si>
  <si>
    <t>EPC ESS JUMBO W. MIRROR 8X10 D</t>
  </si>
  <si>
    <t>EPC BUN LED DESKLAMP W/MOBILE</t>
  </si>
  <si>
    <t>EPC ESS YSSA BULB DESK LAMP WR</t>
  </si>
  <si>
    <t>EPC JST LVE STYL WCLOK MED DPN</t>
  </si>
  <si>
    <t>EPC JUMBO WOOD MIRROR FRAMED-B</t>
  </si>
  <si>
    <t>EPC ANDREA VNTGE TCLOCK GRY</t>
  </si>
  <si>
    <t>EPC YANNA A DECO PLANTS BLK</t>
  </si>
  <si>
    <t>EPC BNT B PHTO FRME 8X10 WHT</t>
  </si>
  <si>
    <t>EPC ELF 3D TABLE CLOCK BLK M</t>
  </si>
  <si>
    <t>EPC ESS WILSON METAL LNTRN BGE</t>
  </si>
  <si>
    <t>EPC ESSE FRAG OIL 15 ML CIT YE</t>
  </si>
  <si>
    <t>EPC JEAN STORAGE/ WALL CLOCK W</t>
  </si>
  <si>
    <t>EPC SCENTED VOTIVE LEMONGRASSG</t>
  </si>
  <si>
    <t>EPC SCENTED VOTIVE UNSCENTED W</t>
  </si>
  <si>
    <t>EPC ZYRA PHOTO FRM 5X7 NTRL L</t>
  </si>
  <si>
    <t>EPC W.FRM FRESH OASIS L NTRL F</t>
  </si>
  <si>
    <t>EPC JANNA BWN LOOPS CNVS ART S</t>
  </si>
  <si>
    <t>EPC XION EYE PATTERN CERAMIC B</t>
  </si>
  <si>
    <t>EPC JEITH PNK UMBRELLAS CNVS A</t>
  </si>
  <si>
    <t>EPC JOEY PSTL PLL-OVR CNVS ART</t>
  </si>
  <si>
    <t>EPC JUST BUCKWHTS B CNVS ART S</t>
  </si>
  <si>
    <t>EPC ZACH PSTEL SMMR PFRME 4X6</t>
  </si>
  <si>
    <t>EPC MOSCOW CERAMIC T.LMP CRM F</t>
  </si>
  <si>
    <t>EPC ESS INC STCK FRESHMUSK WHT</t>
  </si>
  <si>
    <t>EPC BASIC DOTS AROMA DIFFUSER</t>
  </si>
  <si>
    <t>EPC ZION CERAMIC TABLE LAMP GR</t>
  </si>
  <si>
    <t>EPC ESS INC STCK LMONVRBNA GRN</t>
  </si>
  <si>
    <t>EPC ESSE LED TAP CNDLE SET OF</t>
  </si>
  <si>
    <t>EPCJEWEL TONE PLR CNDL GRN SML</t>
  </si>
  <si>
    <t>EPC JUST WHT &amp; FLEUR CNVS ART</t>
  </si>
  <si>
    <t>EPC ANDREA VNTGE TCLOCK CRM</t>
  </si>
  <si>
    <t>EPC BLU CERAMIC VASE LRG WHT</t>
  </si>
  <si>
    <t>EPC JST HOME STYL WCLOK MED WG</t>
  </si>
  <si>
    <t>EPC PACCO PFRAME 5X7 GRY</t>
  </si>
  <si>
    <t>EPC W.FRM CELOSIA B L NTRL FS</t>
  </si>
  <si>
    <t>EPCCALLISTO DCR CCTUS C GRN FS</t>
  </si>
  <si>
    <t>EPCD/XDRIVAMETAL TBLCLCK WHTMT</t>
  </si>
  <si>
    <t>EPC BLU CERAMIC VASE MED WGRY</t>
  </si>
  <si>
    <t>EPC BLU CERAMIC VASE MED WHT</t>
  </si>
  <si>
    <t>EPC DLXE LUNA CERAMIC VASE A</t>
  </si>
  <si>
    <t>EPC DLXE LUNA CERAMIC VASE C</t>
  </si>
  <si>
    <t>EPC DLXE LUNA CER VASE WHT</t>
  </si>
  <si>
    <t>EPC WYETH J. CNDL 2.75X4.75 GR</t>
  </si>
  <si>
    <t>EPC YVETTE CER. VASE S BLK</t>
  </si>
  <si>
    <t>EPC ESSE FRAG OIL 15 ML FVC RE</t>
  </si>
  <si>
    <t>EPC BSIC MDRN PLR CNDL PUR MED</t>
  </si>
  <si>
    <t>EPC ESS RUE SIGNI FRME 16X20 B</t>
  </si>
  <si>
    <t>EPC W.FRM DEMETER 12X12 NTRL F</t>
  </si>
  <si>
    <t>EPC W.FRM LOVE 12X12 NTRL FS</t>
  </si>
  <si>
    <t>EPC W.FRM PERSEPHONE 12X12 NTR</t>
  </si>
  <si>
    <t>EPC BSIC MDRN PLR CNDL PUR SML</t>
  </si>
  <si>
    <t>EPCJEWEL TONE PLR CNDL ORA SML</t>
  </si>
  <si>
    <t>EPC DLXE LIA TPER CDL HLDR GRY</t>
  </si>
  <si>
    <t>EPC GABRIELLA WMN LNE CER T LM</t>
  </si>
  <si>
    <t>EPC W.FRM PARIS BOYAGE S DK</t>
  </si>
  <si>
    <t>EPC W.FRM PARIS BALLOON S DK</t>
  </si>
  <si>
    <t>EPC ELF 3D ROUND TABLE CLOCK G</t>
  </si>
  <si>
    <t>EPC BSIC MDRN PLR CNDL GRN MED</t>
  </si>
  <si>
    <t>EPC JARI WALL CLOCK MED GRN</t>
  </si>
  <si>
    <t>EPCJEWEL TONE PLR CNDL ORA MED</t>
  </si>
  <si>
    <t>EPC BAXTER PFRAME BW 8X10</t>
  </si>
  <si>
    <t>EPC GENEVA GLASS CNDLE HLDR S</t>
  </si>
  <si>
    <t>EPC ZIGGY CER TABLE LAMP WHT F</t>
  </si>
  <si>
    <t>MILLER</t>
  </si>
  <si>
    <t>EPC JEITH FLLIN IN PARIS A C.A</t>
  </si>
  <si>
    <t>EPC SUMMER FAMILY FRAME - 4 OP</t>
  </si>
  <si>
    <t>EPC WYETH J. CNDL 2.75X4 ORA S</t>
  </si>
  <si>
    <t>EPC 36 SCENTED TLIGHT CITRONEL</t>
  </si>
  <si>
    <t>EPC WINSLET QTES P. CNDL 3X3 P</t>
  </si>
  <si>
    <t>EPC ZELL PHOTO FRM 8X10 GRY X</t>
  </si>
  <si>
    <t>EPC BENNY PFRAME BLK 4X6</t>
  </si>
  <si>
    <t>EPC BENNY PFRAME WHITE 8X10</t>
  </si>
  <si>
    <t>EPC YNNA CER. VASE S DRK GRN</t>
  </si>
  <si>
    <t>EPC ZELDA FAMILY FRAME SET OF</t>
  </si>
  <si>
    <t>EPC SCENTED VOTIVE CITRONELLA</t>
  </si>
  <si>
    <t>EPC 10 SCENTED TLIGHT ROSEPINK</t>
  </si>
  <si>
    <t>EPC ESS INC STCK CTRONELLA YEL</t>
  </si>
  <si>
    <t>EPC ESS INC STCK LAVANDER PRP</t>
  </si>
  <si>
    <t>EPC WINONA ART P. CNDL 3X4 TAU</t>
  </si>
  <si>
    <t>EPC WYETH J. CNDL 2.75X4 WHT S</t>
  </si>
  <si>
    <t>EPC ZOILA CERAMIC TABLE LAMP C</t>
  </si>
  <si>
    <t>EPC ESS JANE P FRM SET2 5X7 BL</t>
  </si>
  <si>
    <t>EPC JACKIE WALL CLOCK GRY M</t>
  </si>
  <si>
    <t>EPC 10 SCENTED TLIGHT LEMONGRA</t>
  </si>
  <si>
    <t>EPC 36 SCENTED TLIGHT LAVANDER</t>
  </si>
  <si>
    <t>EPC CERIS DCR RBBR TREE GRN FS</t>
  </si>
  <si>
    <t>EPC MY DIAMND PATTRN OIL BRNER</t>
  </si>
  <si>
    <t>EPC MY GRN LIFE RND OIL BURNER</t>
  </si>
  <si>
    <t>EPC ESS FRAG OIL 15ML LVNDR PR</t>
  </si>
  <si>
    <t>EPC ESSE FRAG OIL 15 ML EUC GR</t>
  </si>
  <si>
    <t>EPC GRAHAM MODERN LIFE AROMA D</t>
  </si>
  <si>
    <t>EPC DIANARA LADY T.DECOR -S TA</t>
  </si>
  <si>
    <t>EPC ESS DECOR BALLS HAMMERED G</t>
  </si>
  <si>
    <t>EPC ESS DECOR BALLS TROPICS WH</t>
  </si>
  <si>
    <t>EPC ESS DECOR BALLS XAMIRA WHT</t>
  </si>
  <si>
    <t>EPC ESS DECOR BALLS XANTHIA WH</t>
  </si>
  <si>
    <t>EPC ESS DECOR BALLS XAVI GLD F</t>
  </si>
  <si>
    <t>EPC KELSY DECOR FAUX PLNT SMA</t>
  </si>
  <si>
    <t>EPC KEN DECOR FAUX PLNT SMA TR</t>
  </si>
  <si>
    <t>EPC METALLIC NATALIE SOF2 PFRM</t>
  </si>
  <si>
    <t>EPC SAVE NATURE CERAMIC OIL BU</t>
  </si>
  <si>
    <t>EPC XAVIER FLORAL CERAMIC BALS</t>
  </si>
  <si>
    <t>EPC XAVIER LEAF CERAMIC BALL W</t>
  </si>
  <si>
    <t>EPC XION DAMASK PATTERN WHT</t>
  </si>
  <si>
    <t>EPC XION FLORAL CERAMIC BALL B</t>
  </si>
  <si>
    <t>EPC YNNA CER. VASE S ORA</t>
  </si>
  <si>
    <t>EPC YUSEF CER. VASE M DRK GRN</t>
  </si>
  <si>
    <t>EPC YUSEF CER. VASE M ORA</t>
  </si>
  <si>
    <t>EPC ZELL PHOTO FRM 5X7 GRY L</t>
  </si>
  <si>
    <t>EPCCAVALLI DCR CACTUS B GRN FS</t>
  </si>
  <si>
    <t>EPC 10 SCENTED TLIGHT CITRONEL</t>
  </si>
  <si>
    <t>EPC JACKIE WALL CLOCK BLK M</t>
  </si>
  <si>
    <t>EPC WINSLET QTES P. CNDL 3X3 O</t>
  </si>
  <si>
    <t>EPC 10 SCENTED TLIGHT LAVENDER</t>
  </si>
  <si>
    <t>EPC METALLIC NATALIE A PFRAME</t>
  </si>
  <si>
    <t>EPC NATURALIST B WALL CLOCK</t>
  </si>
  <si>
    <t>EPC ROSALINDA LED LANTERN L WH</t>
  </si>
  <si>
    <t>EPC BAXTER PFRAME BW 4X6</t>
  </si>
  <si>
    <t>EPC BAXTER PFRAME NW 4X6</t>
  </si>
  <si>
    <t>EPC LIGHT NATALIE PFRAME GRAY</t>
  </si>
  <si>
    <t>EPC JUMBO WOOD MIRROR FRAME BL</t>
  </si>
  <si>
    <t>EPC JAZZ WOOD FLOOR MIRRORBROW</t>
  </si>
  <si>
    <t>EPC JEITH FLLIN IN PARIS B C.A</t>
  </si>
  <si>
    <t>EPC JIMBO WOOD FLOOR MIRROR BL</t>
  </si>
  <si>
    <t>EPC ESS MODERN LUM WALL CLOCK</t>
  </si>
  <si>
    <t>"EPC 13"" WOOD FRAME STAND CO</t>
  </si>
  <si>
    <t>EPC PHOTO FRAME STAND WOOD BL</t>
  </si>
  <si>
    <t>EPC C/S WHS&amp;DRMS J CDL ORA FS</t>
  </si>
  <si>
    <t>EPC ESS MARIETTA GEO OIL BURNE</t>
  </si>
  <si>
    <t>EPC WINSLET QTES P. CNDL 2X3 P</t>
  </si>
  <si>
    <t>EPC ESS BRODY ANLOG T. CLOCK B</t>
  </si>
  <si>
    <t>EPC ESS YANNA CLIP DESK LAMP W</t>
  </si>
  <si>
    <t>EPC ZHAQ CERAMIC TABLE LAMP C</t>
  </si>
  <si>
    <t>EPC MAZERUNNER LED TTOP ORA</t>
  </si>
  <si>
    <t>EPC SUMMER LOVE PILLAR CNDLEOR</t>
  </si>
  <si>
    <t>EPC SUMMER LOVE PILLAR CNDLEYE</t>
  </si>
  <si>
    <t>EPC SUMMER LOVE PILLARCNDLEYE</t>
  </si>
  <si>
    <t>EPC JIMBO WOOD FLOOR MIRRORNAT</t>
  </si>
  <si>
    <t>EPC 10 SCENTED TLIGHT LEMONORA</t>
  </si>
  <si>
    <t>EPCCAVALLI DCR CACTUS C GRN FS</t>
  </si>
  <si>
    <t>EPC ESS TLGHT CNDL 36PCS LVNDR</t>
  </si>
  <si>
    <t>EPC MARGELLAFLORADECOPLNT/4PCS</t>
  </si>
  <si>
    <t>EPC ANDREA VNTGE TCLOCK BLK</t>
  </si>
  <si>
    <t>EPC LESS &amp; LESS WOOD TTOP DCOR</t>
  </si>
  <si>
    <t>EPC MORE AND MORE WOOD TTOP DC</t>
  </si>
  <si>
    <t>VALENZUELA</t>
  </si>
  <si>
    <t>EPC ESS JANE P FRM SET2 8X10 W</t>
  </si>
  <si>
    <t>EPC YANNAH GLASS CNDLEHOLDERCL</t>
  </si>
  <si>
    <t>EPC ZINIA PSTEL SMMR PFRME 8X1</t>
  </si>
  <si>
    <t>EPC ZENDAYA P FRM 8X10 WHT XL</t>
  </si>
  <si>
    <t>EPC BAI LED DESK LAMP WHT</t>
  </si>
  <si>
    <t>EPC FEVEZ METAL TABLE LAMP WHT</t>
  </si>
  <si>
    <t>EPC MAZE LED TABLETOP/LANTERN</t>
  </si>
  <si>
    <t>EPC JACKSON WALL CLOCK CRM L</t>
  </si>
  <si>
    <t>EPC SUMMER LOVE PILLAR CNDLEGR</t>
  </si>
  <si>
    <t>EPC LAST SUPPER SMALL ASSTD C</t>
  </si>
  <si>
    <t>EPC ELF 3D TABLE CLOCK WHT M</t>
  </si>
  <si>
    <t>EPC ESS GRACELYN REVITALIZER N</t>
  </si>
  <si>
    <t>EPC LUSH FOREST PILLAR CNDLEGR</t>
  </si>
  <si>
    <t>EPC MARGELLA DMOND CRAMIC OIL</t>
  </si>
  <si>
    <t>EPC SUMMER DREAM PILLAR CNDLEY</t>
  </si>
  <si>
    <t>EPC WHITNEY ART P. CNDL 2X3 PR</t>
  </si>
  <si>
    <t>EPC W.FRM CR�ME COL A 12X12 DK</t>
  </si>
  <si>
    <t>EPC W.FRM CR�ME COL B 12X12 DK</t>
  </si>
  <si>
    <t>EPC W.FRM SHADOW WS A 12X12 DK</t>
  </si>
  <si>
    <t>"EPC 13"" WOOD FRAME STAND -</t>
  </si>
  <si>
    <t>EPC DLX DARLA DECO CNDL TRAY L</t>
  </si>
  <si>
    <t>EPC DLX DARLA DECO CNDL TRAY S</t>
  </si>
  <si>
    <t>EPC ESS JRCNDL W HNDL CTRNELLA</t>
  </si>
  <si>
    <t>EPC ESS RIPLEY DOC FRM 8.5X11S</t>
  </si>
  <si>
    <t>EPC JST HOME STYL WCLOK MED CR</t>
  </si>
  <si>
    <t>EPC BRANDIE VINTAGE TABLE CLOC</t>
  </si>
  <si>
    <t>EPC MARIETA GEO PTRN CRMC OIL</t>
  </si>
  <si>
    <t>EPC ESS CAVERN A PHTO FRM 4X6</t>
  </si>
  <si>
    <t>EPC JACKLYN WALL CLOCK BLK L</t>
  </si>
  <si>
    <t>EPC YANNY METAL 1 BLK MATTE</t>
  </si>
  <si>
    <t>EPC YANNY METAL 2 BLK MATTE</t>
  </si>
  <si>
    <t>EPC YASMINE PLNTS 1 BLK MATTE</t>
  </si>
  <si>
    <t>EPC BOTTLE STOPPER LED FAIRY L</t>
  </si>
  <si>
    <t>EPC ELF 3D ROUND TABLE CLOCK W</t>
  </si>
  <si>
    <t>EPC W.FRM FLUSH PLNTA 12X12 NT</t>
  </si>
  <si>
    <t>EPC LOVE FLWR SQR WCLOK L PNK</t>
  </si>
  <si>
    <t>EPC XAVIER LOSTINPARADISECANVA</t>
  </si>
  <si>
    <t>EPC ZORA PHOTO FRM 8X10 CRM XL</t>
  </si>
  <si>
    <t>EPC ZORA PHOTO FRM 8X10 GRY XL</t>
  </si>
  <si>
    <t>EPC ZORA PHOTO FRM 8X10 WHT XL</t>
  </si>
  <si>
    <t>EPC ZOILA CERAMIC TABLE LAMP L</t>
  </si>
  <si>
    <t>EPC_SBOLIVE</t>
  </si>
  <si>
    <t>U_SKU</t>
  </si>
  <si>
    <t>ItemCode</t>
  </si>
  <si>
    <t>ItemName</t>
  </si>
  <si>
    <t>U_BarCode</t>
  </si>
  <si>
    <t>U_UPC</t>
  </si>
  <si>
    <t>U_VendorPartNumber</t>
  </si>
  <si>
    <t>2010051698271812</t>
  </si>
  <si>
    <t>D/XD GEOMETRIC JAR CANDLE 240G</t>
  </si>
  <si>
    <t>40012846</t>
  </si>
  <si>
    <t>2010051698251812</t>
  </si>
  <si>
    <t>40012847</t>
  </si>
  <si>
    <t>2010051698261812</t>
  </si>
  <si>
    <t>40012848</t>
  </si>
  <si>
    <t>2010061398271801</t>
  </si>
  <si>
    <t>D/XD LUXE GEOMETRIC DELUXE ROO</t>
  </si>
  <si>
    <t>40012849</t>
  </si>
  <si>
    <t>2010061398251801</t>
  </si>
  <si>
    <t>40012850</t>
  </si>
  <si>
    <t>2010061398261801</t>
  </si>
  <si>
    <t>40012851</t>
  </si>
  <si>
    <t>2010061298271706</t>
  </si>
  <si>
    <t>D/XD LUXE GEOMETRIC REED DFFSE</t>
  </si>
  <si>
    <t>40012852</t>
  </si>
  <si>
    <t>2010061298251706</t>
  </si>
  <si>
    <t>40012853</t>
  </si>
  <si>
    <t>2010061298261706</t>
  </si>
  <si>
    <t>40012854</t>
  </si>
  <si>
    <t>2010041498273301</t>
  </si>
  <si>
    <t>D/XD LUXE GEOMETRIC CANDLE SET</t>
  </si>
  <si>
    <t>40012855</t>
  </si>
  <si>
    <t>2010041498253301</t>
  </si>
  <si>
    <t>40012856</t>
  </si>
  <si>
    <t>2010041498263301</t>
  </si>
  <si>
    <t>40012857</t>
  </si>
  <si>
    <t>2010051698181813</t>
  </si>
  <si>
    <t>D/XD ETHIOPIAN JAR CANDLE</t>
  </si>
  <si>
    <t>40012858</t>
  </si>
  <si>
    <t>2010051698161813</t>
  </si>
  <si>
    <t>40012859</t>
  </si>
  <si>
    <t>2010051698181814</t>
  </si>
  <si>
    <t>D/XD AFRICAN JAR CANDLE</t>
  </si>
  <si>
    <t>40012860</t>
  </si>
  <si>
    <t>2010051698161814</t>
  </si>
  <si>
    <t>40012861</t>
  </si>
  <si>
    <t>2010051698181815</t>
  </si>
  <si>
    <t>D/XD JAMAICAN JAR CANLDE</t>
  </si>
  <si>
    <t>40012862</t>
  </si>
  <si>
    <t>2010051698221815</t>
  </si>
  <si>
    <t>40012863</t>
  </si>
  <si>
    <t>2010060398171068</t>
  </si>
  <si>
    <t>NATURALLY NUDE REED DIFFUSER A</t>
  </si>
  <si>
    <t>40012868</t>
  </si>
  <si>
    <t>2010060398221068</t>
  </si>
  <si>
    <t>40012869</t>
  </si>
  <si>
    <t>2010060398031068</t>
  </si>
  <si>
    <t>40012870</t>
  </si>
  <si>
    <t>2010060398171069</t>
  </si>
  <si>
    <t>NATURALLY NUDE REED DIFFUSER B</t>
  </si>
  <si>
    <t>40012871</t>
  </si>
  <si>
    <t>2010060398191069</t>
  </si>
  <si>
    <t>40012872</t>
  </si>
  <si>
    <t>2010060398221069</t>
  </si>
  <si>
    <t>40012873</t>
  </si>
  <si>
    <t>2010051098070582</t>
  </si>
  <si>
    <t>SANTORINI JAR CANDLE A 170G</t>
  </si>
  <si>
    <t>40012874</t>
  </si>
  <si>
    <t>2010051098040582</t>
  </si>
  <si>
    <t>40012875</t>
  </si>
  <si>
    <t>2010051098160582</t>
  </si>
  <si>
    <t>40012876</t>
  </si>
  <si>
    <t>2010051098070583</t>
  </si>
  <si>
    <t>SANTORINI JAR CANDLE B 170G</t>
  </si>
  <si>
    <t>40012877</t>
  </si>
  <si>
    <t>2010051098040583</t>
  </si>
  <si>
    <t>40012878</t>
  </si>
  <si>
    <t>2010051098160583</t>
  </si>
  <si>
    <t>40012879</t>
  </si>
  <si>
    <t>2010041001180142</t>
  </si>
  <si>
    <t>JEAN METAL GLASS VASE</t>
  </si>
  <si>
    <t>40012880</t>
  </si>
  <si>
    <t>2010041002180142</t>
  </si>
  <si>
    <t>40012881</t>
  </si>
  <si>
    <t>2010070201180016</t>
  </si>
  <si>
    <t>D/XB CESAR METAL PLANTER</t>
  </si>
  <si>
    <t>40012882</t>
  </si>
  <si>
    <t>2010070203180016</t>
  </si>
  <si>
    <t>40012883</t>
  </si>
  <si>
    <t>2010070201250020</t>
  </si>
  <si>
    <t>D/XA GARRETTE METAL PLANTER S</t>
  </si>
  <si>
    <t>40012884</t>
  </si>
  <si>
    <t>2010070201250021</t>
  </si>
  <si>
    <t>D/XA GRACE METAL PLANTER</t>
  </si>
  <si>
    <t>40012886</t>
  </si>
  <si>
    <t>2010070202250021</t>
  </si>
  <si>
    <t>40012887</t>
  </si>
  <si>
    <t>2010070201250022</t>
  </si>
  <si>
    <t>D/XA GABRIEL METAL PLANTER SMA</t>
  </si>
  <si>
    <t>40012888</t>
  </si>
  <si>
    <t>2010070202250022</t>
  </si>
  <si>
    <t>D/XA GABRIEL METAL PLANTER MED</t>
  </si>
  <si>
    <t>40012889</t>
  </si>
  <si>
    <t>2010070201180017</t>
  </si>
  <si>
    <t>D/XB PICASSO METAL PLANTER</t>
  </si>
  <si>
    <t>40012890</t>
  </si>
  <si>
    <t>2010070203180017</t>
  </si>
  <si>
    <t>40012891</t>
  </si>
  <si>
    <t>2010042101070002</t>
  </si>
  <si>
    <t>C/S GOTH SCALLOP CERAMIC VSE-S</t>
  </si>
  <si>
    <t>40012892</t>
  </si>
  <si>
    <t>2010042103070002</t>
  </si>
  <si>
    <t>C/S GOTH SCALLOP CERAMIC VSE-L</t>
  </si>
  <si>
    <t>40012893</t>
  </si>
  <si>
    <t>2010042298070017</t>
  </si>
  <si>
    <t>C/S OH MOSSAIC TASSLED TBLETOP</t>
  </si>
  <si>
    <t>40012894</t>
  </si>
  <si>
    <t>2010042298070018</t>
  </si>
  <si>
    <t>C/S OHOME PICASSO TASSLED TABLETO</t>
  </si>
  <si>
    <t>40012895</t>
  </si>
  <si>
    <t>2010042298220020</t>
  </si>
  <si>
    <t>C/S OH SET OF 5 PYRAMID TABLET</t>
  </si>
  <si>
    <t>40012896</t>
  </si>
  <si>
    <t>2010042298220023</t>
  </si>
  <si>
    <t>D/XB GREYHOUND LUISA TABLETOP</t>
  </si>
  <si>
    <t>40012897</t>
  </si>
  <si>
    <t>2010042298220024</t>
  </si>
  <si>
    <t>D/XB GREYHOUND SITIO TABLETOP</t>
  </si>
  <si>
    <t>40012898</t>
  </si>
  <si>
    <t>2010042202220027</t>
  </si>
  <si>
    <t>D/XD HOUR GLASS MEDIUM</t>
  </si>
  <si>
    <t>40012899</t>
  </si>
  <si>
    <t>2010042203220027</t>
  </si>
  <si>
    <t>D/XD HOUR GLASS LARGE</t>
  </si>
  <si>
    <t>40012900</t>
  </si>
  <si>
    <t>2010042202160027</t>
  </si>
  <si>
    <t>40012901</t>
  </si>
  <si>
    <t>2010042203160027</t>
  </si>
  <si>
    <t>40012902</t>
  </si>
  <si>
    <t>2010042298020029</t>
  </si>
  <si>
    <t>D/XD WILLIAM LED LANTERN</t>
  </si>
  <si>
    <t>40012903</t>
  </si>
  <si>
    <t>2010042298160029</t>
  </si>
  <si>
    <t>40012904</t>
  </si>
  <si>
    <t>2010042298020030</t>
  </si>
  <si>
    <t>D/XD WESTON LED LANTERN</t>
  </si>
  <si>
    <t>40012905</t>
  </si>
  <si>
    <t>2010042298160030</t>
  </si>
  <si>
    <t>40012906</t>
  </si>
  <si>
    <t>2010050205075367</t>
  </si>
  <si>
    <t>SANTORINI WAVES PILLAR CANDLE</t>
  </si>
  <si>
    <t>40012907</t>
  </si>
  <si>
    <t>2010050206075367</t>
  </si>
  <si>
    <t>40012908</t>
  </si>
  <si>
    <t>2010050205175367</t>
  </si>
  <si>
    <t>40012909</t>
  </si>
  <si>
    <t>2010050206175367</t>
  </si>
  <si>
    <t>40012910</t>
  </si>
  <si>
    <t>2010050205165367</t>
  </si>
  <si>
    <t>40012911</t>
  </si>
  <si>
    <t>2010050206165367</t>
  </si>
  <si>
    <t>40012912</t>
  </si>
  <si>
    <t>2010050205075368</t>
  </si>
  <si>
    <t>SANTORINI GRADIENT PILLAR CAND</t>
  </si>
  <si>
    <t>40012913</t>
  </si>
  <si>
    <t>2010050206075368</t>
  </si>
  <si>
    <t>40012914</t>
  </si>
  <si>
    <t>2010050205175368</t>
  </si>
  <si>
    <t>40012915</t>
  </si>
  <si>
    <t>2010050206175368</t>
  </si>
  <si>
    <t>40012916</t>
  </si>
  <si>
    <t>2010050205045368</t>
  </si>
  <si>
    <t>40012917</t>
  </si>
  <si>
    <t>2010050206045368</t>
  </si>
  <si>
    <t>40012918</t>
  </si>
  <si>
    <t>2010050205075369</t>
  </si>
  <si>
    <t>SANTORINI PATTERN PILLAR CANDL</t>
  </si>
  <si>
    <t>40012919</t>
  </si>
  <si>
    <t>2010050206075369</t>
  </si>
  <si>
    <t>40012920</t>
  </si>
  <si>
    <t>2010050205175369</t>
  </si>
  <si>
    <t>40012921</t>
  </si>
  <si>
    <t>2010050206175369</t>
  </si>
  <si>
    <t>40012922</t>
  </si>
  <si>
    <t>2010050205045369</t>
  </si>
  <si>
    <t>40012923</t>
  </si>
  <si>
    <t>2010050206045369</t>
  </si>
  <si>
    <t>40012924</t>
  </si>
  <si>
    <t>2010050204045365</t>
  </si>
  <si>
    <t>SUMMER SUCCULENT PILLAR CNDLE</t>
  </si>
  <si>
    <t>40012925</t>
  </si>
  <si>
    <t>2010050205045365</t>
  </si>
  <si>
    <t>40012926</t>
  </si>
  <si>
    <t>2010050204025365</t>
  </si>
  <si>
    <t>40012927</t>
  </si>
  <si>
    <t>2010050205025365</t>
  </si>
  <si>
    <t>40012928</t>
  </si>
  <si>
    <t>2010050201045366</t>
  </si>
  <si>
    <t>SUMMER PARADISE PILLAR CANDLE</t>
  </si>
  <si>
    <t>40012929</t>
  </si>
  <si>
    <t>2010050206045366</t>
  </si>
  <si>
    <t>40012930</t>
  </si>
  <si>
    <t>2010050201025366</t>
  </si>
  <si>
    <t>40012931</t>
  </si>
  <si>
    <t>2010050206025366</t>
  </si>
  <si>
    <t>40012932</t>
  </si>
  <si>
    <t>2010051001040577</t>
  </si>
  <si>
    <t>SUMMER SUCCULENT JAR CNDLE</t>
  </si>
  <si>
    <t>40012933</t>
  </si>
  <si>
    <t>2010051002040577</t>
  </si>
  <si>
    <t>40012934</t>
  </si>
  <si>
    <t>2010051001130577</t>
  </si>
  <si>
    <t>40012935</t>
  </si>
  <si>
    <t>2010051002130577</t>
  </si>
  <si>
    <t>40012936</t>
  </si>
  <si>
    <t>2010050503160012</t>
  </si>
  <si>
    <t>BASIC WHITE LED CANDLE LARGE</t>
  </si>
  <si>
    <t>40012939</t>
  </si>
  <si>
    <t>2010040798195059</t>
  </si>
  <si>
    <t>CHRISTIAN ROUND WOOD TRAY</t>
  </si>
  <si>
    <t>40012940</t>
  </si>
  <si>
    <t>2010040901077128</t>
  </si>
  <si>
    <t>GEOMETRIC DECORATIVE BLUE VASE</t>
  </si>
  <si>
    <t>40012941</t>
  </si>
  <si>
    <t>2010040902077128</t>
  </si>
  <si>
    <t>40012942</t>
  </si>
  <si>
    <t>2010040901037129</t>
  </si>
  <si>
    <t>GEOMETRIC DECRTVE YELLOW VASE</t>
  </si>
  <si>
    <t>40012943</t>
  </si>
  <si>
    <t>2010040901077130</t>
  </si>
  <si>
    <t>MOROCCAN DECORATIVE VASE</t>
  </si>
  <si>
    <t>40012945</t>
  </si>
  <si>
    <t>2010040902077130</t>
  </si>
  <si>
    <t>40012946</t>
  </si>
  <si>
    <t>2010040901227130</t>
  </si>
  <si>
    <t>40012947</t>
  </si>
  <si>
    <t>2010040902227130</t>
  </si>
  <si>
    <t>40012948</t>
  </si>
  <si>
    <t>2010040901167130</t>
  </si>
  <si>
    <t>40012949</t>
  </si>
  <si>
    <t>2010040902167130</t>
  </si>
  <si>
    <t>40012950</t>
  </si>
  <si>
    <t>2010040901077131</t>
  </si>
  <si>
    <t>TEXTURED DECORATIVE VASE</t>
  </si>
  <si>
    <t>40012951</t>
  </si>
  <si>
    <t>2010040902077131</t>
  </si>
  <si>
    <t>40012952</t>
  </si>
  <si>
    <t>2010040901227131</t>
  </si>
  <si>
    <t>40012953</t>
  </si>
  <si>
    <t>2010040902227131</t>
  </si>
  <si>
    <t>40012954</t>
  </si>
  <si>
    <t>2010040901167131</t>
  </si>
  <si>
    <t>40012955</t>
  </si>
  <si>
    <t>2010040902167131</t>
  </si>
  <si>
    <t>40012956</t>
  </si>
  <si>
    <t>2010040998077132</t>
  </si>
  <si>
    <t>BLUE PATTERNS SQUARE FLORAL VS</t>
  </si>
  <si>
    <t>40012957</t>
  </si>
  <si>
    <t>2010040998077133</t>
  </si>
  <si>
    <t>BLUE PATTERNS DIAGONAL LEAF</t>
  </si>
  <si>
    <t>40012958</t>
  </si>
  <si>
    <t>2010040998077134</t>
  </si>
  <si>
    <t>BLUE PATTERNS DIAGONAL FLORAL</t>
  </si>
  <si>
    <t>40012959</t>
  </si>
  <si>
    <t>DX/Z NATURALISM BOTTLE GLS VSE</t>
  </si>
  <si>
    <t>2010042198300009</t>
  </si>
  <si>
    <t>40012970</t>
  </si>
  <si>
    <t>2010040601022502</t>
  </si>
  <si>
    <t>TEARDROP HNGING &amp; T.TOP C.HOLD</t>
  </si>
  <si>
    <t>40012978</t>
  </si>
  <si>
    <t>2010040602022502</t>
  </si>
  <si>
    <t>40012979</t>
  </si>
  <si>
    <t>2010040601222502</t>
  </si>
  <si>
    <t>40012980</t>
  </si>
  <si>
    <t>2010040602222502</t>
  </si>
  <si>
    <t>40012981</t>
  </si>
  <si>
    <t>2010040601022503</t>
  </si>
  <si>
    <t>CIRCULAR HNGING &amp; T.TOP C.HLDR</t>
  </si>
  <si>
    <t>40012982</t>
  </si>
  <si>
    <t>2010040602022503</t>
  </si>
  <si>
    <t>40012983</t>
  </si>
  <si>
    <t>2010040601222503</t>
  </si>
  <si>
    <t>40012984</t>
  </si>
  <si>
    <t>2010040602222503</t>
  </si>
  <si>
    <t>40012985</t>
  </si>
  <si>
    <t>2010040601022504</t>
  </si>
  <si>
    <t>CIRCULAR T.TOP W/ STAND C.HLDR</t>
  </si>
  <si>
    <t>40012986</t>
  </si>
  <si>
    <t>2010040602022504</t>
  </si>
  <si>
    <t>40012987</t>
  </si>
  <si>
    <t>2010040601222504</t>
  </si>
  <si>
    <t>40012988</t>
  </si>
  <si>
    <t>2010040602222504</t>
  </si>
  <si>
    <t>40012989</t>
  </si>
  <si>
    <t>2010041098070155</t>
  </si>
  <si>
    <t>DCRTIVE BALLS BLUE TILES SNTRI</t>
  </si>
  <si>
    <t>40012990</t>
  </si>
  <si>
    <t>2010041098160155</t>
  </si>
  <si>
    <t>DCRTIVE BALLS WHITE SANTORINI</t>
  </si>
  <si>
    <t>40012991</t>
  </si>
  <si>
    <t>2010041098190154</t>
  </si>
  <si>
    <t>DCRTVE BALLS 8CM SANTORINI GRA</t>
  </si>
  <si>
    <t>40012992</t>
  </si>
  <si>
    <t>2010041098040154</t>
  </si>
  <si>
    <t>40012993</t>
  </si>
  <si>
    <t>2010041098160154</t>
  </si>
  <si>
    <t>40012994</t>
  </si>
  <si>
    <t>2010041098070157</t>
  </si>
  <si>
    <t>DCRTVE BALLS SANTORINI HAMMERE</t>
  </si>
  <si>
    <t>40012995</t>
  </si>
  <si>
    <t>2010041098040157</t>
  </si>
  <si>
    <t>40012996</t>
  </si>
  <si>
    <t>2010041098160157</t>
  </si>
  <si>
    <t>40012997</t>
  </si>
  <si>
    <t>2010041098130171</t>
  </si>
  <si>
    <t>DECORATIVE TRAY 2 FLAMINGO</t>
  </si>
  <si>
    <t>40012998</t>
  </si>
  <si>
    <t>2010041098130172</t>
  </si>
  <si>
    <t>DECORATIVE TRAY 3 FLAMINGO</t>
  </si>
  <si>
    <t>40012999</t>
  </si>
  <si>
    <t>2010041098040173</t>
  </si>
  <si>
    <t>DECORATIVE TRAY PALM</t>
  </si>
  <si>
    <t>40013000</t>
  </si>
  <si>
    <t>2010041098040174</t>
  </si>
  <si>
    <t>40013001</t>
  </si>
  <si>
    <t>2010070198040038</t>
  </si>
  <si>
    <t>MARGAUX PEONY DECORATIVE PLANT</t>
  </si>
  <si>
    <t>40013002</t>
  </si>
  <si>
    <t>2010070198130038</t>
  </si>
  <si>
    <t>40013003</t>
  </si>
  <si>
    <t>2010070198100038</t>
  </si>
  <si>
    <t>40013004</t>
  </si>
  <si>
    <t>2010070198130039</t>
  </si>
  <si>
    <t>MARGAUX LAVANDER DCORATIVE PLA</t>
  </si>
  <si>
    <t>40013005</t>
  </si>
  <si>
    <t>2010070198100039</t>
  </si>
  <si>
    <t>40013006</t>
  </si>
  <si>
    <t>2010070198160039</t>
  </si>
  <si>
    <t>40013007</t>
  </si>
  <si>
    <t>2010070198040040</t>
  </si>
  <si>
    <t>MARGAUX FLORA DCORATIVE PLANT</t>
  </si>
  <si>
    <t>40013008</t>
  </si>
  <si>
    <t>2010070198100040</t>
  </si>
  <si>
    <t>40013009</t>
  </si>
  <si>
    <t>2010070198040041</t>
  </si>
  <si>
    <t>MARGAUX IVY DECORATIVE PLANT</t>
  </si>
  <si>
    <t>40013010</t>
  </si>
  <si>
    <t>2010070198100041</t>
  </si>
  <si>
    <t>40013011</t>
  </si>
  <si>
    <t>2010040698182862</t>
  </si>
  <si>
    <t>KRIS TL/VL CANDLE HOLDER W/GLA</t>
  </si>
  <si>
    <t>40013012</t>
  </si>
  <si>
    <t>2010040698172862</t>
  </si>
  <si>
    <t>40013013</t>
  </si>
  <si>
    <t>2010040601172863</t>
  </si>
  <si>
    <t>SANTORINI SQUARE METAL LANTERN</t>
  </si>
  <si>
    <t>40013014</t>
  </si>
  <si>
    <t>2010040601222863</t>
  </si>
  <si>
    <t>40013015</t>
  </si>
  <si>
    <t>2010040603222863</t>
  </si>
  <si>
    <t>SANTORINI ROUND METAL LANTERN</t>
  </si>
  <si>
    <t>40013016</t>
  </si>
  <si>
    <t>2010040603082863</t>
  </si>
  <si>
    <t>40013017</t>
  </si>
  <si>
    <t>2010040601162863</t>
  </si>
  <si>
    <t>40013018</t>
  </si>
  <si>
    <t>2010040603162863</t>
  </si>
  <si>
    <t>40013019</t>
  </si>
  <si>
    <t>2010060698177007</t>
  </si>
  <si>
    <t>NATURES ESSENCE POTPOURRI</t>
  </si>
  <si>
    <t>40013020</t>
  </si>
  <si>
    <t>2010060698047007</t>
  </si>
  <si>
    <t>40013021</t>
  </si>
  <si>
    <t>2010060698027007</t>
  </si>
  <si>
    <t>40013022</t>
  </si>
  <si>
    <t>2010060698107007</t>
  </si>
  <si>
    <t>40013023</t>
  </si>
  <si>
    <t>2010060998160006</t>
  </si>
  <si>
    <t>ESS GRENDHA DOTS AROMA DIFFUSER</t>
  </si>
  <si>
    <t>40013024</t>
  </si>
  <si>
    <t>2010060998160007</t>
  </si>
  <si>
    <t>ESS GRENDHA LINES AROMA DIFFUSER</t>
  </si>
  <si>
    <t>40013025</t>
  </si>
  <si>
    <t>2010041801182612</t>
  </si>
  <si>
    <t>D/XB ALL ARIANNA MTL TBLTP</t>
  </si>
  <si>
    <t>40013026</t>
  </si>
  <si>
    <t>2010041803182612</t>
  </si>
  <si>
    <t>40013027</t>
  </si>
  <si>
    <t>2010041204182615</t>
  </si>
  <si>
    <t>D/XD SHILOH METAL CNDL HOLDER</t>
  </si>
  <si>
    <t>40013028</t>
  </si>
  <si>
    <t>2010040601182850</t>
  </si>
  <si>
    <t>ADELE METAL TABLETOP</t>
  </si>
  <si>
    <t>40013029</t>
  </si>
  <si>
    <t>2010040603182850</t>
  </si>
  <si>
    <t>40013030</t>
  </si>
  <si>
    <t>2010040601182851</t>
  </si>
  <si>
    <t>ARIANNA METAL TABLETOP</t>
  </si>
  <si>
    <t>40013031</t>
  </si>
  <si>
    <t>2010040603182851</t>
  </si>
  <si>
    <t>40013032</t>
  </si>
  <si>
    <t>2010040601182852</t>
  </si>
  <si>
    <t>AVACEA METAL TABLETOP</t>
  </si>
  <si>
    <t>40013033</t>
  </si>
  <si>
    <t>2010040603182852</t>
  </si>
  <si>
    <t>40013034</t>
  </si>
  <si>
    <t>2010040601182853</t>
  </si>
  <si>
    <t>AVICI METAL TABLETOP</t>
  </si>
  <si>
    <t>40013035</t>
  </si>
  <si>
    <t>2010040603182853</t>
  </si>
  <si>
    <t>40013036</t>
  </si>
  <si>
    <t>2010040901277110</t>
  </si>
  <si>
    <t>CERAMIC VASES</t>
  </si>
  <si>
    <t>40013037</t>
  </si>
  <si>
    <t>2010040902277110</t>
  </si>
  <si>
    <t>40013038</t>
  </si>
  <si>
    <t>2010040901257110</t>
  </si>
  <si>
    <t>40013039</t>
  </si>
  <si>
    <t>2010040902257110</t>
  </si>
  <si>
    <t>40013040</t>
  </si>
  <si>
    <t>2010040901267110</t>
  </si>
  <si>
    <t>40013041</t>
  </si>
  <si>
    <t>2010040902267110</t>
  </si>
  <si>
    <t>40013042</t>
  </si>
  <si>
    <t>2010040902047104</t>
  </si>
  <si>
    <t>D/XB CASSIUS CERAMIC VASE-M</t>
  </si>
  <si>
    <t>40013043</t>
  </si>
  <si>
    <t>2010040901027104</t>
  </si>
  <si>
    <t>D/XB CASSIUS CERAMIC VASE-S</t>
  </si>
  <si>
    <t>40013044</t>
  </si>
  <si>
    <t>2010040902027104</t>
  </si>
  <si>
    <t>40013045</t>
  </si>
  <si>
    <t>2010040903027104</t>
  </si>
  <si>
    <t>D/XB CASSIUS CERAMIC VASE-L</t>
  </si>
  <si>
    <t>40013046</t>
  </si>
  <si>
    <t>2010040903227105</t>
  </si>
  <si>
    <t>O/R VISTA FAIRY LED DESK LAM</t>
  </si>
  <si>
    <t>40013047</t>
  </si>
  <si>
    <t>2010040901047105</t>
  </si>
  <si>
    <t>D/XB CLEOPATRA CERAMIC VASE-S</t>
  </si>
  <si>
    <t>40013048</t>
  </si>
  <si>
    <t>2010040901027105</t>
  </si>
  <si>
    <t>40013049</t>
  </si>
  <si>
    <t>2010040902027105</t>
  </si>
  <si>
    <t>D/XB CLEOPATRA CERAMIC VASE-M</t>
  </si>
  <si>
    <t>40013050</t>
  </si>
  <si>
    <t>2010040903027105</t>
  </si>
  <si>
    <t>D/XB CLEOPATRA CERAMIC VASE-L</t>
  </si>
  <si>
    <t>40013051</t>
  </si>
  <si>
    <t>2010040902047106</t>
  </si>
  <si>
    <t>40013052</t>
  </si>
  <si>
    <t>2010040903047106</t>
  </si>
  <si>
    <t>D/XB CORINNA CERAMIC VASE-L</t>
  </si>
  <si>
    <t>40013053</t>
  </si>
  <si>
    <t>2010040902027106</t>
  </si>
  <si>
    <t>D/XB CORINNA CERAMIC VASE-M</t>
  </si>
  <si>
    <t>40013054</t>
  </si>
  <si>
    <t>2010040903027106</t>
  </si>
  <si>
    <t>40013055</t>
  </si>
  <si>
    <t>2010040901067102</t>
  </si>
  <si>
    <t>D/XB AESOP CERAMIC VASE-S</t>
  </si>
  <si>
    <t>40013056</t>
  </si>
  <si>
    <t>2010040902067102</t>
  </si>
  <si>
    <t>D/XB AESOP CERAMIC VASE-M</t>
  </si>
  <si>
    <t>40013057</t>
  </si>
  <si>
    <t>2010040901227102</t>
  </si>
  <si>
    <t>40013058</t>
  </si>
  <si>
    <t>2010040901167102</t>
  </si>
  <si>
    <t>40013059</t>
  </si>
  <si>
    <t>2010040903077103</t>
  </si>
  <si>
    <t>40013060</t>
  </si>
  <si>
    <t>2010041803262603</t>
  </si>
  <si>
    <t>D/XB ESTELLE MTL C.HLDR L</t>
  </si>
  <si>
    <t>40013061</t>
  </si>
  <si>
    <t>2010041801262604</t>
  </si>
  <si>
    <t>D/XB LAURENT MTL C.HLDR S</t>
  </si>
  <si>
    <t>40013062</t>
  </si>
  <si>
    <t>2010041803262604</t>
  </si>
  <si>
    <t>D/XB LAURENT MTL C.HLDR L</t>
  </si>
  <si>
    <t>40013063</t>
  </si>
  <si>
    <t>2010041801262605</t>
  </si>
  <si>
    <t>D/XB JULIEN MTL C.HLDR S</t>
  </si>
  <si>
    <t>40013064</t>
  </si>
  <si>
    <t>2010041803262605</t>
  </si>
  <si>
    <t>D/XB JULIEN MTL C.HLDR L</t>
  </si>
  <si>
    <t>40013065</t>
  </si>
  <si>
    <t>2010011306180002</t>
  </si>
  <si>
    <t>D/XB LAMP POST WOODEN P.FRAME</t>
  </si>
  <si>
    <t>40013066</t>
  </si>
  <si>
    <t>2010011303180002</t>
  </si>
  <si>
    <t>40013067</t>
  </si>
  <si>
    <t>2010011399180002</t>
  </si>
  <si>
    <t>40013068</t>
  </si>
  <si>
    <t>2010011306210002</t>
  </si>
  <si>
    <t>40013069</t>
  </si>
  <si>
    <t>2010011303210002</t>
  </si>
  <si>
    <t>40013070</t>
  </si>
  <si>
    <t>2010011399210002</t>
  </si>
  <si>
    <t>40013071</t>
  </si>
  <si>
    <t>2010011306190002</t>
  </si>
  <si>
    <t>40013072</t>
  </si>
  <si>
    <t>2010011303190002</t>
  </si>
  <si>
    <t>40013073</t>
  </si>
  <si>
    <t>2010011399190002</t>
  </si>
  <si>
    <t>40013074</t>
  </si>
  <si>
    <t>2010011398210003</t>
  </si>
  <si>
    <t>D/XB KIM NESTED P.FRM-SET OF 4</t>
  </si>
  <si>
    <t>40013075</t>
  </si>
  <si>
    <t>2010011398220003</t>
  </si>
  <si>
    <t>40013076</t>
  </si>
  <si>
    <t>2010011306270004</t>
  </si>
  <si>
    <t>DX/B BENTLEY MATTED P.FRAME</t>
  </si>
  <si>
    <t>40013077</t>
  </si>
  <si>
    <t>2010011303270004</t>
  </si>
  <si>
    <t>40013078</t>
  </si>
  <si>
    <t>2010011301270004</t>
  </si>
  <si>
    <t>40013079</t>
  </si>
  <si>
    <t>2010011306170004</t>
  </si>
  <si>
    <t>40013080</t>
  </si>
  <si>
    <t>2010011303170004</t>
  </si>
  <si>
    <t>40013081</t>
  </si>
  <si>
    <t>2010011301170004</t>
  </si>
  <si>
    <t>40013082</t>
  </si>
  <si>
    <t>2010011306260004</t>
  </si>
  <si>
    <t>40013083</t>
  </si>
  <si>
    <t>2010011303260004</t>
  </si>
  <si>
    <t>40013084</t>
  </si>
  <si>
    <t>2010011301260004</t>
  </si>
  <si>
    <t>40013085</t>
  </si>
  <si>
    <t>2010011306160005</t>
  </si>
  <si>
    <t>D/XB PINEAPPLE PHOTO FRAME</t>
  </si>
  <si>
    <t>40013086</t>
  </si>
  <si>
    <t>2010011399160005</t>
  </si>
  <si>
    <t>40013087</t>
  </si>
  <si>
    <t>2010011306160006</t>
  </si>
  <si>
    <t>D/XB LEAVES PHOTO FRAME</t>
  </si>
  <si>
    <t>40013088</t>
  </si>
  <si>
    <t>2010011399160006</t>
  </si>
  <si>
    <t>40013089</t>
  </si>
  <si>
    <t>2010011303220007</t>
  </si>
  <si>
    <t>D/XB MACY METAL PHOTO FRAME</t>
  </si>
  <si>
    <t>40013090</t>
  </si>
  <si>
    <t>2010011306170008</t>
  </si>
  <si>
    <t>D/XB MADDY METAL PHOTO FRAME</t>
  </si>
  <si>
    <t>40013091</t>
  </si>
  <si>
    <t>2010011399260009</t>
  </si>
  <si>
    <t>D/XB MAE METAL PHOTO FRAME</t>
  </si>
  <si>
    <t>40013092</t>
  </si>
  <si>
    <t>2010011406180004</t>
  </si>
  <si>
    <t>D/XA TURKEY SINGLE F.FRM 4X6</t>
  </si>
  <si>
    <t>40013093</t>
  </si>
  <si>
    <t>2010011406190004</t>
  </si>
  <si>
    <t>40013094</t>
  </si>
  <si>
    <t>2010011406180005</t>
  </si>
  <si>
    <t>D/XA TURKEY 3 OPENING F.FRM 4X</t>
  </si>
  <si>
    <t>40013095</t>
  </si>
  <si>
    <t>2010011406190005</t>
  </si>
  <si>
    <t>40013096</t>
  </si>
  <si>
    <t>2010011406180006</t>
  </si>
  <si>
    <t>D/XA TURKEY 4 OPENING F.FRM 4X</t>
  </si>
  <si>
    <t>40013097</t>
  </si>
  <si>
    <t>2010011406190006</t>
  </si>
  <si>
    <t>40013098</t>
  </si>
  <si>
    <t>2010011406180007</t>
  </si>
  <si>
    <t>D/XA TURKEY 6 OPENING F.FRM 4X</t>
  </si>
  <si>
    <t>40013099</t>
  </si>
  <si>
    <t>2010011406190007</t>
  </si>
  <si>
    <t>40013100</t>
  </si>
  <si>
    <t>2010010106073242</t>
  </si>
  <si>
    <t>TROPICAL PHOTO FRAME</t>
  </si>
  <si>
    <t>40013101</t>
  </si>
  <si>
    <t>2010010103073242</t>
  </si>
  <si>
    <t>40013102</t>
  </si>
  <si>
    <t>2010010106133242</t>
  </si>
  <si>
    <t>40013103</t>
  </si>
  <si>
    <t>2010010103133242</t>
  </si>
  <si>
    <t>40013104</t>
  </si>
  <si>
    <t>2010010106103242</t>
  </si>
  <si>
    <t>40013105</t>
  </si>
  <si>
    <t>2010010103103242</t>
  </si>
  <si>
    <t>40013106</t>
  </si>
  <si>
    <t>2010010603180106</t>
  </si>
  <si>
    <t>VINTAGE MRROR 12X16</t>
  </si>
  <si>
    <t>40013107</t>
  </si>
  <si>
    <t>2010010603160106</t>
  </si>
  <si>
    <t>40013108</t>
  </si>
  <si>
    <t>2010010698180107</t>
  </si>
  <si>
    <t>ELLIPSE MIRROR (74.5X54.5)</t>
  </si>
  <si>
    <t>40013109</t>
  </si>
  <si>
    <t>2010010699180108</t>
  </si>
  <si>
    <t>SCROLL SQUARE PLASTIC MIRROR</t>
  </si>
  <si>
    <t>40013110</t>
  </si>
  <si>
    <t>2010010604180103</t>
  </si>
  <si>
    <t>EFM FRAME MIRROR</t>
  </si>
  <si>
    <t>40013111</t>
  </si>
  <si>
    <t>2010010699250104</t>
  </si>
  <si>
    <t>EFM MIRROR</t>
  </si>
  <si>
    <t>40013112</t>
  </si>
  <si>
    <t>2010010699260104</t>
  </si>
  <si>
    <t>40013113</t>
  </si>
  <si>
    <t>2010010106182267</t>
  </si>
  <si>
    <t>RUSTIC CHIC PHOTO FRAME</t>
  </si>
  <si>
    <t>40013114</t>
  </si>
  <si>
    <t>2010010103182267</t>
  </si>
  <si>
    <t>C/S OHOME RUSTIC CHIC PHOTO FRAME</t>
  </si>
  <si>
    <t>40013115</t>
  </si>
  <si>
    <t>2010010104182267</t>
  </si>
  <si>
    <t>40013116</t>
  </si>
  <si>
    <t>2010010106192267</t>
  </si>
  <si>
    <t>40013117</t>
  </si>
  <si>
    <t>2010010103192267</t>
  </si>
  <si>
    <t>40013118</t>
  </si>
  <si>
    <t>2010010104192267</t>
  </si>
  <si>
    <t>40013119</t>
  </si>
  <si>
    <t>2010010106032267</t>
  </si>
  <si>
    <t>40013120</t>
  </si>
  <si>
    <t>2010010103032267</t>
  </si>
  <si>
    <t>40013121</t>
  </si>
  <si>
    <t>2010010104032267</t>
  </si>
  <si>
    <t>40013122</t>
  </si>
  <si>
    <t>2010010198132959</t>
  </si>
  <si>
    <t>FLAMINGO RECTANGLE P. FRAME</t>
  </si>
  <si>
    <t>40013123</t>
  </si>
  <si>
    <t>2010010198132960</t>
  </si>
  <si>
    <t>WOOD P.FRAME</t>
  </si>
  <si>
    <t>40013124</t>
  </si>
  <si>
    <t>2010010198042961</t>
  </si>
  <si>
    <t>PALM RECTANGLE P. FRAME</t>
  </si>
  <si>
    <t>40013125</t>
  </si>
  <si>
    <t>2010010198042962</t>
  </si>
  <si>
    <t>PALM SQUARE PHOTO FRAME</t>
  </si>
  <si>
    <t>40013126</t>
  </si>
  <si>
    <t>2010012103222963</t>
  </si>
  <si>
    <t>BASIC NEUTRAL TONES A P. FRM</t>
  </si>
  <si>
    <t>40013127</t>
  </si>
  <si>
    <t>2010012104222963</t>
  </si>
  <si>
    <t>40013128</t>
  </si>
  <si>
    <t>2010012103162963</t>
  </si>
  <si>
    <t>40013129</t>
  </si>
  <si>
    <t>2010012104162963</t>
  </si>
  <si>
    <t>40013130</t>
  </si>
  <si>
    <t>2010012103182963</t>
  </si>
  <si>
    <t>40013131</t>
  </si>
  <si>
    <t>2010012104182963</t>
  </si>
  <si>
    <t>40013132</t>
  </si>
  <si>
    <t>2010012103222964</t>
  </si>
  <si>
    <t>BASIC NEUTRAL TONES B P. FRM</t>
  </si>
  <si>
    <t>40013133</t>
  </si>
  <si>
    <t>2010012104222964</t>
  </si>
  <si>
    <t>40013134</t>
  </si>
  <si>
    <t>2010012103182964</t>
  </si>
  <si>
    <t>40013135</t>
  </si>
  <si>
    <t>2010012104182964</t>
  </si>
  <si>
    <t>40013136</t>
  </si>
  <si>
    <t>2010012103162964</t>
  </si>
  <si>
    <t>40013137</t>
  </si>
  <si>
    <t>2010012104162964</t>
  </si>
  <si>
    <t>40013138</t>
  </si>
  <si>
    <t>2010012103222965</t>
  </si>
  <si>
    <t>BASIC NEUTRAL TONES C P. FRM</t>
  </si>
  <si>
    <t>40013139</t>
  </si>
  <si>
    <t>2010012104222965</t>
  </si>
  <si>
    <t>40013140</t>
  </si>
  <si>
    <t>2010012103182965</t>
  </si>
  <si>
    <t>40013141</t>
  </si>
  <si>
    <t>2010012104182965</t>
  </si>
  <si>
    <t>40013142</t>
  </si>
  <si>
    <t>2010012103162965</t>
  </si>
  <si>
    <t>40013143</t>
  </si>
  <si>
    <t>2010012104162965</t>
  </si>
  <si>
    <t>40013144</t>
  </si>
  <si>
    <t>2010012103182966</t>
  </si>
  <si>
    <t>BASIC HUES A PHOTO FRAME 5X7</t>
  </si>
  <si>
    <t>40013145</t>
  </si>
  <si>
    <t>2010012104182966</t>
  </si>
  <si>
    <t>BASIC HUES A PHOTO FRAME 8X10</t>
  </si>
  <si>
    <t>40013146</t>
  </si>
  <si>
    <t>2010012103212966</t>
  </si>
  <si>
    <t>40013147</t>
  </si>
  <si>
    <t>2010012104212966</t>
  </si>
  <si>
    <t>40013148</t>
  </si>
  <si>
    <t>2010012103192966</t>
  </si>
  <si>
    <t>40013149</t>
  </si>
  <si>
    <t>2010012104192966</t>
  </si>
  <si>
    <t>40013150</t>
  </si>
  <si>
    <t>2010012103182967</t>
  </si>
  <si>
    <t>BASIC HUES B PHOTO FRAME 5X7</t>
  </si>
  <si>
    <t>40013151</t>
  </si>
  <si>
    <t>2010012104182967</t>
  </si>
  <si>
    <t>BASIC HUES B PHOTO FRAME 8X10</t>
  </si>
  <si>
    <t>40013152</t>
  </si>
  <si>
    <t>2010012103212967</t>
  </si>
  <si>
    <t>40013153</t>
  </si>
  <si>
    <t>2010012104212967</t>
  </si>
  <si>
    <t>40013154</t>
  </si>
  <si>
    <t>2010012103192967</t>
  </si>
  <si>
    <t>40013155</t>
  </si>
  <si>
    <t>2010012104192967</t>
  </si>
  <si>
    <t>40013156</t>
  </si>
  <si>
    <t>2010012103182968</t>
  </si>
  <si>
    <t>BASIC HUES C PHOTO FRAME 5X7</t>
  </si>
  <si>
    <t>40013157</t>
  </si>
  <si>
    <t>2010012104182968</t>
  </si>
  <si>
    <t>40013158</t>
  </si>
  <si>
    <t>2010012103212968</t>
  </si>
  <si>
    <t>40013159</t>
  </si>
  <si>
    <t>2010012104212968</t>
  </si>
  <si>
    <t>40013160</t>
  </si>
  <si>
    <t>2010012103192968</t>
  </si>
  <si>
    <t>40013161</t>
  </si>
  <si>
    <t>2010012104192968</t>
  </si>
  <si>
    <t>40013162</t>
  </si>
  <si>
    <t>2010011498260012</t>
  </si>
  <si>
    <t>D/XZ MICAH 6-OPENING FAM. FRME</t>
  </si>
  <si>
    <t>40013163</t>
  </si>
  <si>
    <t>2010011498260013</t>
  </si>
  <si>
    <t>D/XZ MARA 5-OPENING FAMILY FRM</t>
  </si>
  <si>
    <t>40013164</t>
  </si>
  <si>
    <t>2010011498260014</t>
  </si>
  <si>
    <t>D/XZ MAGGIE 3-OPENING FAM. FRM</t>
  </si>
  <si>
    <t>40013165</t>
  </si>
  <si>
    <t>2010011498260015</t>
  </si>
  <si>
    <t>D/XZ MYRA 4-OPENING FAM. FRAME</t>
  </si>
  <si>
    <t>40013166</t>
  </si>
  <si>
    <t>2010012098188142</t>
  </si>
  <si>
    <t>DX/B BLACK ATLAS FRAMED CANVAS</t>
  </si>
  <si>
    <t>40013169</t>
  </si>
  <si>
    <t>2010012098188151</t>
  </si>
  <si>
    <t>DX/D BLACK MATRIX FRAMED CANVA</t>
  </si>
  <si>
    <t>40013170</t>
  </si>
  <si>
    <t>2010012098078152</t>
  </si>
  <si>
    <t>DX/D BLUE MOUNTAIN FRAMED</t>
  </si>
  <si>
    <t>40013171</t>
  </si>
  <si>
    <t>2010012098188153</t>
  </si>
  <si>
    <t>DX/D EYES CANVAS FRAME</t>
  </si>
  <si>
    <t>40013172</t>
  </si>
  <si>
    <t>2010012098188154</t>
  </si>
  <si>
    <t>DX/D CREAM ABSTRACT CANVAS FRM</t>
  </si>
  <si>
    <t>40013173</t>
  </si>
  <si>
    <t>2010012098168155</t>
  </si>
  <si>
    <t>DX/D GOLDEN LEAVES CANVAS FRM</t>
  </si>
  <si>
    <t>40013174</t>
  </si>
  <si>
    <t>2010012098198161</t>
  </si>
  <si>
    <t>D/XD BARBARA BLOSSOMS FRAMED</t>
  </si>
  <si>
    <t>40013175</t>
  </si>
  <si>
    <t>2010012098198164</t>
  </si>
  <si>
    <t>D/XD BELLISIMO LEAVES FRM WAL</t>
  </si>
  <si>
    <t>40013176</t>
  </si>
  <si>
    <t>2010010898135466</t>
  </si>
  <si>
    <t>SET OF 2 CNVS TROPICAL LOVE A</t>
  </si>
  <si>
    <t>40013177</t>
  </si>
  <si>
    <t>2010010898045467</t>
  </si>
  <si>
    <t>SET OF 2 CNVS TROPICAL LOVE B</t>
  </si>
  <si>
    <t>40013178</t>
  </si>
  <si>
    <t>2010010898135456</t>
  </si>
  <si>
    <t>SET OF 2 CNVS FRM DREAMS/ LOVE</t>
  </si>
  <si>
    <t>40013179</t>
  </si>
  <si>
    <t>2010010898135457</t>
  </si>
  <si>
    <t>SET OF 2 CNVS FRM HOME/ESCAPE</t>
  </si>
  <si>
    <t>40013180</t>
  </si>
  <si>
    <t>2010010898075458</t>
  </si>
  <si>
    <t>SET OF 2 BY THE MLIBU/CLFORNIA</t>
  </si>
  <si>
    <t>40013181</t>
  </si>
  <si>
    <t>2010010898075459</t>
  </si>
  <si>
    <t>SET OF 2 CNVS HONOLULU/ HAWAII</t>
  </si>
  <si>
    <t>40013182</t>
  </si>
  <si>
    <t>2010010898175460</t>
  </si>
  <si>
    <t>SET OF 2 CNVS FRM PALM SPRNG A</t>
  </si>
  <si>
    <t>40013183</t>
  </si>
  <si>
    <t>2010010898175461</t>
  </si>
  <si>
    <t>SET OF 2 CNVS FRM PALM SPRNG B</t>
  </si>
  <si>
    <t>40013184</t>
  </si>
  <si>
    <t>2010010898075462</t>
  </si>
  <si>
    <t>SET OF 2 CNVS KITCHEN BASICS A</t>
  </si>
  <si>
    <t>40013185</t>
  </si>
  <si>
    <t>2010010898165463</t>
  </si>
  <si>
    <t>SET OF 2 CNVS KITCHEN BASICS B</t>
  </si>
  <si>
    <t>40013186</t>
  </si>
  <si>
    <t>2010010798983173</t>
  </si>
  <si>
    <t>W.FRM 16X24 SMILE BEST MAKE UP</t>
  </si>
  <si>
    <t>40013187</t>
  </si>
  <si>
    <t>2010010703983175</t>
  </si>
  <si>
    <t>WALL FRM 12X16 BE YOU/AWESOME</t>
  </si>
  <si>
    <t>40013188</t>
  </si>
  <si>
    <t>2010010703983176</t>
  </si>
  <si>
    <t>WFRM 12X16 CHOOSE JOY/DREAMS</t>
  </si>
  <si>
    <t>40013189</t>
  </si>
  <si>
    <t>2010010798987360</t>
  </si>
  <si>
    <t>ESS WALL FRM 3D CRUCIFIX</t>
  </si>
  <si>
    <t>40013190</t>
  </si>
  <si>
    <t>2010010798987382</t>
  </si>
  <si>
    <t>ESS WALL FRM 3D LAST SUPPER-S</t>
  </si>
  <si>
    <t>40013191</t>
  </si>
  <si>
    <t>2010010798987383</t>
  </si>
  <si>
    <t>ESS WALL FRM 3D LAST SUPPER-M</t>
  </si>
  <si>
    <t>40013192</t>
  </si>
  <si>
    <t>2010010704197389</t>
  </si>
  <si>
    <t>ESS WALL FRM 3D HOLY FAMILY</t>
  </si>
  <si>
    <t>40013193</t>
  </si>
  <si>
    <t>2010010601190002</t>
  </si>
  <si>
    <t>JUMBO WOOD MIRROR FRAME</t>
  </si>
  <si>
    <t>40013194</t>
  </si>
  <si>
    <t>2010010698010003</t>
  </si>
  <si>
    <t>GRAYWOOD MIRROR FRAME</t>
  </si>
  <si>
    <t>40013195</t>
  </si>
  <si>
    <t>2010010699180004</t>
  </si>
  <si>
    <t>MAYWOOD MIRROR FRAME</t>
  </si>
  <si>
    <t>40013200</t>
  </si>
  <si>
    <t>2010010699030004</t>
  </si>
  <si>
    <t>40013201</t>
  </si>
  <si>
    <t>2010011198190053</t>
  </si>
  <si>
    <t>ESS FRAME STAND WOOD 9"</t>
  </si>
  <si>
    <t>40013202</t>
  </si>
  <si>
    <t>2010011198180054</t>
  </si>
  <si>
    <t>40013203</t>
  </si>
  <si>
    <t>2010011198210055</t>
  </si>
  <si>
    <t>ESS FRAME STAND WOOD 11"</t>
  </si>
  <si>
    <t>40013204</t>
  </si>
  <si>
    <t>2010011198180056</t>
  </si>
  <si>
    <t>40013205</t>
  </si>
  <si>
    <t>2010011198190057</t>
  </si>
  <si>
    <t>ESS FRAME STAND WOOD 13"</t>
  </si>
  <si>
    <t>40013206</t>
  </si>
  <si>
    <t>2010011198180058</t>
  </si>
  <si>
    <t>40013207</t>
  </si>
  <si>
    <t>2010021198251232</t>
  </si>
  <si>
    <t>D/XD ADA TABLE LAMP</t>
  </si>
  <si>
    <t>40013208</t>
  </si>
  <si>
    <t>2010021198261232</t>
  </si>
  <si>
    <t>40013209</t>
  </si>
  <si>
    <t>2010021198251233</t>
  </si>
  <si>
    <t>D/XD BRYANT TABLE LAMP</t>
  </si>
  <si>
    <t>40013210</t>
  </si>
  <si>
    <t>2010021198261233</t>
  </si>
  <si>
    <t>40013211</t>
  </si>
  <si>
    <t>2020021198180039</t>
  </si>
  <si>
    <t>D/XD JARROD METAL TABLE LAMP</t>
  </si>
  <si>
    <t>40013212</t>
  </si>
  <si>
    <t>2020021198290039</t>
  </si>
  <si>
    <t>40013213</t>
  </si>
  <si>
    <t>2020021198180040</t>
  </si>
  <si>
    <t>D/XD JARVIS METAL TABLE LAMP</t>
  </si>
  <si>
    <t>40013214</t>
  </si>
  <si>
    <t>2020021198290040</t>
  </si>
  <si>
    <t>40013215</t>
  </si>
  <si>
    <t>2020021198180041</t>
  </si>
  <si>
    <t>MARLIN METAL TABLE LAMP</t>
  </si>
  <si>
    <t>40013216</t>
  </si>
  <si>
    <t>2020021198170041</t>
  </si>
  <si>
    <t>40013217</t>
  </si>
  <si>
    <t>2010020198184136</t>
  </si>
  <si>
    <t>DELILAH CERAMIC T. LAMP</t>
  </si>
  <si>
    <t>40013218</t>
  </si>
  <si>
    <t>2010020198174136</t>
  </si>
  <si>
    <t>40013219</t>
  </si>
  <si>
    <t>2010020198184137</t>
  </si>
  <si>
    <t>CALLIOPE CERAMIC T. LAMP</t>
  </si>
  <si>
    <t>40013220</t>
  </si>
  <si>
    <t>2010020198174137</t>
  </si>
  <si>
    <t>40013221</t>
  </si>
  <si>
    <t>2010020101048124</t>
  </si>
  <si>
    <t>TALL SEAMLESS CERAMIC TLAMP</t>
  </si>
  <si>
    <t>40013222</t>
  </si>
  <si>
    <t>2010020102048124</t>
  </si>
  <si>
    <t>ROUND SEAMLESS CERAMIC TLAMP</t>
  </si>
  <si>
    <t>40013223</t>
  </si>
  <si>
    <t>2010020101178125</t>
  </si>
  <si>
    <t>PALM CERAMIC TABLE LAMP</t>
  </si>
  <si>
    <t>40013224</t>
  </si>
  <si>
    <t>2010020102178125</t>
  </si>
  <si>
    <t>TROPIC PALM CERAMIC TLAMP</t>
  </si>
  <si>
    <t>40013225</t>
  </si>
  <si>
    <t>2010020198178123</t>
  </si>
  <si>
    <t>BRUSHED CERAMIC TABLE LAMP</t>
  </si>
  <si>
    <t>40013226</t>
  </si>
  <si>
    <t>2010020198228123</t>
  </si>
  <si>
    <t>40013227</t>
  </si>
  <si>
    <t>2010020198187038</t>
  </si>
  <si>
    <t>ESS PRINCESS LED DESK LAMP</t>
  </si>
  <si>
    <t>40013228</t>
  </si>
  <si>
    <t>2010020198167038</t>
  </si>
  <si>
    <t>40013229</t>
  </si>
  <si>
    <t>2010020198187039</t>
  </si>
  <si>
    <t>ESS PRINCE BULB DESK LAMP</t>
  </si>
  <si>
    <t>40013230</t>
  </si>
  <si>
    <t>2010020198167039</t>
  </si>
  <si>
    <t>40013231</t>
  </si>
  <si>
    <t>2010020298188023</t>
  </si>
  <si>
    <t>SPADE METAL TABLE LAMP</t>
  </si>
  <si>
    <t>40013232</t>
  </si>
  <si>
    <t>2010020298168023</t>
  </si>
  <si>
    <t>40013233</t>
  </si>
  <si>
    <t>2010020298188024</t>
  </si>
  <si>
    <t>KING METAL DESK LAMP</t>
  </si>
  <si>
    <t>40013234</t>
  </si>
  <si>
    <t>2010020298168024</t>
  </si>
  <si>
    <t>40013235</t>
  </si>
  <si>
    <t>2010020298188025</t>
  </si>
  <si>
    <t>QUEEN METAL DESK LAMP</t>
  </si>
  <si>
    <t>40013236</t>
  </si>
  <si>
    <t>2010020298168025</t>
  </si>
  <si>
    <t>40013237</t>
  </si>
  <si>
    <t>2010020198174134</t>
  </si>
  <si>
    <t>GODFREY TABLE LAMP ROUND</t>
  </si>
  <si>
    <t>40013238</t>
  </si>
  <si>
    <t>2010020198224134</t>
  </si>
  <si>
    <t>GODFREY TABLE LAMP SQUARE</t>
  </si>
  <si>
    <t>40013239</t>
  </si>
  <si>
    <t>2010020198188103</t>
  </si>
  <si>
    <t>BERNADETTE MTL TBL LAMP</t>
  </si>
  <si>
    <t>40013240</t>
  </si>
  <si>
    <t>2010020198168103</t>
  </si>
  <si>
    <t>40013241</t>
  </si>
  <si>
    <t>2010020198188104</t>
  </si>
  <si>
    <t>D/XB ALANA METAL TABLE LAMP</t>
  </si>
  <si>
    <t>40013242</t>
  </si>
  <si>
    <t>2010020198268104</t>
  </si>
  <si>
    <t>40013243</t>
  </si>
  <si>
    <t>2010020198278111</t>
  </si>
  <si>
    <t>HYACINTH METAL TABLE LAMP</t>
  </si>
  <si>
    <t>40013244</t>
  </si>
  <si>
    <t>2010020198268111</t>
  </si>
  <si>
    <t>40013245</t>
  </si>
  <si>
    <t>2010020198278112</t>
  </si>
  <si>
    <t>HANNAH METAL TABLE LAMP</t>
  </si>
  <si>
    <t>40013246</t>
  </si>
  <si>
    <t>2010020198268112</t>
  </si>
  <si>
    <t>40013247</t>
  </si>
  <si>
    <t>2010020198078113</t>
  </si>
  <si>
    <t>HOLLY CERAMIC TABLE LAMP</t>
  </si>
  <si>
    <t>40013248</t>
  </si>
  <si>
    <t>2010020198028113</t>
  </si>
  <si>
    <t>40013249</t>
  </si>
  <si>
    <t>2010020198298117</t>
  </si>
  <si>
    <t>HUMPHREY METAL TABLE LAMP</t>
  </si>
  <si>
    <t>40013250</t>
  </si>
  <si>
    <t>2010020198268117</t>
  </si>
  <si>
    <t>40013251</t>
  </si>
  <si>
    <t>2010020198298118</t>
  </si>
  <si>
    <t>HALLEY METAL TABLE LAMP</t>
  </si>
  <si>
    <t>40013252</t>
  </si>
  <si>
    <t>2010020198268118</t>
  </si>
  <si>
    <t>40013253</t>
  </si>
  <si>
    <t>2010030399160017</t>
  </si>
  <si>
    <t>SEBASTIAN DIGITAL TABLE CLOCK</t>
  </si>
  <si>
    <t>40013254</t>
  </si>
  <si>
    <t>2010030399160018</t>
  </si>
  <si>
    <t>ESS SHANNON  DGTAL CLOCK</t>
  </si>
  <si>
    <t>40013255</t>
  </si>
  <si>
    <t>2010030399180020</t>
  </si>
  <si>
    <t>SULLIVAN DIGITAL TABLE CLOCK</t>
  </si>
  <si>
    <t>40013256</t>
  </si>
  <si>
    <t>2010030399190019</t>
  </si>
  <si>
    <t>SOFIA DIGITAL WOOD TABLE CLOCK</t>
  </si>
  <si>
    <t>40013257</t>
  </si>
  <si>
    <t>2010070198170046</t>
  </si>
  <si>
    <t>MARGA FLORA DECORATIVE PLANT</t>
  </si>
  <si>
    <t>40013258</t>
  </si>
  <si>
    <t>2010070198030046</t>
  </si>
  <si>
    <t>40013259</t>
  </si>
  <si>
    <t>2010070198160047</t>
  </si>
  <si>
    <t>MARIA DECORATIVE PLANT</t>
  </si>
  <si>
    <t>40013260</t>
  </si>
  <si>
    <t>2010070198030047</t>
  </si>
  <si>
    <t>40013261</t>
  </si>
  <si>
    <t>2010070198160048</t>
  </si>
  <si>
    <t>MARYLAND DECORATIVE PLANT</t>
  </si>
  <si>
    <t>40013262</t>
  </si>
  <si>
    <t>2010070198030048</t>
  </si>
  <si>
    <t>40013263</t>
  </si>
  <si>
    <t>2010070198160049</t>
  </si>
  <si>
    <t>MARGINELLA FLORA DCORTIVE PLAN</t>
  </si>
  <si>
    <t>40013264</t>
  </si>
  <si>
    <t>2010070198030049</t>
  </si>
  <si>
    <t>40013265</t>
  </si>
  <si>
    <t>MINIMALIST ROUND DECRTVE VASE</t>
  </si>
  <si>
    <t>2010040902167126</t>
  </si>
  <si>
    <t>40013269</t>
  </si>
  <si>
    <t>MINIMALIST TALL DECORATVE VASE</t>
  </si>
  <si>
    <t>2010040901167127</t>
  </si>
  <si>
    <t>40013271</t>
  </si>
  <si>
    <t>2010040902187127</t>
  </si>
  <si>
    <t>40013272</t>
  </si>
  <si>
    <t>2010040902167127</t>
  </si>
  <si>
    <t>40013273</t>
  </si>
  <si>
    <t>2010010804185433</t>
  </si>
  <si>
    <t>SET OF 2 CANVAS COFFEE TIME/ TEA BREAK</t>
  </si>
  <si>
    <t>40013274</t>
  </si>
  <si>
    <t>2010010898045438</t>
  </si>
  <si>
    <t>SET OF 2 CNVS CALL IT SPRING A</t>
  </si>
  <si>
    <t>40013275</t>
  </si>
  <si>
    <t>2010010898045439</t>
  </si>
  <si>
    <t>SET OF 2 CNVS CALL IT SPRING B</t>
  </si>
  <si>
    <t>40013276</t>
  </si>
  <si>
    <t>2010010898135444</t>
  </si>
  <si>
    <t>SET OF 2 TROPICAL NEUTRAL A</t>
  </si>
  <si>
    <t>40013277</t>
  </si>
  <si>
    <t>2010010898075445</t>
  </si>
  <si>
    <t>SET OF 2 TROPICAL NEUTRAL B</t>
  </si>
  <si>
    <t>40013278</t>
  </si>
  <si>
    <t>2010012098198165</t>
  </si>
  <si>
    <t>D/XD BELLA ABSTRACT LEAVES</t>
  </si>
  <si>
    <t>40013279</t>
  </si>
  <si>
    <t>2010012098168166</t>
  </si>
  <si>
    <t>D/XD BRENDA ABSTRACTION FRMED</t>
  </si>
  <si>
    <t>40013280</t>
  </si>
  <si>
    <t>2010012098198167</t>
  </si>
  <si>
    <t>D/XD BRYCE PTTERN LEAVES GREEN</t>
  </si>
  <si>
    <t>40013281</t>
  </si>
  <si>
    <t>2010050201225370</t>
  </si>
  <si>
    <t>ESS NATURAL HUES PILLAR CANDLE 2x3</t>
  </si>
  <si>
    <t>40013298</t>
  </si>
  <si>
    <t>2010050202225370</t>
  </si>
  <si>
    <t>ESS NATURAL HUES PILLAR CANDLE 2x4</t>
  </si>
  <si>
    <t>40013299</t>
  </si>
  <si>
    <t>2010050204225370</t>
  </si>
  <si>
    <t>ESS NATURAL HUES PILLAR CANDLE 3X3</t>
  </si>
  <si>
    <t>40013300</t>
  </si>
  <si>
    <t>2010050201195370</t>
  </si>
  <si>
    <t>40013301</t>
  </si>
  <si>
    <t>2010050202195370</t>
  </si>
  <si>
    <t>40013302</t>
  </si>
  <si>
    <t>2010050204195370</t>
  </si>
  <si>
    <t>40013303</t>
  </si>
  <si>
    <t>2010050201165370</t>
  </si>
  <si>
    <t>40013304</t>
  </si>
  <si>
    <t>2010050202165370</t>
  </si>
  <si>
    <t>40013305</t>
  </si>
  <si>
    <t>2010050204165370</t>
  </si>
  <si>
    <t>40013306</t>
  </si>
  <si>
    <t>2010050204195371</t>
  </si>
  <si>
    <t>ESS NATURAL METALLIC PILLAR CANDLE 3x3</t>
  </si>
  <si>
    <t>40013307</t>
  </si>
  <si>
    <t>2010050205195371</t>
  </si>
  <si>
    <t>ESS NATURAL METALLIC PILLAR CANDLE 3x4</t>
  </si>
  <si>
    <t>40013308</t>
  </si>
  <si>
    <t>2010050206195371</t>
  </si>
  <si>
    <t>ESS NATURAL METALLIC PILLAR CANDLE 3x6</t>
  </si>
  <si>
    <t>40013309</t>
  </si>
  <si>
    <t>2010050204225371</t>
  </si>
  <si>
    <t>40013310</t>
  </si>
  <si>
    <t>2010050205225371</t>
  </si>
  <si>
    <t>40013311</t>
  </si>
  <si>
    <t>2010050206225371</t>
  </si>
  <si>
    <t>40013312</t>
  </si>
  <si>
    <t>2010050204165371</t>
  </si>
  <si>
    <t>40013313</t>
  </si>
  <si>
    <t>2010050205165371</t>
  </si>
  <si>
    <t>40013314</t>
  </si>
  <si>
    <t>2010050206165371</t>
  </si>
  <si>
    <t>40013315</t>
  </si>
  <si>
    <t>2010050201135372</t>
  </si>
  <si>
    <t>ESS LUSH FOREST PILLAR CANDLE 2x3</t>
  </si>
  <si>
    <t>40013316</t>
  </si>
  <si>
    <t>2010050202135372</t>
  </si>
  <si>
    <t>ESS LUSH FOREST PILLAR CANDLE 2x4</t>
  </si>
  <si>
    <t>40013317</t>
  </si>
  <si>
    <t>2010050204135372</t>
  </si>
  <si>
    <t>ESS LUSH FOREST PILLAR CANDLE 3x3</t>
  </si>
  <si>
    <t>40013318</t>
  </si>
  <si>
    <t>2010050201045372</t>
  </si>
  <si>
    <t>40013319</t>
  </si>
  <si>
    <t>2010050202045372</t>
  </si>
  <si>
    <t>40013320</t>
  </si>
  <si>
    <t>2010050204045372</t>
  </si>
  <si>
    <t>40013321</t>
  </si>
  <si>
    <t>2010050201105372</t>
  </si>
  <si>
    <t>40013322</t>
  </si>
  <si>
    <t>2010050202105372</t>
  </si>
  <si>
    <t>40013323</t>
  </si>
  <si>
    <t>2010050204105372</t>
  </si>
  <si>
    <t>40013324</t>
  </si>
  <si>
    <t>2010050204135373</t>
  </si>
  <si>
    <t>BOTTOM FOREST PILLAR CNDLE</t>
  </si>
  <si>
    <t>40013325</t>
  </si>
  <si>
    <t>2010050205135373</t>
  </si>
  <si>
    <t>40013326</t>
  </si>
  <si>
    <t>2010050206135373</t>
  </si>
  <si>
    <t>40013327</t>
  </si>
  <si>
    <t>2010050204045373</t>
  </si>
  <si>
    <t>40013328</t>
  </si>
  <si>
    <t>2010050205045373</t>
  </si>
  <si>
    <t>40013329</t>
  </si>
  <si>
    <t>2010050206045373</t>
  </si>
  <si>
    <t>40013330</t>
  </si>
  <si>
    <t>2010050204105373</t>
  </si>
  <si>
    <t>40013331</t>
  </si>
  <si>
    <t>2010050205105373</t>
  </si>
  <si>
    <t>40013332</t>
  </si>
  <si>
    <t>2010050206105373</t>
  </si>
  <si>
    <t>40013333</t>
  </si>
  <si>
    <t>2010050201135374</t>
  </si>
  <si>
    <t>ESS MISTY FOREST PILLAR CANDLE 2x3</t>
  </si>
  <si>
    <t>40013334</t>
  </si>
  <si>
    <t>2010050202135374</t>
  </si>
  <si>
    <t>ESS MISTY FOREST PILLAR CANDLE 2x4</t>
  </si>
  <si>
    <t>40013335</t>
  </si>
  <si>
    <t>2010050204135374</t>
  </si>
  <si>
    <t>ESS MISTY FOREST PILLAR CANDLE 3x3</t>
  </si>
  <si>
    <t>40013336</t>
  </si>
  <si>
    <t>2010050201065374</t>
  </si>
  <si>
    <t>40013337</t>
  </si>
  <si>
    <t>2010050202065374</t>
  </si>
  <si>
    <t>40013338</t>
  </si>
  <si>
    <t>2010050204065374</t>
  </si>
  <si>
    <t>40013339</t>
  </si>
  <si>
    <t>2010050201105374</t>
  </si>
  <si>
    <t>40013340</t>
  </si>
  <si>
    <t>2010050202105374</t>
  </si>
  <si>
    <t>40013341</t>
  </si>
  <si>
    <t>2010050204105374</t>
  </si>
  <si>
    <t>40013342</t>
  </si>
  <si>
    <t>2010050201025375</t>
  </si>
  <si>
    <t>JEWELED TONES PILLAR CANDLE</t>
  </si>
  <si>
    <t>40013343</t>
  </si>
  <si>
    <t>2010050202025375</t>
  </si>
  <si>
    <t>40013344</t>
  </si>
  <si>
    <t>2010050204025375</t>
  </si>
  <si>
    <t>40013345</t>
  </si>
  <si>
    <t>2010050201045375</t>
  </si>
  <si>
    <t>40013346</t>
  </si>
  <si>
    <t>2010050202045375</t>
  </si>
  <si>
    <t>40013347</t>
  </si>
  <si>
    <t>2010050204045375</t>
  </si>
  <si>
    <t>40013348</t>
  </si>
  <si>
    <t>2010050201105375</t>
  </si>
  <si>
    <t>40013349</t>
  </si>
  <si>
    <t>2010050202105375</t>
  </si>
  <si>
    <t>40013350</t>
  </si>
  <si>
    <t>2010050204105375</t>
  </si>
  <si>
    <t>40013351</t>
  </si>
  <si>
    <t>2010050204025376</t>
  </si>
  <si>
    <t>JEWELED TONES LYRED PLR CNDLE</t>
  </si>
  <si>
    <t>40013352</t>
  </si>
  <si>
    <t>2010050205025376</t>
  </si>
  <si>
    <t>40013353</t>
  </si>
  <si>
    <t>2010050206025376</t>
  </si>
  <si>
    <t>40013354</t>
  </si>
  <si>
    <t>2010050204045376</t>
  </si>
  <si>
    <t>40013355</t>
  </si>
  <si>
    <t>2010050205045376</t>
  </si>
  <si>
    <t>40013356</t>
  </si>
  <si>
    <t>2010050206045376</t>
  </si>
  <si>
    <t>40013357</t>
  </si>
  <si>
    <t>2010050204105376</t>
  </si>
  <si>
    <t>40013358</t>
  </si>
  <si>
    <t>2010050205105376</t>
  </si>
  <si>
    <t>40013359</t>
  </si>
  <si>
    <t>2010050206105376</t>
  </si>
  <si>
    <t>40013360</t>
  </si>
  <si>
    <t>2010050201025377</t>
  </si>
  <si>
    <t>BASIC MODERN PILLAR CANDLE</t>
  </si>
  <si>
    <t>40013361</t>
  </si>
  <si>
    <t>2010050202025377</t>
  </si>
  <si>
    <t>40013362</t>
  </si>
  <si>
    <t>2010050204025377</t>
  </si>
  <si>
    <t>40013363</t>
  </si>
  <si>
    <t>2010050201045377</t>
  </si>
  <si>
    <t>40013364</t>
  </si>
  <si>
    <t>2010050202045377</t>
  </si>
  <si>
    <t>40013365</t>
  </si>
  <si>
    <t>2010050204045377</t>
  </si>
  <si>
    <t>40013366</t>
  </si>
  <si>
    <t>2010050201105377</t>
  </si>
  <si>
    <t>40013367</t>
  </si>
  <si>
    <t>2010050202105377</t>
  </si>
  <si>
    <t>40013368</t>
  </si>
  <si>
    <t>2010050204105377</t>
  </si>
  <si>
    <t>40013369</t>
  </si>
  <si>
    <t>2010050201045378</t>
  </si>
  <si>
    <t>SUMMER HEAT PILLAR CANDLE</t>
  </si>
  <si>
    <t>40013370</t>
  </si>
  <si>
    <t>2010050202045378</t>
  </si>
  <si>
    <t>40013371</t>
  </si>
  <si>
    <t>2010050204045378</t>
  </si>
  <si>
    <t>40013372</t>
  </si>
  <si>
    <t>2010050201035378</t>
  </si>
  <si>
    <t>40013373</t>
  </si>
  <si>
    <t>2010050202035378</t>
  </si>
  <si>
    <t>40013374</t>
  </si>
  <si>
    <t>2010050204035378</t>
  </si>
  <si>
    <t>40013375</t>
  </si>
  <si>
    <t>2010050201025378</t>
  </si>
  <si>
    <t>40013376</t>
  </si>
  <si>
    <t>2010050202025378</t>
  </si>
  <si>
    <t>40013377</t>
  </si>
  <si>
    <t>2010050204025378</t>
  </si>
  <si>
    <t>40013378</t>
  </si>
  <si>
    <t>2010050204045379</t>
  </si>
  <si>
    <t>SUMMER LOVE PILLAR CANDLE</t>
  </si>
  <si>
    <t>40013379</t>
  </si>
  <si>
    <t>2010050205045379</t>
  </si>
  <si>
    <t>40013380</t>
  </si>
  <si>
    <t>2010050206045379</t>
  </si>
  <si>
    <t>40013381</t>
  </si>
  <si>
    <t>2010050204035379</t>
  </si>
  <si>
    <t>40013382</t>
  </si>
  <si>
    <t>2010050205035379</t>
  </si>
  <si>
    <t>40013383</t>
  </si>
  <si>
    <t>2010050206035379</t>
  </si>
  <si>
    <t>40013385</t>
  </si>
  <si>
    <t>2010050205025379</t>
  </si>
  <si>
    <t>40013386</t>
  </si>
  <si>
    <t>2010050206025379</t>
  </si>
  <si>
    <t>40013387</t>
  </si>
  <si>
    <t>2010050201045380</t>
  </si>
  <si>
    <t>SUMMER DREAM PILLAR CANDLE</t>
  </si>
  <si>
    <t>40013388</t>
  </si>
  <si>
    <t>2010050202045380</t>
  </si>
  <si>
    <t>40013389</t>
  </si>
  <si>
    <t>2010050204045380</t>
  </si>
  <si>
    <t>40013390</t>
  </si>
  <si>
    <t>2010050201025380</t>
  </si>
  <si>
    <t>40013391</t>
  </si>
  <si>
    <t>2010050202025380</t>
  </si>
  <si>
    <t>40013392</t>
  </si>
  <si>
    <t>2010050204025380</t>
  </si>
  <si>
    <t>40013393</t>
  </si>
  <si>
    <t>2010050201035380</t>
  </si>
  <si>
    <t>40013394</t>
  </si>
  <si>
    <t>2010050202035380</t>
  </si>
  <si>
    <t>40013395</t>
  </si>
  <si>
    <t>2010050204035380</t>
  </si>
  <si>
    <t>40013396</t>
  </si>
  <si>
    <t>2010012102162277</t>
  </si>
  <si>
    <t>CAVERN A PLASTIC PHOTO FRAME</t>
  </si>
  <si>
    <t>40013397</t>
  </si>
  <si>
    <t>2010012104162277</t>
  </si>
  <si>
    <t>40013398</t>
  </si>
  <si>
    <t>2010012102182278</t>
  </si>
  <si>
    <t>40013399</t>
  </si>
  <si>
    <t>2010012104182278</t>
  </si>
  <si>
    <t>40013400</t>
  </si>
  <si>
    <t>2010012002022279</t>
  </si>
  <si>
    <t>40013401</t>
  </si>
  <si>
    <t>2010012004022279</t>
  </si>
  <si>
    <t>40013402</t>
  </si>
  <si>
    <t>2010012102162280</t>
  </si>
  <si>
    <t>CAVERN B PLASTIC PHOTO FRAME</t>
  </si>
  <si>
    <t>40013403</t>
  </si>
  <si>
    <t>2010012104162280</t>
  </si>
  <si>
    <t>40013404</t>
  </si>
  <si>
    <t>2010012102182281</t>
  </si>
  <si>
    <t>40013405</t>
  </si>
  <si>
    <t>2010012104182281</t>
  </si>
  <si>
    <t>40013406</t>
  </si>
  <si>
    <t>2010012102022282</t>
  </si>
  <si>
    <t>CAVERN B PLASTIC PHOTO FRAME 4X6</t>
  </si>
  <si>
    <t>40013407</t>
  </si>
  <si>
    <t>2010012104022282</t>
  </si>
  <si>
    <t>40013408</t>
  </si>
  <si>
    <t>2010012103162283</t>
  </si>
  <si>
    <t>SHAIRA A PLASTIC PHOTO FRAME</t>
  </si>
  <si>
    <t>40013409</t>
  </si>
  <si>
    <t>2010012104162283</t>
  </si>
  <si>
    <t>40013410</t>
  </si>
  <si>
    <t>2010012103182284</t>
  </si>
  <si>
    <t>40013411</t>
  </si>
  <si>
    <t>2010012104182284</t>
  </si>
  <si>
    <t>40013412</t>
  </si>
  <si>
    <t>2010012103022285</t>
  </si>
  <si>
    <t>40013413</t>
  </si>
  <si>
    <t>2010012104022285</t>
  </si>
  <si>
    <t>40013414</t>
  </si>
  <si>
    <t>2010012103162974</t>
  </si>
  <si>
    <t>BASIC MINIMALIST A WOOD P.FRM</t>
  </si>
  <si>
    <t>40013415</t>
  </si>
  <si>
    <t>2010012104162974</t>
  </si>
  <si>
    <t>40013416</t>
  </si>
  <si>
    <t>2010012103182975</t>
  </si>
  <si>
    <t>40013417</t>
  </si>
  <si>
    <t>2010012104182975</t>
  </si>
  <si>
    <t>40013418</t>
  </si>
  <si>
    <t>2010012103192976</t>
  </si>
  <si>
    <t>40013419</t>
  </si>
  <si>
    <t>2010012104192976</t>
  </si>
  <si>
    <t>40013420</t>
  </si>
  <si>
    <t>2010012103162977</t>
  </si>
  <si>
    <t>BASIC MINIMALIST B WOOD P.FRM</t>
  </si>
  <si>
    <t>40013421</t>
  </si>
  <si>
    <t>2010012104162977</t>
  </si>
  <si>
    <t>40013422</t>
  </si>
  <si>
    <t>2010012103182978</t>
  </si>
  <si>
    <t>40013423</t>
  </si>
  <si>
    <t>2010012104182978</t>
  </si>
  <si>
    <t>40013424</t>
  </si>
  <si>
    <t>2010012103192979</t>
  </si>
  <si>
    <t>40013425</t>
  </si>
  <si>
    <t>2010012104192979</t>
  </si>
  <si>
    <t>40013426</t>
  </si>
  <si>
    <t>2010012103162980</t>
  </si>
  <si>
    <t>BASIC MINIMALIST C WOOD P.FRM</t>
  </si>
  <si>
    <t>40013427</t>
  </si>
  <si>
    <t>2010012104162980</t>
  </si>
  <si>
    <t>40013428</t>
  </si>
  <si>
    <t>2010012103182981</t>
  </si>
  <si>
    <t>40013429</t>
  </si>
  <si>
    <t>2010012104182981</t>
  </si>
  <si>
    <t>40013430</t>
  </si>
  <si>
    <t>2010012103192982</t>
  </si>
  <si>
    <t>40013431</t>
  </si>
  <si>
    <t>2010012104192982</t>
  </si>
  <si>
    <t>40013432</t>
  </si>
  <si>
    <t>2010012103172983</t>
  </si>
  <si>
    <t>SWITCHFOOT WOOD PHOTO FRAME</t>
  </si>
  <si>
    <t>40013433</t>
  </si>
  <si>
    <t>2010012104172983</t>
  </si>
  <si>
    <t>40013434</t>
  </si>
  <si>
    <t>2010012103982984</t>
  </si>
  <si>
    <t>40013435</t>
  </si>
  <si>
    <t>2010012104982984</t>
  </si>
  <si>
    <t>40013436</t>
  </si>
  <si>
    <t>2010012103982985</t>
  </si>
  <si>
    <t>40013437</t>
  </si>
  <si>
    <t>2010012104982985</t>
  </si>
  <si>
    <t>40013438</t>
  </si>
  <si>
    <t>2010012103172986</t>
  </si>
  <si>
    <t>SWITCHSTEP WOOD PHOTO FRAME</t>
  </si>
  <si>
    <t>40013439</t>
  </si>
  <si>
    <t>2010012104172986</t>
  </si>
  <si>
    <t>40013440</t>
  </si>
  <si>
    <t>2010012103982987</t>
  </si>
  <si>
    <t>40013441</t>
  </si>
  <si>
    <t>2010012104982987</t>
  </si>
  <si>
    <t>40013442</t>
  </si>
  <si>
    <t>2010012103982988</t>
  </si>
  <si>
    <t>40013443</t>
  </si>
  <si>
    <t>2010012104982988</t>
  </si>
  <si>
    <t>40013444</t>
  </si>
  <si>
    <t>2010012103172989</t>
  </si>
  <si>
    <t>SWITCHFAIRY WOOD PHOTO FRAME</t>
  </si>
  <si>
    <t>40013445</t>
  </si>
  <si>
    <t>2010012104172989</t>
  </si>
  <si>
    <t>40013446</t>
  </si>
  <si>
    <t>2010012103982990</t>
  </si>
  <si>
    <t>40013447</t>
  </si>
  <si>
    <t>2010012104982990</t>
  </si>
  <si>
    <t>40013449</t>
  </si>
  <si>
    <t>2010012104982991</t>
  </si>
  <si>
    <t>40013450</t>
  </si>
  <si>
    <t>2010012098188145</t>
  </si>
  <si>
    <t>DX/D GOLDEN GLOBES CANVAS FRM</t>
  </si>
  <si>
    <t>40013580</t>
  </si>
  <si>
    <t>2010012098168147</t>
  </si>
  <si>
    <t>DX/C GALACTIC FRAMED CANVAS ART</t>
  </si>
  <si>
    <t>40013581</t>
  </si>
  <si>
    <t>2010012098168148</t>
  </si>
  <si>
    <t>DX/C CLASSY GOLD FLEURS FRAMED CANVAS ART</t>
  </si>
  <si>
    <t>40013582</t>
  </si>
  <si>
    <t>2010012098078149</t>
  </si>
  <si>
    <t>DX/C BLUE CHINOISERIE  FRAMED CANVAS ART</t>
  </si>
  <si>
    <t>40013583</t>
  </si>
  <si>
    <t>2010012098188156</t>
  </si>
  <si>
    <t>DX/C PAISLEY BLACK FRAMED CANV</t>
  </si>
  <si>
    <t>40013584</t>
  </si>
  <si>
    <t>2010012098078157</t>
  </si>
  <si>
    <t>DX/C BLUE BOHEMIAN FRAMED CNVA</t>
  </si>
  <si>
    <t>40013585</t>
  </si>
  <si>
    <t>2010012098078158</t>
  </si>
  <si>
    <t>DX/C SCHOOL OF FISH CANVAS FRM</t>
  </si>
  <si>
    <t>40013586</t>
  </si>
  <si>
    <t>2010070201180019</t>
  </si>
  <si>
    <t>D/XB YASSIN METAL PLANTER</t>
  </si>
  <si>
    <t>40013499</t>
  </si>
  <si>
    <t>2010051198040005</t>
  </si>
  <si>
    <t>SUCCULENT DECORTIVE CANDLE A</t>
  </si>
  <si>
    <t>40013500</t>
  </si>
  <si>
    <t>2010051198040006</t>
  </si>
  <si>
    <t>SUCCULENT DECORTIVE CANDLE B</t>
  </si>
  <si>
    <t>40013501</t>
  </si>
  <si>
    <t>2010051198040007</t>
  </si>
  <si>
    <t>SUCCULENT DECORTIVE CANDLE C</t>
  </si>
  <si>
    <t>40013502</t>
  </si>
  <si>
    <t>2010051101130009</t>
  </si>
  <si>
    <t>TULIP DREAM DECORATIVE CNDLE</t>
  </si>
  <si>
    <t>40013503</t>
  </si>
  <si>
    <t>2010051103130009</t>
  </si>
  <si>
    <t>40013504</t>
  </si>
  <si>
    <t>2010051101100010</t>
  </si>
  <si>
    <t>LAVENDER DREAM DCRTV CANDLE</t>
  </si>
  <si>
    <t>40013505</t>
  </si>
  <si>
    <t>2010051103100010</t>
  </si>
  <si>
    <t>40013506</t>
  </si>
  <si>
    <t>2010051198040011</t>
  </si>
  <si>
    <t>SUCCULENT DESIGN A DCRTV CNDL</t>
  </si>
  <si>
    <t>40013507</t>
  </si>
  <si>
    <t>2010051198040012</t>
  </si>
  <si>
    <t>SUCCULENT DESIGN B DCRTV CNDL</t>
  </si>
  <si>
    <t>40013508</t>
  </si>
  <si>
    <t>2010040898190004</t>
  </si>
  <si>
    <t>STALACTITE CERAMIC TRAY</t>
  </si>
  <si>
    <t>40013509</t>
  </si>
  <si>
    <t>2010041098190116</t>
  </si>
  <si>
    <t>D/XB CLEON CHESS KING TABLETOP</t>
  </si>
  <si>
    <t>40013510</t>
  </si>
  <si>
    <t>2010041098190118</t>
  </si>
  <si>
    <t>D/XB CLEON CHESS PAWN TABLETOP</t>
  </si>
  <si>
    <t>40013511</t>
  </si>
  <si>
    <t>2010041003180125</t>
  </si>
  <si>
    <t>ACORN JAR CERAMIC DECOR</t>
  </si>
  <si>
    <t>40013512</t>
  </si>
  <si>
    <t>2010041001160125</t>
  </si>
  <si>
    <t>40013513</t>
  </si>
  <si>
    <t>2010041003160125</t>
  </si>
  <si>
    <t>40013514</t>
  </si>
  <si>
    <t>2010042201160011</t>
  </si>
  <si>
    <t>D/XB STELLA TABLETOP</t>
  </si>
  <si>
    <t>40013515</t>
  </si>
  <si>
    <t>2010042203160011</t>
  </si>
  <si>
    <t>40013516</t>
  </si>
  <si>
    <t>2010041002160124</t>
  </si>
  <si>
    <t>PINEAPPLE CERAMIC JAR</t>
  </si>
  <si>
    <t>40013517</t>
  </si>
  <si>
    <t>2010040698162866</t>
  </si>
  <si>
    <t>BASIC STAR METAL LANTERN</t>
  </si>
  <si>
    <t>40013518</t>
  </si>
  <si>
    <t>2010040698262866</t>
  </si>
  <si>
    <t>40013519</t>
  </si>
  <si>
    <t>2010040698182866</t>
  </si>
  <si>
    <t>40013520</t>
  </si>
  <si>
    <t>2010040603272864</t>
  </si>
  <si>
    <t>LIAM ROUND METAL LANTERN</t>
  </si>
  <si>
    <t>40013521</t>
  </si>
  <si>
    <t>2010040603262864</t>
  </si>
  <si>
    <t>40013522</t>
  </si>
  <si>
    <t>2010040698272865</t>
  </si>
  <si>
    <t>LIAM METAL LANTERN</t>
  </si>
  <si>
    <t>40013523</t>
  </si>
  <si>
    <t>2010040698262865</t>
  </si>
  <si>
    <t>40013524</t>
  </si>
  <si>
    <t>RAPHAEL MEDAL FRAME-5X7/2</t>
  </si>
  <si>
    <t>2010012198185780</t>
  </si>
  <si>
    <t>40013526</t>
  </si>
  <si>
    <t>2010012198195781</t>
  </si>
  <si>
    <t>RAPHAEL MEDAL FRAME-4 MEDALS</t>
  </si>
  <si>
    <t>40013527</t>
  </si>
  <si>
    <t>2010012198185781</t>
  </si>
  <si>
    <t>40013528</t>
  </si>
  <si>
    <t>2010012198195782</t>
  </si>
  <si>
    <t>RAPHAEL MEDAL FRAME-8X10/4</t>
  </si>
  <si>
    <t>40013529</t>
  </si>
  <si>
    <t>2010012198185782</t>
  </si>
  <si>
    <t>40013530</t>
  </si>
  <si>
    <t>2010012198261117</t>
  </si>
  <si>
    <t>ESS RIPLEY CERTIFICATE FRME A4</t>
  </si>
  <si>
    <t>40013537</t>
  </si>
  <si>
    <t>2010010898045490</t>
  </si>
  <si>
    <t>TROPICAL LEAVES 5 IN 1 CANVAS SET</t>
  </si>
  <si>
    <t>40013548</t>
  </si>
  <si>
    <t>2010010898135491</t>
  </si>
  <si>
    <t>TROPICAL FLAMINGO 5N1 CANVAS SET</t>
  </si>
  <si>
    <t>40013549</t>
  </si>
  <si>
    <t>2010010898035492</t>
  </si>
  <si>
    <t>YELLOW FOREST 5N1 CANVAS SET</t>
  </si>
  <si>
    <t>40013550</t>
  </si>
  <si>
    <t>2010010898075493</t>
  </si>
  <si>
    <t>BLUE MOUNTAIN 5N1 CANVAS SET</t>
  </si>
  <si>
    <t>40013551</t>
  </si>
  <si>
    <t>2010010898045494</t>
  </si>
  <si>
    <t>TROPICAL DREAMS 5N1 CANVAS SET</t>
  </si>
  <si>
    <t>40013552</t>
  </si>
  <si>
    <t>2010010898185495</t>
  </si>
  <si>
    <t>ZEN LEAVES 5N1 CANVAS SET</t>
  </si>
  <si>
    <t>40013553</t>
  </si>
  <si>
    <t>2010011098100036</t>
  </si>
  <si>
    <t>UNICORN 3D WALL STICKER</t>
  </si>
  <si>
    <t>40013554</t>
  </si>
  <si>
    <t>2010011098070037</t>
  </si>
  <si>
    <t>SPACE 3D WALL STICKER</t>
  </si>
  <si>
    <t>40013555</t>
  </si>
  <si>
    <t>2010011098130038</t>
  </si>
  <si>
    <t>KIDDIE UNICORN 3D WALL STICKER</t>
  </si>
  <si>
    <t>40013556</t>
  </si>
  <si>
    <t>2010011098130039</t>
  </si>
  <si>
    <t>MERMAID 3D WALL STICKER</t>
  </si>
  <si>
    <t>40013557</t>
  </si>
  <si>
    <t>2010011098070040</t>
  </si>
  <si>
    <t>BE THE BEST VRSION WLL STICKER</t>
  </si>
  <si>
    <t>40013558</t>
  </si>
  <si>
    <t>2010011098130041</t>
  </si>
  <si>
    <t>BEAUTIFUL RIDE WALL STICKER</t>
  </si>
  <si>
    <t>40013559</t>
  </si>
  <si>
    <t>2010011098130042</t>
  </si>
  <si>
    <t>SHARE THE LOVE WALL STICKER</t>
  </si>
  <si>
    <t>40013560</t>
  </si>
  <si>
    <t>2010011098040043</t>
  </si>
  <si>
    <t>BE BRIGHT WALL STICKER</t>
  </si>
  <si>
    <t>40013561</t>
  </si>
  <si>
    <t>2010021198181227</t>
  </si>
  <si>
    <t>D/XB RIDLEY TABLE LAMP</t>
  </si>
  <si>
    <t>40013562</t>
  </si>
  <si>
    <t>2010021198171227</t>
  </si>
  <si>
    <t>40013563</t>
  </si>
  <si>
    <t>2010021198181228</t>
  </si>
  <si>
    <t>D/XB RACHELLE TABLE LAMP</t>
  </si>
  <si>
    <t>40013564</t>
  </si>
  <si>
    <t>2010021198161228</t>
  </si>
  <si>
    <t>40013565</t>
  </si>
  <si>
    <t>2010021198221238</t>
  </si>
  <si>
    <t>D/XC DERON CERAMIC TABLE LAMP</t>
  </si>
  <si>
    <t>40013566</t>
  </si>
  <si>
    <t>2010021198221239</t>
  </si>
  <si>
    <t>D/XC DERELL CERAMIC TBL LAMP</t>
  </si>
  <si>
    <t>40013567</t>
  </si>
  <si>
    <t>2010021198261240</t>
  </si>
  <si>
    <t>D/XC DYLAN CERAMIC TABLE LAMP</t>
  </si>
  <si>
    <t>40013568</t>
  </si>
  <si>
    <t>2010021198261241</t>
  </si>
  <si>
    <t>D/XC DRAVEN CERAMIC T. LAMP</t>
  </si>
  <si>
    <t>40013569</t>
  </si>
  <si>
    <t>2020021198180038</t>
  </si>
  <si>
    <t>D/XC JARETT METAL TABLE LAMP</t>
  </si>
  <si>
    <t>40013570</t>
  </si>
  <si>
    <t>2020021198270038</t>
  </si>
  <si>
    <t>40013571</t>
  </si>
  <si>
    <t>2020021198220008</t>
  </si>
  <si>
    <t>D/XC EUNICE GLASS TABLE LAMP</t>
  </si>
  <si>
    <t>40013572</t>
  </si>
  <si>
    <t>2020021198220009</t>
  </si>
  <si>
    <t>D/XC EVONNE GLASS TABLE LAMP</t>
  </si>
  <si>
    <t>40013573</t>
  </si>
  <si>
    <t>2010020198187005</t>
  </si>
  <si>
    <t>ESS 7005 BULB DESK LAMP</t>
  </si>
  <si>
    <t>40013574</t>
  </si>
  <si>
    <t>2010020198077005</t>
  </si>
  <si>
    <t>40013575</t>
  </si>
  <si>
    <t>2010020198167005</t>
  </si>
  <si>
    <t>40013576</t>
  </si>
  <si>
    <t>2010020198187006</t>
  </si>
  <si>
    <t>ESS 7006 BULB CLIP DESK LAMP</t>
  </si>
  <si>
    <t>40013577</t>
  </si>
  <si>
    <t>2010020198077006</t>
  </si>
  <si>
    <t>40013578</t>
  </si>
  <si>
    <t>2010020198167006</t>
  </si>
  <si>
    <t>40013579</t>
  </si>
  <si>
    <t>2010041204180011</t>
  </si>
  <si>
    <t>DX/C CLAUDIA CERAMIC VASE</t>
  </si>
  <si>
    <t>40013705</t>
  </si>
  <si>
    <t>2010041205180011</t>
  </si>
  <si>
    <t>40013706</t>
  </si>
  <si>
    <t>2010041206180011</t>
  </si>
  <si>
    <t>40013707</t>
  </si>
  <si>
    <t>2010041204220011</t>
  </si>
  <si>
    <t>40013708</t>
  </si>
  <si>
    <t>2010041206220011</t>
  </si>
  <si>
    <t>40013710</t>
  </si>
  <si>
    <t>2010041204160011</t>
  </si>
  <si>
    <t>40013711</t>
  </si>
  <si>
    <t>2010041205160011</t>
  </si>
  <si>
    <t>40013712</t>
  </si>
  <si>
    <t>2010041206160011</t>
  </si>
  <si>
    <t>40013713</t>
  </si>
  <si>
    <t>2010030298180001</t>
  </si>
  <si>
    <t>SHANNON RCTNGLR DGL TBL CLK</t>
  </si>
  <si>
    <t>40013714</t>
  </si>
  <si>
    <t>2010030298180002</t>
  </si>
  <si>
    <t>SWAN DIGITAL TABLE CLOCK</t>
  </si>
  <si>
    <t>40013715</t>
  </si>
  <si>
    <t>2010030498103396</t>
  </si>
  <si>
    <t>GIANNA PASTEL WALL CLOCK</t>
  </si>
  <si>
    <t>40013716</t>
  </si>
  <si>
    <t>2010030498133396</t>
  </si>
  <si>
    <t>40013717</t>
  </si>
  <si>
    <t>2010030498043396</t>
  </si>
  <si>
    <t>40013718</t>
  </si>
  <si>
    <t>2010030498183397</t>
  </si>
  <si>
    <t>ESS GARRY WALL CLOCK</t>
  </si>
  <si>
    <t>40013719</t>
  </si>
  <si>
    <t>2010030498163397</t>
  </si>
  <si>
    <t>40013720</t>
  </si>
  <si>
    <t>2010030498223397</t>
  </si>
  <si>
    <t>40013721</t>
  </si>
  <si>
    <t>2010030498183398</t>
  </si>
  <si>
    <t>ESS GRACIE LUM. WALL CLOCK</t>
  </si>
  <si>
    <t>40013722</t>
  </si>
  <si>
    <t>2010030498163398</t>
  </si>
  <si>
    <t>40013723</t>
  </si>
  <si>
    <t>2010030498223398</t>
  </si>
  <si>
    <t>40013724</t>
  </si>
  <si>
    <t>2010030498183399</t>
  </si>
  <si>
    <t>ESS KITCH. PAN EGG WALL CLOCK</t>
  </si>
  <si>
    <t>40013725</t>
  </si>
  <si>
    <t>2010030498183400</t>
  </si>
  <si>
    <t>ESS KITCH. SKILLET PIZZA WALL CLOCK</t>
  </si>
  <si>
    <t>40013726</t>
  </si>
  <si>
    <t>2010030198271174</t>
  </si>
  <si>
    <t>ESS BRANDIE VINTAGE TABLE CLOCK</t>
  </si>
  <si>
    <t>40013727</t>
  </si>
  <si>
    <t>2010030198291174</t>
  </si>
  <si>
    <t>40013728</t>
  </si>
  <si>
    <t>2010030198261174</t>
  </si>
  <si>
    <t>40013729</t>
  </si>
  <si>
    <t>2010030198181175</t>
  </si>
  <si>
    <t>ESS BRIANNA VINTAGE TABLE CLOCK</t>
  </si>
  <si>
    <t>40013730</t>
  </si>
  <si>
    <t>2010030198161175</t>
  </si>
  <si>
    <t>40013731</t>
  </si>
  <si>
    <t>2010030198221175</t>
  </si>
  <si>
    <t>40013732</t>
  </si>
  <si>
    <t>2010030198071177</t>
  </si>
  <si>
    <t>WELLA VINTAGE CLOCK</t>
  </si>
  <si>
    <t>40013733</t>
  </si>
  <si>
    <t>2010030198021177</t>
  </si>
  <si>
    <t>40013734</t>
  </si>
  <si>
    <t>2010030198041177</t>
  </si>
  <si>
    <t>40013735</t>
  </si>
  <si>
    <t>2010030198071178</t>
  </si>
  <si>
    <t>WANDA VINTAGE CLOCK</t>
  </si>
  <si>
    <t>40013736</t>
  </si>
  <si>
    <t>2010030198021178</t>
  </si>
  <si>
    <t>40013737</t>
  </si>
  <si>
    <t>2010030198041178</t>
  </si>
  <si>
    <t>40013738</t>
  </si>
  <si>
    <t>2010030498263377</t>
  </si>
  <si>
    <t>ULYSSES LUXE DCRTV WALL CLOCK</t>
  </si>
  <si>
    <t>40013739</t>
  </si>
  <si>
    <t>2010030498273377</t>
  </si>
  <si>
    <t>40013740</t>
  </si>
  <si>
    <t>2010030498263378</t>
  </si>
  <si>
    <t>URSULA LUXE DCRTV WALL CLCK</t>
  </si>
  <si>
    <t>40013741</t>
  </si>
  <si>
    <t>2010030498273378</t>
  </si>
  <si>
    <t>40013742</t>
  </si>
  <si>
    <t>2010030498263379</t>
  </si>
  <si>
    <t>UNITY LUXE DCRTV WALL CLOCK</t>
  </si>
  <si>
    <t>40013743</t>
  </si>
  <si>
    <t>2010030498273379</t>
  </si>
  <si>
    <t>40013744</t>
  </si>
  <si>
    <t>2010030498183412</t>
  </si>
  <si>
    <t>ESS WILLY WALL CLOCK</t>
  </si>
  <si>
    <t>40013745</t>
  </si>
  <si>
    <t>2010030498163412</t>
  </si>
  <si>
    <t>40013746</t>
  </si>
  <si>
    <t>2010030498183413</t>
  </si>
  <si>
    <t>ESS WALLY WALL CLOCK</t>
  </si>
  <si>
    <t>40013747</t>
  </si>
  <si>
    <t>2010030498163413</t>
  </si>
  <si>
    <t>40013748</t>
  </si>
  <si>
    <t>2010030498273417</t>
  </si>
  <si>
    <t>ESS WALLACE MODERN WALL CLOCK</t>
  </si>
  <si>
    <t>40013749</t>
  </si>
  <si>
    <t>2010030498253417</t>
  </si>
  <si>
    <t>40013750</t>
  </si>
  <si>
    <t>2010041098300050</t>
  </si>
  <si>
    <t>WINONA A TABLETOP DECOR</t>
  </si>
  <si>
    <t>40013751</t>
  </si>
  <si>
    <t>2010041098300051</t>
  </si>
  <si>
    <t>WINONA B TABLETOP DECOR</t>
  </si>
  <si>
    <t>40013752</t>
  </si>
  <si>
    <t>2010041098300052</t>
  </si>
  <si>
    <t>WINONA C TABLETOP DECOR</t>
  </si>
  <si>
    <t>40013753</t>
  </si>
  <si>
    <t>2010041098300053</t>
  </si>
  <si>
    <t>WINONA D TABLETOP DECOR</t>
  </si>
  <si>
    <t>40013754</t>
  </si>
  <si>
    <t>ETHNICITY LOVE CRMC VASE</t>
  </si>
  <si>
    <t>2010040902227138</t>
  </si>
  <si>
    <t>40013756</t>
  </si>
  <si>
    <t>2010040901227138</t>
  </si>
  <si>
    <t>40013758</t>
  </si>
  <si>
    <t>2010040902177138</t>
  </si>
  <si>
    <t>40013759</t>
  </si>
  <si>
    <t>2010040903177138</t>
  </si>
  <si>
    <t>40013760</t>
  </si>
  <si>
    <t>2010051098220584</t>
  </si>
  <si>
    <t>NATURALLY NUDE JAR CANDLE A</t>
  </si>
  <si>
    <t>40013761</t>
  </si>
  <si>
    <t>2010051098030584</t>
  </si>
  <si>
    <t>40013762</t>
  </si>
  <si>
    <t>2010051098170584</t>
  </si>
  <si>
    <t>40013763</t>
  </si>
  <si>
    <t>2010051098220585</t>
  </si>
  <si>
    <t>NATURALLY NUDE JAR CANDLE B</t>
  </si>
  <si>
    <t>40013767</t>
  </si>
  <si>
    <t>2010051098170585</t>
  </si>
  <si>
    <t>40013768</t>
  </si>
  <si>
    <t>2010051098190585</t>
  </si>
  <si>
    <t>40013769</t>
  </si>
  <si>
    <t>2010041098160070</t>
  </si>
  <si>
    <t>RUDOLF LED TABLE TOP</t>
  </si>
  <si>
    <t>40013773</t>
  </si>
  <si>
    <t>2010041098180070</t>
  </si>
  <si>
    <t>40013774</t>
  </si>
  <si>
    <t>2010041098160071</t>
  </si>
  <si>
    <t>RUDOLF CROSS TABLE TOP</t>
  </si>
  <si>
    <t>40013775</t>
  </si>
  <si>
    <t>2010041098180071</t>
  </si>
  <si>
    <t>40013776</t>
  </si>
  <si>
    <t>2010041003170074</t>
  </si>
  <si>
    <t>RUFFA DCRTVE PLNTER ROUND</t>
  </si>
  <si>
    <t>40013777</t>
  </si>
  <si>
    <t>2010041001170074</t>
  </si>
  <si>
    <t>40013778</t>
  </si>
  <si>
    <t>2010041003220074</t>
  </si>
  <si>
    <t>40013779</t>
  </si>
  <si>
    <t>2010041001220074</t>
  </si>
  <si>
    <t>40013780</t>
  </si>
  <si>
    <t>2010041001180075</t>
  </si>
  <si>
    <t>RUFFA DCRTVE PLNTER TRIANGLE</t>
  </si>
  <si>
    <t>40013781</t>
  </si>
  <si>
    <t>2010041003180075</t>
  </si>
  <si>
    <t>40013782</t>
  </si>
  <si>
    <t>2010041001220075</t>
  </si>
  <si>
    <t>40013783</t>
  </si>
  <si>
    <t>2010041003220075</t>
  </si>
  <si>
    <t>40013784</t>
  </si>
  <si>
    <t>2010050598260013</t>
  </si>
  <si>
    <t>ESS LED TEALIGHT CANDLE SET3</t>
  </si>
  <si>
    <t>40013788</t>
  </si>
  <si>
    <t>2010050798260001</t>
  </si>
  <si>
    <t>ESS LED VOTIVE SET OF 4</t>
  </si>
  <si>
    <t>40013791</t>
  </si>
  <si>
    <t>2010050498048014</t>
  </si>
  <si>
    <t>ESS TAPRD CNDL LMNGRSS /12PCS</t>
  </si>
  <si>
    <t>40013799</t>
  </si>
  <si>
    <t>2010050498138014</t>
  </si>
  <si>
    <t>ESS TAPRD CNDL ROSE /12PCS</t>
  </si>
  <si>
    <t>40013800</t>
  </si>
  <si>
    <t>2010050498108014</t>
  </si>
  <si>
    <t>ESS TAPRD CNDL LVANDER /12PCS</t>
  </si>
  <si>
    <t>40013801</t>
  </si>
  <si>
    <t>2010050498168014</t>
  </si>
  <si>
    <t>ESS TAPRD CNDL UNSCNTD /12PCS</t>
  </si>
  <si>
    <t>40013802</t>
  </si>
  <si>
    <t>2010050498038014</t>
  </si>
  <si>
    <t>ESS TAPRD CNDL CTRNLLA /12PCS</t>
  </si>
  <si>
    <t>40013803</t>
  </si>
  <si>
    <t>2010050398042016</t>
  </si>
  <si>
    <t>ESS VOTVE CNDL LMNGRSS /24PCS</t>
  </si>
  <si>
    <t>40013804</t>
  </si>
  <si>
    <t>2010050398132016</t>
  </si>
  <si>
    <t>ESS VOTVE CNDL ROSE /24PCS</t>
  </si>
  <si>
    <t>40013805</t>
  </si>
  <si>
    <t>2010050398102016</t>
  </si>
  <si>
    <t>ESS VOTVE CNDL LVNDER /24PCS</t>
  </si>
  <si>
    <t>40013806</t>
  </si>
  <si>
    <t>2010050398162016</t>
  </si>
  <si>
    <t>ESS VOTVE CNDL UNSCNTD /24PCS</t>
  </si>
  <si>
    <t>40013807</t>
  </si>
  <si>
    <t>2010050398032016</t>
  </si>
  <si>
    <t>ESS VOTVE CNDL CTRNLLA /24PCS</t>
  </si>
  <si>
    <t>40013808</t>
  </si>
  <si>
    <t>2010050198042523</t>
  </si>
  <si>
    <t>ESS TLIGHT CNDL 10PCS LMNGRSS</t>
  </si>
  <si>
    <t>40013809</t>
  </si>
  <si>
    <t>2010050198022523</t>
  </si>
  <si>
    <t>ESS TLIGHT CNDL 10PCS LEMON</t>
  </si>
  <si>
    <t>40013810</t>
  </si>
  <si>
    <t>2010050198132523</t>
  </si>
  <si>
    <t>ESS TLIGHT CNDL 10PCS ROSE</t>
  </si>
  <si>
    <t>40013811</t>
  </si>
  <si>
    <t>2010050198102523</t>
  </si>
  <si>
    <t>ESS TLIGHT CNDL 10PCS LVNDR</t>
  </si>
  <si>
    <t>40013812</t>
  </si>
  <si>
    <t>2010050198162523</t>
  </si>
  <si>
    <t>ESS TLIGHT CNDL 10PCS UNSCNTD</t>
  </si>
  <si>
    <t>40013813</t>
  </si>
  <si>
    <t>2010050198032523</t>
  </si>
  <si>
    <t>ESS TLIGHT CNDL 10PCS CTRNELLA</t>
  </si>
  <si>
    <t>40013814</t>
  </si>
  <si>
    <t>2010050198042524</t>
  </si>
  <si>
    <t>ESS TLIGHT CNDL 36PCS LMNGRSS</t>
  </si>
  <si>
    <t>40013815</t>
  </si>
  <si>
    <t>2010050198022524</t>
  </si>
  <si>
    <t>ESS TLIGHT CNDL 36PCS LEMON</t>
  </si>
  <si>
    <t>40013816</t>
  </si>
  <si>
    <t>2010050198132524</t>
  </si>
  <si>
    <t>ESS TLIGHT CNDL 36PCS ROSE</t>
  </si>
  <si>
    <t>40013817</t>
  </si>
  <si>
    <t>2010050198102524</t>
  </si>
  <si>
    <t>ESS TLIGHT CNDL 36PCS LVNDR</t>
  </si>
  <si>
    <t>40013818</t>
  </si>
  <si>
    <t>2010050198162524</t>
  </si>
  <si>
    <t>ESS TLIGHT CNDL 36PCS UNSCNTD</t>
  </si>
  <si>
    <t>40013819</t>
  </si>
  <si>
    <t>2010050198032524</t>
  </si>
  <si>
    <t>ESS TLIGHT CNDL 36PCS CTRNELLA</t>
  </si>
  <si>
    <t>40013820</t>
  </si>
  <si>
    <t>2010040601302523</t>
  </si>
  <si>
    <t>YOLANDA GLASS CANDLE HOLDER</t>
  </si>
  <si>
    <t>40013821</t>
  </si>
  <si>
    <t>2010040602302523</t>
  </si>
  <si>
    <t>40013822</t>
  </si>
  <si>
    <t>2010040603302523</t>
  </si>
  <si>
    <t>40013823</t>
  </si>
  <si>
    <t>2010040601302524</t>
  </si>
  <si>
    <t>YEISHA GLASS CANDLE HOLDER</t>
  </si>
  <si>
    <t>40013824</t>
  </si>
  <si>
    <t>2010040602302524</t>
  </si>
  <si>
    <t>40013825</t>
  </si>
  <si>
    <t>2010040603302524</t>
  </si>
  <si>
    <t>40013826</t>
  </si>
  <si>
    <t>2010040601302525</t>
  </si>
  <si>
    <t>YOGGI GLASS CANDLE HOLDER</t>
  </si>
  <si>
    <t>40013827</t>
  </si>
  <si>
    <t>2010040602302525</t>
  </si>
  <si>
    <t>40013828</t>
  </si>
  <si>
    <t>2010040603302525</t>
  </si>
  <si>
    <t>40013829</t>
  </si>
  <si>
    <t>2010040601022526</t>
  </si>
  <si>
    <t>YASSI GLASS CANDLE HOLDER</t>
  </si>
  <si>
    <t>40013830</t>
  </si>
  <si>
    <t>2010040603022526</t>
  </si>
  <si>
    <t>40013831</t>
  </si>
  <si>
    <t>2010040601022527</t>
  </si>
  <si>
    <t>YAHWEH GLASS CANDLE HOLDER</t>
  </si>
  <si>
    <t>40013832</t>
  </si>
  <si>
    <t>2010040603022527</t>
  </si>
  <si>
    <t>40013833</t>
  </si>
  <si>
    <t>2010040601302528</t>
  </si>
  <si>
    <t>YILLY GLASS CANDLE HOLDER</t>
  </si>
  <si>
    <t>40013834</t>
  </si>
  <si>
    <t>2010040603302528</t>
  </si>
  <si>
    <t>40013835</t>
  </si>
  <si>
    <t>2010040601302529</t>
  </si>
  <si>
    <t>YANNAH GLASS CANDLE HOLDER</t>
  </si>
  <si>
    <t>40013836</t>
  </si>
  <si>
    <t>2010040603302529</t>
  </si>
  <si>
    <t>40013837</t>
  </si>
  <si>
    <t>2010040601022529</t>
  </si>
  <si>
    <t>40013838</t>
  </si>
  <si>
    <t>2010040603022529</t>
  </si>
  <si>
    <t>40013839</t>
  </si>
  <si>
    <t>2010040601022530</t>
  </si>
  <si>
    <t>YODA GLASS CANDLE HOLDER</t>
  </si>
  <si>
    <t>40013840</t>
  </si>
  <si>
    <t>2010040603022530</t>
  </si>
  <si>
    <t>40013841</t>
  </si>
  <si>
    <t>2010041098180001</t>
  </si>
  <si>
    <t>STTMENT TBLTP EVRYTNG IS PSBLE</t>
  </si>
  <si>
    <t>40013842</t>
  </si>
  <si>
    <t>2010041098180002</t>
  </si>
  <si>
    <t>STTMNT TBLTOP FLLOW UR DREAMS</t>
  </si>
  <si>
    <t>40013843</t>
  </si>
  <si>
    <t>2010041098180003</t>
  </si>
  <si>
    <t>STTMNT TBLTOP WILD &amp; FREE</t>
  </si>
  <si>
    <t>40013844</t>
  </si>
  <si>
    <t>2010041098160004</t>
  </si>
  <si>
    <t>STTMNT TBLTP ADVNTR S OUT THRE</t>
  </si>
  <si>
    <t>40013845</t>
  </si>
  <si>
    <t>2010060198105021</t>
  </si>
  <si>
    <t>ESS INC STCK LAVANDER SET20</t>
  </si>
  <si>
    <t>40013846</t>
  </si>
  <si>
    <t>2010060198035021</t>
  </si>
  <si>
    <t>ESS INC STCK CITRONELLA SET20</t>
  </si>
  <si>
    <t>40013850</t>
  </si>
  <si>
    <t>2010060198165021</t>
  </si>
  <si>
    <t>ESS INC STCK FRESH MUSK SET20</t>
  </si>
  <si>
    <t>40013852</t>
  </si>
  <si>
    <t>2010060198025021</t>
  </si>
  <si>
    <t>ESS INC STCK TROP FRUITS SET20</t>
  </si>
  <si>
    <t>40013853</t>
  </si>
  <si>
    <t>2010060198075021</t>
  </si>
  <si>
    <t>ESS INC STCK BERGAMOT SET20</t>
  </si>
  <si>
    <t>40013854</t>
  </si>
  <si>
    <t>2010060106012105</t>
  </si>
  <si>
    <t>ESS WTRSOL OIL 100ML PPRMINT</t>
  </si>
  <si>
    <t>40013856</t>
  </si>
  <si>
    <t>2010060106162104</t>
  </si>
  <si>
    <t>ESS WTRSOL OIL 100ML FR MUSK</t>
  </si>
  <si>
    <t>40013857</t>
  </si>
  <si>
    <t>2010060106072104</t>
  </si>
  <si>
    <t>ESS WTRSOL OIL 100ML BERGMOT</t>
  </si>
  <si>
    <t>40013858</t>
  </si>
  <si>
    <t>2010060106172104</t>
  </si>
  <si>
    <t>ESS WTRSOL OIL 100ML VERBENA</t>
  </si>
  <si>
    <t>40013859</t>
  </si>
  <si>
    <t>2010060106102104</t>
  </si>
  <si>
    <t>ESS WTRSOL OIL 100ML LVNDER</t>
  </si>
  <si>
    <t>40013860</t>
  </si>
  <si>
    <t>2010060106062104</t>
  </si>
  <si>
    <t>ESS WTRSOL OIL 100ML ECLYPTUS</t>
  </si>
  <si>
    <t>40013861</t>
  </si>
  <si>
    <t>2010060106132104</t>
  </si>
  <si>
    <t>ESS WTRSOL OIL 100ML BL PETAL</t>
  </si>
  <si>
    <t>40013862</t>
  </si>
  <si>
    <t>2010060106042104</t>
  </si>
  <si>
    <t>ESS WTRSOL OIL 100ML BMBOO</t>
  </si>
  <si>
    <t>40013863</t>
  </si>
  <si>
    <t>2010060106022104</t>
  </si>
  <si>
    <t>ESS WTRSOL OIL 100ML TROP FRTS</t>
  </si>
  <si>
    <t>40013864</t>
  </si>
  <si>
    <t>2010060106132105</t>
  </si>
  <si>
    <t>ESS WTRSOL OIL 100ML CH BLSSMS</t>
  </si>
  <si>
    <t>40013865</t>
  </si>
  <si>
    <t>2010060106022106</t>
  </si>
  <si>
    <t>ESS FRAG OIL 15ML ORANGE</t>
  </si>
  <si>
    <t>40013867</t>
  </si>
  <si>
    <t>2010060106072107</t>
  </si>
  <si>
    <t>ESS FRAG OIL 15ML CCOTTON</t>
  </si>
  <si>
    <t>40013868</t>
  </si>
  <si>
    <t>2010060106042106</t>
  </si>
  <si>
    <t>ESS FRAG OIL 15ML BAMBOO</t>
  </si>
  <si>
    <t>40013869</t>
  </si>
  <si>
    <t>2010060106132106</t>
  </si>
  <si>
    <t>ESS FRAG OIL 15ML ROSE</t>
  </si>
  <si>
    <t>40013870</t>
  </si>
  <si>
    <t>2010060106052106</t>
  </si>
  <si>
    <t>ESS FRAG OIL 15ML LMNGRASS</t>
  </si>
  <si>
    <t>40013871</t>
  </si>
  <si>
    <t>2010060106192106</t>
  </si>
  <si>
    <t>ESS FRAG OIL 15ML CHMOMILE</t>
  </si>
  <si>
    <t>40013872</t>
  </si>
  <si>
    <t>2010060106142106</t>
  </si>
  <si>
    <t>ESS FRAG OIL 15ML HNYSUCKLE</t>
  </si>
  <si>
    <t>40013873</t>
  </si>
  <si>
    <t>2010060106132107</t>
  </si>
  <si>
    <t>ESS FRAG OIL 15ML CH BLOSSOMS</t>
  </si>
  <si>
    <t>40013874</t>
  </si>
  <si>
    <t>2010060106222106</t>
  </si>
  <si>
    <t>ESS FRAG OIL 15ML FRNGPANI</t>
  </si>
  <si>
    <t>40013875</t>
  </si>
  <si>
    <t>2010060106042107</t>
  </si>
  <si>
    <t>ESS FRAG OIL 15ML EUCLYPTUS</t>
  </si>
  <si>
    <t>40013876</t>
  </si>
  <si>
    <t>2010060106172106</t>
  </si>
  <si>
    <t>ESS FRAG OIL 15ML VANILLA</t>
  </si>
  <si>
    <t>40013877</t>
  </si>
  <si>
    <t>2010060106012106</t>
  </si>
  <si>
    <t>ESS FRAG OIL 15ML AUTMN BRZE</t>
  </si>
  <si>
    <t>40013878</t>
  </si>
  <si>
    <t>2010060106032106</t>
  </si>
  <si>
    <t>ESS FRAG OIL 15ML CTRNELLA</t>
  </si>
  <si>
    <t>40013879</t>
  </si>
  <si>
    <t>2010060398101070</t>
  </si>
  <si>
    <t>PASTEL LOVE REED DFFSER 30ML</t>
  </si>
  <si>
    <t>40013880</t>
  </si>
  <si>
    <t>2010060398131070</t>
  </si>
  <si>
    <t>40013881</t>
  </si>
  <si>
    <t>2010060398041070</t>
  </si>
  <si>
    <t>40013882</t>
  </si>
  <si>
    <t>2010040298101067</t>
  </si>
  <si>
    <t>PASTEL LOVE SET OF 2 CNDL 30G</t>
  </si>
  <si>
    <t>40013883</t>
  </si>
  <si>
    <t>2010040298131067</t>
  </si>
  <si>
    <t>40013884</t>
  </si>
  <si>
    <t>2010040298041067</t>
  </si>
  <si>
    <t>40013885</t>
  </si>
  <si>
    <t>2010040298101068</t>
  </si>
  <si>
    <t>PSTL LVE CNDL SET-DFSR-JARCNDL</t>
  </si>
  <si>
    <t>40013886</t>
  </si>
  <si>
    <t>2010040298131068</t>
  </si>
  <si>
    <t>40013887</t>
  </si>
  <si>
    <t>2010040298041068</t>
  </si>
  <si>
    <t>40013888</t>
  </si>
  <si>
    <t>2010040701185053</t>
  </si>
  <si>
    <t>ESS BALI ROUND CHOLDER 4"</t>
  </si>
  <si>
    <t>40013889</t>
  </si>
  <si>
    <t>2010040701195053</t>
  </si>
  <si>
    <t>40013890</t>
  </si>
  <si>
    <t>2010040701185054</t>
  </si>
  <si>
    <t>40013891</t>
  </si>
  <si>
    <t>2010040702185054</t>
  </si>
  <si>
    <t>ESS BALI ROUND CHOLDER 6"</t>
  </si>
  <si>
    <t>40013892</t>
  </si>
  <si>
    <t>2010040701195054</t>
  </si>
  <si>
    <t>40013893</t>
  </si>
  <si>
    <t>2010040702195054</t>
  </si>
  <si>
    <t>40013894</t>
  </si>
  <si>
    <t>2010040701185055</t>
  </si>
  <si>
    <t>ESS BALI RECT. CHOLDER 6"</t>
  </si>
  <si>
    <t>40013895</t>
  </si>
  <si>
    <t>2010040702185055</t>
  </si>
  <si>
    <t>ESS BALI RECT. CHOLDER 12"</t>
  </si>
  <si>
    <t>40013896</t>
  </si>
  <si>
    <t>2010040701195055</t>
  </si>
  <si>
    <t>40013897</t>
  </si>
  <si>
    <t>2010040702195055</t>
  </si>
  <si>
    <t>40013898</t>
  </si>
  <si>
    <t>2010040798185056</t>
  </si>
  <si>
    <t>ESS BALI DEEP SQ CHOLDER 7"</t>
  </si>
  <si>
    <t>40013899</t>
  </si>
  <si>
    <t>2010040798195056</t>
  </si>
  <si>
    <t>40013900</t>
  </si>
  <si>
    <t>2010040798185057</t>
  </si>
  <si>
    <t>ESS BALI DEEP RECT CHOLDER 11"</t>
  </si>
  <si>
    <t>40013901</t>
  </si>
  <si>
    <t>2010040798195057</t>
  </si>
  <si>
    <t>40013902</t>
  </si>
  <si>
    <t>2010012102132970</t>
  </si>
  <si>
    <t>NATURAL PHOTO FRAME-4X6</t>
  </si>
  <si>
    <t>40013903</t>
  </si>
  <si>
    <t>2010012102222970</t>
  </si>
  <si>
    <t>40013904</t>
  </si>
  <si>
    <t>2010012102042970</t>
  </si>
  <si>
    <t>40013905</t>
  </si>
  <si>
    <t>2010012103132970</t>
  </si>
  <si>
    <t>NATURAL PHOTO FRAME-5X7</t>
  </si>
  <si>
    <t>40013906</t>
  </si>
  <si>
    <t>2010012103222970</t>
  </si>
  <si>
    <t>40013907</t>
  </si>
  <si>
    <t>2010012103042970</t>
  </si>
  <si>
    <t>40013908</t>
  </si>
  <si>
    <t>2010012104132970</t>
  </si>
  <si>
    <t>NATURAL PHOTO FRAME-8X10</t>
  </si>
  <si>
    <t>40013909</t>
  </si>
  <si>
    <t>2010012104222970</t>
  </si>
  <si>
    <t>40013910</t>
  </si>
  <si>
    <t>2010012104042970</t>
  </si>
  <si>
    <t>40013911</t>
  </si>
  <si>
    <t>2010012102042971</t>
  </si>
  <si>
    <t>40013912</t>
  </si>
  <si>
    <t>2010012102132971</t>
  </si>
  <si>
    <t>40013913</t>
  </si>
  <si>
    <t>2010012102222971</t>
  </si>
  <si>
    <t>40013914</t>
  </si>
  <si>
    <t>2010012103042971</t>
  </si>
  <si>
    <t>40013915</t>
  </si>
  <si>
    <t>2010012103132971</t>
  </si>
  <si>
    <t>40013916</t>
  </si>
  <si>
    <t>2010012103222971</t>
  </si>
  <si>
    <t>40013917</t>
  </si>
  <si>
    <t>2010012104042971</t>
  </si>
  <si>
    <t>40013918</t>
  </si>
  <si>
    <t>2010012104132971</t>
  </si>
  <si>
    <t>40013919</t>
  </si>
  <si>
    <t>2010012104222971</t>
  </si>
  <si>
    <t>40013920</t>
  </si>
  <si>
    <t>2010012102042973</t>
  </si>
  <si>
    <t>LIVING PEACH PHOTO FRAME 5X7</t>
  </si>
  <si>
    <t>40013921</t>
  </si>
  <si>
    <t>2010012103132973</t>
  </si>
  <si>
    <t>40013922</t>
  </si>
  <si>
    <t>2010012103222973</t>
  </si>
  <si>
    <t>40013923</t>
  </si>
  <si>
    <t>2010012103042973</t>
  </si>
  <si>
    <t>LIVING PEACH PHOTO FRAME 8X10</t>
  </si>
  <si>
    <t>40013924</t>
  </si>
  <si>
    <t>2010012104132973</t>
  </si>
  <si>
    <t>40013925</t>
  </si>
  <si>
    <t>2010012104222973</t>
  </si>
  <si>
    <t>40013926</t>
  </si>
  <si>
    <t>2010012198220011</t>
  </si>
  <si>
    <t>LIVING PEACH FAMILY FRAME</t>
  </si>
  <si>
    <t>40013927</t>
  </si>
  <si>
    <t>2010012198130011</t>
  </si>
  <si>
    <t>40013928</t>
  </si>
  <si>
    <t>2010012198040011</t>
  </si>
  <si>
    <t>40013929</t>
  </si>
  <si>
    <t>2010012198040012</t>
  </si>
  <si>
    <t>SCRIPT 3 OPENING FAMILY FRAME</t>
  </si>
  <si>
    <t>40013930</t>
  </si>
  <si>
    <t>2010012198130012</t>
  </si>
  <si>
    <t>40013931</t>
  </si>
  <si>
    <t>2010012198220012</t>
  </si>
  <si>
    <t>40013932</t>
  </si>
  <si>
    <t>2010012198040013</t>
  </si>
  <si>
    <t>SCRIPT 6 OPENING FAMILY FRAME</t>
  </si>
  <si>
    <t>40013933</t>
  </si>
  <si>
    <t>2010012198130013</t>
  </si>
  <si>
    <t>40013934</t>
  </si>
  <si>
    <t>2010012198220013</t>
  </si>
  <si>
    <t>40013935</t>
  </si>
  <si>
    <t>2010010298133201</t>
  </si>
  <si>
    <t>HARPER FAMILY FRAME-9 OPNG</t>
  </si>
  <si>
    <t>40013936</t>
  </si>
  <si>
    <t>2010010298163201</t>
  </si>
  <si>
    <t>40013937</t>
  </si>
  <si>
    <t>2010010298073201</t>
  </si>
  <si>
    <t>40013938</t>
  </si>
  <si>
    <t>2010010298133202</t>
  </si>
  <si>
    <t>HOLLIE FAMILY FRAME-4 OPNG</t>
  </si>
  <si>
    <t>40013939</t>
  </si>
  <si>
    <t>2010010298163202</t>
  </si>
  <si>
    <t>40013940</t>
  </si>
  <si>
    <t>2010010298073202</t>
  </si>
  <si>
    <t>40013941</t>
  </si>
  <si>
    <t>2010010298133203</t>
  </si>
  <si>
    <t>HARLOW WATCH ME GROW-12OPNG</t>
  </si>
  <si>
    <t>40013942</t>
  </si>
  <si>
    <t>2010010298073203</t>
  </si>
  <si>
    <t>40013943</t>
  </si>
  <si>
    <t>2010010298133204</t>
  </si>
  <si>
    <t>HOLDEN WATCH ME GROW-13OPNG</t>
  </si>
  <si>
    <t>40013944</t>
  </si>
  <si>
    <t>2010010298073204</t>
  </si>
  <si>
    <t>40013945</t>
  </si>
  <si>
    <t>2010010798160001</t>
  </si>
  <si>
    <t>W.FRM PNK CHRYSNTHM&amp;HYDRNGEA</t>
  </si>
  <si>
    <t>40013950</t>
  </si>
  <si>
    <t>2010010798180002</t>
  </si>
  <si>
    <t>W.FRM SML THNGS/BLVE  &amp; ACHVE</t>
  </si>
  <si>
    <t>40013951</t>
  </si>
  <si>
    <t>2010010798160003</t>
  </si>
  <si>
    <t>W.FRM PINK GREEN LEAVES</t>
  </si>
  <si>
    <t>40013952</t>
  </si>
  <si>
    <t>2010010798180004</t>
  </si>
  <si>
    <t>W.FRM PINK GREEN TROPICAL</t>
  </si>
  <si>
    <t>40013953</t>
  </si>
  <si>
    <t>2010010798210005</t>
  </si>
  <si>
    <t>W.FRM SUNSET &amp; CIRCLES</t>
  </si>
  <si>
    <t>40013954</t>
  </si>
  <si>
    <t>2010010798180006</t>
  </si>
  <si>
    <t>W.FRM BLK &amp; WHI MOUNTAINS</t>
  </si>
  <si>
    <t>40013955</t>
  </si>
  <si>
    <t>2010010798210007</t>
  </si>
  <si>
    <t>W.FRM GRASS FLOWER FIELDS</t>
  </si>
  <si>
    <t>40013956</t>
  </si>
  <si>
    <t>2010010798180008</t>
  </si>
  <si>
    <t>W.FRM B &amp; W PARIS/NEW YORK</t>
  </si>
  <si>
    <t>40013957</t>
  </si>
  <si>
    <t>2010010998160001</t>
  </si>
  <si>
    <t>W.ART CRTE UR SNSHN/LVE UR DRM</t>
  </si>
  <si>
    <t>40013958</t>
  </si>
  <si>
    <t>2010010998160002</t>
  </si>
  <si>
    <t>W.ART SMALL THINGS/DRMS WINGS</t>
  </si>
  <si>
    <t>40013959</t>
  </si>
  <si>
    <t>2010010998180003</t>
  </si>
  <si>
    <t>W.ART DRMS CMTHRU/ADVTNR BGNS</t>
  </si>
  <si>
    <t>40013960</t>
  </si>
  <si>
    <t>2010010998180004</t>
  </si>
  <si>
    <t>W.ART LFE IS A JRNEY/GRTFL HRT</t>
  </si>
  <si>
    <t>40013961</t>
  </si>
  <si>
    <t>2010010804045482</t>
  </si>
  <si>
    <t>LOVE FLMINGO LED CNVS FRM</t>
  </si>
  <si>
    <t>40013962</t>
  </si>
  <si>
    <t>2010010804045483</t>
  </si>
  <si>
    <t>HOME FLMINGO LED CNVS FRM</t>
  </si>
  <si>
    <t>40013963</t>
  </si>
  <si>
    <t>2010010804045484</t>
  </si>
  <si>
    <t>HOPE FLMINGO LED CNVS FRM</t>
  </si>
  <si>
    <t>40013964</t>
  </si>
  <si>
    <t>2010010804045485</t>
  </si>
  <si>
    <t>DREAM FLMINGO LED CNVS FRM</t>
  </si>
  <si>
    <t>40013965</t>
  </si>
  <si>
    <t>2010010804045486</t>
  </si>
  <si>
    <t>PARIS LED CANVAS FRAME</t>
  </si>
  <si>
    <t>40013966</t>
  </si>
  <si>
    <t>2010010804045487</t>
  </si>
  <si>
    <t>NEW YORK LED CANVAS FRAME</t>
  </si>
  <si>
    <t>40013967</t>
  </si>
  <si>
    <t>2010010804045488</t>
  </si>
  <si>
    <t>LONDON LED CNVS FRAME</t>
  </si>
  <si>
    <t>40013968</t>
  </si>
  <si>
    <t>2010010804045489</t>
  </si>
  <si>
    <t>NEW YORK B LED CNVS FRM</t>
  </si>
  <si>
    <t>40013969</t>
  </si>
  <si>
    <t>2010012103163245</t>
  </si>
  <si>
    <t>PACCO PHOTO FRAME</t>
  </si>
  <si>
    <t>40013970</t>
  </si>
  <si>
    <t>2010012104163245</t>
  </si>
  <si>
    <t>40013971</t>
  </si>
  <si>
    <t>2010012103223246</t>
  </si>
  <si>
    <t>40013972</t>
  </si>
  <si>
    <t>2010012104223246</t>
  </si>
  <si>
    <t>40013973</t>
  </si>
  <si>
    <t>2010012103183247</t>
  </si>
  <si>
    <t>40013974</t>
  </si>
  <si>
    <t>2010012104183247</t>
  </si>
  <si>
    <t>40013975</t>
  </si>
  <si>
    <t>2010012103162064</t>
  </si>
  <si>
    <t>PACEY  GLASS PHOTO FRAME</t>
  </si>
  <si>
    <t>40013976</t>
  </si>
  <si>
    <t>2010012104162064</t>
  </si>
  <si>
    <t>40013977</t>
  </si>
  <si>
    <t>2010012102222065</t>
  </si>
  <si>
    <t>40013978</t>
  </si>
  <si>
    <t>2010012104222065</t>
  </si>
  <si>
    <t>40013979</t>
  </si>
  <si>
    <t>2010012103182066</t>
  </si>
  <si>
    <t>40013980</t>
  </si>
  <si>
    <t>2010012104182066</t>
  </si>
  <si>
    <t>40013981</t>
  </si>
  <si>
    <t>2010012102163248</t>
  </si>
  <si>
    <t>PEABO PHOTO FRAME</t>
  </si>
  <si>
    <t>40013982</t>
  </si>
  <si>
    <t>2010012103163248</t>
  </si>
  <si>
    <t>40013983</t>
  </si>
  <si>
    <t>2010012104163248</t>
  </si>
  <si>
    <t>40013984</t>
  </si>
  <si>
    <t>2010012102223249</t>
  </si>
  <si>
    <t>40013985</t>
  </si>
  <si>
    <t>2010012103223249</t>
  </si>
  <si>
    <t>40013986</t>
  </si>
  <si>
    <t>2010012104223249</t>
  </si>
  <si>
    <t>40013987</t>
  </si>
  <si>
    <t>2010012102183250</t>
  </si>
  <si>
    <t>40013988</t>
  </si>
  <si>
    <t>2010012103183250</t>
  </si>
  <si>
    <t>40013989</t>
  </si>
  <si>
    <t>2010012104183250</t>
  </si>
  <si>
    <t>40013990</t>
  </si>
  <si>
    <t>2010012198163227</t>
  </si>
  <si>
    <t>PRATT COLLAGE FRAME 5 OPENING</t>
  </si>
  <si>
    <t>40013991</t>
  </si>
  <si>
    <t>2010012198223227</t>
  </si>
  <si>
    <t>40013992</t>
  </si>
  <si>
    <t>2010012198183227</t>
  </si>
  <si>
    <t>40013993</t>
  </si>
  <si>
    <t>2010010298163228</t>
  </si>
  <si>
    <t>PRESIE COLLAGE FRAME-5 OPNG</t>
  </si>
  <si>
    <t>40013994</t>
  </si>
  <si>
    <t>2010010298223228</t>
  </si>
  <si>
    <t>40013995</t>
  </si>
  <si>
    <t>2010010298183228</t>
  </si>
  <si>
    <t>40013996</t>
  </si>
  <si>
    <t>2010010601200002</t>
  </si>
  <si>
    <t>ESS JUMBO WALL MIRROR 8X10</t>
  </si>
  <si>
    <t>40013997</t>
  </si>
  <si>
    <t>2010012104210002</t>
  </si>
  <si>
    <t>40013998</t>
  </si>
  <si>
    <t>2010010601180002</t>
  </si>
  <si>
    <t>40013999</t>
  </si>
  <si>
    <t>2010010699200002</t>
  </si>
  <si>
    <t>ESS JUMBO WALL MIRROR 16X20</t>
  </si>
  <si>
    <t>40014000</t>
  </si>
  <si>
    <t>2010012105210002</t>
  </si>
  <si>
    <t>40014001</t>
  </si>
  <si>
    <t>2010010699180002</t>
  </si>
  <si>
    <t>40014002</t>
  </si>
  <si>
    <t>2010010604200002</t>
  </si>
  <si>
    <t>ESS JUMBO WALL MIRROR 12X36</t>
  </si>
  <si>
    <t>40014003</t>
  </si>
  <si>
    <t>2010012106210002</t>
  </si>
  <si>
    <t>40014004</t>
  </si>
  <si>
    <t>2010010604180002</t>
  </si>
  <si>
    <t>40014005</t>
  </si>
  <si>
    <t>2010010698190001</t>
  </si>
  <si>
    <t>ESS JIMBO FLOOR MIRROR 12X47</t>
  </si>
  <si>
    <t>40014006</t>
  </si>
  <si>
    <t>2010010698180001</t>
  </si>
  <si>
    <t>40014007</t>
  </si>
  <si>
    <t>2010010698190005</t>
  </si>
  <si>
    <t>ESS JAZZ FLOOR MIRROR 12X59</t>
  </si>
  <si>
    <t>40014008</t>
  </si>
  <si>
    <t>2010010698180005</t>
  </si>
  <si>
    <t>40014009</t>
  </si>
  <si>
    <t>2010010698160006</t>
  </si>
  <si>
    <t>ESS JASMINE FLOOR MIRROR 12X59</t>
  </si>
  <si>
    <t>40014010</t>
  </si>
  <si>
    <t>2010010698180006</t>
  </si>
  <si>
    <t>40014011</t>
  </si>
  <si>
    <t>2010020298167040</t>
  </si>
  <si>
    <t>ESS BAI DIMMABLE LED DESK LAMP</t>
  </si>
  <si>
    <t>40014012</t>
  </si>
  <si>
    <t>2010020298247040</t>
  </si>
  <si>
    <t>40014013</t>
  </si>
  <si>
    <t>2010020198188131</t>
  </si>
  <si>
    <t>LAURENCE METAL TABLE LAMP</t>
  </si>
  <si>
    <t>40014020</t>
  </si>
  <si>
    <t>2010020198178131</t>
  </si>
  <si>
    <t>40014021</t>
  </si>
  <si>
    <t>2010020198258132</t>
  </si>
  <si>
    <t>LANDER METAL T.ABLE LAMP</t>
  </si>
  <si>
    <t>40014022</t>
  </si>
  <si>
    <t>2010020198268132</t>
  </si>
  <si>
    <t>40014023</t>
  </si>
  <si>
    <t>2010020198258133</t>
  </si>
  <si>
    <t>LLIANA METAL TABLE LAMP</t>
  </si>
  <si>
    <t>40014024</t>
  </si>
  <si>
    <t>2010020198268133</t>
  </si>
  <si>
    <t>40014025</t>
  </si>
  <si>
    <t>2010020101258134</t>
  </si>
  <si>
    <t>LUCIA METAL TABLE LAMP</t>
  </si>
  <si>
    <t>40014026</t>
  </si>
  <si>
    <t>2010020103258135</t>
  </si>
  <si>
    <t>LUCY METAL TABLE LAMP</t>
  </si>
  <si>
    <t>40014027</t>
  </si>
  <si>
    <t>2010020101268134</t>
  </si>
  <si>
    <t>40014028</t>
  </si>
  <si>
    <t>2010020103268135</t>
  </si>
  <si>
    <t>40014029</t>
  </si>
  <si>
    <t>2010020198164162</t>
  </si>
  <si>
    <t>ZALDY GIFTY TABLE LAMP</t>
  </si>
  <si>
    <t>40014030</t>
  </si>
  <si>
    <t>2010020198134162</t>
  </si>
  <si>
    <t>40014031</t>
  </si>
  <si>
    <t>2010020198044162</t>
  </si>
  <si>
    <t>40014032</t>
  </si>
  <si>
    <t>2010020198164163</t>
  </si>
  <si>
    <t>ZION GIFTY TABLE LAMP</t>
  </si>
  <si>
    <t>40014033</t>
  </si>
  <si>
    <t>2010020198134163</t>
  </si>
  <si>
    <t>40014034</t>
  </si>
  <si>
    <t>2010020198044163</t>
  </si>
  <si>
    <t>40014035</t>
  </si>
  <si>
    <t>2010020198164164</t>
  </si>
  <si>
    <t>ZELDA GIFTY TABLE LAMP</t>
  </si>
  <si>
    <t>40014036</t>
  </si>
  <si>
    <t>2010020198134164</t>
  </si>
  <si>
    <t>40014037</t>
  </si>
  <si>
    <t>2010020198044164</t>
  </si>
  <si>
    <t>40014038</t>
  </si>
  <si>
    <t>2010041204160020</t>
  </si>
  <si>
    <t>D/XD SIMON CERAMIC VASE C</t>
  </si>
  <si>
    <t>40014039</t>
  </si>
  <si>
    <t>2010041204160021</t>
  </si>
  <si>
    <t>40014040</t>
  </si>
  <si>
    <t>2010041204160022</t>
  </si>
  <si>
    <t>D/XD SIMON CERAMIC VASE D</t>
  </si>
  <si>
    <t>40014041</t>
  </si>
  <si>
    <t>2010041204160023</t>
  </si>
  <si>
    <t>40014042</t>
  </si>
  <si>
    <t>2010070198100042</t>
  </si>
  <si>
    <t>MARGELLA FERN DECORATIVE PLANT</t>
  </si>
  <si>
    <t>40014043</t>
  </si>
  <si>
    <t>2010070198170042</t>
  </si>
  <si>
    <t>40014044</t>
  </si>
  <si>
    <t>2010070198040043</t>
  </si>
  <si>
    <t>MARGELLA FRUIT DECORATIVE PLAN</t>
  </si>
  <si>
    <t>40014045</t>
  </si>
  <si>
    <t>2010070198130043</t>
  </si>
  <si>
    <t>40014046</t>
  </si>
  <si>
    <t>2010070198100044</t>
  </si>
  <si>
    <t>MARGELLA GRASS DCORATVE PLANT</t>
  </si>
  <si>
    <t>40014047</t>
  </si>
  <si>
    <t>2010070198170044</t>
  </si>
  <si>
    <t>40014048</t>
  </si>
  <si>
    <t>2010070198160045</t>
  </si>
  <si>
    <t>MARGELLA FLORA DCORTIVE PLANT</t>
  </si>
  <si>
    <t>40014049</t>
  </si>
  <si>
    <t>2010070198130045</t>
  </si>
  <si>
    <t>40014050</t>
  </si>
  <si>
    <t>2010060198135022</t>
  </si>
  <si>
    <t>ESS INC STCK CH BLOSSOMS SET20</t>
  </si>
  <si>
    <t>40013847</t>
  </si>
  <si>
    <t>2010060198045022</t>
  </si>
  <si>
    <t>ESS INC STCK LEMON VRBNA SET20</t>
  </si>
  <si>
    <t>40013855</t>
  </si>
  <si>
    <t>2010011198190052</t>
  </si>
  <si>
    <t>ESS FRAME STAND WOOD 7"</t>
  </si>
  <si>
    <t>40014094</t>
  </si>
  <si>
    <t>2010011198180051</t>
  </si>
  <si>
    <t>40014095</t>
  </si>
  <si>
    <t>2010020102164160</t>
  </si>
  <si>
    <t>ZOELLA TABLE LAMP</t>
  </si>
  <si>
    <t>40014100</t>
  </si>
  <si>
    <t>2010020102184160</t>
  </si>
  <si>
    <t>40014101</t>
  </si>
  <si>
    <t>2010020103164161</t>
  </si>
  <si>
    <t>40014102</t>
  </si>
  <si>
    <t>2010020103184161</t>
  </si>
  <si>
    <t>40014103</t>
  </si>
  <si>
    <t>2010020298187041</t>
  </si>
  <si>
    <t>ESS BUN DIMMABLE LED MOBILE DESK LAMP</t>
  </si>
  <si>
    <t>40014014</t>
  </si>
  <si>
    <t>2010020298227041</t>
  </si>
  <si>
    <t>40014015</t>
  </si>
  <si>
    <t>2010020298187042</t>
  </si>
  <si>
    <t>ESS BUN DIMMABLE LED DESK LAMP</t>
  </si>
  <si>
    <t>40014016</t>
  </si>
  <si>
    <t>2010020298227042</t>
  </si>
  <si>
    <t>40014017</t>
  </si>
  <si>
    <t>2010020298187043</t>
  </si>
  <si>
    <t>ESS BEAU DIMMABLE LED DESK LAMP</t>
  </si>
  <si>
    <t>40014018</t>
  </si>
  <si>
    <t>2010020298167043</t>
  </si>
  <si>
    <t>40014019</t>
  </si>
  <si>
    <t>2010041198020530</t>
  </si>
  <si>
    <t>CHARLIE DECORATIVE STONES</t>
  </si>
  <si>
    <t>40014051</t>
  </si>
  <si>
    <t>2010041198190530</t>
  </si>
  <si>
    <t>40014052</t>
  </si>
  <si>
    <t>2010041198240530</t>
  </si>
  <si>
    <t>40014053</t>
  </si>
  <si>
    <t>2010041198020531</t>
  </si>
  <si>
    <t>CHANDRA DECORATIVE STONES</t>
  </si>
  <si>
    <t>40014054</t>
  </si>
  <si>
    <t>2010041198190531</t>
  </si>
  <si>
    <t>40014055</t>
  </si>
  <si>
    <t>2010041198240531</t>
  </si>
  <si>
    <t>40014056</t>
  </si>
  <si>
    <t>2010041198020532</t>
  </si>
  <si>
    <t>CHANDLER DECORATIVE STONES</t>
  </si>
  <si>
    <t>40014057</t>
  </si>
  <si>
    <t>2010041198190532</t>
  </si>
  <si>
    <t>40014058</t>
  </si>
  <si>
    <t>2010041198240532</t>
  </si>
  <si>
    <t>40014059</t>
  </si>
  <si>
    <t>2010010398190008</t>
  </si>
  <si>
    <t>TDYS GOAL ICECRM MEMO BOARD W MKR</t>
  </si>
  <si>
    <t>40013946</t>
  </si>
  <si>
    <t>2010010398180009</t>
  </si>
  <si>
    <t>DAILY PLNNR HME MEMO BOARD W MRKR</t>
  </si>
  <si>
    <t>40013947</t>
  </si>
  <si>
    <t>2010010398170010</t>
  </si>
  <si>
    <t>WKLY PLNR DAISY MEMO BOARD W MKR</t>
  </si>
  <si>
    <t>40013948</t>
  </si>
  <si>
    <t>2010040101044115</t>
  </si>
  <si>
    <t>MARGELA OIL ABSTRCT BURNER SET</t>
  </si>
  <si>
    <t>40014082</t>
  </si>
  <si>
    <t>2010040101104115</t>
  </si>
  <si>
    <t>40014083</t>
  </si>
  <si>
    <t>2010040101134115</t>
  </si>
  <si>
    <t>40014084</t>
  </si>
  <si>
    <t>2010040198044116</t>
  </si>
  <si>
    <t>MARGELA TRPCAL OIL BRNR SET</t>
  </si>
  <si>
    <t>40014085</t>
  </si>
  <si>
    <t>2010040198134116</t>
  </si>
  <si>
    <t>40014086</t>
  </si>
  <si>
    <t>2010040198104116</t>
  </si>
  <si>
    <t>40014087</t>
  </si>
  <si>
    <t>2010070198180001</t>
  </si>
  <si>
    <t>YEEZY DECORATIVE PLANTS 1</t>
  </si>
  <si>
    <t>40014060</t>
  </si>
  <si>
    <t>2010070198180002</t>
  </si>
  <si>
    <t>YEEZY DECORATIVE PLANTS 2</t>
  </si>
  <si>
    <t>40014061</t>
  </si>
  <si>
    <t>2010070198180003</t>
  </si>
  <si>
    <t>YAEL PLANTS 1</t>
  </si>
  <si>
    <t>40014062</t>
  </si>
  <si>
    <t>2010070198180004</t>
  </si>
  <si>
    <t>YAEL PLANTS 3</t>
  </si>
  <si>
    <t>40014063</t>
  </si>
  <si>
    <t>2010070198300005</t>
  </si>
  <si>
    <t>YASMINE PLANTS 1</t>
  </si>
  <si>
    <t>40014064</t>
  </si>
  <si>
    <t>2010070198300006</t>
  </si>
  <si>
    <t>YASMINE PLANTS 3</t>
  </si>
  <si>
    <t>40014065</t>
  </si>
  <si>
    <t>2010070101300007</t>
  </si>
  <si>
    <t>YANNY PLANTS SMALL 2</t>
  </si>
  <si>
    <t>40014066</t>
  </si>
  <si>
    <t>2010070101300008</t>
  </si>
  <si>
    <t>YANNY PLANTS SMALL 3</t>
  </si>
  <si>
    <t>40014067</t>
  </si>
  <si>
    <t>2010070103300009</t>
  </si>
  <si>
    <t>YANNY PLANTS LARGE 1</t>
  </si>
  <si>
    <t>40014068</t>
  </si>
  <si>
    <t>2010070103300010</t>
  </si>
  <si>
    <t>YANNY PLANTS LARGE 3</t>
  </si>
  <si>
    <t>40014069</t>
  </si>
  <si>
    <t>2010070198180011</t>
  </si>
  <si>
    <t>YANNY METAL 1</t>
  </si>
  <si>
    <t>40014070</t>
  </si>
  <si>
    <t>2010070198180012</t>
  </si>
  <si>
    <t>YANNY METAL 2</t>
  </si>
  <si>
    <t>40014071</t>
  </si>
  <si>
    <t>2010070198180013</t>
  </si>
  <si>
    <t>YANNY METAL 5</t>
  </si>
  <si>
    <t>40014072</t>
  </si>
  <si>
    <t>2010070198180014</t>
  </si>
  <si>
    <t>YANNY METAL 6</t>
  </si>
  <si>
    <t>40014073</t>
  </si>
  <si>
    <t>2010070198040016</t>
  </si>
  <si>
    <t>DECORATIVE PLAT CERAMIC MED 1</t>
  </si>
  <si>
    <t>40014076</t>
  </si>
  <si>
    <t>2010070198160016</t>
  </si>
  <si>
    <t>VISTA WHITE YVES DCRTV A FAUX PLANT</t>
  </si>
  <si>
    <t>40014077</t>
  </si>
  <si>
    <t>2010070198180017</t>
  </si>
  <si>
    <t>YANNA C ECORATIVE PLANTS</t>
  </si>
  <si>
    <t>40014078</t>
  </si>
  <si>
    <t>2010070198160017</t>
  </si>
  <si>
    <t>40014079</t>
  </si>
  <si>
    <t>2010070198180018</t>
  </si>
  <si>
    <t>YANNA D DECORATIVE PLANTS</t>
  </si>
  <si>
    <t>40014080</t>
  </si>
  <si>
    <t>2010070198160018</t>
  </si>
  <si>
    <t>40014081</t>
  </si>
  <si>
    <t>2010030498073383</t>
  </si>
  <si>
    <t>CRYSTAL PASTEL WALL CLOCK</t>
  </si>
  <si>
    <t>40014657</t>
  </si>
  <si>
    <t>2010030498133383</t>
  </si>
  <si>
    <t>40014658</t>
  </si>
  <si>
    <t>2010030498133384</t>
  </si>
  <si>
    <t>MODERN NUDE WALL CLOCK</t>
  </si>
  <si>
    <t>40014659</t>
  </si>
  <si>
    <t>2010030498043384</t>
  </si>
  <si>
    <t>40014660</t>
  </si>
  <si>
    <t>2010030498253385</t>
  </si>
  <si>
    <t>JUSTINE LUXE WALL CLOCK</t>
  </si>
  <si>
    <t>40014661</t>
  </si>
  <si>
    <t>2010030498263385</t>
  </si>
  <si>
    <t>40014662</t>
  </si>
  <si>
    <t>2010030403163336</t>
  </si>
  <si>
    <t>ESS JULIEN LUM. WALL CLOCK</t>
  </si>
  <si>
    <t>40014663</t>
  </si>
  <si>
    <t>2010030403183336</t>
  </si>
  <si>
    <t>40014664</t>
  </si>
  <si>
    <t>2010030403163337</t>
  </si>
  <si>
    <t>ESS CLEMENCE LUM. WALL CLOCK</t>
  </si>
  <si>
    <t>40014665</t>
  </si>
  <si>
    <t>2010030403183337</t>
  </si>
  <si>
    <t>40014666</t>
  </si>
  <si>
    <t>2010030403163346</t>
  </si>
  <si>
    <t>ESS LAURA SQUARE LUM. WALL CLOCK</t>
  </si>
  <si>
    <t>40014667</t>
  </si>
  <si>
    <t>2010030403183346</t>
  </si>
  <si>
    <t>40014668</t>
  </si>
  <si>
    <t>2010030498183376</t>
  </si>
  <si>
    <t>ESS KITCH. TOOLS EGG  WALL CLOCK</t>
  </si>
  <si>
    <t>40014669</t>
  </si>
  <si>
    <t>2010070299160028</t>
  </si>
  <si>
    <t>YASMINE CEMENT PLANTER</t>
  </si>
  <si>
    <t>40014672</t>
  </si>
  <si>
    <t>2010070298160028</t>
  </si>
  <si>
    <t>40014673</t>
  </si>
  <si>
    <t>2010070299180028</t>
  </si>
  <si>
    <t>40014674</t>
  </si>
  <si>
    <t>2010070298040029</t>
  </si>
  <si>
    <t>YALLENA CEMENT PLANTER</t>
  </si>
  <si>
    <t>40014675</t>
  </si>
  <si>
    <t>2010070299040029</t>
  </si>
  <si>
    <t>40014676</t>
  </si>
  <si>
    <t>2010070298980029</t>
  </si>
  <si>
    <t>40014677</t>
  </si>
  <si>
    <t>2010070299980029</t>
  </si>
  <si>
    <t>40014678</t>
  </si>
  <si>
    <t>2010041098020202</t>
  </si>
  <si>
    <t>XION DAMASK PATTERN CRMC BALL</t>
  </si>
  <si>
    <t>40014679</t>
  </si>
  <si>
    <t>2010041098190202</t>
  </si>
  <si>
    <t>40014680</t>
  </si>
  <si>
    <t>2010041098160202</t>
  </si>
  <si>
    <t>40014681</t>
  </si>
  <si>
    <t>2010041098170203</t>
  </si>
  <si>
    <t>XION EYE PATTERN CERAMIC BALL</t>
  </si>
  <si>
    <t>40014682</t>
  </si>
  <si>
    <t>2010041098190203</t>
  </si>
  <si>
    <t>40014683</t>
  </si>
  <si>
    <t>2010041098160203</t>
  </si>
  <si>
    <t>40014684</t>
  </si>
  <si>
    <t>2010041098130204</t>
  </si>
  <si>
    <t>XION FLORAL CERAMIC BALL</t>
  </si>
  <si>
    <t>40014685</t>
  </si>
  <si>
    <t>2010041098190204</t>
  </si>
  <si>
    <t>40014686</t>
  </si>
  <si>
    <t>2010041098160204</t>
  </si>
  <si>
    <t>40014687</t>
  </si>
  <si>
    <t>2010041098160205</t>
  </si>
  <si>
    <t>XANDER BASIC CERAMIC BALL</t>
  </si>
  <si>
    <t>40014688</t>
  </si>
  <si>
    <t>2010041098170205</t>
  </si>
  <si>
    <t>40014689</t>
  </si>
  <si>
    <t>2010041098040205</t>
  </si>
  <si>
    <t>40014690</t>
  </si>
  <si>
    <t>2010041098160206</t>
  </si>
  <si>
    <t>XANDER MDRN PTRN CERAMIC BALL</t>
  </si>
  <si>
    <t>40014691</t>
  </si>
  <si>
    <t>2010041098170206</t>
  </si>
  <si>
    <t>40014692</t>
  </si>
  <si>
    <t>2010041098040206</t>
  </si>
  <si>
    <t>40014693</t>
  </si>
  <si>
    <t>2010041098040207</t>
  </si>
  <si>
    <t>XANDER DOTTED CERAMIC BALL</t>
  </si>
  <si>
    <t>40014694</t>
  </si>
  <si>
    <t>2010041098170207</t>
  </si>
  <si>
    <t>40014695</t>
  </si>
  <si>
    <t>2010041098160207</t>
  </si>
  <si>
    <t>40014696</t>
  </si>
  <si>
    <t>2010042298070051</t>
  </si>
  <si>
    <t>D/XD DCRTV BALL 8CM WHI SNTRNI</t>
  </si>
  <si>
    <t>40014697</t>
  </si>
  <si>
    <t>2010042298070052</t>
  </si>
  <si>
    <t>D/XD DCRTV BALL 8CM BLU SNTRNI</t>
  </si>
  <si>
    <t>40014698</t>
  </si>
  <si>
    <t>2010070198160071</t>
  </si>
  <si>
    <t>IMOGEN A DECORATIVE PLANT</t>
  </si>
  <si>
    <t>40014699</t>
  </si>
  <si>
    <t>2010070198160072</t>
  </si>
  <si>
    <t>IMOGEN B DECORATIVE PLANT</t>
  </si>
  <si>
    <t>40014700</t>
  </si>
  <si>
    <t>2010070198160073</t>
  </si>
  <si>
    <t>IMOGEN C DECORATIVE PLANT</t>
  </si>
  <si>
    <t>40014701</t>
  </si>
  <si>
    <t>2010070198160074</t>
  </si>
  <si>
    <t>IMOGEN D DECORATIVE PLANT</t>
  </si>
  <si>
    <t>40014702</t>
  </si>
  <si>
    <t>2010070198160075</t>
  </si>
  <si>
    <t>IMOGEN E DECORATIVE PLANT</t>
  </si>
  <si>
    <t>40014703</t>
  </si>
  <si>
    <t>2010070198160076</t>
  </si>
  <si>
    <t>IMOGEN F DECORATIVE PLANT</t>
  </si>
  <si>
    <t>40014704</t>
  </si>
  <si>
    <t>2010011498180017</t>
  </si>
  <si>
    <t>SUMMER FAMILY FRAME 3 OPNG</t>
  </si>
  <si>
    <t>40014708</t>
  </si>
  <si>
    <t>2010011498160017</t>
  </si>
  <si>
    <t>40014709</t>
  </si>
  <si>
    <t>2010011498220017</t>
  </si>
  <si>
    <t>40014710</t>
  </si>
  <si>
    <t>2010011498180018</t>
  </si>
  <si>
    <t>SUMMER FAMILY FRAME 4 OPNG</t>
  </si>
  <si>
    <t>40014711</t>
  </si>
  <si>
    <t>2010011498160018</t>
  </si>
  <si>
    <t>40014712</t>
  </si>
  <si>
    <t>2010011498220018</t>
  </si>
  <si>
    <t>40014713</t>
  </si>
  <si>
    <t>2010012101131507</t>
  </si>
  <si>
    <t>ESS RYLIE SIGNATURE FRAME-1212</t>
  </si>
  <si>
    <t>40014715</t>
  </si>
  <si>
    <t>2010012101181508</t>
  </si>
  <si>
    <t>ESS RUE SIGNATURE FRAME-1002</t>
  </si>
  <si>
    <t>40014716</t>
  </si>
  <si>
    <t>2010012101191508</t>
  </si>
  <si>
    <t>40014717</t>
  </si>
  <si>
    <t>2010012101071507</t>
  </si>
  <si>
    <t>ESS SIGNATURE FRAME-1212</t>
  </si>
  <si>
    <t>40014714</t>
  </si>
  <si>
    <t>2010012098988171</t>
  </si>
  <si>
    <t>D/XC BRETT SQUARE FRM W.ART</t>
  </si>
  <si>
    <t>40014779</t>
  </si>
  <si>
    <t>2010012098988172</t>
  </si>
  <si>
    <t>D/XC BRENNAN CRCLS FRM W.ART</t>
  </si>
  <si>
    <t>40014780</t>
  </si>
  <si>
    <t>2010012098988173</t>
  </si>
  <si>
    <t>D/XC BOURNE FRAMES WALL ART</t>
  </si>
  <si>
    <t>40014781</t>
  </si>
  <si>
    <t>2010012098988174</t>
  </si>
  <si>
    <t>D/XC BYRON FRAMED CANVAS ART</t>
  </si>
  <si>
    <t>40014782</t>
  </si>
  <si>
    <t>2010030298180018</t>
  </si>
  <si>
    <t>2010030298180021</t>
  </si>
  <si>
    <t>ESS SWAN  DGTAL CLOCK</t>
  </si>
  <si>
    <t>2010030399160021</t>
  </si>
  <si>
    <t>40014670</t>
  </si>
  <si>
    <t>2010040598243160</t>
  </si>
  <si>
    <t>ESS MARGELA FLWR OIL BURNER</t>
  </si>
  <si>
    <t>40014092</t>
  </si>
  <si>
    <t>2010040598173160</t>
  </si>
  <si>
    <t>40014093</t>
  </si>
  <si>
    <t>2010040598163160</t>
  </si>
  <si>
    <t>40014091</t>
  </si>
  <si>
    <t>2010010898035465</t>
  </si>
  <si>
    <t>SET OF 2 CNVS AFRICAN WILD B</t>
  </si>
  <si>
    <t>40014883</t>
  </si>
  <si>
    <t>2010010898045464</t>
  </si>
  <si>
    <t>SET OF 2 CNVS FRM AFRICAN WILD</t>
  </si>
  <si>
    <t>40014884</t>
  </si>
  <si>
    <t>2010010898015436</t>
  </si>
  <si>
    <t>SET OF 2 CNVAS FRM POPPY LOVE</t>
  </si>
  <si>
    <t>40014885</t>
  </si>
  <si>
    <t>2010010898015437</t>
  </si>
  <si>
    <t>SET OF 2 CNVS FRM POPPY LOVE B</t>
  </si>
  <si>
    <t>40014886</t>
  </si>
  <si>
    <t>2010010898175440</t>
  </si>
  <si>
    <t>SET OF 2 ABSTRACT FLORALS A</t>
  </si>
  <si>
    <t>40014889</t>
  </si>
  <si>
    <t>2010010898175441</t>
  </si>
  <si>
    <t>SET OF 2 ABSTRACT FLORALS B</t>
  </si>
  <si>
    <t>40014890</t>
  </si>
  <si>
    <t>2010010898175442</t>
  </si>
  <si>
    <t>SET OF 2 CANVAS FRAME  NEW YORK A</t>
  </si>
  <si>
    <t>40014891</t>
  </si>
  <si>
    <t>2010010898175443</t>
  </si>
  <si>
    <t>SET OF 2 CNVAS FRM NEW YORK B</t>
  </si>
  <si>
    <t>40014892</t>
  </si>
  <si>
    <t>2010010898135446</t>
  </si>
  <si>
    <t>SET OF 2 TROPICAL NEUTRAL C</t>
  </si>
  <si>
    <t>40014895</t>
  </si>
  <si>
    <t>2010010898175447</t>
  </si>
  <si>
    <t>SET OF 2 TROPICAL NEUTRAL D</t>
  </si>
  <si>
    <t>40014896</t>
  </si>
  <si>
    <t>2010012198183198</t>
  </si>
  <si>
    <t>BENNY COLLAGE FRAME 3 OPENING</t>
  </si>
  <si>
    <t>40014938</t>
  </si>
  <si>
    <t>2010012198163198</t>
  </si>
  <si>
    <t>40014941</t>
  </si>
  <si>
    <t>2010041204180059</t>
  </si>
  <si>
    <t>WILLIAM LED LANTERN</t>
  </si>
  <si>
    <t>40014944</t>
  </si>
  <si>
    <t>2010041204220059</t>
  </si>
  <si>
    <t>40014945</t>
  </si>
  <si>
    <t>2010041204180060</t>
  </si>
  <si>
    <t>WILLOW LED LANTERN</t>
  </si>
  <si>
    <t>40014946</t>
  </si>
  <si>
    <t>2010041204220060</t>
  </si>
  <si>
    <t>40014947</t>
  </si>
  <si>
    <t>2010050204025379</t>
  </si>
  <si>
    <t>2010070198220056</t>
  </si>
  <si>
    <t>KEAN DECORATIVE FAUX PLANT</t>
  </si>
  <si>
    <t>40014614</t>
  </si>
  <si>
    <t>2010070103130055</t>
  </si>
  <si>
    <t>KELSY DECORATIVE FAUX</t>
  </si>
  <si>
    <t>40014612</t>
  </si>
  <si>
    <t>2010070103220055</t>
  </si>
  <si>
    <t>KELSY DECORATIVE FAUX PLANT</t>
  </si>
  <si>
    <t>40014613</t>
  </si>
  <si>
    <t>2010070101130055</t>
  </si>
  <si>
    <t>40014610</t>
  </si>
  <si>
    <t>2010070101220055</t>
  </si>
  <si>
    <t>40014611</t>
  </si>
  <si>
    <t>2010070102020054</t>
  </si>
  <si>
    <t>KEN DECORATIVE FAUX PLANT</t>
  </si>
  <si>
    <t>40014609</t>
  </si>
  <si>
    <t>2010070102180054</t>
  </si>
  <si>
    <t>40014608</t>
  </si>
  <si>
    <t>2010070101020054</t>
  </si>
  <si>
    <t>40014607</t>
  </si>
  <si>
    <t>2010070101180054</t>
  </si>
  <si>
    <t>40014606</t>
  </si>
  <si>
    <t>2010070198220066</t>
  </si>
  <si>
    <t>KIM DECORATIVE FAUX PLANT</t>
  </si>
  <si>
    <t>40014615</t>
  </si>
  <si>
    <t>2010070198220068</t>
  </si>
  <si>
    <t>40014616</t>
  </si>
  <si>
    <t>2010010102180005</t>
  </si>
  <si>
    <t>MOSQUE PHOTO FRAME – 4X6</t>
  </si>
  <si>
    <t>40014530</t>
  </si>
  <si>
    <t>2010010102170005</t>
  </si>
  <si>
    <t>40014533</t>
  </si>
  <si>
    <t>2010030198021179</t>
  </si>
  <si>
    <t>ADRIANNA VINTAGE CLOCK</t>
  </si>
  <si>
    <t>40015597</t>
  </si>
  <si>
    <t>2010030198191179</t>
  </si>
  <si>
    <t>40015598</t>
  </si>
  <si>
    <t>2010030198131179</t>
  </si>
  <si>
    <t>40015599</t>
  </si>
  <si>
    <t>2010030198161180</t>
  </si>
  <si>
    <t>ESS ADELLA VINTAGE CLOCK</t>
  </si>
  <si>
    <t>40015600</t>
  </si>
  <si>
    <t>2010030198181176</t>
  </si>
  <si>
    <t>WENDY VINTAGE CLOCK</t>
  </si>
  <si>
    <t>40015609</t>
  </si>
  <si>
    <t>2010030198161176</t>
  </si>
  <si>
    <t>40015610</t>
  </si>
  <si>
    <t>2010030198221176</t>
  </si>
  <si>
    <t>40015611</t>
  </si>
  <si>
    <t>2010041098160209</t>
  </si>
  <si>
    <t>XAVIER LEAF CERAMIC BALLS</t>
  </si>
  <si>
    <t>40015693</t>
  </si>
  <si>
    <t>2010041098170209</t>
  </si>
  <si>
    <t>40015694</t>
  </si>
  <si>
    <t>2010041098180209</t>
  </si>
  <si>
    <t>40015695</t>
  </si>
  <si>
    <t>2010041098220210</t>
  </si>
  <si>
    <t>XAVIER PATTERN CERAMIC BALLS</t>
  </si>
  <si>
    <t>40015696</t>
  </si>
  <si>
    <t>2010041098170210</t>
  </si>
  <si>
    <t>40015697</t>
  </si>
  <si>
    <t>2010041098180210</t>
  </si>
  <si>
    <t>40015698</t>
  </si>
  <si>
    <t>2010041098160211</t>
  </si>
  <si>
    <t>XAVIER FLORAL CERAMIC BALLS</t>
  </si>
  <si>
    <t>40015699</t>
  </si>
  <si>
    <t>2010041098170211</t>
  </si>
  <si>
    <t>40015700</t>
  </si>
  <si>
    <t>2010041098180211</t>
  </si>
  <si>
    <t>40015701</t>
  </si>
  <si>
    <t>2010070198220057</t>
  </si>
  <si>
    <t>40015660</t>
  </si>
  <si>
    <t>2010051001130595</t>
  </si>
  <si>
    <t>KYANA FRSH CTTN JAR CNDL W CVR CANDLES JAR CANDLE</t>
  </si>
  <si>
    <t>40015650</t>
  </si>
  <si>
    <t>2010051001020595</t>
  </si>
  <si>
    <t>40015651</t>
  </si>
  <si>
    <t>2010051001070595</t>
  </si>
  <si>
    <t>40015652</t>
  </si>
  <si>
    <t>2010051002130595</t>
  </si>
  <si>
    <t>40015653</t>
  </si>
  <si>
    <t>2010051002020595</t>
  </si>
  <si>
    <t>40015654</t>
  </si>
  <si>
    <t>2010051002070595</t>
  </si>
  <si>
    <t>40015655</t>
  </si>
  <si>
    <t>2010070198020060</t>
  </si>
  <si>
    <t>HANNAH DECORATIVE PLANT</t>
  </si>
  <si>
    <t>40014591</t>
  </si>
  <si>
    <t>2010070198020061</t>
  </si>
  <si>
    <t>HELGA DECORATIVE PLANT</t>
  </si>
  <si>
    <t>40014593</t>
  </si>
  <si>
    <t>2010070198020062</t>
  </si>
  <si>
    <t>HELENE DECORATIVE PLANT</t>
  </si>
  <si>
    <t>40014595</t>
  </si>
  <si>
    <t>2010070198030063</t>
  </si>
  <si>
    <t>HAMILTON DECORATIVE PLANT</t>
  </si>
  <si>
    <t>40014596</t>
  </si>
  <si>
    <t>2010070198030064</t>
  </si>
  <si>
    <t>HONEY DECORATIVE PLANT</t>
  </si>
  <si>
    <t>40014598</t>
  </si>
  <si>
    <t>2010070198040062</t>
  </si>
  <si>
    <t>40014594</t>
  </si>
  <si>
    <t>2010070198100061</t>
  </si>
  <si>
    <t>40014592</t>
  </si>
  <si>
    <t>2010070198130063</t>
  </si>
  <si>
    <t>40014597</t>
  </si>
  <si>
    <t>2010070198130064</t>
  </si>
  <si>
    <t>40014599</t>
  </si>
  <si>
    <t>2010070198130065</t>
  </si>
  <si>
    <t>HICKORY DECORATIVE PLANT</t>
  </si>
  <si>
    <t>40014601</t>
  </si>
  <si>
    <t>2010070198160060</t>
  </si>
  <si>
    <t>40014590</t>
  </si>
  <si>
    <t>2010070198160065</t>
  </si>
  <si>
    <t>40014600</t>
  </si>
  <si>
    <t>2010041201160058</t>
  </si>
  <si>
    <t>WILLFRED LED TABLETOP LANTERN</t>
  </si>
  <si>
    <t>40016405</t>
  </si>
  <si>
    <t>2010041202160058</t>
  </si>
  <si>
    <t>40016406</t>
  </si>
  <si>
    <t>2010041201220058</t>
  </si>
  <si>
    <t>40016407</t>
  </si>
  <si>
    <t>2010041202220058</t>
  </si>
  <si>
    <t>40016408</t>
  </si>
  <si>
    <t>2010030198021184</t>
  </si>
  <si>
    <t>ANDELLAIDE VINTAGE CLOCK</t>
  </si>
  <si>
    <t>40016511</t>
  </si>
  <si>
    <t>2010030198041184</t>
  </si>
  <si>
    <t>40016512</t>
  </si>
  <si>
    <t>2010030198221184</t>
  </si>
  <si>
    <t>40016513</t>
  </si>
  <si>
    <t>2010030198021185</t>
  </si>
  <si>
    <t>ANGIE SQUARE TABLE CLOCK</t>
  </si>
  <si>
    <t>40016514</t>
  </si>
  <si>
    <t>2010030198041185</t>
  </si>
  <si>
    <t>40016515</t>
  </si>
  <si>
    <t>2010030198221185</t>
  </si>
  <si>
    <t>40016516</t>
  </si>
  <si>
    <t>2010030198171183</t>
  </si>
  <si>
    <t>ESS ANDREA VINTAGE CLOCK</t>
  </si>
  <si>
    <t>40016533</t>
  </si>
  <si>
    <t>2010030198221183</t>
  </si>
  <si>
    <t>40016534</t>
  </si>
  <si>
    <t>2010030198181183</t>
  </si>
  <si>
    <t>40016535</t>
  </si>
  <si>
    <t>2010041204180069</t>
  </si>
  <si>
    <t>MAZERUNNER LED TABLETOP</t>
  </si>
  <si>
    <t>40016536</t>
  </si>
  <si>
    <t>2010041098020069</t>
  </si>
  <si>
    <t>MAZER RUNNER LED TABLETOP</t>
  </si>
  <si>
    <t>40016537</t>
  </si>
  <si>
    <t>2010041204220069</t>
  </si>
  <si>
    <t>40016538</t>
  </si>
  <si>
    <t>2010010103160006</t>
  </si>
  <si>
    <t>NATALIE PHOTO FRAME –  5X7</t>
  </si>
  <si>
    <t>40014540</t>
  </si>
  <si>
    <t>2010010103180006</t>
  </si>
  <si>
    <t>40014537</t>
  </si>
  <si>
    <t>2010060198175021</t>
  </si>
  <si>
    <t>ESS INC STCK SANDLWOOD SET20</t>
  </si>
  <si>
    <t>40013848</t>
  </si>
  <si>
    <t>2010030198181188</t>
  </si>
  <si>
    <t>ESS BRUCE ANALOG TABLE CLOCK</t>
  </si>
  <si>
    <t>40016725</t>
  </si>
  <si>
    <t>2010030198221188</t>
  </si>
  <si>
    <t>40016726</t>
  </si>
  <si>
    <t>2010030198181186</t>
  </si>
  <si>
    <t>ESS BRYANT ANALOG TABLE CLOCK</t>
  </si>
  <si>
    <t>40016727</t>
  </si>
  <si>
    <t>2010030198221186</t>
  </si>
  <si>
    <t>40016728</t>
  </si>
  <si>
    <t>2010020102291248</t>
  </si>
  <si>
    <t>D/XD MOROCCAN SQUARE CRMC T LM</t>
  </si>
  <si>
    <t>40016779</t>
  </si>
  <si>
    <t>2010020102291249</t>
  </si>
  <si>
    <t>D/XD MOROCAN TRNGLR CRMC T.LMP</t>
  </si>
  <si>
    <t>40016780</t>
  </si>
  <si>
    <t>2010041198150528</t>
  </si>
  <si>
    <t>DECORATIVE STONES NATURAL</t>
  </si>
  <si>
    <t>40016810</t>
  </si>
  <si>
    <t>2010041198160528</t>
  </si>
  <si>
    <t>40016811</t>
  </si>
  <si>
    <t>2010041204160068</t>
  </si>
  <si>
    <t>MAZE LED TABLETOP/LANTERN</t>
  </si>
  <si>
    <t>40016812</t>
  </si>
  <si>
    <t>2010041204180068</t>
  </si>
  <si>
    <t>40016813</t>
  </si>
  <si>
    <t>2010041204220068</t>
  </si>
  <si>
    <t>40016814</t>
  </si>
  <si>
    <t>2010070101130029</t>
  </si>
  <si>
    <t>MAISON SQUARE DECOR PLANT- S</t>
  </si>
  <si>
    <t>40016815</t>
  </si>
  <si>
    <t>2010030198181187</t>
  </si>
  <si>
    <t>ESS BRODY ANALOG TABLE CLOCK</t>
  </si>
  <si>
    <t>40016862</t>
  </si>
  <si>
    <t>2010030198221187</t>
  </si>
  <si>
    <t>40016863</t>
  </si>
  <si>
    <t>2010051703020001</t>
  </si>
  <si>
    <t>D/XD CLASSIC LED JAR CANDLE</t>
  </si>
  <si>
    <t>40016887</t>
  </si>
  <si>
    <t>2010051704020001</t>
  </si>
  <si>
    <t>40016888</t>
  </si>
  <si>
    <t>2010051703220001</t>
  </si>
  <si>
    <t>40016889</t>
  </si>
  <si>
    <t>2010041098170115</t>
  </si>
  <si>
    <t>DCRTV BLLS CRM FLRAL PAISLEY</t>
  </si>
  <si>
    <t>40017336</t>
  </si>
  <si>
    <t>2010041098170127</t>
  </si>
  <si>
    <t>TABLETOP ACCS</t>
  </si>
  <si>
    <t>40017337</t>
  </si>
  <si>
    <t>2010041098070127</t>
  </si>
  <si>
    <t>DECORATIVE BALLS 8 CM.FLOWER P</t>
  </si>
  <si>
    <t>40017338</t>
  </si>
  <si>
    <t>2010041098020127</t>
  </si>
  <si>
    <t>40017339</t>
  </si>
  <si>
    <t>2010041098160156</t>
  </si>
  <si>
    <t>DECORATIVE BALLS MDRN FLORAL</t>
  </si>
  <si>
    <t>40017340</t>
  </si>
  <si>
    <t>2010041098100126</t>
  </si>
  <si>
    <t>40017341</t>
  </si>
  <si>
    <t>2010041098160133</t>
  </si>
  <si>
    <t>DECORATIVE BALLS 8 CM. FLORAL</t>
  </si>
  <si>
    <t>40017342</t>
  </si>
  <si>
    <t>2010042798160001</t>
  </si>
  <si>
    <t>ESS DECOR. BALLS MAGNIFICO</t>
  </si>
  <si>
    <t>40017840</t>
  </si>
  <si>
    <t>2010042798220001</t>
  </si>
  <si>
    <t>40017841</t>
  </si>
  <si>
    <t>2010042798030001</t>
  </si>
  <si>
    <t>40017842</t>
  </si>
  <si>
    <t>2010042798160002</t>
  </si>
  <si>
    <t>ESS DECOR. BALLS PALMS</t>
  </si>
  <si>
    <t>40017843</t>
  </si>
  <si>
    <t>2010042798030002</t>
  </si>
  <si>
    <t>40017844</t>
  </si>
  <si>
    <t>2010042798220002</t>
  </si>
  <si>
    <t>40017845</t>
  </si>
  <si>
    <t>2010042798160003</t>
  </si>
  <si>
    <t>ESS DECOR. BALLS HAMMERED</t>
  </si>
  <si>
    <t>40017846</t>
  </si>
  <si>
    <t>2010042798030003</t>
  </si>
  <si>
    <t>40017847</t>
  </si>
  <si>
    <t>2010042798220003</t>
  </si>
  <si>
    <t>40017848</t>
  </si>
  <si>
    <t>2010042798030004</t>
  </si>
  <si>
    <t>ESS DECOR. BALLS  ZEBRA</t>
  </si>
  <si>
    <t>40017849</t>
  </si>
  <si>
    <t>2010042798040004</t>
  </si>
  <si>
    <t>40017850</t>
  </si>
  <si>
    <t>2010042798160004</t>
  </si>
  <si>
    <t>40017851</t>
  </si>
  <si>
    <t>2010042798180005</t>
  </si>
  <si>
    <t>ESS DECOR. BALLS XAVI</t>
  </si>
  <si>
    <t>40017852</t>
  </si>
  <si>
    <t>2010042798160005</t>
  </si>
  <si>
    <t>40017853</t>
  </si>
  <si>
    <t>2010042798180006</t>
  </si>
  <si>
    <t>ESS DECOR. BALLS  XAMIRA</t>
  </si>
  <si>
    <t>40017855</t>
  </si>
  <si>
    <t>2010042798160006</t>
  </si>
  <si>
    <t>40017856</t>
  </si>
  <si>
    <t>2010042798180007</t>
  </si>
  <si>
    <t>ESS DECOR. BALLS  XANTHIA</t>
  </si>
  <si>
    <t>40017858</t>
  </si>
  <si>
    <t>2010042798160007</t>
  </si>
  <si>
    <t>40017859</t>
  </si>
  <si>
    <t>2010042798030008</t>
  </si>
  <si>
    <t>ESS DECOR. BALLS  TROPICS</t>
  </si>
  <si>
    <t>40017861</t>
  </si>
  <si>
    <t>2010042798040008</t>
  </si>
  <si>
    <t>40017862</t>
  </si>
  <si>
    <t>2010042798160008</t>
  </si>
  <si>
    <t>40017863</t>
  </si>
  <si>
    <t>2010042798030009</t>
  </si>
  <si>
    <t>ESS DECOR. BALLS  PAISLEY</t>
  </si>
  <si>
    <t>40017864</t>
  </si>
  <si>
    <t>2010042798040009</t>
  </si>
  <si>
    <t>40017865</t>
  </si>
  <si>
    <t>2010042798160009</t>
  </si>
  <si>
    <t>40017866</t>
  </si>
  <si>
    <t>2010010103220024</t>
  </si>
  <si>
    <t>ZELL PHOTO  FRAME 5X7</t>
  </si>
  <si>
    <t>40017546</t>
  </si>
  <si>
    <t>2010010103040024</t>
  </si>
  <si>
    <t>40017547</t>
  </si>
  <si>
    <t>2010010103160024</t>
  </si>
  <si>
    <t>40017548</t>
  </si>
  <si>
    <t>2010010103170026</t>
  </si>
  <si>
    <t>ZYRA PHOTO FRAME 5X7</t>
  </si>
  <si>
    <t>40017558</t>
  </si>
  <si>
    <t>2010010103200026</t>
  </si>
  <si>
    <t>40017559</t>
  </si>
  <si>
    <t>2010010103220026</t>
  </si>
  <si>
    <t>40017560</t>
  </si>
  <si>
    <t>2010010103170027</t>
  </si>
  <si>
    <t>ZORA PHOTO FRAME 5X7</t>
  </si>
  <si>
    <t>40017564</t>
  </si>
  <si>
    <t>2010010103160027</t>
  </si>
  <si>
    <t>40017565</t>
  </si>
  <si>
    <t>2010010103220027</t>
  </si>
  <si>
    <t>40017566</t>
  </si>
  <si>
    <t>2010050204170001</t>
  </si>
  <si>
    <t>WHITNEY ART PILLAR CANDLE 3x3</t>
  </si>
  <si>
    <t>40017365</t>
  </si>
  <si>
    <t>2010050204100001</t>
  </si>
  <si>
    <t>40017368</t>
  </si>
  <si>
    <t>2010050204040001</t>
  </si>
  <si>
    <t>40017371</t>
  </si>
  <si>
    <t>2010050204220002</t>
  </si>
  <si>
    <t>WINONA ART PILLAR CANDLE 3x3</t>
  </si>
  <si>
    <t>40017372</t>
  </si>
  <si>
    <t>2010050204100002</t>
  </si>
  <si>
    <t>40017375</t>
  </si>
  <si>
    <t>2010050204040002</t>
  </si>
  <si>
    <t>40017378</t>
  </si>
  <si>
    <t>2010050204100003</t>
  </si>
  <si>
    <t>WAVERLY QUOTES PILLAR CANDLE 3x3</t>
  </si>
  <si>
    <t>40017381</t>
  </si>
  <si>
    <t>2010050204070003</t>
  </si>
  <si>
    <t>40017384</t>
  </si>
  <si>
    <t>2010050204020003</t>
  </si>
  <si>
    <t>40017387</t>
  </si>
  <si>
    <t>2010050204100004</t>
  </si>
  <si>
    <t>WINSLET QUOTES PILLAR CANDLE 3x3</t>
  </si>
  <si>
    <t>40017392</t>
  </si>
  <si>
    <t>2010050204040004</t>
  </si>
  <si>
    <t>40017395</t>
  </si>
  <si>
    <t>2010050204020004</t>
  </si>
  <si>
    <t>40017398</t>
  </si>
  <si>
    <t>2010061204160001</t>
  </si>
  <si>
    <t>D/XE WALDORF CHROME REED DIFFUSER 150 ML.</t>
  </si>
  <si>
    <t>40017405</t>
  </si>
  <si>
    <t>2010051698160001</t>
  </si>
  <si>
    <t>D/XE WALDORF CHROME JAR CANDLE 10.5 OZ</t>
  </si>
  <si>
    <t>40017406</t>
  </si>
  <si>
    <t>2010061204020001</t>
  </si>
  <si>
    <t>40017407</t>
  </si>
  <si>
    <t>2010051698020001</t>
  </si>
  <si>
    <t>40017408</t>
  </si>
  <si>
    <t>2010061204040001</t>
  </si>
  <si>
    <t>40017409</t>
  </si>
  <si>
    <t>2010051698040001</t>
  </si>
  <si>
    <t>40017410</t>
  </si>
  <si>
    <t>2010020298180003</t>
  </si>
  <si>
    <t>ESS YANNA CLIP DESK LAMP</t>
  </si>
  <si>
    <t>40017571</t>
  </si>
  <si>
    <t>2010020298180004</t>
  </si>
  <si>
    <t>ESS YSSA BULB DESK LAMP</t>
  </si>
  <si>
    <t>40017574</t>
  </si>
  <si>
    <t>2010020298080004</t>
  </si>
  <si>
    <t>40017575</t>
  </si>
  <si>
    <t>2010061198200001</t>
  </si>
  <si>
    <t>ESS GRACELYN REVITALIZER</t>
  </si>
  <si>
    <t>40017580</t>
  </si>
  <si>
    <t>2010040698172869</t>
  </si>
  <si>
    <t>ESS WALLACE METAL LANTERN</t>
  </si>
  <si>
    <t>40018035</t>
  </si>
  <si>
    <t>2010040698222869</t>
  </si>
  <si>
    <t>40018026</t>
  </si>
  <si>
    <t>2010040598243178</t>
  </si>
  <si>
    <t>MY DIAMND PATTRN OIL BURNER</t>
  </si>
  <si>
    <t>40017621</t>
  </si>
  <si>
    <t>2010040598233178</t>
  </si>
  <si>
    <t>40017622</t>
  </si>
  <si>
    <t>2010040598243179</t>
  </si>
  <si>
    <t>MY SCALE PATTRN OIL BURNER</t>
  </si>
  <si>
    <t>40017623</t>
  </si>
  <si>
    <t>2010040598233179</t>
  </si>
  <si>
    <t>40017624</t>
  </si>
  <si>
    <t>2010060106102106</t>
  </si>
  <si>
    <t>ESS FRAG OIL 15ML LAVENDER</t>
  </si>
  <si>
    <t>40017625</t>
  </si>
  <si>
    <t>2010051098040567</t>
  </si>
  <si>
    <t>ESS JRCNDL W HNDL CTRNELLA</t>
  </si>
  <si>
    <t>40017639</t>
  </si>
  <si>
    <t>2010010298180016</t>
  </si>
  <si>
    <t>AUTUMN FAM FRAME - 3OPENING</t>
  </si>
  <si>
    <t>40018110</t>
  </si>
  <si>
    <t>2010010298160016</t>
  </si>
  <si>
    <t>40018111</t>
  </si>
  <si>
    <t>2010010298220016</t>
  </si>
  <si>
    <t>40018112</t>
  </si>
  <si>
    <t>2010070101300082</t>
  </si>
  <si>
    <t>YEN DECORATIVE PLANT A - S</t>
  </si>
  <si>
    <t>40018125</t>
  </si>
  <si>
    <t>2010070101300083</t>
  </si>
  <si>
    <t>YEN DECORATIVE PLANT B - S</t>
  </si>
  <si>
    <t>40018126</t>
  </si>
  <si>
    <t>2010070103300082</t>
  </si>
  <si>
    <t>YEN DECORATIVE PLANT A - L</t>
  </si>
  <si>
    <t>40018127</t>
  </si>
  <si>
    <t>2010030403023432</t>
  </si>
  <si>
    <t>WILLOW WALL CLOCK 12"</t>
  </si>
  <si>
    <t>40018133</t>
  </si>
  <si>
    <t>2010030403223432</t>
  </si>
  <si>
    <t>40018134</t>
  </si>
  <si>
    <t>2010030403043432</t>
  </si>
  <si>
    <t>40018135</t>
  </si>
  <si>
    <t>2010030403043433</t>
  </si>
  <si>
    <t>WISDOM WALL CLOCK 12"</t>
  </si>
  <si>
    <t>40018138</t>
  </si>
  <si>
    <t>2010030403173434</t>
  </si>
  <si>
    <t>WAVEY WALL CLOCK 12"</t>
  </si>
  <si>
    <t>40018139</t>
  </si>
  <si>
    <t>2010030403223434</t>
  </si>
  <si>
    <t>40018140</t>
  </si>
  <si>
    <t>2010030403043434</t>
  </si>
  <si>
    <t>40018141</t>
  </si>
  <si>
    <t>2010041098160227</t>
  </si>
  <si>
    <t>THE LITTLE THINGS WOOD TABLETOP DECOR</t>
  </si>
  <si>
    <t>40018249</t>
  </si>
  <si>
    <t>2010041098180227</t>
  </si>
  <si>
    <t>WAKE UP FAB WOOD TABLETOP DECOR</t>
  </si>
  <si>
    <t>40018250</t>
  </si>
  <si>
    <t>2010041098220227</t>
  </si>
  <si>
    <t>GET STARTED WOOD TABLETOP DECOR</t>
  </si>
  <si>
    <t>40018251</t>
  </si>
  <si>
    <t>2010041098180228</t>
  </si>
  <si>
    <t>STAY POSITIVE WOOD TABLETOP DECOR</t>
  </si>
  <si>
    <t>40018268</t>
  </si>
  <si>
    <t>2010041098220228</t>
  </si>
  <si>
    <t>ALWAYS SMILE WOOD TABLETOP DECOR</t>
  </si>
  <si>
    <t>40018299</t>
  </si>
  <si>
    <t>2010041098180229</t>
  </si>
  <si>
    <t>GOOD VIBES ONLY WOOD TABLETOP DECOR</t>
  </si>
  <si>
    <t>40018292</t>
  </si>
  <si>
    <t>2010041098220229</t>
  </si>
  <si>
    <t>MORE AND MORE WOOD TABLETOP DECOR</t>
  </si>
  <si>
    <t>40018295</t>
  </si>
  <si>
    <t>2010041098160230</t>
  </si>
  <si>
    <t>MATTERS MOST WOOD TABLETOP DECOR</t>
  </si>
  <si>
    <t>40018298</t>
  </si>
  <si>
    <t>2010041098180230</t>
  </si>
  <si>
    <t>LIVE LOVE LAUGH WOOD TABLETOP DECOR</t>
  </si>
  <si>
    <t>40018300</t>
  </si>
  <si>
    <t>2010041098220230</t>
  </si>
  <si>
    <t>LESS AND LESS WOOD TABLETOP DECOR</t>
  </si>
  <si>
    <t>40018301</t>
  </si>
  <si>
    <t>2010010103260032</t>
  </si>
  <si>
    <t>ZOEY PHOTO FRAME – 5X7</t>
  </si>
  <si>
    <t>40018309</t>
  </si>
  <si>
    <t>2010010103190032</t>
  </si>
  <si>
    <t>40018310</t>
  </si>
  <si>
    <t>2010010103170032</t>
  </si>
  <si>
    <t>40018311</t>
  </si>
  <si>
    <t>2010010104180033</t>
  </si>
  <si>
    <t>ZENDAYA PHOTO FRAME 8x10</t>
  </si>
  <si>
    <t>40018353</t>
  </si>
  <si>
    <t>2010010104160033</t>
  </si>
  <si>
    <t>40018372</t>
  </si>
  <si>
    <t>2010010104220033</t>
  </si>
  <si>
    <t>40018354</t>
  </si>
  <si>
    <t>2010010103170034</t>
  </si>
  <si>
    <t>ZOILA PHOTO FRAME – 5x7</t>
  </si>
  <si>
    <t>40018355</t>
  </si>
  <si>
    <t>2010010103160034</t>
  </si>
  <si>
    <t>40018356</t>
  </si>
  <si>
    <t>2010010103220034</t>
  </si>
  <si>
    <t>40018357</t>
  </si>
  <si>
    <t>2010010103180029</t>
  </si>
  <si>
    <t>ESS JANE PHOTO FRAME SET2– 5x7</t>
  </si>
  <si>
    <t>40018361</t>
  </si>
  <si>
    <t>2010010103160029</t>
  </si>
  <si>
    <t>40018362</t>
  </si>
  <si>
    <t>2010010103220029</t>
  </si>
  <si>
    <t>40018363</t>
  </si>
  <si>
    <t>2010020198178163</t>
  </si>
  <si>
    <t>MOSCOW CERAMIC TABLE LAMP</t>
  </si>
  <si>
    <t>40018576</t>
  </si>
  <si>
    <t>2010020198228163</t>
  </si>
  <si>
    <t>40018577</t>
  </si>
  <si>
    <t>2010020198178164</t>
  </si>
  <si>
    <t>MOSK CERAMIC TABLE LAMP</t>
  </si>
  <si>
    <t>40018578</t>
  </si>
  <si>
    <t>2010020198228164</t>
  </si>
  <si>
    <t>40018583</t>
  </si>
  <si>
    <t>2010060398070005</t>
  </si>
  <si>
    <t>WILD BOHEMIAN DREAM REED DIFFUSER</t>
  </si>
  <si>
    <t>40018691</t>
  </si>
  <si>
    <t>2010060398100005</t>
  </si>
  <si>
    <t>40018692</t>
  </si>
  <si>
    <t>2010060398010005</t>
  </si>
  <si>
    <t>40018693</t>
  </si>
  <si>
    <t>2010060398070006</t>
  </si>
  <si>
    <t>WISHES AND DREAMS REED DIFFUSER</t>
  </si>
  <si>
    <t>40018697</t>
  </si>
  <si>
    <t>2010060398020006</t>
  </si>
  <si>
    <t>40018698</t>
  </si>
  <si>
    <t>2010060398100006</t>
  </si>
  <si>
    <t>40018699</t>
  </si>
  <si>
    <t>2010060398030007</t>
  </si>
  <si>
    <t>WATERSIDE REED DIFFUSER</t>
  </si>
  <si>
    <t>40018703</t>
  </si>
  <si>
    <t>2010060398070007</t>
  </si>
  <si>
    <t>40018704</t>
  </si>
  <si>
    <t>2010060398130007</t>
  </si>
  <si>
    <t>40018705</t>
  </si>
  <si>
    <t>2010051098130605</t>
  </si>
  <si>
    <t>WATERSIDE JAR CANDLE</t>
  </si>
  <si>
    <t>40018708</t>
  </si>
  <si>
    <t>2010060398100008</t>
  </si>
  <si>
    <t>WISP FLUID MIND REED DIFFUSER</t>
  </si>
  <si>
    <t>40018709</t>
  </si>
  <si>
    <t>2010060398070008</t>
  </si>
  <si>
    <t>40018710</t>
  </si>
  <si>
    <t>2010060398130008</t>
  </si>
  <si>
    <t>40018711</t>
  </si>
  <si>
    <t>2010051098100606</t>
  </si>
  <si>
    <t>WISP FLUID MIND JAR CANDLES</t>
  </si>
  <si>
    <t>40018712</t>
  </si>
  <si>
    <t>2010051098070606</t>
  </si>
  <si>
    <t>40018713</t>
  </si>
  <si>
    <t>2010051098130606</t>
  </si>
  <si>
    <t>40018714</t>
  </si>
  <si>
    <t>2010070198010086</t>
  </si>
  <si>
    <t>CARA DECOR. SUCCULENT PLANT A</t>
  </si>
  <si>
    <t>40018832</t>
  </si>
  <si>
    <t>2010070198040087</t>
  </si>
  <si>
    <t>CARA DECOR. SUCCULENT PLANT B</t>
  </si>
  <si>
    <t>40018833</t>
  </si>
  <si>
    <t>2010070198040088</t>
  </si>
  <si>
    <t>CARA DECOR. SUCCULENT PLANT C</t>
  </si>
  <si>
    <t>40018834</t>
  </si>
  <si>
    <t>2010070198040089</t>
  </si>
  <si>
    <t>CARMEN DECOR. CACTUS PLANT A</t>
  </si>
  <si>
    <t>40018826</t>
  </si>
  <si>
    <t>2010070198040090</t>
  </si>
  <si>
    <t>CARMEN DECOR. CACTUS PLANT B</t>
  </si>
  <si>
    <t>40018835</t>
  </si>
  <si>
    <t>2010070198040091</t>
  </si>
  <si>
    <t>CARMEN DECOR. CACTUS PLANT C</t>
  </si>
  <si>
    <t>40018836</t>
  </si>
  <si>
    <t>2010070198040096</t>
  </si>
  <si>
    <t>CAREN DECOR. SUCCULENT PLANT A</t>
  </si>
  <si>
    <t>40018811</t>
  </si>
  <si>
    <t>2010070198040097</t>
  </si>
  <si>
    <t>CAREN DECOR. SUCCULENT PLANT B</t>
  </si>
  <si>
    <t>40018812</t>
  </si>
  <si>
    <t>2010070198040098</t>
  </si>
  <si>
    <t>CAREN DECOR. SUCCULENT PLANT C</t>
  </si>
  <si>
    <t>40018813</t>
  </si>
  <si>
    <t>2010070198030108</t>
  </si>
  <si>
    <t>COURTNEY DECOR. BELL FLOWER</t>
  </si>
  <si>
    <t>40018823</t>
  </si>
  <si>
    <t>2010070198160108</t>
  </si>
  <si>
    <t>40018824</t>
  </si>
  <si>
    <t>2010020298220003</t>
  </si>
  <si>
    <t>40019274</t>
  </si>
  <si>
    <t>2010020298220004</t>
  </si>
  <si>
    <t>40019276</t>
  </si>
  <si>
    <t>2010020298160004</t>
  </si>
  <si>
    <t>40019277</t>
  </si>
  <si>
    <t>2010030401223452</t>
  </si>
  <si>
    <t>JUST FLORAL GIFTY WALL CLOCK</t>
  </si>
  <si>
    <t>40019152</t>
  </si>
  <si>
    <t>2010030401163452</t>
  </si>
  <si>
    <t>40019153</t>
  </si>
  <si>
    <t>2010030401183453</t>
  </si>
  <si>
    <t>JUST LEAF GIFTY WALL CLOCK</t>
  </si>
  <si>
    <t>40019154</t>
  </si>
  <si>
    <t>2010030401163453</t>
  </si>
  <si>
    <t>40019155</t>
  </si>
  <si>
    <t>2010030401183454</t>
  </si>
  <si>
    <t>JUST SIMPLE  GIFTY WALL CLOCK</t>
  </si>
  <si>
    <t>40019156</t>
  </si>
  <si>
    <t>2010030401163454</t>
  </si>
  <si>
    <t>40019157</t>
  </si>
  <si>
    <t>2010030401223454</t>
  </si>
  <si>
    <t>40019158</t>
  </si>
  <si>
    <t>2010030401173454</t>
  </si>
  <si>
    <t>40019159</t>
  </si>
  <si>
    <t>2010010102200035</t>
  </si>
  <si>
    <t>DARK NATALIE PHOTO FRAME  - 4X6</t>
  </si>
  <si>
    <t>40019379</t>
  </si>
  <si>
    <t>2010010102180035</t>
  </si>
  <si>
    <t>40019401</t>
  </si>
  <si>
    <t>2010010298180019</t>
  </si>
  <si>
    <t>BROOKLYN PHOTO FRAME SET OF 2</t>
  </si>
  <si>
    <t>40019398</t>
  </si>
  <si>
    <t>2010010298160019</t>
  </si>
  <si>
    <t>40019391</t>
  </si>
  <si>
    <t>2010010298220019</t>
  </si>
  <si>
    <t>40019397</t>
  </si>
  <si>
    <t>2010010103200039</t>
  </si>
  <si>
    <t>ZOE RAW LIFE PHOTO FRAME 5X7</t>
  </si>
  <si>
    <t>40019408</t>
  </si>
  <si>
    <t>2010010103190039</t>
  </si>
  <si>
    <t>40019405</t>
  </si>
  <si>
    <t>2010010103220040</t>
  </si>
  <si>
    <t>ZENDAYA RAW LIFE PHOTO FRAME 5X7</t>
  </si>
  <si>
    <t>40019403</t>
  </si>
  <si>
    <t>2010010103200040</t>
  </si>
  <si>
    <t>40019435</t>
  </si>
  <si>
    <t>2010010103200041</t>
  </si>
  <si>
    <t>ZEDD RAW LIFE PHOTO FRAME 5X7</t>
  </si>
  <si>
    <t>40019434</t>
  </si>
  <si>
    <t>2010010103190041</t>
  </si>
  <si>
    <t>40019429</t>
  </si>
  <si>
    <t>2010010103040042</t>
  </si>
  <si>
    <t>ZELDA PASTEL SUMMER PHOTO FRAME 5X7</t>
  </si>
  <si>
    <t>40019432</t>
  </si>
  <si>
    <t>2010010103130042</t>
  </si>
  <si>
    <t>40019431</t>
  </si>
  <si>
    <t>2010050105070001</t>
  </si>
  <si>
    <t>LED CANDLE RELIGIOUS-MARY</t>
  </si>
  <si>
    <t>40012937</t>
  </si>
  <si>
    <t>2010050105030001</t>
  </si>
  <si>
    <t>LED CANDLE RELIGIOUS-JESUS</t>
  </si>
  <si>
    <t>40012938</t>
  </si>
  <si>
    <t>2010040598243159</t>
  </si>
  <si>
    <t>ESS MARGELLA DIAM. OIL BURNER</t>
  </si>
  <si>
    <t>40014089</t>
  </si>
  <si>
    <t>2010040598173159</t>
  </si>
  <si>
    <t>40014090</t>
  </si>
  <si>
    <t>2010040598163159</t>
  </si>
  <si>
    <t>40014088</t>
  </si>
  <si>
    <t>2020070103180015</t>
  </si>
  <si>
    <t>YANNA B DECORATIVE PLANTS</t>
  </si>
  <si>
    <t>40014074</t>
  </si>
  <si>
    <t>2020070103160015</t>
  </si>
  <si>
    <t>40014075</t>
  </si>
  <si>
    <t>2010070298180028</t>
  </si>
  <si>
    <t>40014671</t>
  </si>
  <si>
    <t>2010012198183199</t>
  </si>
  <si>
    <t>BENNY COLLAGE FRAME 4 OPENING</t>
  </si>
  <si>
    <t>40014939</t>
  </si>
  <si>
    <t>2010012198183200</t>
  </si>
  <si>
    <t>BENNY COLLAGE FRAME 7 OPENING</t>
  </si>
  <si>
    <t>40014940</t>
  </si>
  <si>
    <t>2010012198163199</t>
  </si>
  <si>
    <t>40014942</t>
  </si>
  <si>
    <t>2010012198163200</t>
  </si>
  <si>
    <t>40014943</t>
  </si>
  <si>
    <t>2010050105030002</t>
  </si>
  <si>
    <t>LED CANDLE RELIGIOUS-CRUCIFIXION</t>
  </si>
  <si>
    <t>40014948</t>
  </si>
  <si>
    <t>2010050105190002</t>
  </si>
  <si>
    <t>LED CANDLE RELIGIOUS-GUADALUPE</t>
  </si>
  <si>
    <t>40014949</t>
  </si>
  <si>
    <t>2010012103982991</t>
  </si>
  <si>
    <t>40013448</t>
  </si>
  <si>
    <t>2010040703185053</t>
  </si>
  <si>
    <t>ESS BALI ROUND CHOLDER 8"</t>
  </si>
  <si>
    <t>2010040703195053</t>
  </si>
  <si>
    <t>2010060198135021</t>
  </si>
  <si>
    <t>ESS INC STCK ROSE SET20</t>
  </si>
  <si>
    <t>2010060198045021</t>
  </si>
  <si>
    <t>ESS INC STCK BAMBOO SET20</t>
  </si>
  <si>
    <t>40013849</t>
  </si>
  <si>
    <t>2010060998160008</t>
  </si>
  <si>
    <t>ESS GRAHAM LUXE AROMA DIFFUSER</t>
  </si>
  <si>
    <t>40014651</t>
  </si>
  <si>
    <t>2010060998180008</t>
  </si>
  <si>
    <t>40014652</t>
  </si>
  <si>
    <t>2010060998180010</t>
  </si>
  <si>
    <t>ESS GRAHAM MODERN AROMA DIFFUSER</t>
  </si>
  <si>
    <t>40014655</t>
  </si>
  <si>
    <t>2010060998200010</t>
  </si>
  <si>
    <t>40014656</t>
  </si>
  <si>
    <t>2010060398040002</t>
  </si>
  <si>
    <t>ROMANA REED DIFFUSER 120ML</t>
  </si>
  <si>
    <t>40014897</t>
  </si>
  <si>
    <t>2010060398020002</t>
  </si>
  <si>
    <t>40014898</t>
  </si>
  <si>
    <t>2010060398170002</t>
  </si>
  <si>
    <t>40014899</t>
  </si>
  <si>
    <t>2010010804225503</t>
  </si>
  <si>
    <t>SUCCULENT SET2 CANVAS FRAME</t>
  </si>
  <si>
    <t>40014900</t>
  </si>
  <si>
    <t>2010010804045504</t>
  </si>
  <si>
    <t>BOTANY SET2 CANVAS FRAME</t>
  </si>
  <si>
    <t>40014901</t>
  </si>
  <si>
    <t>2010010898045505</t>
  </si>
  <si>
    <t>ALOE SET3 CANVAS FRAME</t>
  </si>
  <si>
    <t>40014902</t>
  </si>
  <si>
    <t>2010010804195506</t>
  </si>
  <si>
    <t>AZURE I SET2 CANVAS FRAME</t>
  </si>
  <si>
    <t>40014903</t>
  </si>
  <si>
    <t>2010010804075507</t>
  </si>
  <si>
    <t>AZURE II SET2 CANVAS FRAME</t>
  </si>
  <si>
    <t>40014904</t>
  </si>
  <si>
    <t>2010010898105508</t>
  </si>
  <si>
    <t>PURPLE SKY SET3 CANVAS FRAME</t>
  </si>
  <si>
    <t>40014905</t>
  </si>
  <si>
    <t>2010010804135509</t>
  </si>
  <si>
    <t>BEVERLY HILLS SET2 CNVAS FRAME</t>
  </si>
  <si>
    <t>40014906</t>
  </si>
  <si>
    <t>2010010804135510</t>
  </si>
  <si>
    <t>PARK BLOSSOM SET2 CANVAS FRAME</t>
  </si>
  <si>
    <t>40014907</t>
  </si>
  <si>
    <t>2010010898135511</t>
  </si>
  <si>
    <t>EIFFEL SET3 CANVAS FRAME</t>
  </si>
  <si>
    <t>40014908</t>
  </si>
  <si>
    <t>2010010804135512</t>
  </si>
  <si>
    <t>PEACH SPRING SET2 CANVAS</t>
  </si>
  <si>
    <t>40014909</t>
  </si>
  <si>
    <t>2010010804135513</t>
  </si>
  <si>
    <t>LEAF SPRING SET2 CANVAS FRAME</t>
  </si>
  <si>
    <t>40014910</t>
  </si>
  <si>
    <t>2010010898045514</t>
  </si>
  <si>
    <t>LEAF BLOSSOM SET3 CANVAS FRAME</t>
  </si>
  <si>
    <t>40014911</t>
  </si>
  <si>
    <t>2010010804075516</t>
  </si>
  <si>
    <t>WTERCOLOR HOUSE  SET2 CNVS FRM</t>
  </si>
  <si>
    <t>40014913</t>
  </si>
  <si>
    <t>2010010898075517</t>
  </si>
  <si>
    <t>WTERCOLOR WNDOWS SET3 CNVS FRM</t>
  </si>
  <si>
    <t>40014914</t>
  </si>
  <si>
    <t>2010010804225518</t>
  </si>
  <si>
    <t>CHIC VASES SET2 CANVAS FRAME</t>
  </si>
  <si>
    <t>40014915</t>
  </si>
  <si>
    <t>2010010804035519</t>
  </si>
  <si>
    <t>KITCHEN CHIC SET2 CANVAS FRAME</t>
  </si>
  <si>
    <t>40014916</t>
  </si>
  <si>
    <t>2010010898195520</t>
  </si>
  <si>
    <t>COFFEE CUP SET3 CANVAS FRAME</t>
  </si>
  <si>
    <t>40014917</t>
  </si>
  <si>
    <t>2010010898075522</t>
  </si>
  <si>
    <t>WILD FLOWER SET3 CANVAS FRAME</t>
  </si>
  <si>
    <t>40014918</t>
  </si>
  <si>
    <t>2010010898075523</t>
  </si>
  <si>
    <t>3 HUTS SET3 CANVAS FRAME</t>
  </si>
  <si>
    <t>40014919</t>
  </si>
  <si>
    <t>2010070201170030</t>
  </si>
  <si>
    <t>GRACE GEOMETRIC METAL PLANTER</t>
  </si>
  <si>
    <t>40014920</t>
  </si>
  <si>
    <t>2010070298170032</t>
  </si>
  <si>
    <t>GRACE GEO METAL PLANTER 3POTS</t>
  </si>
  <si>
    <t>40014928</t>
  </si>
  <si>
    <t>2010070298180032</t>
  </si>
  <si>
    <t>40014929</t>
  </si>
  <si>
    <t>GRACE BASIC METAL PLANTER</t>
  </si>
  <si>
    <t>2010070201180033</t>
  </si>
  <si>
    <t>40014932</t>
  </si>
  <si>
    <t>2010070203180033</t>
  </si>
  <si>
    <t>40014933</t>
  </si>
  <si>
    <t>2010042698160001</t>
  </si>
  <si>
    <t>WALDO TRPCL LED LANTERN</t>
  </si>
  <si>
    <t>40014705</t>
  </si>
  <si>
    <t>2010042698160002</t>
  </si>
  <si>
    <t>WALDO TRPCL LED LANTERN BRING ON</t>
  </si>
  <si>
    <t>40014706</t>
  </si>
  <si>
    <t>2010042698160003</t>
  </si>
  <si>
    <t>WALDO TRPCL LED LANTERN DO UR BEST</t>
  </si>
  <si>
    <t>40014707</t>
  </si>
  <si>
    <t>2010010102220004</t>
  </si>
  <si>
    <t>LIGHT NATALIE PHOTO FRAME</t>
  </si>
  <si>
    <t>40014524</t>
  </si>
  <si>
    <t>2010010103220004</t>
  </si>
  <si>
    <t>40014525</t>
  </si>
  <si>
    <t>2010010104220004</t>
  </si>
  <si>
    <t>40014526</t>
  </si>
  <si>
    <t>2010010102200004</t>
  </si>
  <si>
    <t>40014527</t>
  </si>
  <si>
    <t>2010010103200004</t>
  </si>
  <si>
    <t>40014528</t>
  </si>
  <si>
    <t>2010010104200004</t>
  </si>
  <si>
    <t>40014529</t>
  </si>
  <si>
    <t>2010010103250008</t>
  </si>
  <si>
    <t>METALLIC NATALIE B P.FRAME</t>
  </si>
  <si>
    <t>40014546</t>
  </si>
  <si>
    <t>2010010104250008</t>
  </si>
  <si>
    <t>40014547</t>
  </si>
  <si>
    <t>2010010103260008</t>
  </si>
  <si>
    <t>40014548</t>
  </si>
  <si>
    <t>2010010104260008</t>
  </si>
  <si>
    <t>40014549</t>
  </si>
  <si>
    <t>2010010103250009</t>
  </si>
  <si>
    <t>MTLC NATALIE SET OF 2 P.FRME</t>
  </si>
  <si>
    <t>40014550</t>
  </si>
  <si>
    <t>2010010104250009</t>
  </si>
  <si>
    <t>40014551</t>
  </si>
  <si>
    <t>2010010103260009</t>
  </si>
  <si>
    <t>40014552</t>
  </si>
  <si>
    <t>2010010104260009</t>
  </si>
  <si>
    <t>40014553</t>
  </si>
  <si>
    <t>2010010103180009</t>
  </si>
  <si>
    <t>40014554</t>
  </si>
  <si>
    <t>2010010104180009</t>
  </si>
  <si>
    <t>40014555</t>
  </si>
  <si>
    <t>2010010103160009</t>
  </si>
  <si>
    <t>40014556</t>
  </si>
  <si>
    <t>2010010104160009</t>
  </si>
  <si>
    <t>40014557</t>
  </si>
  <si>
    <t>2010010103180005</t>
  </si>
  <si>
    <t>MOSQUE PHOTO FRAME –  5X7</t>
  </si>
  <si>
    <t>40014531</t>
  </si>
  <si>
    <t>2010010104180005</t>
  </si>
  <si>
    <t>MOSQUE PHOTO FRAME –  8X10</t>
  </si>
  <si>
    <t>40014532</t>
  </si>
  <si>
    <t>2010010103170005</t>
  </si>
  <si>
    <t>40014534</t>
  </si>
  <si>
    <t>2010010104170005</t>
  </si>
  <si>
    <t>40014535</t>
  </si>
  <si>
    <t>2010040598193172</t>
  </si>
  <si>
    <t>SAVE NATURE CRMC OIL BURNER</t>
  </si>
  <si>
    <t>40014623</t>
  </si>
  <si>
    <t>2010040598163172</t>
  </si>
  <si>
    <t>40014624</t>
  </si>
  <si>
    <t>2010040598043172</t>
  </si>
  <si>
    <t>40014625</t>
  </si>
  <si>
    <t>2010040598223170</t>
  </si>
  <si>
    <t>SHANNON CRMC OIL BURNER</t>
  </si>
  <si>
    <t>40014626</t>
  </si>
  <si>
    <t>2010040598023170</t>
  </si>
  <si>
    <t>40014627</t>
  </si>
  <si>
    <t>2010040598043170</t>
  </si>
  <si>
    <t>40014628</t>
  </si>
  <si>
    <t>2010040598023169</t>
  </si>
  <si>
    <t>SHARON CRMC OIL BURNER</t>
  </si>
  <si>
    <t>40014617</t>
  </si>
  <si>
    <t>2010040598193169</t>
  </si>
  <si>
    <t>40014618</t>
  </si>
  <si>
    <t>2010040598133169</t>
  </si>
  <si>
    <t>40014619</t>
  </si>
  <si>
    <t>2010040598163171</t>
  </si>
  <si>
    <t>SWEET LOVE CRMC OIL BURNER</t>
  </si>
  <si>
    <t>40014620</t>
  </si>
  <si>
    <t>2010040598023171</t>
  </si>
  <si>
    <t>40014621</t>
  </si>
  <si>
    <t>2010040598133171</t>
  </si>
  <si>
    <t>40014622</t>
  </si>
  <si>
    <t>2010030404183361</t>
  </si>
  <si>
    <t>ESS RUDOLPH WALL CLOCK</t>
  </si>
  <si>
    <t>40015370</t>
  </si>
  <si>
    <t>2010030404163361</t>
  </si>
  <si>
    <t>40015371</t>
  </si>
  <si>
    <t>2010040601102519</t>
  </si>
  <si>
    <t>GISELLE GLASS CANDLE HOLDER</t>
  </si>
  <si>
    <t>40015372</t>
  </si>
  <si>
    <t>2010040603102519</t>
  </si>
  <si>
    <t>40015373</t>
  </si>
  <si>
    <t>2010040601022519</t>
  </si>
  <si>
    <t>40015374</t>
  </si>
  <si>
    <t>2010040603022519</t>
  </si>
  <si>
    <t>40015375</t>
  </si>
  <si>
    <t>2010040601102520</t>
  </si>
  <si>
    <t>GIANNA GLASS CANDLE HOLDER</t>
  </si>
  <si>
    <t>40015376</t>
  </si>
  <si>
    <t>2010040603102520</t>
  </si>
  <si>
    <t>40015377</t>
  </si>
  <si>
    <t>2010040601222520</t>
  </si>
  <si>
    <t>40015378</t>
  </si>
  <si>
    <t>2010040603222520</t>
  </si>
  <si>
    <t>40015379</t>
  </si>
  <si>
    <t>2010040601222517</t>
  </si>
  <si>
    <t>GEORGIA GLASS CANDLE HOLDER</t>
  </si>
  <si>
    <t>40015380</t>
  </si>
  <si>
    <t>2010040603222517</t>
  </si>
  <si>
    <t>40015381</t>
  </si>
  <si>
    <t>2010040601132517</t>
  </si>
  <si>
    <t>40015382</t>
  </si>
  <si>
    <t>2010040603132517</t>
  </si>
  <si>
    <t>40015383</t>
  </si>
  <si>
    <t>2010012098988177</t>
  </si>
  <si>
    <t>D/XC BAYROSE FRAMED WALL ART</t>
  </si>
  <si>
    <t>40015438</t>
  </si>
  <si>
    <t>2010012098988178</t>
  </si>
  <si>
    <t>D/XC BELLADONA FRAMED WALL ART</t>
  </si>
  <si>
    <t>40015560</t>
  </si>
  <si>
    <t>2010010898045497</t>
  </si>
  <si>
    <t>CLASSICAL LEAVES 5N1 CANVAS SET</t>
  </si>
  <si>
    <t>40015561</t>
  </si>
  <si>
    <t>2010010898135499</t>
  </si>
  <si>
    <t>DREAMY OUTDOOR 5N1 CANVAS SET</t>
  </si>
  <si>
    <t>40015562</t>
  </si>
  <si>
    <t>2010010898135500</t>
  </si>
  <si>
    <t>DRMY OUTDR BLSMS 5N1 CANVAS SET</t>
  </si>
  <si>
    <t>40015563</t>
  </si>
  <si>
    <t>2010010798160009</t>
  </si>
  <si>
    <t>WALL FRAME PINK FACES</t>
  </si>
  <si>
    <t>40015564</t>
  </si>
  <si>
    <t>2010010798180010</t>
  </si>
  <si>
    <t>WALL FRAME PNK &amp; BLK CIRCLES</t>
  </si>
  <si>
    <t>40015565</t>
  </si>
  <si>
    <t>2010010798160011</t>
  </si>
  <si>
    <t>WALL FRAME PINK ABSTRACTION</t>
  </si>
  <si>
    <t>40015566</t>
  </si>
  <si>
    <t>2010010798180012</t>
  </si>
  <si>
    <t>WALL FRAME PINK WAVES</t>
  </si>
  <si>
    <t>40015567</t>
  </si>
  <si>
    <t>2010012103222992</t>
  </si>
  <si>
    <t>PALOMA PHOTO FRAME</t>
  </si>
  <si>
    <t>40015568</t>
  </si>
  <si>
    <t>2010012104222992</t>
  </si>
  <si>
    <t>40015569</t>
  </si>
  <si>
    <t>2010012103042993</t>
  </si>
  <si>
    <t>40015570</t>
  </si>
  <si>
    <t>2010012104042993</t>
  </si>
  <si>
    <t>40015571</t>
  </si>
  <si>
    <t>2010012103022994</t>
  </si>
  <si>
    <t>40015572</t>
  </si>
  <si>
    <t>2010012104022994</t>
  </si>
  <si>
    <t>40015573</t>
  </si>
  <si>
    <t>2010012103222995</t>
  </si>
  <si>
    <t>PANDORA PHOTO FRAME</t>
  </si>
  <si>
    <t>40015574</t>
  </si>
  <si>
    <t>2010012104222995</t>
  </si>
  <si>
    <t>40015575</t>
  </si>
  <si>
    <t>2010012103042996</t>
  </si>
  <si>
    <t>40015576</t>
  </si>
  <si>
    <t>2010012104042996</t>
  </si>
  <si>
    <t>40015577</t>
  </si>
  <si>
    <t>2010012103022997</t>
  </si>
  <si>
    <t>40015578</t>
  </si>
  <si>
    <t>2010012104022997</t>
  </si>
  <si>
    <t>40015579</t>
  </si>
  <si>
    <t>2010012103222998</t>
  </si>
  <si>
    <t>PINIOR PHOTO FRAME</t>
  </si>
  <si>
    <t>40015580</t>
  </si>
  <si>
    <t>2010012104222998</t>
  </si>
  <si>
    <t>40015581</t>
  </si>
  <si>
    <t>2010012103042999</t>
  </si>
  <si>
    <t>40015582</t>
  </si>
  <si>
    <t>2010012104042999</t>
  </si>
  <si>
    <t>40015583</t>
  </si>
  <si>
    <t>2010012103133000</t>
  </si>
  <si>
    <t>40015584</t>
  </si>
  <si>
    <t>2010012104133000</t>
  </si>
  <si>
    <t>40015585</t>
  </si>
  <si>
    <t>2010012198223229</t>
  </si>
  <si>
    <t>PROSECCO SET 5 FAMILY FRAME</t>
  </si>
  <si>
    <t>40015586</t>
  </si>
  <si>
    <t>2010012198223230</t>
  </si>
  <si>
    <t>PROSECCO SET 9 FAMILY FRAME</t>
  </si>
  <si>
    <t>40015587</t>
  </si>
  <si>
    <t>2010012198043231</t>
  </si>
  <si>
    <t>40015588</t>
  </si>
  <si>
    <t>2010012198043232</t>
  </si>
  <si>
    <t>40015589</t>
  </si>
  <si>
    <t>2010012198023233</t>
  </si>
  <si>
    <t>40015590</t>
  </si>
  <si>
    <t>2010012198023234</t>
  </si>
  <si>
    <t>40015591</t>
  </si>
  <si>
    <t>2010012101198175</t>
  </si>
  <si>
    <t>D/XC BRANDY FOIL FRM W.ART</t>
  </si>
  <si>
    <t>40015592</t>
  </si>
  <si>
    <t>2010012101198176</t>
  </si>
  <si>
    <t>D/XC BEATRICE PRINT FRM W.ART</t>
  </si>
  <si>
    <t>40015593</t>
  </si>
  <si>
    <t>2010030198021181</t>
  </si>
  <si>
    <t>ANGIE  ROUND TABLE CLOCK</t>
  </si>
  <si>
    <t>40015594</t>
  </si>
  <si>
    <t>2010030198191181</t>
  </si>
  <si>
    <t>40015595</t>
  </si>
  <si>
    <t>2010030198131181</t>
  </si>
  <si>
    <t>40015596</t>
  </si>
  <si>
    <t>2010030198171180</t>
  </si>
  <si>
    <t>40015601</t>
  </si>
  <si>
    <t>2010030198181180</t>
  </si>
  <si>
    <t>40015602</t>
  </si>
  <si>
    <t>2010030498133389</t>
  </si>
  <si>
    <t>JARIUS EARTH TONED W.CLOCK</t>
  </si>
  <si>
    <t>40015603</t>
  </si>
  <si>
    <t>2010030498193389</t>
  </si>
  <si>
    <t>40015604</t>
  </si>
  <si>
    <t>2010030498223390</t>
  </si>
  <si>
    <t>JERICHO EARTH TONES W.CLOCK</t>
  </si>
  <si>
    <t>40015605</t>
  </si>
  <si>
    <t>2010030498023390</t>
  </si>
  <si>
    <t>40015606</t>
  </si>
  <si>
    <t>2010030498133391</t>
  </si>
  <si>
    <t>JOHNY EARTH TONED W.CLOCK</t>
  </si>
  <si>
    <t>40015607</t>
  </si>
  <si>
    <t>2010030498193391</t>
  </si>
  <si>
    <t>40015608</t>
  </si>
  <si>
    <t>2010030498203392</t>
  </si>
  <si>
    <t>NATURALIST A WALL CLOCK</t>
  </si>
  <si>
    <t>40015612</t>
  </si>
  <si>
    <t>2010030498203393</t>
  </si>
  <si>
    <t>NATURALIST B WALL CLOCK</t>
  </si>
  <si>
    <t>40015613</t>
  </si>
  <si>
    <t>2010030498203394</t>
  </si>
  <si>
    <t>NATURALIST C WALL CLOCK</t>
  </si>
  <si>
    <t>40015614</t>
  </si>
  <si>
    <t>2010030498203395</t>
  </si>
  <si>
    <t>40015615</t>
  </si>
  <si>
    <t>2010030498183403</t>
  </si>
  <si>
    <t>DEW WALL CLOCK</t>
  </si>
  <si>
    <t>40015616</t>
  </si>
  <si>
    <t>2010030498163403</t>
  </si>
  <si>
    <t>40015617</t>
  </si>
  <si>
    <t>2010030498163401</t>
  </si>
  <si>
    <t>ESS JESSIKA LUM. WALL CLOCK</t>
  </si>
  <si>
    <t>40015618</t>
  </si>
  <si>
    <t>2010030498183401</t>
  </si>
  <si>
    <t>40015619</t>
  </si>
  <si>
    <t>2010030498183414</t>
  </si>
  <si>
    <t>ESS WALLACE WALL CLOCK</t>
  </si>
  <si>
    <t>40015620</t>
  </si>
  <si>
    <t>2010030498163414</t>
  </si>
  <si>
    <t>40015621</t>
  </si>
  <si>
    <t>2010030498173414</t>
  </si>
  <si>
    <t>40015622</t>
  </si>
  <si>
    <t>2010030498223414</t>
  </si>
  <si>
    <t>40015623</t>
  </si>
  <si>
    <t>2010040598023162</t>
  </si>
  <si>
    <t>MARIETTA PLAID CRMC OIL BURNER</t>
  </si>
  <si>
    <t>40015681</t>
  </si>
  <si>
    <t>2010040598103162</t>
  </si>
  <si>
    <t>40015682</t>
  </si>
  <si>
    <t>2010040598133162</t>
  </si>
  <si>
    <t>40015683</t>
  </si>
  <si>
    <t>2010040598023161</t>
  </si>
  <si>
    <t>ESS MARIETTA GEO. OIL BURNER</t>
  </si>
  <si>
    <t>40015684</t>
  </si>
  <si>
    <t>2010040598133161</t>
  </si>
  <si>
    <t>40015685</t>
  </si>
  <si>
    <t>2010040598193161</t>
  </si>
  <si>
    <t>40015686</t>
  </si>
  <si>
    <t>2010040598023163</t>
  </si>
  <si>
    <t>MARINA FRESH CRMC OIL BRUNER</t>
  </si>
  <si>
    <t>40015687</t>
  </si>
  <si>
    <t>2010040598043163</t>
  </si>
  <si>
    <t>40015688</t>
  </si>
  <si>
    <t>2010040598163163</t>
  </si>
  <si>
    <t>40015689</t>
  </si>
  <si>
    <t>2010040598023164</t>
  </si>
  <si>
    <t>MARINA GEO CRMC OIL BURNER</t>
  </si>
  <si>
    <t>40015690</t>
  </si>
  <si>
    <t>2010040598043164</t>
  </si>
  <si>
    <t>40015691</t>
  </si>
  <si>
    <t>2010040598163164</t>
  </si>
  <si>
    <t>40015692</t>
  </si>
  <si>
    <t>2010040598223175</t>
  </si>
  <si>
    <t>CACTUS CERAMIC OIL BURNER A</t>
  </si>
  <si>
    <t>40015702</t>
  </si>
  <si>
    <t>2010040598043175</t>
  </si>
  <si>
    <t>40015703</t>
  </si>
  <si>
    <t>2010040598163175</t>
  </si>
  <si>
    <t>40015704</t>
  </si>
  <si>
    <t>2010010899045544</t>
  </si>
  <si>
    <t>BLOOMING SCCULENT 5N1 CNVS SET</t>
  </si>
  <si>
    <t>40015626</t>
  </si>
  <si>
    <t>2010010899165545</t>
  </si>
  <si>
    <t>LIVE LIFE N COLOR 5N1 CNVS SET</t>
  </si>
  <si>
    <t>40015627</t>
  </si>
  <si>
    <t>2010010899185546</t>
  </si>
  <si>
    <t>NEON SIGNS 5N1 CNVS SET</t>
  </si>
  <si>
    <t>40015628</t>
  </si>
  <si>
    <t>2010010899195547</t>
  </si>
  <si>
    <t>MORNING COFFEE 5N1 CNVS SET</t>
  </si>
  <si>
    <t>40015629</t>
  </si>
  <si>
    <t>2010010899075548</t>
  </si>
  <si>
    <t>5548CITY SCAPES 5N1 CNVS SET</t>
  </si>
  <si>
    <t>40015630</t>
  </si>
  <si>
    <t>2010010899165549</t>
  </si>
  <si>
    <t>TIME FOR TEA 5N1 CNVS SET</t>
  </si>
  <si>
    <t>40015631</t>
  </si>
  <si>
    <t>2010010899185550</t>
  </si>
  <si>
    <t>CIRCLES ABSTACT 5N1 CNVS SET</t>
  </si>
  <si>
    <t>40015632</t>
  </si>
  <si>
    <t>2010010899045551</t>
  </si>
  <si>
    <t>GROWING NATURE 5N1 CNVS SET</t>
  </si>
  <si>
    <t>40015633</t>
  </si>
  <si>
    <t>2010010899195552</t>
  </si>
  <si>
    <t>COFFEE TIME 5N1 CNVS SET</t>
  </si>
  <si>
    <t>40015634</t>
  </si>
  <si>
    <t>2010010899075553</t>
  </si>
  <si>
    <t>ADVENTURE AWAITS 5N1 CNVS SET</t>
  </si>
  <si>
    <t>40015635</t>
  </si>
  <si>
    <t>2010010899225554</t>
  </si>
  <si>
    <t>RIDE W/ THE WAVES 5N1 CNVS SET</t>
  </si>
  <si>
    <t>40015636</t>
  </si>
  <si>
    <t>2010010899985555</t>
  </si>
  <si>
    <t>COLOR QUOTES 5N1 CNVS SET</t>
  </si>
  <si>
    <t>40015637</t>
  </si>
  <si>
    <t>2010020101268143</t>
  </si>
  <si>
    <t>GRAE TABLE LAMP</t>
  </si>
  <si>
    <t>40015638</t>
  </si>
  <si>
    <t>2010020101258143</t>
  </si>
  <si>
    <t>40015639</t>
  </si>
  <si>
    <t>2010020102258144</t>
  </si>
  <si>
    <t>ROUND GREE TABLE LAMP</t>
  </si>
  <si>
    <t>40015640</t>
  </si>
  <si>
    <t>2010020102268144</t>
  </si>
  <si>
    <t>40015641</t>
  </si>
  <si>
    <t>2010020101258144</t>
  </si>
  <si>
    <t>40015642</t>
  </si>
  <si>
    <t>2010020101268144</t>
  </si>
  <si>
    <t>40015643</t>
  </si>
  <si>
    <t>2010020101178145</t>
  </si>
  <si>
    <t>GLENDA CERAMIC TABLE LAMP</t>
  </si>
  <si>
    <t>40015644</t>
  </si>
  <si>
    <t>2010020101168145</t>
  </si>
  <si>
    <t>40015645</t>
  </si>
  <si>
    <t>2010020101188145</t>
  </si>
  <si>
    <t>40015646</t>
  </si>
  <si>
    <t>2010020103178146</t>
  </si>
  <si>
    <t>GLAIZA CERAMIC TABLE LAMP</t>
  </si>
  <si>
    <t>40015647</t>
  </si>
  <si>
    <t>2010020103168146</t>
  </si>
  <si>
    <t>40015648</t>
  </si>
  <si>
    <t>2010020103188146</t>
  </si>
  <si>
    <t>40015649</t>
  </si>
  <si>
    <t>2030030198137071</t>
  </si>
  <si>
    <t>REUSABLE / ADJUSTABLE BEST COLLECTION ICE SILK MASK</t>
  </si>
  <si>
    <t>40015705</t>
  </si>
  <si>
    <t>2030030198237071</t>
  </si>
  <si>
    <t>40015706</t>
  </si>
  <si>
    <t>2030030198187071</t>
  </si>
  <si>
    <t>40015707</t>
  </si>
  <si>
    <t>2030030198137072</t>
  </si>
  <si>
    <t>REUSABLE ESSENTIAL ICE SILK MASK</t>
  </si>
  <si>
    <t>40015708</t>
  </si>
  <si>
    <t>2030030198237072</t>
  </si>
  <si>
    <t>40015709</t>
  </si>
  <si>
    <t>2030030198187072</t>
  </si>
  <si>
    <t>40015710</t>
  </si>
  <si>
    <t>2030030198077073</t>
  </si>
  <si>
    <t>REUSABLE / ADJUSTABLE BLOSSOMS AUDREY COTTON PRINTED MASK</t>
  </si>
  <si>
    <t>40015711</t>
  </si>
  <si>
    <t>2030030198247073</t>
  </si>
  <si>
    <t>40015712</t>
  </si>
  <si>
    <t>2030030198137073</t>
  </si>
  <si>
    <t>40015713</t>
  </si>
  <si>
    <t>2030030198087074</t>
  </si>
  <si>
    <t>REUSABLE / THREE-LAYER CARTOON PRINTED MASK</t>
  </si>
  <si>
    <t>40015714</t>
  </si>
  <si>
    <t>2030030198227074</t>
  </si>
  <si>
    <t>40015715</t>
  </si>
  <si>
    <t>2030030198027074</t>
  </si>
  <si>
    <t>40015716</t>
  </si>
  <si>
    <t>2030030198177075</t>
  </si>
  <si>
    <t>REUSABLE / WITH BREATHING VALVECLOTH MASK</t>
  </si>
  <si>
    <t>40015717</t>
  </si>
  <si>
    <t>2030030198197075</t>
  </si>
  <si>
    <t>40015718</t>
  </si>
  <si>
    <t>2030030198227075</t>
  </si>
  <si>
    <t>40015719</t>
  </si>
  <si>
    <t>2010010898075524</t>
  </si>
  <si>
    <t>XYLA BEACH PLS CNVS FRM SET 2</t>
  </si>
  <si>
    <t>40015661</t>
  </si>
  <si>
    <t>2010010898075525</t>
  </si>
  <si>
    <t>XYLA SMMER LVNG CNVS FRM SET 2</t>
  </si>
  <si>
    <t>40015662</t>
  </si>
  <si>
    <t>2010010898035526</t>
  </si>
  <si>
    <t>XYLA YLLOW PALM CNVS FRM SET 2</t>
  </si>
  <si>
    <t>40015663</t>
  </si>
  <si>
    <t>2010010898025527</t>
  </si>
  <si>
    <t>XYLA PEACH PALM CNVS FRM SET 2</t>
  </si>
  <si>
    <t>40015664</t>
  </si>
  <si>
    <t>2010010898025528</t>
  </si>
  <si>
    <t>XVIER HELLO SMR CNVS FRM SET 2</t>
  </si>
  <si>
    <t>40015665</t>
  </si>
  <si>
    <t>2010010898035529</t>
  </si>
  <si>
    <t>XVIER LST N PRDS CNVS FRM SET2</t>
  </si>
  <si>
    <t>40015666</t>
  </si>
  <si>
    <t>2010010898025530</t>
  </si>
  <si>
    <t>XANDRA MOMENT CANVAS FRM SET 2</t>
  </si>
  <si>
    <t>40015667</t>
  </si>
  <si>
    <t>2010010898025531</t>
  </si>
  <si>
    <t>XANDRA WAKE UP CNVAS FRM SET 2</t>
  </si>
  <si>
    <t>40015668</t>
  </si>
  <si>
    <t>2010010898195532</t>
  </si>
  <si>
    <t>XIA KITCHEN SET CNVS FRM SET 2</t>
  </si>
  <si>
    <t>40015669</t>
  </si>
  <si>
    <t>2010010898045533</t>
  </si>
  <si>
    <t>XIA BUT FRST COFE CNVSFRM SET2</t>
  </si>
  <si>
    <t>40015670</t>
  </si>
  <si>
    <t>2010010898025534</t>
  </si>
  <si>
    <t>XANDRA TURBAN CANVAS FRM SET 2</t>
  </si>
  <si>
    <t>40015671</t>
  </si>
  <si>
    <t>2010010898075535</t>
  </si>
  <si>
    <t>XNDRA  RED SUNGLS CNVSFRM SET2</t>
  </si>
  <si>
    <t>40015672</t>
  </si>
  <si>
    <t>2010010898135536</t>
  </si>
  <si>
    <t>XVIER BRN 2 B WLD CNVSFRM SET2</t>
  </si>
  <si>
    <t>40015673</t>
  </si>
  <si>
    <t>2010010898075537</t>
  </si>
  <si>
    <t>XVIER WLK ON THE CNVS FRM SET2</t>
  </si>
  <si>
    <t>40015674</t>
  </si>
  <si>
    <t>2010010898165538</t>
  </si>
  <si>
    <t>XENA LVE&amp;HME FLRL CNVSFRM SET2</t>
  </si>
  <si>
    <t>40015675</t>
  </si>
  <si>
    <t>2010010898165539</t>
  </si>
  <si>
    <t>XENA DREAM LOVE CNVS FRM SET 2</t>
  </si>
  <si>
    <t>40015676</t>
  </si>
  <si>
    <t>2010010898165540</t>
  </si>
  <si>
    <t>XENA LIFE BLNCE CNVS FRM SET 2</t>
  </si>
  <si>
    <t>40015677</t>
  </si>
  <si>
    <t>2010010898165541</t>
  </si>
  <si>
    <t>XENA LFE IS BTFUL CNVSFRM SET2</t>
  </si>
  <si>
    <t>40015678</t>
  </si>
  <si>
    <t>2010010898105542</t>
  </si>
  <si>
    <t>40015679</t>
  </si>
  <si>
    <t>2010010898195543</t>
  </si>
  <si>
    <t>XIA HOT COFFEE CNVAS FRM SET 2</t>
  </si>
  <si>
    <t>40015680</t>
  </si>
  <si>
    <t>2010051601161818</t>
  </si>
  <si>
    <t>D/XD KINA GLASS JAR CANDLE</t>
  </si>
  <si>
    <t>40015656</t>
  </si>
  <si>
    <t>2010051601181818</t>
  </si>
  <si>
    <t>40015657</t>
  </si>
  <si>
    <t>2010051602161819</t>
  </si>
  <si>
    <t>D/XD KENDAL JAR CANDLE</t>
  </si>
  <si>
    <t>40015658</t>
  </si>
  <si>
    <t>2010051602181819</t>
  </si>
  <si>
    <t>40015659</t>
  </si>
  <si>
    <t>2010040601022521</t>
  </si>
  <si>
    <t>GENEVA GLASS CANDLE HOLDER</t>
  </si>
  <si>
    <t>40014584</t>
  </si>
  <si>
    <t>2010040601022522</t>
  </si>
  <si>
    <t>GABRIELLA GLASS CANDLE HOLDER</t>
  </si>
  <si>
    <t>40014588</t>
  </si>
  <si>
    <t>2010040601042518</t>
  </si>
  <si>
    <t>GRIZELDA GLASS CANDLE HOLDER</t>
  </si>
  <si>
    <t>40014570</t>
  </si>
  <si>
    <t>2010040601042521</t>
  </si>
  <si>
    <t>40014582</t>
  </si>
  <si>
    <t>2010040601042522</t>
  </si>
  <si>
    <t>2010040601302518</t>
  </si>
  <si>
    <t>40014572</t>
  </si>
  <si>
    <t>2010040603022521</t>
  </si>
  <si>
    <t>40014585</t>
  </si>
  <si>
    <t>2010040603022522</t>
  </si>
  <si>
    <t>40014589</t>
  </si>
  <si>
    <t>2010040603042518</t>
  </si>
  <si>
    <t>40014571</t>
  </si>
  <si>
    <t>2010040603042521</t>
  </si>
  <si>
    <t>40014583</t>
  </si>
  <si>
    <t>2010040603042522</t>
  </si>
  <si>
    <t>40014587</t>
  </si>
  <si>
    <t>2010040603302518</t>
  </si>
  <si>
    <t>40014573</t>
  </si>
  <si>
    <t>2010050102170001</t>
  </si>
  <si>
    <t>MED LED JAR CNDL CLASSIC</t>
  </si>
  <si>
    <t>40012864</t>
  </si>
  <si>
    <t>2010050102220001</t>
  </si>
  <si>
    <t>40012866</t>
  </si>
  <si>
    <t>2010050103170001</t>
  </si>
  <si>
    <t>XS LED JAR CNDL CLASSIC</t>
  </si>
  <si>
    <t>40012865</t>
  </si>
  <si>
    <t>2010050103220001</t>
  </si>
  <si>
    <t>40012867</t>
  </si>
  <si>
    <t>2010020198224165</t>
  </si>
  <si>
    <t>ZANDER TABLE LAMP</t>
  </si>
  <si>
    <t>40015749</t>
  </si>
  <si>
    <t>2010020198194165</t>
  </si>
  <si>
    <t>40015750</t>
  </si>
  <si>
    <t>2010020198024165</t>
  </si>
  <si>
    <t>40015751</t>
  </si>
  <si>
    <t>2010020198224166</t>
  </si>
  <si>
    <t>ZACHARY TABLE LAMP</t>
  </si>
  <si>
    <t>40015752</t>
  </si>
  <si>
    <t>2010020198194166</t>
  </si>
  <si>
    <t>40015753</t>
  </si>
  <si>
    <t>2010020198024166</t>
  </si>
  <si>
    <t>40015754</t>
  </si>
  <si>
    <t>2010020198100001</t>
  </si>
  <si>
    <t>GABBIE SQRE PRNTD T.LAMP</t>
  </si>
  <si>
    <t>40015755</t>
  </si>
  <si>
    <t>2010020198040001</t>
  </si>
  <si>
    <t>40015756</t>
  </si>
  <si>
    <t>2010020198020001</t>
  </si>
  <si>
    <t>40015757</t>
  </si>
  <si>
    <t>2010010898075496</t>
  </si>
  <si>
    <t>BLUE DREAMS 5N1 CANVAS SET</t>
  </si>
  <si>
    <t>40015758</t>
  </si>
  <si>
    <t>2010010898075498</t>
  </si>
  <si>
    <t>SEASCAPE VIEW 5N1 CANVAS SET</t>
  </si>
  <si>
    <t>40015759</t>
  </si>
  <si>
    <t>2010010898195501</t>
  </si>
  <si>
    <t>COFFEE LOVE 5N1 CANVAS SET</t>
  </si>
  <si>
    <t>40015760</t>
  </si>
  <si>
    <t>2010030498073415</t>
  </si>
  <si>
    <t>WAYNE WALL CLOCK</t>
  </si>
  <si>
    <t>40015364</t>
  </si>
  <si>
    <t>2010030498043415</t>
  </si>
  <si>
    <t>40015363</t>
  </si>
  <si>
    <t>2010030498023415</t>
  </si>
  <si>
    <t>40015362</t>
  </si>
  <si>
    <t>2010030498073416</t>
  </si>
  <si>
    <t>WILLAR WALL CLOCK</t>
  </si>
  <si>
    <t>40015367</t>
  </si>
  <si>
    <t>2010030498043416</t>
  </si>
  <si>
    <t>40015366</t>
  </si>
  <si>
    <t>2010030498023416</t>
  </si>
  <si>
    <t>40015365</t>
  </si>
  <si>
    <t>2010050101170001</t>
  </si>
  <si>
    <t>SMALL LED JAR CNDL CLASSIC</t>
  </si>
  <si>
    <t>40015765</t>
  </si>
  <si>
    <t>2010050101220001</t>
  </si>
  <si>
    <t>40015766</t>
  </si>
  <si>
    <t>2010070101180020</t>
  </si>
  <si>
    <t>DILLY FAUX PLANT SMALL</t>
  </si>
  <si>
    <t>40014649</t>
  </si>
  <si>
    <t>2010041098180005</t>
  </si>
  <si>
    <t>STTMTNT TBLTP LIVE LOVE LAUGH</t>
  </si>
  <si>
    <t>40016409</t>
  </si>
  <si>
    <t>2010041098180006</t>
  </si>
  <si>
    <t>STTMNT TBLTP FLLW UR DRMS</t>
  </si>
  <si>
    <t>40016410</t>
  </si>
  <si>
    <t>2010041098170007</t>
  </si>
  <si>
    <t>STTMNT TBLTP DO WHAT U LOVE</t>
  </si>
  <si>
    <t>40016411</t>
  </si>
  <si>
    <t>2010041098170008</t>
  </si>
  <si>
    <t>STTMNT TBLTP DNCE IN THE RAIN</t>
  </si>
  <si>
    <t>40016412</t>
  </si>
  <si>
    <t>2010040604162871</t>
  </si>
  <si>
    <t>WANDA METAL LANTERN</t>
  </si>
  <si>
    <t>40016413</t>
  </si>
  <si>
    <t>2010040604132871</t>
  </si>
  <si>
    <t>40016414</t>
  </si>
  <si>
    <t>2010040604072871</t>
  </si>
  <si>
    <t>40016415</t>
  </si>
  <si>
    <t>2010040604162872</t>
  </si>
  <si>
    <t>WILLIAM METAL LANTERN</t>
  </si>
  <si>
    <t>40016416</t>
  </si>
  <si>
    <t>2010040604132872</t>
  </si>
  <si>
    <t>40016417</t>
  </si>
  <si>
    <t>2010040604072872</t>
  </si>
  <si>
    <t>40016418</t>
  </si>
  <si>
    <t>2010020198298136</t>
  </si>
  <si>
    <t>LOUISE METAL TABLE LAMP</t>
  </si>
  <si>
    <t>40016419</t>
  </si>
  <si>
    <t>2010020198288136</t>
  </si>
  <si>
    <t>40016421</t>
  </si>
  <si>
    <t>2010020198298137</t>
  </si>
  <si>
    <t>LARYNX METAL TABLE LAMP</t>
  </si>
  <si>
    <t>40016422</t>
  </si>
  <si>
    <t>2010020198288137</t>
  </si>
  <si>
    <t>LARYNX METAL TABLE LAMP LAMPS TABLE LAMP</t>
  </si>
  <si>
    <t>40016423</t>
  </si>
  <si>
    <t>2010020198258138</t>
  </si>
  <si>
    <t>LUTHER METAL TABLE LAMP</t>
  </si>
  <si>
    <t>40016424</t>
  </si>
  <si>
    <t>2010040698982869</t>
  </si>
  <si>
    <t>WALLACE METAL LANTERN</t>
  </si>
  <si>
    <t>40016471</t>
  </si>
  <si>
    <t>2010040604162870</t>
  </si>
  <si>
    <t>WILMA METAL LANTERN</t>
  </si>
  <si>
    <t>40016472</t>
  </si>
  <si>
    <t>2010040604262870</t>
  </si>
  <si>
    <t>40016473</t>
  </si>
  <si>
    <t>2010040604172870</t>
  </si>
  <si>
    <t>40016474</t>
  </si>
  <si>
    <t>MODERNO CRMC VASE</t>
  </si>
  <si>
    <t>2010040903177143</t>
  </si>
  <si>
    <t>40016477</t>
  </si>
  <si>
    <t>2010040901227143</t>
  </si>
  <si>
    <t>40016478</t>
  </si>
  <si>
    <t>2010040902227143</t>
  </si>
  <si>
    <t>40016479</t>
  </si>
  <si>
    <t>2010040903227143</t>
  </si>
  <si>
    <t>40016480</t>
  </si>
  <si>
    <t>2010040901247140</t>
  </si>
  <si>
    <t>TERRACOTTA ESNTL CRMC VASE</t>
  </si>
  <si>
    <t>40016481</t>
  </si>
  <si>
    <t>2010040902247140</t>
  </si>
  <si>
    <t>40016482</t>
  </si>
  <si>
    <t>2010040903247140</t>
  </si>
  <si>
    <t>40016483</t>
  </si>
  <si>
    <t>2010040902237141</t>
  </si>
  <si>
    <t>40016485</t>
  </si>
  <si>
    <t>2010041098160072</t>
  </si>
  <si>
    <t>ATHME TBLETOPACCESS  FS WHI</t>
  </si>
  <si>
    <t>40016487</t>
  </si>
  <si>
    <t>2010041098180072</t>
  </si>
  <si>
    <t>REINER LED TABLE TOP</t>
  </si>
  <si>
    <t>40016488</t>
  </si>
  <si>
    <t>2010041098160073</t>
  </si>
  <si>
    <t>REINER CROSS LED TABLE TOP</t>
  </si>
  <si>
    <t>40016489</t>
  </si>
  <si>
    <t>2010041098180073</t>
  </si>
  <si>
    <t>40016490</t>
  </si>
  <si>
    <t>2010020198288138</t>
  </si>
  <si>
    <t>40016469</t>
  </si>
  <si>
    <t>2010030498013402</t>
  </si>
  <si>
    <t>ESS MODERN LUMIN. WALL CLOCK</t>
  </si>
  <si>
    <t>40016507</t>
  </si>
  <si>
    <t>2010030498183402</t>
  </si>
  <si>
    <t>ESS MODERN LUMINOUS WALL CLOCK</t>
  </si>
  <si>
    <t>40016508</t>
  </si>
  <si>
    <t>2010030498193402</t>
  </si>
  <si>
    <t>40016509</t>
  </si>
  <si>
    <t>2010030498043402</t>
  </si>
  <si>
    <t>40016510</t>
  </si>
  <si>
    <t>2010030498253386</t>
  </si>
  <si>
    <t>JAMES MODERN WALL CLOCK</t>
  </si>
  <si>
    <t>40016517</t>
  </si>
  <si>
    <t>2010030498263386</t>
  </si>
  <si>
    <t>40016518</t>
  </si>
  <si>
    <t>2010030498163387</t>
  </si>
  <si>
    <t>JEAN MODERN WALL CLOCK</t>
  </si>
  <si>
    <t>40016519</t>
  </si>
  <si>
    <t>2010030498183387</t>
  </si>
  <si>
    <t>40016520</t>
  </si>
  <si>
    <t>2010030498163388</t>
  </si>
  <si>
    <t>JESSIKA MODERN WALL CLOCK</t>
  </si>
  <si>
    <t>40016521</t>
  </si>
  <si>
    <t>2010030498183388</t>
  </si>
  <si>
    <t>40016522</t>
  </si>
  <si>
    <t>2010030498223404</t>
  </si>
  <si>
    <t>ETHAN 3D WALL CLOCK</t>
  </si>
  <si>
    <t>40016523</t>
  </si>
  <si>
    <t>2010030498163404</t>
  </si>
  <si>
    <t>40016524</t>
  </si>
  <si>
    <t>2010030498133404</t>
  </si>
  <si>
    <t>ETHAN WALL CLOCK</t>
  </si>
  <si>
    <t>40016525</t>
  </si>
  <si>
    <t>2010030498043404</t>
  </si>
  <si>
    <t>40016526</t>
  </si>
  <si>
    <t>2010030498193409</t>
  </si>
  <si>
    <t>CHARLENE WALL CLOCK</t>
  </si>
  <si>
    <t>40016527</t>
  </si>
  <si>
    <t>2010030498223409</t>
  </si>
  <si>
    <t>40016528</t>
  </si>
  <si>
    <t>2010030498193410</t>
  </si>
  <si>
    <t>CHEENA WALL CLOCK</t>
  </si>
  <si>
    <t>40016529</t>
  </si>
  <si>
    <t>2010030498223410</t>
  </si>
  <si>
    <t>40016530</t>
  </si>
  <si>
    <t>2010030498193411</t>
  </si>
  <si>
    <t>CLAUDETTE WALL CLOCK</t>
  </si>
  <si>
    <t>40016531</t>
  </si>
  <si>
    <t>2010030498223411</t>
  </si>
  <si>
    <t>40016532</t>
  </si>
  <si>
    <t>2010010102160006</t>
  </si>
  <si>
    <t>NATALIE PHOTO FRAME – 4X6</t>
  </si>
  <si>
    <t>40014539</t>
  </si>
  <si>
    <t>2010010102180006</t>
  </si>
  <si>
    <t>40014536</t>
  </si>
  <si>
    <t>2010010104160006</t>
  </si>
  <si>
    <t>NATALIE PHOTO FRAME –  8X10</t>
  </si>
  <si>
    <t>40014541</t>
  </si>
  <si>
    <t>2010010104180006</t>
  </si>
  <si>
    <t>40014538</t>
  </si>
  <si>
    <t>2010010198160010</t>
  </si>
  <si>
    <t>BENNY TRPCL B M.HLDR/LTR BRD</t>
  </si>
  <si>
    <t>40014559</t>
  </si>
  <si>
    <t>2010010198180010</t>
  </si>
  <si>
    <t>BENNY TRPCL A M.HLDR/LTR BRD</t>
  </si>
  <si>
    <t>40014558</t>
  </si>
  <si>
    <t>2010010798180013</t>
  </si>
  <si>
    <t>W.FRM GRN BTNCAL QUOTES</t>
  </si>
  <si>
    <t>40014629</t>
  </si>
  <si>
    <t>2010010798180028</t>
  </si>
  <si>
    <t>WALL FRAME PEACH CROSS</t>
  </si>
  <si>
    <t>40014640</t>
  </si>
  <si>
    <t>2010012098208198</t>
  </si>
  <si>
    <t>D/XC BETHANY ABSTRCT FRM W.ART</t>
  </si>
  <si>
    <t>40014605`</t>
  </si>
  <si>
    <t>40014605</t>
  </si>
  <si>
    <t>2010050398162014</t>
  </si>
  <si>
    <t>24 UNSCENTED VOTIVE</t>
  </si>
  <si>
    <t>2010030498173421</t>
  </si>
  <si>
    <t>JENNIFER SQUARE WALL CLOCK</t>
  </si>
  <si>
    <t>40016709</t>
  </si>
  <si>
    <t>2010030498223421</t>
  </si>
  <si>
    <t>40016710</t>
  </si>
  <si>
    <t>2010030498173422</t>
  </si>
  <si>
    <t>JULIANA WALL CLOCK</t>
  </si>
  <si>
    <t>40016711</t>
  </si>
  <si>
    <t>2010030498223422</t>
  </si>
  <si>
    <t>40016712</t>
  </si>
  <si>
    <t>2010030498173423</t>
  </si>
  <si>
    <t>JAMELIA WALL CLOCK</t>
  </si>
  <si>
    <t>40016713</t>
  </si>
  <si>
    <t>2010030498223423</t>
  </si>
  <si>
    <t>40016714</t>
  </si>
  <si>
    <t>2010030498173424</t>
  </si>
  <si>
    <t>JUST LOVE WALL CLOCK</t>
  </si>
  <si>
    <t>40016715</t>
  </si>
  <si>
    <t>2010030498223424</t>
  </si>
  <si>
    <t>40016716</t>
  </si>
  <si>
    <t>2010030498173425</t>
  </si>
  <si>
    <t>JUST HOME WALL CLOCK</t>
  </si>
  <si>
    <t>40016717</t>
  </si>
  <si>
    <t>2010030498223425</t>
  </si>
  <si>
    <t>40016718</t>
  </si>
  <si>
    <t>2010030498173428</t>
  </si>
  <si>
    <t>JANELLA WALL CLOCK</t>
  </si>
  <si>
    <t>40016719</t>
  </si>
  <si>
    <t>2010030498223428</t>
  </si>
  <si>
    <t>40016720</t>
  </si>
  <si>
    <t>2010030498173426</t>
  </si>
  <si>
    <t>JANELL WALL CLOCK</t>
  </si>
  <si>
    <t>40016721</t>
  </si>
  <si>
    <t>2010030498223426</t>
  </si>
  <si>
    <t>40016722</t>
  </si>
  <si>
    <t>2010030498173427</t>
  </si>
  <si>
    <t>O/R VISTA JEZLIAH WALL CLOCK</t>
  </si>
  <si>
    <t>40016723</t>
  </si>
  <si>
    <t>2010030498223427</t>
  </si>
  <si>
    <t>40016724</t>
  </si>
  <si>
    <t>2010030498173405</t>
  </si>
  <si>
    <t>CHARLIE WALL CLOCK</t>
  </si>
  <si>
    <t>40016729</t>
  </si>
  <si>
    <t>2010030498223405</t>
  </si>
  <si>
    <t>40016730</t>
  </si>
  <si>
    <t>2010030498173406</t>
  </si>
  <si>
    <t>CHARLEMAGNE WALL CLOCK</t>
  </si>
  <si>
    <t>40016731</t>
  </si>
  <si>
    <t>2010030498223406</t>
  </si>
  <si>
    <t>40016732</t>
  </si>
  <si>
    <t>2010030498173408</t>
  </si>
  <si>
    <t>CHARLES WALL CLOCK</t>
  </si>
  <si>
    <t>40016733</t>
  </si>
  <si>
    <t>2010030498223408</t>
  </si>
  <si>
    <t>40016734</t>
  </si>
  <si>
    <t>2010040598163173</t>
  </si>
  <si>
    <t>MARINA FRECH CRMC OIL BURNER</t>
  </si>
  <si>
    <t>40016736</t>
  </si>
  <si>
    <t>2010040598023173</t>
  </si>
  <si>
    <t>40016737</t>
  </si>
  <si>
    <t>2010040598043173</t>
  </si>
  <si>
    <t>40016738</t>
  </si>
  <si>
    <t>2010040598163174</t>
  </si>
  <si>
    <t>40016739</t>
  </si>
  <si>
    <t>2010040598023174</t>
  </si>
  <si>
    <t>40016740</t>
  </si>
  <si>
    <t>2010040598043174</t>
  </si>
  <si>
    <t>40016741</t>
  </si>
  <si>
    <t>2010010298163236</t>
  </si>
  <si>
    <t>AUSTIN FAMILY FRAME 2OPNG</t>
  </si>
  <si>
    <t>40016767</t>
  </si>
  <si>
    <t>2010010298163237</t>
  </si>
  <si>
    <t>AUSTINE FAMILT FRAME 4OPNG</t>
  </si>
  <si>
    <t>40016768</t>
  </si>
  <si>
    <t>2010010298163238</t>
  </si>
  <si>
    <t>ATLANTA FAMILY FRAME 3OPNG</t>
  </si>
  <si>
    <t>40016769</t>
  </si>
  <si>
    <t>2010010298183236</t>
  </si>
  <si>
    <t>40016770</t>
  </si>
  <si>
    <t>2010010298183237</t>
  </si>
  <si>
    <t>40016771</t>
  </si>
  <si>
    <t>2010010298183238</t>
  </si>
  <si>
    <t>40016772</t>
  </si>
  <si>
    <t>2010010798180026</t>
  </si>
  <si>
    <t>WALL FRAME GEOMETRIC</t>
  </si>
  <si>
    <t>40016773</t>
  </si>
  <si>
    <t>2010010798210025</t>
  </si>
  <si>
    <t>WALL FRAME RAIN HUE</t>
  </si>
  <si>
    <t>40016774</t>
  </si>
  <si>
    <t>2010012098208197</t>
  </si>
  <si>
    <t>D/XC PHARRELL EMBLSH FRM W.ART</t>
  </si>
  <si>
    <t>40016775</t>
  </si>
  <si>
    <t>2010012098988175</t>
  </si>
  <si>
    <t>D/XC BRANDY FRAMED WALL ART</t>
  </si>
  <si>
    <t>40016776</t>
  </si>
  <si>
    <t>2010012098988176</t>
  </si>
  <si>
    <t>D/XC BEATRICE FRAMED CANVAS ART</t>
  </si>
  <si>
    <t>40016777</t>
  </si>
  <si>
    <t>2020012098195482</t>
  </si>
  <si>
    <t>O/R VISTA LOVE COFFEE 5N1 CANVAS SET</t>
  </si>
  <si>
    <t>40016778</t>
  </si>
  <si>
    <t>2010020198020002</t>
  </si>
  <si>
    <t>GIANNA RND SMMER VBE T.LAMP</t>
  </si>
  <si>
    <t>40016781</t>
  </si>
  <si>
    <t>2010020198040002</t>
  </si>
  <si>
    <t>40016782</t>
  </si>
  <si>
    <t>2010020198130002</t>
  </si>
  <si>
    <t>40016783</t>
  </si>
  <si>
    <t>2010020198164167</t>
  </si>
  <si>
    <t>ZAPATA TABLE LAMP</t>
  </si>
  <si>
    <t>40016784</t>
  </si>
  <si>
    <t>2010020198164168</t>
  </si>
  <si>
    <t>ZORRO TABLE LAMP</t>
  </si>
  <si>
    <t>40016785</t>
  </si>
  <si>
    <t>2010020198184167</t>
  </si>
  <si>
    <t>40016786</t>
  </si>
  <si>
    <t>2010020198184168</t>
  </si>
  <si>
    <t>40016787</t>
  </si>
  <si>
    <t>2010020198224167</t>
  </si>
  <si>
    <t>40016788</t>
  </si>
  <si>
    <t>2010020198224168</t>
  </si>
  <si>
    <t>40016789</t>
  </si>
  <si>
    <t>2010020198188130</t>
  </si>
  <si>
    <t>D/XD CAMIRA METAL T.LAMP</t>
  </si>
  <si>
    <t>40016790</t>
  </si>
  <si>
    <t>2010020198268130</t>
  </si>
  <si>
    <t>40016791</t>
  </si>
  <si>
    <t>2010020198194153</t>
  </si>
  <si>
    <t>WEAVED CERAMIC TABLE LAMP</t>
  </si>
  <si>
    <t>40016792</t>
  </si>
  <si>
    <t>2010020198194154</t>
  </si>
  <si>
    <t>BRICK TALL CERAMIC TABLE LAMP</t>
  </si>
  <si>
    <t>40016793</t>
  </si>
  <si>
    <t>2010020198214152</t>
  </si>
  <si>
    <t>BRICK ROUND CERAMIC T. LAMP</t>
  </si>
  <si>
    <t>40016794</t>
  </si>
  <si>
    <t>2010020198214154</t>
  </si>
  <si>
    <t>40016795</t>
  </si>
  <si>
    <t>2010040604182616</t>
  </si>
  <si>
    <t>D/XD SHILOH A METAL CNDL HLDER</t>
  </si>
  <si>
    <t>40016796</t>
  </si>
  <si>
    <t>2010040798185048</t>
  </si>
  <si>
    <t>WD C.HOLDER 37X17X6.5</t>
  </si>
  <si>
    <t>40016797</t>
  </si>
  <si>
    <t>2010040798195048</t>
  </si>
  <si>
    <t>40016798</t>
  </si>
  <si>
    <t>2010040798185049</t>
  </si>
  <si>
    <t>WD C.HOLDER 32X32X7.5</t>
  </si>
  <si>
    <t>40016799</t>
  </si>
  <si>
    <t>2010040798195049</t>
  </si>
  <si>
    <t>40016800</t>
  </si>
  <si>
    <t>2010040901027142</t>
  </si>
  <si>
    <t>MILANO CERAMIC VASE SMALL</t>
  </si>
  <si>
    <t>40016801</t>
  </si>
  <si>
    <t>2010040901047142</t>
  </si>
  <si>
    <t>40016803</t>
  </si>
  <si>
    <t>MILANO CERAMIC VASE LARGE</t>
  </si>
  <si>
    <t>2010040903037142</t>
  </si>
  <si>
    <t>40016808</t>
  </si>
  <si>
    <t>2010070198040012</t>
  </si>
  <si>
    <t>DECORATIVE PLANT ALLIE SMALL 1</t>
  </si>
  <si>
    <t>40016816</t>
  </si>
  <si>
    <t>2010060198102114</t>
  </si>
  <si>
    <t>ESS FRAG 15ML-LAVNDERFLD</t>
  </si>
  <si>
    <t>40013866</t>
  </si>
  <si>
    <t>2010030298160003</t>
  </si>
  <si>
    <t>ESS BIANCA DIGITAL CLOCK</t>
  </si>
  <si>
    <t>40016864</t>
  </si>
  <si>
    <t>2010030298180003</t>
  </si>
  <si>
    <t>40016865</t>
  </si>
  <si>
    <t>2010030298160004</t>
  </si>
  <si>
    <t>ESS BRANDEE DIGITAL CLOCK</t>
  </si>
  <si>
    <t>40016866</t>
  </si>
  <si>
    <t>2010030298180004</t>
  </si>
  <si>
    <t>40016867</t>
  </si>
  <si>
    <t>2010030498183420</t>
  </si>
  <si>
    <t>ESS KITCH. PAN STEAK WALL CLOCK</t>
  </si>
  <si>
    <t>40016861</t>
  </si>
  <si>
    <t>2010060998180009</t>
  </si>
  <si>
    <t>GRAHAM MDRN ZEN AROMA DIFFUSER</t>
  </si>
  <si>
    <t>40014653</t>
  </si>
  <si>
    <t>2010060998220009</t>
  </si>
  <si>
    <t>40014654</t>
  </si>
  <si>
    <t>2010051704220001</t>
  </si>
  <si>
    <t>40016890</t>
  </si>
  <si>
    <t>2010020198178149</t>
  </si>
  <si>
    <t>ESS ZANDARA TABLE LAMP</t>
  </si>
  <si>
    <t>40016880</t>
  </si>
  <si>
    <t>2010020198228149</t>
  </si>
  <si>
    <t>40016882</t>
  </si>
  <si>
    <t>2010020198178150</t>
  </si>
  <si>
    <t>ESS ZUELLIG TABLE LAMP</t>
  </si>
  <si>
    <t>40016883</t>
  </si>
  <si>
    <t>2010020198168150</t>
  </si>
  <si>
    <t>40016884</t>
  </si>
  <si>
    <t>2010020198228150</t>
  </si>
  <si>
    <t>40016885</t>
  </si>
  <si>
    <t>2010010998180007</t>
  </si>
  <si>
    <t>W.ART FND PRDSE/ADVNTR AWAITS</t>
  </si>
  <si>
    <t>40016876</t>
  </si>
  <si>
    <t>2010010998180008</t>
  </si>
  <si>
    <t>W.ART NVR STP DRMNG/FLW UR HRT</t>
  </si>
  <si>
    <t>40016877</t>
  </si>
  <si>
    <t>2010010998210005</t>
  </si>
  <si>
    <t>W.ART BE BOLD/STAY INSPRED</t>
  </si>
  <si>
    <t>40016878</t>
  </si>
  <si>
    <t>2010010998210006</t>
  </si>
  <si>
    <t>W.ART BTFUL RDE/DRMS ARE REAL</t>
  </si>
  <si>
    <t>40016879</t>
  </si>
  <si>
    <t>2010012198272969</t>
  </si>
  <si>
    <t>DREAMY HUES SPRKLE PHOTO FRAME</t>
  </si>
  <si>
    <t>40014104</t>
  </si>
  <si>
    <t>2010012198262969</t>
  </si>
  <si>
    <t>40016911</t>
  </si>
  <si>
    <t>2010090199130002</t>
  </si>
  <si>
    <t>DREAMY HUES FUR MEMO HOLDER</t>
  </si>
  <si>
    <t>40014105</t>
  </si>
  <si>
    <t>2010090199160002</t>
  </si>
  <si>
    <t>40016912</t>
  </si>
  <si>
    <t>2010090199130003</t>
  </si>
  <si>
    <t>DREAMY HUES FUR MEMO HLDER LRG</t>
  </si>
  <si>
    <t>40014106</t>
  </si>
  <si>
    <t>2010090199160003</t>
  </si>
  <si>
    <t>40016913</t>
  </si>
  <si>
    <t>2010010102200001</t>
  </si>
  <si>
    <t>BAXTER PHOTO FRAME</t>
  </si>
  <si>
    <t>40014506</t>
  </si>
  <si>
    <t>2010010103200001</t>
  </si>
  <si>
    <t>40014507</t>
  </si>
  <si>
    <t>2010010104200001</t>
  </si>
  <si>
    <t>40014508</t>
  </si>
  <si>
    <t>2010010102180001</t>
  </si>
  <si>
    <t>40014509</t>
  </si>
  <si>
    <t>2010010103180001</t>
  </si>
  <si>
    <t>40014510</t>
  </si>
  <si>
    <t>2010010104180001</t>
  </si>
  <si>
    <t>40014511</t>
  </si>
  <si>
    <t>2010010102160002</t>
  </si>
  <si>
    <t>BENNY PHOTO FRAME FRAMES</t>
  </si>
  <si>
    <t>40014512</t>
  </si>
  <si>
    <t>2010010103160002</t>
  </si>
  <si>
    <t>BENNY PHOTO FRAME</t>
  </si>
  <si>
    <t>40014513</t>
  </si>
  <si>
    <t>2010010104160002</t>
  </si>
  <si>
    <t>40014514</t>
  </si>
  <si>
    <t>2010010102180002</t>
  </si>
  <si>
    <t>40014515</t>
  </si>
  <si>
    <t>2010010103180002</t>
  </si>
  <si>
    <t>40014516</t>
  </si>
  <si>
    <t>2010010104180002</t>
  </si>
  <si>
    <t>40014517</t>
  </si>
  <si>
    <t>2010010102180003</t>
  </si>
  <si>
    <t>BARNY PHOTO FRAME</t>
  </si>
  <si>
    <t>40014518</t>
  </si>
  <si>
    <t>2010010103180003</t>
  </si>
  <si>
    <t>40014519</t>
  </si>
  <si>
    <t>2010010104180003</t>
  </si>
  <si>
    <t>40014520</t>
  </si>
  <si>
    <t>2010010102160003</t>
  </si>
  <si>
    <t>40014521</t>
  </si>
  <si>
    <t>2010010103160003</t>
  </si>
  <si>
    <t>40014522</t>
  </si>
  <si>
    <t>2010010104160003</t>
  </si>
  <si>
    <t>40014523</t>
  </si>
  <si>
    <t>2010010103250007</t>
  </si>
  <si>
    <t>METALLIC NATALIE A P.FRAME</t>
  </si>
  <si>
    <t>40014542</t>
  </si>
  <si>
    <t>2010010104250007</t>
  </si>
  <si>
    <t>40014543</t>
  </si>
  <si>
    <t>2010010103260007</t>
  </si>
  <si>
    <t>40014544</t>
  </si>
  <si>
    <t>2010010104260007</t>
  </si>
  <si>
    <t>40014545</t>
  </si>
  <si>
    <t>2010010198180011</t>
  </si>
  <si>
    <t>BENNY TERRAZO A M.HLDR/LTR BRD</t>
  </si>
  <si>
    <t>40014560</t>
  </si>
  <si>
    <t>2010010198160011</t>
  </si>
  <si>
    <t>BENNY TERRAZO B M.HLDR/LTR BRD</t>
  </si>
  <si>
    <t>40014561</t>
  </si>
  <si>
    <t>2010042798250005</t>
  </si>
  <si>
    <t>40017854</t>
  </si>
  <si>
    <t>2010042798250006</t>
  </si>
  <si>
    <t>40017857</t>
  </si>
  <si>
    <t>2010042798250007</t>
  </si>
  <si>
    <t>40017860</t>
  </si>
  <si>
    <t>2010040598183180</t>
  </si>
  <si>
    <t>ESS MARGAUX-S OIL BURNER</t>
  </si>
  <si>
    <t>40017867</t>
  </si>
  <si>
    <t>2010040598163180</t>
  </si>
  <si>
    <t>40017868</t>
  </si>
  <si>
    <t>2010040598223180</t>
  </si>
  <si>
    <t>40017869</t>
  </si>
  <si>
    <t>2010040598183181</t>
  </si>
  <si>
    <t>ESS MARIBELLE-S OIL BURNER</t>
  </si>
  <si>
    <t>40017870</t>
  </si>
  <si>
    <t>2010040598163181</t>
  </si>
  <si>
    <t>40017871</t>
  </si>
  <si>
    <t>2010040598223181</t>
  </si>
  <si>
    <t>40017872</t>
  </si>
  <si>
    <t>2010010998160009</t>
  </si>
  <si>
    <t>GLADYS WALL ART A</t>
  </si>
  <si>
    <t>40017899</t>
  </si>
  <si>
    <t>2010010998160010</t>
  </si>
  <si>
    <t>GLADYS WALL ART B</t>
  </si>
  <si>
    <t>40017900</t>
  </si>
  <si>
    <t>2010010998160011</t>
  </si>
  <si>
    <t>GLADYS WALL ART C</t>
  </si>
  <si>
    <t>40017901</t>
  </si>
  <si>
    <t>2010010998180012</t>
  </si>
  <si>
    <t>GEMMA WALL ART A</t>
  </si>
  <si>
    <t>40017905</t>
  </si>
  <si>
    <t>2010010998180013</t>
  </si>
  <si>
    <t>GEMMA WALL ART B</t>
  </si>
  <si>
    <t>40017902</t>
  </si>
  <si>
    <t>2010010998180014</t>
  </si>
  <si>
    <t>GEMMA WALL ART C</t>
  </si>
  <si>
    <t>40017906</t>
  </si>
  <si>
    <t>2010010998180015</t>
  </si>
  <si>
    <t>GRACELYN WALL ART C</t>
  </si>
  <si>
    <t>40017907</t>
  </si>
  <si>
    <t>2010010998180016</t>
  </si>
  <si>
    <t>GRACELYN WALL ART E</t>
  </si>
  <si>
    <t>40017908</t>
  </si>
  <si>
    <t>2010010998180017</t>
  </si>
  <si>
    <t>GRACELYN WALL ART F</t>
  </si>
  <si>
    <t>40017903</t>
  </si>
  <si>
    <t>2010010998180018</t>
  </si>
  <si>
    <t>GRETHA WALL ART A</t>
  </si>
  <si>
    <t>40017904</t>
  </si>
  <si>
    <t>2010010998180019</t>
  </si>
  <si>
    <t>GRETHA WALL ART B</t>
  </si>
  <si>
    <t>40017909</t>
  </si>
  <si>
    <t>2010010998180020</t>
  </si>
  <si>
    <t>GEORGINA WALL ART A</t>
  </si>
  <si>
    <t>40017910</t>
  </si>
  <si>
    <t>2010010998180021</t>
  </si>
  <si>
    <t>GEORGINA WALL ART B</t>
  </si>
  <si>
    <t>40017911</t>
  </si>
  <si>
    <t>2010010998180022</t>
  </si>
  <si>
    <t>GIA WALL ART A</t>
  </si>
  <si>
    <t>40017912</t>
  </si>
  <si>
    <t>2010010998180023</t>
  </si>
  <si>
    <t>GIA WALL ART B</t>
  </si>
  <si>
    <t>40017913</t>
  </si>
  <si>
    <t>2010020298160002</t>
  </si>
  <si>
    <t>40017917</t>
  </si>
  <si>
    <t>2010020298180001</t>
  </si>
  <si>
    <t>ESS BEAU MULTICOLOR  LED DESK LAMP</t>
  </si>
  <si>
    <t>40017916</t>
  </si>
  <si>
    <t>2010020298180002</t>
  </si>
  <si>
    <t>40017915</t>
  </si>
  <si>
    <t>2010020298220001</t>
  </si>
  <si>
    <t>40017914</t>
  </si>
  <si>
    <t>2010010104160019</t>
  </si>
  <si>
    <t>ESS CAVERN A PHOTO FRAME 8x10</t>
  </si>
  <si>
    <t>40017344</t>
  </si>
  <si>
    <t>2010010104180019</t>
  </si>
  <si>
    <t>40017346</t>
  </si>
  <si>
    <t>2010010103160020</t>
  </si>
  <si>
    <t>ESS SHAIRA A PHOTO FRAME 5x7</t>
  </si>
  <si>
    <t>40017347</t>
  </si>
  <si>
    <t>2010010104160020</t>
  </si>
  <si>
    <t>ESS SHAIRA A PHOTO FRAME 8x10</t>
  </si>
  <si>
    <t>40017348</t>
  </si>
  <si>
    <t>2010010103180020</t>
  </si>
  <si>
    <t>40017349</t>
  </si>
  <si>
    <t>2010010104180020</t>
  </si>
  <si>
    <t>40017350</t>
  </si>
  <si>
    <t>2010010103160021</t>
  </si>
  <si>
    <t>ESS MINIMALIST A PHOTO FRAME 5x7</t>
  </si>
  <si>
    <t>40017351</t>
  </si>
  <si>
    <t>2010010104160021</t>
  </si>
  <si>
    <t>ESS MINIMALIST A PHOTO FRAME 8x10</t>
  </si>
  <si>
    <t>40017352</t>
  </si>
  <si>
    <t>2010010103180021</t>
  </si>
  <si>
    <t>40017353</t>
  </si>
  <si>
    <t>2010010104180021</t>
  </si>
  <si>
    <t>40017354</t>
  </si>
  <si>
    <t>2010010103200021</t>
  </si>
  <si>
    <t>40017355</t>
  </si>
  <si>
    <t>2010010104200021</t>
  </si>
  <si>
    <t>40017356</t>
  </si>
  <si>
    <t>2010010103160022</t>
  </si>
  <si>
    <t>ESS MINIMALIST B PHOTO FRAME 5x7</t>
  </si>
  <si>
    <t>40017357</t>
  </si>
  <si>
    <t>2010010104160022</t>
  </si>
  <si>
    <t>ESS MINIMALIST B PHOTO FRAME 8x10</t>
  </si>
  <si>
    <t>40017358</t>
  </si>
  <si>
    <t>2010010103180022</t>
  </si>
  <si>
    <t>40017359</t>
  </si>
  <si>
    <t>2010010104180022</t>
  </si>
  <si>
    <t>40017360</t>
  </si>
  <si>
    <t>2010010103200022</t>
  </si>
  <si>
    <t>40017361</t>
  </si>
  <si>
    <t>2010010104200022</t>
  </si>
  <si>
    <t>40017362</t>
  </si>
  <si>
    <t>2010010798200056</t>
  </si>
  <si>
    <t>WALL FRM BUCKWHEAT A -S</t>
  </si>
  <si>
    <t>40017497</t>
  </si>
  <si>
    <t>2010010798200057</t>
  </si>
  <si>
    <t>WALL FRM BUCKWHEAT B-S</t>
  </si>
  <si>
    <t>40017498</t>
  </si>
  <si>
    <t>2010010798200058</t>
  </si>
  <si>
    <t>WALL FRM CELOSIA A -L</t>
  </si>
  <si>
    <t>40017499</t>
  </si>
  <si>
    <t>2010010798200059</t>
  </si>
  <si>
    <t>WALL FRM CELOSIA B -L</t>
  </si>
  <si>
    <t>40017500</t>
  </si>
  <si>
    <t>2010010798200060</t>
  </si>
  <si>
    <t>WALL FRM NAT ART A-S</t>
  </si>
  <si>
    <t>40017501</t>
  </si>
  <si>
    <t>2010010798200061</t>
  </si>
  <si>
    <t>WALL FRM NAT ART B-S</t>
  </si>
  <si>
    <t>40017502</t>
  </si>
  <si>
    <t>2010010798200062</t>
  </si>
  <si>
    <t>WALL FRM NAT ART C-L</t>
  </si>
  <si>
    <t>40017503</t>
  </si>
  <si>
    <t>2010010798200063</t>
  </si>
  <si>
    <t>WALL FRM NAT ART D-L</t>
  </si>
  <si>
    <t>40017504</t>
  </si>
  <si>
    <t>2010010798200064</t>
  </si>
  <si>
    <t>WALL FRM HANG POT 12X12</t>
  </si>
  <si>
    <t>40017505</t>
  </si>
  <si>
    <t>2010010798200065</t>
  </si>
  <si>
    <t>WALL FRM POLKA POT 12X12</t>
  </si>
  <si>
    <t>40017506</t>
  </si>
  <si>
    <t>2010010798200066</t>
  </si>
  <si>
    <t>WALL FRM FLUSH PLNTA 12X12</t>
  </si>
  <si>
    <t>40017507</t>
  </si>
  <si>
    <t>2010010798200067</t>
  </si>
  <si>
    <t>WALL FRM FLUSH PLNTB 12X12</t>
  </si>
  <si>
    <t>40017508</t>
  </si>
  <si>
    <t>2010010104220024</t>
  </si>
  <si>
    <t>ZELL PHOTO  FRAME 8X10</t>
  </si>
  <si>
    <t>40017549</t>
  </si>
  <si>
    <t>2010010104040024</t>
  </si>
  <si>
    <t>40017550</t>
  </si>
  <si>
    <t>2010010104160024</t>
  </si>
  <si>
    <t>40017551</t>
  </si>
  <si>
    <t>2010010103220025</t>
  </si>
  <si>
    <t>ZIA PHOTO FRAME 5X7</t>
  </si>
  <si>
    <t>40017552</t>
  </si>
  <si>
    <t>2010010103170025</t>
  </si>
  <si>
    <t>40017553</t>
  </si>
  <si>
    <t>2010010103040025</t>
  </si>
  <si>
    <t>40017554</t>
  </si>
  <si>
    <t>2010010104220025</t>
  </si>
  <si>
    <t>ZIA PHOTO FRAME 8X10</t>
  </si>
  <si>
    <t>40017555</t>
  </si>
  <si>
    <t>2010010104170025</t>
  </si>
  <si>
    <t>40017556</t>
  </si>
  <si>
    <t>2010010104040025</t>
  </si>
  <si>
    <t>40017557</t>
  </si>
  <si>
    <t>2010010104170026</t>
  </si>
  <si>
    <t>ZYRA PHOTO FRAME 8X10</t>
  </si>
  <si>
    <t>40017561</t>
  </si>
  <si>
    <t>2010010104200026</t>
  </si>
  <si>
    <t>40017562</t>
  </si>
  <si>
    <t>2010010104220026</t>
  </si>
  <si>
    <t>40017563</t>
  </si>
  <si>
    <t>2010010104170027</t>
  </si>
  <si>
    <t>ZORA PHOTO FRAME 8X10</t>
  </si>
  <si>
    <t>40017567</t>
  </si>
  <si>
    <t>2010010104160027</t>
  </si>
  <si>
    <t>40017568</t>
  </si>
  <si>
    <t>2010010104220027</t>
  </si>
  <si>
    <t>40017569</t>
  </si>
  <si>
    <t>2010050201170001</t>
  </si>
  <si>
    <t>WHITNEY ART PILLAR CANDLE 2x3</t>
  </si>
  <si>
    <t>40017363</t>
  </si>
  <si>
    <t>2010050202170001</t>
  </si>
  <si>
    <t>WHITNEY ART PILLAR CANDLE 2x4</t>
  </si>
  <si>
    <t>40017364</t>
  </si>
  <si>
    <t>2010050201100001</t>
  </si>
  <si>
    <t>40017366</t>
  </si>
  <si>
    <t>2010050202100001</t>
  </si>
  <si>
    <t>40017367</t>
  </si>
  <si>
    <t>2010050201040001</t>
  </si>
  <si>
    <t>40017369</t>
  </si>
  <si>
    <t>2010050202040001</t>
  </si>
  <si>
    <t>40017370</t>
  </si>
  <si>
    <t>2010050205220002</t>
  </si>
  <si>
    <t>WINONA ART PILLAR CANDLE 3x4</t>
  </si>
  <si>
    <t>40017373</t>
  </si>
  <si>
    <t>2010050206220002</t>
  </si>
  <si>
    <t>WINONA ART PILLAR CANDLE 3x6</t>
  </si>
  <si>
    <t>40017374</t>
  </si>
  <si>
    <t>2010050205100002</t>
  </si>
  <si>
    <t>40017376</t>
  </si>
  <si>
    <t>2010050206100002</t>
  </si>
  <si>
    <t>40017377</t>
  </si>
  <si>
    <t>2010050205040002</t>
  </si>
  <si>
    <t>40017379</t>
  </si>
  <si>
    <t>2010050206040002</t>
  </si>
  <si>
    <t>40017380</t>
  </si>
  <si>
    <t>2010050205100003</t>
  </si>
  <si>
    <t>WAVERLY QUOTES PILLAR CANDLE 3x4</t>
  </si>
  <si>
    <t>40017382</t>
  </si>
  <si>
    <t>2010050206100003</t>
  </si>
  <si>
    <t>WAVERLY QUOTES PILLAR CANDLE 3x6</t>
  </si>
  <si>
    <t>40017383</t>
  </si>
  <si>
    <t>2010050205070003</t>
  </si>
  <si>
    <t>40017385</t>
  </si>
  <si>
    <t>2010050206070003</t>
  </si>
  <si>
    <t>40017386</t>
  </si>
  <si>
    <t>2010050205020003</t>
  </si>
  <si>
    <t>40017388</t>
  </si>
  <si>
    <t>2010050206020003</t>
  </si>
  <si>
    <t>40017389</t>
  </si>
  <si>
    <t>2010050201100004</t>
  </si>
  <si>
    <t>WINSLET QUOTES PILLAR CANDLE 2x3</t>
  </si>
  <si>
    <t>40017390</t>
  </si>
  <si>
    <t>2010050202100004</t>
  </si>
  <si>
    <t>WINSLET QUOTES PILLAR CANDLE 2x4</t>
  </si>
  <si>
    <t>40017391</t>
  </si>
  <si>
    <t>2010050201040004</t>
  </si>
  <si>
    <t>40017393</t>
  </si>
  <si>
    <t>2010050202040004</t>
  </si>
  <si>
    <t>40017394</t>
  </si>
  <si>
    <t>2010050201020004</t>
  </si>
  <si>
    <t>40017396</t>
  </si>
  <si>
    <t>2010050202020004</t>
  </si>
  <si>
    <t>40017397</t>
  </si>
  <si>
    <t>2010051001160600</t>
  </si>
  <si>
    <t>WYETH JAR CANDLE 2.75x4</t>
  </si>
  <si>
    <t>40017399</t>
  </si>
  <si>
    <t>2010051002160600</t>
  </si>
  <si>
    <t>WYETH JAR CANDLE 2.75x4.75</t>
  </si>
  <si>
    <t>40017400</t>
  </si>
  <si>
    <t>2010051001040600</t>
  </si>
  <si>
    <t>40017401</t>
  </si>
  <si>
    <t>2010051002040600</t>
  </si>
  <si>
    <t>WYETH JAR. CANDLE 2.75x4.75</t>
  </si>
  <si>
    <t>40017402</t>
  </si>
  <si>
    <t>2010051001020600</t>
  </si>
  <si>
    <t>40017403</t>
  </si>
  <si>
    <t>2010051002020600</t>
  </si>
  <si>
    <t>40017404</t>
  </si>
  <si>
    <t>2010050901170001</t>
  </si>
  <si>
    <t>ESS WILFORD LED JAR CANDLE S</t>
  </si>
  <si>
    <t>40017411</t>
  </si>
  <si>
    <t>2010010798200106</t>
  </si>
  <si>
    <t>WALL FRM LOVE 12X12</t>
  </si>
  <si>
    <t>40017419</t>
  </si>
  <si>
    <t>2010010798200107</t>
  </si>
  <si>
    <t>WALL FRM DREAM 12X12</t>
  </si>
  <si>
    <t>40017420</t>
  </si>
  <si>
    <t>2010010798180108</t>
  </si>
  <si>
    <t>WALL FRM CONC JUNGLE A -S</t>
  </si>
  <si>
    <t>40017421</t>
  </si>
  <si>
    <t>2010010798180109</t>
  </si>
  <si>
    <t>WALL FRM CONC JUNGLE B -S</t>
  </si>
  <si>
    <t>40017422</t>
  </si>
  <si>
    <t>2010010798180110</t>
  </si>
  <si>
    <t>WALL FRM LOS ANGELES-L</t>
  </si>
  <si>
    <t>40017423</t>
  </si>
  <si>
    <t>2010010798180111</t>
  </si>
  <si>
    <t>WALL FRM SAN FRANSCISCO-L</t>
  </si>
  <si>
    <t>40017424</t>
  </si>
  <si>
    <t>2010010798180112</t>
  </si>
  <si>
    <t>WALL FRM UNDERTONE -S</t>
  </si>
  <si>
    <t>40017425</t>
  </si>
  <si>
    <t>2010010798180113</t>
  </si>
  <si>
    <t>WALL FRM EVE FIGURE -S</t>
  </si>
  <si>
    <t>40017426</t>
  </si>
  <si>
    <t>2010010798180114</t>
  </si>
  <si>
    <t>WALL FRM YOU TURN -L</t>
  </si>
  <si>
    <t>40017427</t>
  </si>
  <si>
    <t>2010010798180115</t>
  </si>
  <si>
    <t>WALL FRM PARALLEL -L</t>
  </si>
  <si>
    <t>40017428</t>
  </si>
  <si>
    <t>2010010798180116</t>
  </si>
  <si>
    <t>WALL FRM FINE BLM  A 12X12</t>
  </si>
  <si>
    <t>40017429</t>
  </si>
  <si>
    <t>2010010798180117</t>
  </si>
  <si>
    <t>WALL FRM FINE BLM  B 12X12</t>
  </si>
  <si>
    <t>40017430</t>
  </si>
  <si>
    <t>2010010798180118</t>
  </si>
  <si>
    <t>WALL FRM WILLOW FLWR A 12X12</t>
  </si>
  <si>
    <t>40017431</t>
  </si>
  <si>
    <t>2010010798180119</t>
  </si>
  <si>
    <t>WALL FRM WILLOW FLWR B 12X12</t>
  </si>
  <si>
    <t>40017432</t>
  </si>
  <si>
    <t>2010010798210120</t>
  </si>
  <si>
    <t>WALL FRM PARIS BALLOON -S</t>
  </si>
  <si>
    <t>40017433</t>
  </si>
  <si>
    <t>2010010798210121</t>
  </si>
  <si>
    <t>WALL FRM PARIS BOYAGE -S</t>
  </si>
  <si>
    <t>40017434</t>
  </si>
  <si>
    <t>2010010798210122</t>
  </si>
  <si>
    <t>WALL FRM N.Y MURAL A -L</t>
  </si>
  <si>
    <t>40017435</t>
  </si>
  <si>
    <t>2010010798210123</t>
  </si>
  <si>
    <t>WALL FRM N.Y MURAL B -L</t>
  </si>
  <si>
    <t>40017436</t>
  </si>
  <si>
    <t>2010010798210124</t>
  </si>
  <si>
    <t>WALL FRAME PATH MURAL A-S</t>
  </si>
  <si>
    <t>40017437</t>
  </si>
  <si>
    <t>2010010798210125</t>
  </si>
  <si>
    <t>WALL FRAME PATH MURAL B-S</t>
  </si>
  <si>
    <t>40017438</t>
  </si>
  <si>
    <t>2010010798210126</t>
  </si>
  <si>
    <t>WALL FRM VINATGE MASK A-L</t>
  </si>
  <si>
    <t>40017439</t>
  </si>
  <si>
    <t>2010010798210127</t>
  </si>
  <si>
    <t>WALL FRM VINATGE MASK B-L</t>
  </si>
  <si>
    <t>40017440</t>
  </si>
  <si>
    <t>2010010798180128</t>
  </si>
  <si>
    <t>WALL FRM CREME COL A 12X12</t>
  </si>
  <si>
    <t>40017441</t>
  </si>
  <si>
    <t>2010010798180129</t>
  </si>
  <si>
    <t>WALL FRM CREME COL B 12X12</t>
  </si>
  <si>
    <t>40017442</t>
  </si>
  <si>
    <t>2010010798180130</t>
  </si>
  <si>
    <t>WALL FRM SHADOW WS A 12X12</t>
  </si>
  <si>
    <t>40017443</t>
  </si>
  <si>
    <t>2010010798180131</t>
  </si>
  <si>
    <t>WALL FRM SHADOW WS B 12X12</t>
  </si>
  <si>
    <t>40017444</t>
  </si>
  <si>
    <t>2010010798210088</t>
  </si>
  <si>
    <t>WALL FRM BARCELONA A 12X12</t>
  </si>
  <si>
    <t>40017445</t>
  </si>
  <si>
    <t>2010010798210089</t>
  </si>
  <si>
    <t>WALL FRM BARCELONA B 12X12</t>
  </si>
  <si>
    <t>40017446</t>
  </si>
  <si>
    <t>2010010798210090</t>
  </si>
  <si>
    <t>WALL FRM STR SPAIN A 12X12</t>
  </si>
  <si>
    <t>40017447</t>
  </si>
  <si>
    <t>2010010798210091</t>
  </si>
  <si>
    <t>WALL FRM STR SPAIN B 12X12</t>
  </si>
  <si>
    <t>40017448</t>
  </si>
  <si>
    <t>2010010798200092</t>
  </si>
  <si>
    <t>WALL FRM UNDR THE SUN -S</t>
  </si>
  <si>
    <t>40017459</t>
  </si>
  <si>
    <t>2010010798200093</t>
  </si>
  <si>
    <t>WALL FRM LIL SHADOW -S</t>
  </si>
  <si>
    <t>40017460</t>
  </si>
  <si>
    <t>2010010798200094</t>
  </si>
  <si>
    <t>WALL FRM UMBER SUN -L</t>
  </si>
  <si>
    <t>40017461</t>
  </si>
  <si>
    <t>2010010798200095</t>
  </si>
  <si>
    <t>WALL FRM BEHIND THE SUN -L</t>
  </si>
  <si>
    <t>40017462</t>
  </si>
  <si>
    <t>2010010798200096</t>
  </si>
  <si>
    <t>WALL FRM CERISE MOON -S</t>
  </si>
  <si>
    <t>40017463</t>
  </si>
  <si>
    <t>2010010798200097</t>
  </si>
  <si>
    <t>WALL FRM CERISE NIGHT -S</t>
  </si>
  <si>
    <t>40017464</t>
  </si>
  <si>
    <t>2010010798200098</t>
  </si>
  <si>
    <t>WALL FRM FRESH OASIS -L</t>
  </si>
  <si>
    <t>40017465</t>
  </si>
  <si>
    <t>2010010798200099</t>
  </si>
  <si>
    <t>WALL FRM BENEATH SAND -L</t>
  </si>
  <si>
    <t>40017466</t>
  </si>
  <si>
    <t>2010010798200100</t>
  </si>
  <si>
    <t>WALL FRM DEMETER 12X12</t>
  </si>
  <si>
    <t>40017467</t>
  </si>
  <si>
    <t>2010010798200101</t>
  </si>
  <si>
    <t>WALL FRM PERSEPHONE 12X12</t>
  </si>
  <si>
    <t>40017468</t>
  </si>
  <si>
    <t>2010010798200102</t>
  </si>
  <si>
    <t>WALL FRM FULL MAGIC 12X12</t>
  </si>
  <si>
    <t>40017469</t>
  </si>
  <si>
    <t>2010010798200103</t>
  </si>
  <si>
    <t>WALL FRM KEEP SIMPLE 12X12</t>
  </si>
  <si>
    <t>40017470</t>
  </si>
  <si>
    <t>2010010798200104</t>
  </si>
  <si>
    <t>WALL FRM BELIEVE 12X12</t>
  </si>
  <si>
    <t>40017471</t>
  </si>
  <si>
    <t>2010010798200105</t>
  </si>
  <si>
    <t>WALL FRM IMPOSSIBLE 12X12</t>
  </si>
  <si>
    <t>40017472</t>
  </si>
  <si>
    <t>2010010798180068</t>
  </si>
  <si>
    <t>WALL FRM RUS LINE A-S</t>
  </si>
  <si>
    <t>40017477</t>
  </si>
  <si>
    <t>2010010798180069</t>
  </si>
  <si>
    <t>WALL FRM RUS LINE B -S</t>
  </si>
  <si>
    <t>40017478</t>
  </si>
  <si>
    <t>2010010798180070</t>
  </si>
  <si>
    <t>WALL FRM HIDDEN BELLE A -L</t>
  </si>
  <si>
    <t>40017479</t>
  </si>
  <si>
    <t>2010010798180071</t>
  </si>
  <si>
    <t>WALL FRM HIDDEN BELLE B -L</t>
  </si>
  <si>
    <t>40017480</t>
  </si>
  <si>
    <t>2010010798180072</t>
  </si>
  <si>
    <t>WALL FRM SCRIB BRICK A -S</t>
  </si>
  <si>
    <t>40017481</t>
  </si>
  <si>
    <t>2010010798180073</t>
  </si>
  <si>
    <t>WALL FRM SCRIB BRICK B -S</t>
  </si>
  <si>
    <t>40017482</t>
  </si>
  <si>
    <t>2010010798180074</t>
  </si>
  <si>
    <t>WALL FRM VINTAGE POT A - L</t>
  </si>
  <si>
    <t>40017483</t>
  </si>
  <si>
    <t>2010010798180075</t>
  </si>
  <si>
    <t>WALL FRM VINTAGE POT B - L</t>
  </si>
  <si>
    <t>40017484</t>
  </si>
  <si>
    <t>2010010798180076</t>
  </si>
  <si>
    <t>WALL FRM SAPP PCS 12X12</t>
  </si>
  <si>
    <t>40017485</t>
  </si>
  <si>
    <t>2010010798180077</t>
  </si>
  <si>
    <t>WALL FRM SAPP DEEP 12X12</t>
  </si>
  <si>
    <t>40017486</t>
  </si>
  <si>
    <t>2010010798180078</t>
  </si>
  <si>
    <t>WALL FRM MELAN FLWR 12X12</t>
  </si>
  <si>
    <t>40017487</t>
  </si>
  <si>
    <t>2010010798180079</t>
  </si>
  <si>
    <t>WALL FRM MELAN SNOW 12X12</t>
  </si>
  <si>
    <t>40017488</t>
  </si>
  <si>
    <t>2010010798210080</t>
  </si>
  <si>
    <t>WALL FRM GIVE LOVE -S</t>
  </si>
  <si>
    <t>40017489</t>
  </si>
  <si>
    <t>2010010798210081</t>
  </si>
  <si>
    <t>WALL FRM LAUGH LOTS -S</t>
  </si>
  <si>
    <t>40017490</t>
  </si>
  <si>
    <t>2010010798210082</t>
  </si>
  <si>
    <t>WALL FRM LIVE SIMPLY -L</t>
  </si>
  <si>
    <t>40017491</t>
  </si>
  <si>
    <t>2010010798210083</t>
  </si>
  <si>
    <t>WALL FRM DREAM BIG -L</t>
  </si>
  <si>
    <t>40017492</t>
  </si>
  <si>
    <t>2010010798210084</t>
  </si>
  <si>
    <t>WALL FRM ADELAIDE A -S</t>
  </si>
  <si>
    <t>40017493</t>
  </si>
  <si>
    <t>2010010798210085</t>
  </si>
  <si>
    <t>WALL FRM ADELAIDE B -S</t>
  </si>
  <si>
    <t>40017494</t>
  </si>
  <si>
    <t>2010010798210086</t>
  </si>
  <si>
    <t>WALL FRM AMAZING THING - L</t>
  </si>
  <si>
    <t>40017495</t>
  </si>
  <si>
    <t>2010010798210087</t>
  </si>
  <si>
    <t>WALL FRM BEAU FOREVER - L</t>
  </si>
  <si>
    <t>40017496</t>
  </si>
  <si>
    <t>2010010601210002</t>
  </si>
  <si>
    <t>40017525</t>
  </si>
  <si>
    <t>2010010699210002</t>
  </si>
  <si>
    <t>40017526</t>
  </si>
  <si>
    <t>2010010604210002</t>
  </si>
  <si>
    <t>40017527</t>
  </si>
  <si>
    <t>2010011304160015</t>
  </si>
  <si>
    <t>D/XD ZURA PHOTO FRAME 8X10</t>
  </si>
  <si>
    <t>40017538</t>
  </si>
  <si>
    <t>2010020298070003</t>
  </si>
  <si>
    <t>40017570</t>
  </si>
  <si>
    <t>2010020298080003</t>
  </si>
  <si>
    <t>40017572</t>
  </si>
  <si>
    <t>2010020298070004</t>
  </si>
  <si>
    <t>40017573</t>
  </si>
  <si>
    <t>2010041001160214</t>
  </si>
  <si>
    <t>ESS ROSALINDA LED LANTERN- S</t>
  </si>
  <si>
    <t>40017576</t>
  </si>
  <si>
    <t>2010041003160214</t>
  </si>
  <si>
    <t>ESS ROSALINDA LED LANTERN- L</t>
  </si>
  <si>
    <t>40017577</t>
  </si>
  <si>
    <t>2010010501130001</t>
  </si>
  <si>
    <t>ESS RYLIE SIGNTURE FRME 12x16</t>
  </si>
  <si>
    <t>40017601</t>
  </si>
  <si>
    <t>2010010501070001</t>
  </si>
  <si>
    <t>40017602</t>
  </si>
  <si>
    <t>2010010502180002</t>
  </si>
  <si>
    <t>ESS RUE SIGNTURE FRME 16x20</t>
  </si>
  <si>
    <t>40017603</t>
  </si>
  <si>
    <t>2010010502190002</t>
  </si>
  <si>
    <t>40017604</t>
  </si>
  <si>
    <t>2010041001180213</t>
  </si>
  <si>
    <t>ESS RHODORA LED LANTERN- S</t>
  </si>
  <si>
    <t>40017578</t>
  </si>
  <si>
    <t>2010041003180213</t>
  </si>
  <si>
    <t>ESS RHODORA LED LANTERN- L</t>
  </si>
  <si>
    <t>40017579</t>
  </si>
  <si>
    <t>2010040598163161</t>
  </si>
  <si>
    <t>40017613</t>
  </si>
  <si>
    <t>2010040598173161</t>
  </si>
  <si>
    <t>40017614</t>
  </si>
  <si>
    <t>2010010898130001</t>
  </si>
  <si>
    <t>XENON DO MORE  CANVAS FRM SET 2</t>
  </si>
  <si>
    <t>40018010</t>
  </si>
  <si>
    <t>2010010898080002</t>
  </si>
  <si>
    <t>XENON ALWAYS BELIEVE CANVAS FRM SET 2</t>
  </si>
  <si>
    <t>40018011</t>
  </si>
  <si>
    <t>2010010898160003</t>
  </si>
  <si>
    <t>XANE FLORAL A  CANVAS FRM SET 2</t>
  </si>
  <si>
    <t>40018012</t>
  </si>
  <si>
    <t>2010010898160004</t>
  </si>
  <si>
    <t>XANE FLORAL B  CANVAS FRM SET 2</t>
  </si>
  <si>
    <t>40018009</t>
  </si>
  <si>
    <t>2010010898160005</t>
  </si>
  <si>
    <t>XEN FACE A  CANVAS FRM SET 2</t>
  </si>
  <si>
    <t>40018013</t>
  </si>
  <si>
    <t>2010010898160006</t>
  </si>
  <si>
    <t>XEN FACE B  CANVAS FRM SET 2</t>
  </si>
  <si>
    <t>40018014</t>
  </si>
  <si>
    <t>2010010898160007</t>
  </si>
  <si>
    <t>XIAN HAPPY LIFE CANVAS FRM SET 2</t>
  </si>
  <si>
    <t>40018015</t>
  </si>
  <si>
    <t>2010010898160008</t>
  </si>
  <si>
    <t>XIAN FEEL GOOD  CANVAS FRM SET 2</t>
  </si>
  <si>
    <t>40018016</t>
  </si>
  <si>
    <t>2010010898160009</t>
  </si>
  <si>
    <t>XYLER MONSTERA  CANVAS FRM SET 2</t>
  </si>
  <si>
    <t>40018017</t>
  </si>
  <si>
    <t>2010010898160010</t>
  </si>
  <si>
    <t>XYLER PALM  CANVAS FRM SET 2</t>
  </si>
  <si>
    <t>40018005</t>
  </si>
  <si>
    <t>2010010898160011</t>
  </si>
  <si>
    <t>XAYN BE YOU  CANVAS FRM SET 2</t>
  </si>
  <si>
    <t>40018007</t>
  </si>
  <si>
    <t>2010010898160012</t>
  </si>
  <si>
    <t>XAYN DREAM IT  CANVAS FRM SET 2</t>
  </si>
  <si>
    <t>40018002</t>
  </si>
  <si>
    <t>2010010898010013</t>
  </si>
  <si>
    <t>XYLA LOVE  CANVAS FRM SET 2</t>
  </si>
  <si>
    <t>40018018</t>
  </si>
  <si>
    <t>2010010898180017</t>
  </si>
  <si>
    <t>XIA CHOOSE JOY  CANVAS FRM SET 2</t>
  </si>
  <si>
    <t>40018003</t>
  </si>
  <si>
    <t>2010010898220019</t>
  </si>
  <si>
    <t>XION NEW YORK  CANVAS FRM SET 2</t>
  </si>
  <si>
    <t>40018006</t>
  </si>
  <si>
    <t>2010040698180001</t>
  </si>
  <si>
    <t>ESS WILSON CANDLE HOLDER</t>
  </si>
  <si>
    <t>40018023</t>
  </si>
  <si>
    <t>2010040698170001</t>
  </si>
  <si>
    <t>40018033</t>
  </si>
  <si>
    <t>2010040698250001</t>
  </si>
  <si>
    <t>40018028</t>
  </si>
  <si>
    <t>2010040698180002</t>
  </si>
  <si>
    <t>ESS WARREN CANDLE HOLDER</t>
  </si>
  <si>
    <t>40018029</t>
  </si>
  <si>
    <t>2010040698170002</t>
  </si>
  <si>
    <t>40018034</t>
  </si>
  <si>
    <t>2010040698250002</t>
  </si>
  <si>
    <t>40018021</t>
  </si>
  <si>
    <t>2010040601170004</t>
  </si>
  <si>
    <t>ESS WAYLON METAL LANTERN SMALL</t>
  </si>
  <si>
    <t>40018038</t>
  </si>
  <si>
    <t>2010040601220004</t>
  </si>
  <si>
    <t>40018031</t>
  </si>
  <si>
    <t>2010040604162873</t>
  </si>
  <si>
    <t>WARDEN METAL LANTERN</t>
  </si>
  <si>
    <t>40018020</t>
  </si>
  <si>
    <t>2010040604222873</t>
  </si>
  <si>
    <t>40018039</t>
  </si>
  <si>
    <t>2010040698170005</t>
  </si>
  <si>
    <t>WINDSOR METAL LANTERN</t>
  </si>
  <si>
    <t>40018022</t>
  </si>
  <si>
    <t>2010040698220005</t>
  </si>
  <si>
    <t>40018024</t>
  </si>
  <si>
    <t>2010040698170006</t>
  </si>
  <si>
    <t>WINDSOR TALL METAL LANTERN</t>
  </si>
  <si>
    <t>40018025</t>
  </si>
  <si>
    <t>2010040698220006</t>
  </si>
  <si>
    <t>40018027</t>
  </si>
  <si>
    <t>2010040598043176</t>
  </si>
  <si>
    <t>MY GREEN LIFE CYLIN OIL BURNER</t>
  </si>
  <si>
    <t>40017615</t>
  </si>
  <si>
    <t>2010040598163176</t>
  </si>
  <si>
    <t>40017616</t>
  </si>
  <si>
    <t>2010040598173176</t>
  </si>
  <si>
    <t>40017617</t>
  </si>
  <si>
    <t>2010040598043177</t>
  </si>
  <si>
    <t>MY GREEN LIFE RND OIL BURNER</t>
  </si>
  <si>
    <t>40017618</t>
  </si>
  <si>
    <t>2010040598163177</t>
  </si>
  <si>
    <t>40017619</t>
  </si>
  <si>
    <t>2010040598173177</t>
  </si>
  <si>
    <t>40017620</t>
  </si>
  <si>
    <t>2010050198040001</t>
  </si>
  <si>
    <t>40017634</t>
  </si>
  <si>
    <t>2010050198020001</t>
  </si>
  <si>
    <t>40017635</t>
  </si>
  <si>
    <t>2010050198130001</t>
  </si>
  <si>
    <t>40017636</t>
  </si>
  <si>
    <t>2010050198100001</t>
  </si>
  <si>
    <t>40017637</t>
  </si>
  <si>
    <t>2010050198160001</t>
  </si>
  <si>
    <t>40017638</t>
  </si>
  <si>
    <t>2010051098040594</t>
  </si>
  <si>
    <t>ESS JRCNDL W MTL LID CTRNELLA</t>
  </si>
  <si>
    <t>40018119</t>
  </si>
  <si>
    <t>2010051098030594</t>
  </si>
  <si>
    <t>40018120</t>
  </si>
  <si>
    <t>2010010298220017</t>
  </si>
  <si>
    <t>AUTUMN FAM FRAME - 5OPENING</t>
  </si>
  <si>
    <t>40018115</t>
  </si>
  <si>
    <t>2010010298180018</t>
  </si>
  <si>
    <t>ESS SUMMER FAM MEMO FRAME-9OPN</t>
  </si>
  <si>
    <t>40018116</t>
  </si>
  <si>
    <t>2010010298160018</t>
  </si>
  <si>
    <t>40018117</t>
  </si>
  <si>
    <t>2010010298220018</t>
  </si>
  <si>
    <t>40018118</t>
  </si>
  <si>
    <t>2010070201220038</t>
  </si>
  <si>
    <t>YSABEL CEMENT PLANTER</t>
  </si>
  <si>
    <t>40018121</t>
  </si>
  <si>
    <t>2010070201180038</t>
  </si>
  <si>
    <t>40018122</t>
  </si>
  <si>
    <t>2010070203220038</t>
  </si>
  <si>
    <t>40018123</t>
  </si>
  <si>
    <t>2010070203180038</t>
  </si>
  <si>
    <t>40018124</t>
  </si>
  <si>
    <t>2010070103300083</t>
  </si>
  <si>
    <t>YEN DECORATIVE PLANT B - L</t>
  </si>
  <si>
    <t>40018128</t>
  </si>
  <si>
    <t>2010070101220084</t>
  </si>
  <si>
    <t>YULO DECORATIVE PLANT A - S</t>
  </si>
  <si>
    <t>40018129</t>
  </si>
  <si>
    <t>2010070101220085</t>
  </si>
  <si>
    <t>YULO DECORATIVE PLANT B - S</t>
  </si>
  <si>
    <t>40018130</t>
  </si>
  <si>
    <t>2010070103220084</t>
  </si>
  <si>
    <t>YULO DECORATIVE PLANT A - L</t>
  </si>
  <si>
    <t>40018131</t>
  </si>
  <si>
    <t>2010070103220085</t>
  </si>
  <si>
    <t>YULO DECORATIVE PLANT B - L</t>
  </si>
  <si>
    <t>40018132</t>
  </si>
  <si>
    <t>2010030403023433</t>
  </si>
  <si>
    <t>40018136</t>
  </si>
  <si>
    <t>2010030403223433</t>
  </si>
  <si>
    <t>40018137</t>
  </si>
  <si>
    <t>2010040601162879</t>
  </si>
  <si>
    <t>WILHELM METAL LANTERN</t>
  </si>
  <si>
    <t>40018205</t>
  </si>
  <si>
    <t>2010040603162879</t>
  </si>
  <si>
    <t>40018204</t>
  </si>
  <si>
    <t>2010040601182879</t>
  </si>
  <si>
    <t>40018203</t>
  </si>
  <si>
    <t>2010040603182879</t>
  </si>
  <si>
    <t>40018202</t>
  </si>
  <si>
    <t>2010010898070021</t>
  </si>
  <si>
    <t>JOY BLUE ABSTRACT A CANVAS ART SET 2</t>
  </si>
  <si>
    <t>40018271</t>
  </si>
  <si>
    <t>2010010804070022</t>
  </si>
  <si>
    <t>JOY BLUE ABSTRACT B CANVAS ART SET 2</t>
  </si>
  <si>
    <t>40018273</t>
  </si>
  <si>
    <t>2010010898070023</t>
  </si>
  <si>
    <t>JOY BLUE WAVES CANVAS FRAME SET 2</t>
  </si>
  <si>
    <t>40018274</t>
  </si>
  <si>
    <t>2010010804070024</t>
  </si>
  <si>
    <t>JOY BLUE &amp; CREAM CANVAS ART SET 2</t>
  </si>
  <si>
    <t>40018276</t>
  </si>
  <si>
    <t>2010010898070025</t>
  </si>
  <si>
    <t>JOY BLUE HAPPINESS CANVAS ART SET 5</t>
  </si>
  <si>
    <t>40018277</t>
  </si>
  <si>
    <t>2010010898070026</t>
  </si>
  <si>
    <t>JOY BLUE MODERN CANVAS ART SET 3</t>
  </si>
  <si>
    <t>40018275</t>
  </si>
  <si>
    <t>2010010898070027</t>
  </si>
  <si>
    <t>JOY BLUE DOOR CANVAS ART SET 3</t>
  </si>
  <si>
    <t>40018278</t>
  </si>
  <si>
    <t>2010010898160028</t>
  </si>
  <si>
    <t>JIN GOOD VIBES CANVAS ART SET 2</t>
  </si>
  <si>
    <t>40018252</t>
  </si>
  <si>
    <t>2010010804160029</t>
  </si>
  <si>
    <t>JIN BEAUTIFUL RIDE  CANVAS ART SET 2</t>
  </si>
  <si>
    <t>40018279</t>
  </si>
  <si>
    <t>2010010898160030</t>
  </si>
  <si>
    <t>JIN BE YOURSELF CANVAS ART SET 2</t>
  </si>
  <si>
    <t>40018280</t>
  </si>
  <si>
    <t>2010010804160031</t>
  </si>
  <si>
    <t>JIN BICYCLE RIDE CANVAS ART SET 2</t>
  </si>
  <si>
    <t>40018281</t>
  </si>
  <si>
    <t>2010010898180032</t>
  </si>
  <si>
    <t>JIN BLACK AND WHITECANVAS ART SET 5</t>
  </si>
  <si>
    <t>40018282</t>
  </si>
  <si>
    <t>2010010898180033</t>
  </si>
  <si>
    <t>JIN PEAK AND PINES CANVAS ART SET 3</t>
  </si>
  <si>
    <t>40018283</t>
  </si>
  <si>
    <t>2010010898180034</t>
  </si>
  <si>
    <t>JIN POINT AND POND CNVS ART SET 3</t>
  </si>
  <si>
    <t>40018284</t>
  </si>
  <si>
    <t>2010041098160225</t>
  </si>
  <si>
    <t>DARE TO DREAM WOOD TABLETOP DECOR</t>
  </si>
  <si>
    <t>40018269</t>
  </si>
  <si>
    <t>2010041098180225</t>
  </si>
  <si>
    <t>COMFORT ZONE WOOD TABLETOP DECOR</t>
  </si>
  <si>
    <t>40018270</t>
  </si>
  <si>
    <t>2010041098220225</t>
  </si>
  <si>
    <t>YOU WILL NEVER KNOW WOOD TABLETOP DECOR</t>
  </si>
  <si>
    <t>40018272</t>
  </si>
  <si>
    <t>2010041098160226</t>
  </si>
  <si>
    <t>MAKE IT HAPPEN WOOD TABLETOP DECOR</t>
  </si>
  <si>
    <t>40018285</t>
  </si>
  <si>
    <t>2010041098180226</t>
  </si>
  <si>
    <t>WILLING HEART WOOD TABLETOP DECOR</t>
  </si>
  <si>
    <t>40018286</t>
  </si>
  <si>
    <t>2010041098220226</t>
  </si>
  <si>
    <t>REASON TO SMILE WOOD TABLETOP DECOR</t>
  </si>
  <si>
    <t>40018287</t>
  </si>
  <si>
    <t>2010010898040035</t>
  </si>
  <si>
    <t>JOEY STREET SIDES CANVAS ART SET 2</t>
  </si>
  <si>
    <t>40018254</t>
  </si>
  <si>
    <t>2010010804040036</t>
  </si>
  <si>
    <t>JOEY DOWN THE STREETS  CANVAS ART SET 2</t>
  </si>
  <si>
    <t>40018255</t>
  </si>
  <si>
    <t>2010010898130037</t>
  </si>
  <si>
    <t>JOEY BY THE BEACH A CANVAS ART SET 2</t>
  </si>
  <si>
    <t>40018259</t>
  </si>
  <si>
    <t>2010010804070038</t>
  </si>
  <si>
    <t>JOEY BY THE BEACH B CANVAS ART SET 2</t>
  </si>
  <si>
    <t>40018257</t>
  </si>
  <si>
    <t>2010010898070039</t>
  </si>
  <si>
    <t>JOEY SUMMER ADVENTURE CANVAS ART SET 5</t>
  </si>
  <si>
    <t>40018258</t>
  </si>
  <si>
    <t>2010010898070040</t>
  </si>
  <si>
    <t>JOEY PASTEL PULL-OVER CANVAS ART SET 3</t>
  </si>
  <si>
    <t>40018265</t>
  </si>
  <si>
    <t>2010010898040041</t>
  </si>
  <si>
    <t>JOEY TROPICAL  LEAVES CANVAS ART SET 3</t>
  </si>
  <si>
    <t>40018266</t>
  </si>
  <si>
    <t>2010010898170042</t>
  </si>
  <si>
    <t>JUST WHEAT AND FLEUR CANVAS ART SET 2</t>
  </si>
  <si>
    <t>40018267</t>
  </si>
  <si>
    <t>2010010804170043</t>
  </si>
  <si>
    <t>JUST NUDE ABSTRACT CANVAS ART SET 2</t>
  </si>
  <si>
    <t>40018261</t>
  </si>
  <si>
    <t>2010010898170044</t>
  </si>
  <si>
    <t>JUST FLEURS A CANVAS ART SET OF 2</t>
  </si>
  <si>
    <t>40018262</t>
  </si>
  <si>
    <t>2010010804170045</t>
  </si>
  <si>
    <t>JUST FLEURS B CANVAS ART SET OF 2</t>
  </si>
  <si>
    <t>40018253</t>
  </si>
  <si>
    <t>2010010898170046</t>
  </si>
  <si>
    <t>JUST AUTUMN FLOWERS CANVAS ART SET 5</t>
  </si>
  <si>
    <t>40018256</t>
  </si>
  <si>
    <t>2010010898170047</t>
  </si>
  <si>
    <t>JUST BUCKWHEATS A  CANVAS ART SET 3</t>
  </si>
  <si>
    <t>40018260</t>
  </si>
  <si>
    <t>2010010898170048</t>
  </si>
  <si>
    <t>JUST BUCKWHEATS B CANVAS ART SET 3</t>
  </si>
  <si>
    <t>40018263</t>
  </si>
  <si>
    <t>2010041098160228</t>
  </si>
  <si>
    <t>POSITIVE OUTCOME WOOD TABLETOP DECOR</t>
  </si>
  <si>
    <t>40018264</t>
  </si>
  <si>
    <t>2010041098160229</t>
  </si>
  <si>
    <t>FOLLOW YOUR DREAMS WOOD TABLETOP DECOR</t>
  </si>
  <si>
    <t>40018293</t>
  </si>
  <si>
    <t>2010010898130049</t>
  </si>
  <si>
    <t>JEITH FALLING IN PARIS CANVAS ART SET 2</t>
  </si>
  <si>
    <t>40018302</t>
  </si>
  <si>
    <t>2010010804130050</t>
  </si>
  <si>
    <t>JEITH GIRL NIGHT OUT  CANVAS ART SET 2</t>
  </si>
  <si>
    <t>40018303</t>
  </si>
  <si>
    <t>2010010898130051</t>
  </si>
  <si>
    <t>JEITH FALLIN IN PARIS A CANVAS ART SET 2</t>
  </si>
  <si>
    <t>40018304</t>
  </si>
  <si>
    <t>2010010804130052</t>
  </si>
  <si>
    <t>JEITH FALLIN IN PARIS B CANVAS ART SET 2</t>
  </si>
  <si>
    <t>40018305</t>
  </si>
  <si>
    <t>2010010898130053</t>
  </si>
  <si>
    <t>JEITH LIGHTEN UP CANVAS ART SET 5</t>
  </si>
  <si>
    <t>40018306</t>
  </si>
  <si>
    <t>2010010898130054</t>
  </si>
  <si>
    <t>JEITH PINK UMBRELLAS CANVAS ART SET 3</t>
  </si>
  <si>
    <t>40018307</t>
  </si>
  <si>
    <t>2010010898160055</t>
  </si>
  <si>
    <t>JEITH IN SANTORINI CANVAS ART SET 3</t>
  </si>
  <si>
    <t>40018288</t>
  </si>
  <si>
    <t>2010010898020056</t>
  </si>
  <si>
    <t>JANNA SUN TANNED CANVAS ART SET 2</t>
  </si>
  <si>
    <t>40018289</t>
  </si>
  <si>
    <t>2010010804020057</t>
  </si>
  <si>
    <t>JANNA BROWN AND BEAUTIFUL CANVAS ART SET 2</t>
  </si>
  <si>
    <t>40018290</t>
  </si>
  <si>
    <t>2010010898190058</t>
  </si>
  <si>
    <t>JANNA BROWN LOOPS CANVAS ART SET 2</t>
  </si>
  <si>
    <t>40018291</t>
  </si>
  <si>
    <t>2010010804190059</t>
  </si>
  <si>
    <t>JANNA BROWN AND BELIEVE CANVAS ART SET 2</t>
  </si>
  <si>
    <t>40018294</t>
  </si>
  <si>
    <t>2010010898130060</t>
  </si>
  <si>
    <t>JANNA GIRL POWER CANVAS ART SET 5</t>
  </si>
  <si>
    <t>40018296</t>
  </si>
  <si>
    <t>2010010898020061</t>
  </si>
  <si>
    <t>JANNA PANTONE BROWN CANVAS ART SET 5</t>
  </si>
  <si>
    <t>40018297</t>
  </si>
  <si>
    <t>2010010898020062</t>
  </si>
  <si>
    <t>JANNA SUNSHINE PEAKS CANVAS ART SET 3</t>
  </si>
  <si>
    <t>40018326</t>
  </si>
  <si>
    <t>2010010898020063</t>
  </si>
  <si>
    <t>JANNA CARAMEL CANVAS ART SET 3</t>
  </si>
  <si>
    <t>40018308</t>
  </si>
  <si>
    <t>2010010104260032</t>
  </si>
  <si>
    <t>ZOEY PHOTO FRAME –8x10</t>
  </si>
  <si>
    <t>40018312</t>
  </si>
  <si>
    <t>2010010104190032</t>
  </si>
  <si>
    <t>40018313</t>
  </si>
  <si>
    <t>2010010104170032</t>
  </si>
  <si>
    <t>40018320</t>
  </si>
  <si>
    <t>2010010298260001</t>
  </si>
  <si>
    <t>ZOEY FAMILY FRAME 3 OPENING</t>
  </si>
  <si>
    <t>40018314</t>
  </si>
  <si>
    <t>2010010298190001</t>
  </si>
  <si>
    <t>40018317</t>
  </si>
  <si>
    <t>2010010298170001</t>
  </si>
  <si>
    <t>40018315</t>
  </si>
  <si>
    <t>2010010298260002</t>
  </si>
  <si>
    <t>ZOEY FAMILY FRAME 5 OPENING</t>
  </si>
  <si>
    <t>40018322</t>
  </si>
  <si>
    <t>2010010298190002</t>
  </si>
  <si>
    <t>40018321</t>
  </si>
  <si>
    <t>2010010298170002</t>
  </si>
  <si>
    <t>40018323</t>
  </si>
  <si>
    <t>2010010298260003</t>
  </si>
  <si>
    <t>ZOEY FAMILY FRAME 8 OPENING</t>
  </si>
  <si>
    <t>40018324</t>
  </si>
  <si>
    <t>2010010298190003</t>
  </si>
  <si>
    <t>40018316</t>
  </si>
  <si>
    <t>2010010298170003</t>
  </si>
  <si>
    <t>40018318</t>
  </si>
  <si>
    <t>2010010103180033</t>
  </si>
  <si>
    <t>ZENDAYA PHOTO FRAME 5x7</t>
  </si>
  <si>
    <t>40018319</t>
  </si>
  <si>
    <t>2010010103160033</t>
  </si>
  <si>
    <t>40018325</t>
  </si>
  <si>
    <t>2010010103220033</t>
  </si>
  <si>
    <t>40018327</t>
  </si>
  <si>
    <t>2010010104170034</t>
  </si>
  <si>
    <t>ZOILA PHOTO FRAME – 8X10</t>
  </si>
  <si>
    <t>40018588</t>
  </si>
  <si>
    <t>2010010104160034</t>
  </si>
  <si>
    <t>40018584</t>
  </si>
  <si>
    <t>2010010104220034</t>
  </si>
  <si>
    <t>40018358</t>
  </si>
  <si>
    <t>2010010102180029</t>
  </si>
  <si>
    <t>ESS JANE PHOTO FRAME  SET2–4x6</t>
  </si>
  <si>
    <t>40018359</t>
  </si>
  <si>
    <t>2010010102160029</t>
  </si>
  <si>
    <t>40018585</t>
  </si>
  <si>
    <t>2010010102220029</t>
  </si>
  <si>
    <t>40018360</t>
  </si>
  <si>
    <t>2010010104180029</t>
  </si>
  <si>
    <t>ESS JANE PHOTO FRAME SET2–8x10</t>
  </si>
  <si>
    <t>40018364</t>
  </si>
  <si>
    <t>2010010104160029</t>
  </si>
  <si>
    <t>40018365</t>
  </si>
  <si>
    <t>2010010104220029</t>
  </si>
  <si>
    <t>40018366</t>
  </si>
  <si>
    <t>2010010298180013</t>
  </si>
  <si>
    <t>ESS SUMMER FAM FRAME -3OPENING</t>
  </si>
  <si>
    <t>40018367</t>
  </si>
  <si>
    <t>2010010298160013</t>
  </si>
  <si>
    <t>40018368</t>
  </si>
  <si>
    <t>2010010298220013</t>
  </si>
  <si>
    <t>40018343</t>
  </si>
  <si>
    <t>2010010298180014</t>
  </si>
  <si>
    <t>ESS SUMMER FAM FRAME -4OPENING</t>
  </si>
  <si>
    <t>40018344</t>
  </si>
  <si>
    <t>2010010298160014</t>
  </si>
  <si>
    <t>40018345</t>
  </si>
  <si>
    <t>2010010298220014</t>
  </si>
  <si>
    <t>40018346</t>
  </si>
  <si>
    <t>2010010298180015</t>
  </si>
  <si>
    <t>SUMMER FAM  / LETTER FRAME - 4 OPENING</t>
  </si>
  <si>
    <t>40018347</t>
  </si>
  <si>
    <t>2010010298160015</t>
  </si>
  <si>
    <t>40018586</t>
  </si>
  <si>
    <t>2010010298220015</t>
  </si>
  <si>
    <t>40018348</t>
  </si>
  <si>
    <t>2010020198168154</t>
  </si>
  <si>
    <t>ZACHARY  CERAMIC TABLE LAMP</t>
  </si>
  <si>
    <t>40018349</t>
  </si>
  <si>
    <t>2010020198188154</t>
  </si>
  <si>
    <t>40018335</t>
  </si>
  <si>
    <t>2010020198178154</t>
  </si>
  <si>
    <t>40018350</t>
  </si>
  <si>
    <t>2010020198168155</t>
  </si>
  <si>
    <t>ZIGGY CERAMIC TABLE LAMP</t>
  </si>
  <si>
    <t>40018352</t>
  </si>
  <si>
    <t>2010020198188155</t>
  </si>
  <si>
    <t>40018351</t>
  </si>
  <si>
    <t>2010020198178155</t>
  </si>
  <si>
    <t>40018336</t>
  </si>
  <si>
    <t>2010020101228156</t>
  </si>
  <si>
    <t>RIO FAUX WOOD - CERAMIC TABLE LAMP - S</t>
  </si>
  <si>
    <t>40018337</t>
  </si>
  <si>
    <t>2010020101178156</t>
  </si>
  <si>
    <t>40018338</t>
  </si>
  <si>
    <t>2010020103228156</t>
  </si>
  <si>
    <t>RIO FAUX WOOD - CERAMIC TABLE LAMP - L</t>
  </si>
  <si>
    <t>40018339</t>
  </si>
  <si>
    <t>2010020103178156</t>
  </si>
  <si>
    <t>40018579</t>
  </si>
  <si>
    <t>2010020198228157</t>
  </si>
  <si>
    <t>RAV FAUX WOOD TABLE LAMP</t>
  </si>
  <si>
    <t>40018340</t>
  </si>
  <si>
    <t>2010020198208157</t>
  </si>
  <si>
    <t>40018341</t>
  </si>
  <si>
    <t>2010020198168160</t>
  </si>
  <si>
    <t>JACKSON SQUARE CERAMIC TABLE LAMP</t>
  </si>
  <si>
    <t>40018342</t>
  </si>
  <si>
    <t>2010020198188160</t>
  </si>
  <si>
    <t>40018580</t>
  </si>
  <si>
    <t>2010020198168161</t>
  </si>
  <si>
    <t>JACKSON ROUND CERAMIC TABLE LAMP</t>
  </si>
  <si>
    <t>40018581</t>
  </si>
  <si>
    <t>2010020198188161</t>
  </si>
  <si>
    <t>40018582</t>
  </si>
  <si>
    <t>2010020198228162</t>
  </si>
  <si>
    <t>RICKA CERAMIC TABLE LAMP</t>
  </si>
  <si>
    <t>40018587</t>
  </si>
  <si>
    <t>2010020198168162</t>
  </si>
  <si>
    <t>40018590</t>
  </si>
  <si>
    <t>2010020198178162</t>
  </si>
  <si>
    <t>40018574</t>
  </si>
  <si>
    <t>2010020198188162</t>
  </si>
  <si>
    <t>40018575</t>
  </si>
  <si>
    <t>2010051098070603</t>
  </si>
  <si>
    <t>WILD BOHEMIAN DREAM JAR CANDLE</t>
  </si>
  <si>
    <t>40018694</t>
  </si>
  <si>
    <t>2010051098100603</t>
  </si>
  <si>
    <t>40018695</t>
  </si>
  <si>
    <t>2010051098010603</t>
  </si>
  <si>
    <t>40018696</t>
  </si>
  <si>
    <t>2010051098070604</t>
  </si>
  <si>
    <t>WISHES AND DREAMS JAR CANDLE</t>
  </si>
  <si>
    <t>40018700</t>
  </si>
  <si>
    <t>2010051098020604</t>
  </si>
  <si>
    <t>40018701</t>
  </si>
  <si>
    <t>2010051098100604</t>
  </si>
  <si>
    <t>40018702</t>
  </si>
  <si>
    <t>2010051098030605</t>
  </si>
  <si>
    <t>40018706</t>
  </si>
  <si>
    <t>2010051098070605</t>
  </si>
  <si>
    <t>40018707</t>
  </si>
  <si>
    <t>2010020101178166</t>
  </si>
  <si>
    <t>GAYLE WOMAN LINE CER TLAMP - S A</t>
  </si>
  <si>
    <t>40018589</t>
  </si>
  <si>
    <t>2010020101228167</t>
  </si>
  <si>
    <t>GAYLE WOMAN LINE CER TLAMP - S B</t>
  </si>
  <si>
    <t>40018591</t>
  </si>
  <si>
    <t>2010020102178168</t>
  </si>
  <si>
    <t>GENEVIVE WOMAN LINE CER TLAMP - M A</t>
  </si>
  <si>
    <t>40018592</t>
  </si>
  <si>
    <t>2010020102138169</t>
  </si>
  <si>
    <t>GENEVIVE WOMAN LINE CER TLAMP - M B</t>
  </si>
  <si>
    <t>40018593</t>
  </si>
  <si>
    <t>2010020103178170</t>
  </si>
  <si>
    <t>GABRIELLA WOMAN LINE CER TLAMP - L A</t>
  </si>
  <si>
    <t>40018572</t>
  </si>
  <si>
    <t>2010020103138171</t>
  </si>
  <si>
    <t>GABRIELLA WOMAN LINE CER TLAMP - L B</t>
  </si>
  <si>
    <t>40018573</t>
  </si>
  <si>
    <t>2010070198040092</t>
  </si>
  <si>
    <t>CERIS DECOR. RUBBER TREE</t>
  </si>
  <si>
    <t>40018827</t>
  </si>
  <si>
    <t>2010070198040093</t>
  </si>
  <si>
    <t>CHAD DECOR. RUBBER TREE</t>
  </si>
  <si>
    <t>40018825</t>
  </si>
  <si>
    <t>2010070198040094</t>
  </si>
  <si>
    <t>COBI DECOR. ALOE PLANT</t>
  </si>
  <si>
    <t>40018809</t>
  </si>
  <si>
    <t>2010070198040095</t>
  </si>
  <si>
    <t>CONNAR DECOR. ALOE PLANT</t>
  </si>
  <si>
    <t>40018810</t>
  </si>
  <si>
    <t>2010070198010099</t>
  </si>
  <si>
    <t>CAEL DECOR. RUBBER TREE A</t>
  </si>
  <si>
    <t>40018814</t>
  </si>
  <si>
    <t>2010070198040100</t>
  </si>
  <si>
    <t>CAEL DECOR. RUBBER TREE B</t>
  </si>
  <si>
    <t>40018815</t>
  </si>
  <si>
    <t>2010070198040101</t>
  </si>
  <si>
    <t>CAEL DECOR. RUBBER TREE C</t>
  </si>
  <si>
    <t>40018816</t>
  </si>
  <si>
    <t>2010070198040102</t>
  </si>
  <si>
    <t>CAVALLI DECOR. CACTUS – A</t>
  </si>
  <si>
    <t>40018817</t>
  </si>
  <si>
    <t>2010070198040103</t>
  </si>
  <si>
    <t>CAVALLI DECOR. CACTUS – B</t>
  </si>
  <si>
    <t>40018818</t>
  </si>
  <si>
    <t>2010070198040104</t>
  </si>
  <si>
    <t>CAVALLI DECOR. CACTUS – C</t>
  </si>
  <si>
    <t>40018819</t>
  </si>
  <si>
    <t>2010070198040105</t>
  </si>
  <si>
    <t>CALLISTO DECOR. CACTUS – A</t>
  </si>
  <si>
    <t>40018820</t>
  </si>
  <si>
    <t>2010070198040106</t>
  </si>
  <si>
    <t>CALLISTO DECOR. CACTUS – B</t>
  </si>
  <si>
    <t>40018821</t>
  </si>
  <si>
    <t>2010070198040107</t>
  </si>
  <si>
    <t>CALLISTO DECOR. CACTUS – C</t>
  </si>
  <si>
    <t>40018822</t>
  </si>
  <si>
    <t>2010070198130109</t>
  </si>
  <si>
    <t>CURTIS DECOR. ORCHID PLANT</t>
  </si>
  <si>
    <t>40018828</t>
  </si>
  <si>
    <t>2010070198160109</t>
  </si>
  <si>
    <t>40018829</t>
  </si>
  <si>
    <t>2010070101130110</t>
  </si>
  <si>
    <t>CORIN DECOR. MAGNOLIA -S</t>
  </si>
  <si>
    <t>40018830</t>
  </si>
  <si>
    <t>2010070103160110</t>
  </si>
  <si>
    <t>CORIN DECOR. MAGNOLIA -L</t>
  </si>
  <si>
    <t>40018831</t>
  </si>
  <si>
    <t>2010040903160001</t>
  </si>
  <si>
    <t>YUSEF CERAMIC VASE LAR</t>
  </si>
  <si>
    <t>40019249</t>
  </si>
  <si>
    <t>2010040902160001</t>
  </si>
  <si>
    <t>YUSEF CERAMIC VASE MED</t>
  </si>
  <si>
    <t>40019250</t>
  </si>
  <si>
    <t>2010040903180001</t>
  </si>
  <si>
    <t>40019251</t>
  </si>
  <si>
    <t>2010040902180001</t>
  </si>
  <si>
    <t>40019252</t>
  </si>
  <si>
    <t>2010041001180231</t>
  </si>
  <si>
    <t>DIANARA LADY TABLETOP DECOR- S</t>
  </si>
  <si>
    <t>40019271</t>
  </si>
  <si>
    <t>2010041001160231</t>
  </si>
  <si>
    <t>DIANARA LADY TABLETOP DECOR - S</t>
  </si>
  <si>
    <t>40019272</t>
  </si>
  <si>
    <t>2010041001220231</t>
  </si>
  <si>
    <t>40019273</t>
  </si>
  <si>
    <t>2010020298160003</t>
  </si>
  <si>
    <t>40019275</t>
  </si>
  <si>
    <t>2010020198160005</t>
  </si>
  <si>
    <t>FEVEZ METAL TABLE LAMP</t>
  </si>
  <si>
    <t>40019091</t>
  </si>
  <si>
    <t>2010020198180005</t>
  </si>
  <si>
    <t>40019092</t>
  </si>
  <si>
    <t>2010020198040005</t>
  </si>
  <si>
    <t>40019093</t>
  </si>
  <si>
    <t>2010020198160006</t>
  </si>
  <si>
    <t>ZURI CERAMIC TABLE LAMP</t>
  </si>
  <si>
    <t>40019094</t>
  </si>
  <si>
    <t>2010020198170006</t>
  </si>
  <si>
    <t>40019095</t>
  </si>
  <si>
    <t>2010020198220006</t>
  </si>
  <si>
    <t>40019096</t>
  </si>
  <si>
    <t>2010020198160007</t>
  </si>
  <si>
    <t>ZION CERAMIC TABLE LAMP</t>
  </si>
  <si>
    <t>40019097</t>
  </si>
  <si>
    <t>2010020198170007</t>
  </si>
  <si>
    <t>40019098</t>
  </si>
  <si>
    <t>2010020198220007</t>
  </si>
  <si>
    <t>40019099</t>
  </si>
  <si>
    <t>2010020198220008</t>
  </si>
  <si>
    <t>ZYE CERAMIC TABLE LAMP</t>
  </si>
  <si>
    <t>40019100</t>
  </si>
  <si>
    <t>2010020198030008</t>
  </si>
  <si>
    <t>40019101</t>
  </si>
  <si>
    <t>2010020198040008</t>
  </si>
  <si>
    <t>40019102</t>
  </si>
  <si>
    <t>2010020198220009</t>
  </si>
  <si>
    <t>ZHAQ CERAMIC TABLE LAMP</t>
  </si>
  <si>
    <t>40019103</t>
  </si>
  <si>
    <t>2010020198030009</t>
  </si>
  <si>
    <t>40019104</t>
  </si>
  <si>
    <t>2010020198040009</t>
  </si>
  <si>
    <t>40019105</t>
  </si>
  <si>
    <t>2010030102181189</t>
  </si>
  <si>
    <t>ELF 3D ROUND TABLE CLOCK</t>
  </si>
  <si>
    <t>40019106</t>
  </si>
  <si>
    <t>2010030102161189</t>
  </si>
  <si>
    <t>40019107</t>
  </si>
  <si>
    <t>2010030102221189</t>
  </si>
  <si>
    <t>40019108</t>
  </si>
  <si>
    <t>2010030102181190</t>
  </si>
  <si>
    <t>ELF 3D TABLE CLOCK</t>
  </si>
  <si>
    <t>40019109</t>
  </si>
  <si>
    <t>2010030102161190</t>
  </si>
  <si>
    <t>40019110</t>
  </si>
  <si>
    <t>2010030102221190</t>
  </si>
  <si>
    <t>40019111</t>
  </si>
  <si>
    <t>2010030404263437</t>
  </si>
  <si>
    <t>ENYA METAL WALL CLOCK</t>
  </si>
  <si>
    <t>40019112</t>
  </si>
  <si>
    <t>2010030404253437</t>
  </si>
  <si>
    <t>40019113</t>
  </si>
  <si>
    <t>2010030403263438</t>
  </si>
  <si>
    <t>EUGENE METAL WALL CLOCK</t>
  </si>
  <si>
    <t>40019114</t>
  </si>
  <si>
    <t>2010030403253438</t>
  </si>
  <si>
    <t>40019115</t>
  </si>
  <si>
    <t>2010030498183404</t>
  </si>
  <si>
    <t>40019116</t>
  </si>
  <si>
    <t>2010030498253402</t>
  </si>
  <si>
    <t>40019117</t>
  </si>
  <si>
    <t>2010030498263402</t>
  </si>
  <si>
    <t>40019118</t>
  </si>
  <si>
    <t>2010030403263439</t>
  </si>
  <si>
    <t>ELVINE METAL WALL CLOCK</t>
  </si>
  <si>
    <t>40019119</t>
  </si>
  <si>
    <t>2010030403253439</t>
  </si>
  <si>
    <t>40019120</t>
  </si>
  <si>
    <t>2010030403163440</t>
  </si>
  <si>
    <t>EUNICE METAL WALL CLOCK</t>
  </si>
  <si>
    <t>40019121</t>
  </si>
  <si>
    <t>2010030403183440</t>
  </si>
  <si>
    <t>40019122</t>
  </si>
  <si>
    <t>2010030402163441</t>
  </si>
  <si>
    <t>EUREKA METAL WALL CLOCK</t>
  </si>
  <si>
    <t>40019123</t>
  </si>
  <si>
    <t>2010030402183441</t>
  </si>
  <si>
    <t>40019124</t>
  </si>
  <si>
    <t>2010030402253442</t>
  </si>
  <si>
    <t>EZRA WALL CLOCK</t>
  </si>
  <si>
    <t>40019125</t>
  </si>
  <si>
    <t>2010030402263442</t>
  </si>
  <si>
    <t>40019126</t>
  </si>
  <si>
    <t>2010030402253443</t>
  </si>
  <si>
    <t>EZEKIEL WALL CLOCK</t>
  </si>
  <si>
    <t>40019127</t>
  </si>
  <si>
    <t>2010030402263443</t>
  </si>
  <si>
    <t>40019128</t>
  </si>
  <si>
    <t>2010030403253444</t>
  </si>
  <si>
    <t>EURO WALL CLOCK</t>
  </si>
  <si>
    <t>40019129</t>
  </si>
  <si>
    <t>2010030403263444</t>
  </si>
  <si>
    <t>40019130</t>
  </si>
  <si>
    <t>2010030403173417</t>
  </si>
  <si>
    <t>40019131</t>
  </si>
  <si>
    <t>2010030403183417</t>
  </si>
  <si>
    <t>40019132</t>
  </si>
  <si>
    <t>2010030402163445</t>
  </si>
  <si>
    <t>ESS GREY WALL CLOCK</t>
  </si>
  <si>
    <t>40019133</t>
  </si>
  <si>
    <t>2010030402263445</t>
  </si>
  <si>
    <t>40019134</t>
  </si>
  <si>
    <t>2010030402183445</t>
  </si>
  <si>
    <t>40019135</t>
  </si>
  <si>
    <t>2010030402223446</t>
  </si>
  <si>
    <t>ESS GRIMM WALL CLOCK</t>
  </si>
  <si>
    <t>40019136</t>
  </si>
  <si>
    <t>2010030402173446</t>
  </si>
  <si>
    <t>40019137</t>
  </si>
  <si>
    <t>2010030402183446</t>
  </si>
  <si>
    <t>40019138</t>
  </si>
  <si>
    <t>2010030403183447</t>
  </si>
  <si>
    <t>LIZZY WALL CLOCK</t>
  </si>
  <si>
    <t>40019139</t>
  </si>
  <si>
    <t>2010030403263447</t>
  </si>
  <si>
    <t>40019140</t>
  </si>
  <si>
    <t>2010030403183448</t>
  </si>
  <si>
    <t>LABELLE WALL CLOCK</t>
  </si>
  <si>
    <t>40019141</t>
  </si>
  <si>
    <t>2010030403223449</t>
  </si>
  <si>
    <t>JACKLYN WALL CLOCK</t>
  </si>
  <si>
    <t>40019143</t>
  </si>
  <si>
    <t>2010030403173449</t>
  </si>
  <si>
    <t>40019144</t>
  </si>
  <si>
    <t>2010030403183449</t>
  </si>
  <si>
    <t>40019145</t>
  </si>
  <si>
    <t>2010030403223450</t>
  </si>
  <si>
    <t>JACKSON WALL CLOCK</t>
  </si>
  <si>
    <t>40019146</t>
  </si>
  <si>
    <t>2010030403173450</t>
  </si>
  <si>
    <t>40019147</t>
  </si>
  <si>
    <t>2010030403183450</t>
  </si>
  <si>
    <t>40019148</t>
  </si>
  <si>
    <t>2010030402223451</t>
  </si>
  <si>
    <t>JACKIE WALL CLOCK</t>
  </si>
  <si>
    <t>40019149</t>
  </si>
  <si>
    <t>2010030402173451</t>
  </si>
  <si>
    <t>40019150</t>
  </si>
  <si>
    <t>2010030402183451</t>
  </si>
  <si>
    <t>40019151</t>
  </si>
  <si>
    <t>2010030402183455</t>
  </si>
  <si>
    <t>JEAN STORAGE/ WALL CLOCK</t>
  </si>
  <si>
    <t>40019160</t>
  </si>
  <si>
    <t>2010030402163455</t>
  </si>
  <si>
    <t>40019161</t>
  </si>
  <si>
    <t>2010030198221191</t>
  </si>
  <si>
    <t>ESS BRENT VINTAGE TABLE CLOCK</t>
  </si>
  <si>
    <t>40019162</t>
  </si>
  <si>
    <t>2010030198161191</t>
  </si>
  <si>
    <t>40019163</t>
  </si>
  <si>
    <t>2010030198181191</t>
  </si>
  <si>
    <t>40019164</t>
  </si>
  <si>
    <t>2010030198221192</t>
  </si>
  <si>
    <t>ESS BRUNO VINTAGE TABLE CLOCK</t>
  </si>
  <si>
    <t>40019165</t>
  </si>
  <si>
    <t>2010030198161192</t>
  </si>
  <si>
    <t>40019166</t>
  </si>
  <si>
    <t>2010030198181192</t>
  </si>
  <si>
    <t>40019167</t>
  </si>
  <si>
    <t>2010030198171193</t>
  </si>
  <si>
    <t>40019168</t>
  </si>
  <si>
    <t>2010030198221193</t>
  </si>
  <si>
    <t>40019169</t>
  </si>
  <si>
    <t>2010030198041193</t>
  </si>
  <si>
    <t>40019170</t>
  </si>
  <si>
    <t>2010030198171194</t>
  </si>
  <si>
    <t>ESS BARBIE VINTAGE TABLE CLOCK</t>
  </si>
  <si>
    <t>40019171</t>
  </si>
  <si>
    <t>2010030198221194</t>
  </si>
  <si>
    <t>40019172</t>
  </si>
  <si>
    <t>2010030198041194</t>
  </si>
  <si>
    <t>40019173</t>
  </si>
  <si>
    <t>2010030198171195</t>
  </si>
  <si>
    <t>ESS BELINDA VINTAGE TABLE CLOCK</t>
  </si>
  <si>
    <t>40019174</t>
  </si>
  <si>
    <t>2010030198221195</t>
  </si>
  <si>
    <t>40019175</t>
  </si>
  <si>
    <t>2010030198041195</t>
  </si>
  <si>
    <t>40019176</t>
  </si>
  <si>
    <t>2010030403263448</t>
  </si>
  <si>
    <t>40019142</t>
  </si>
  <si>
    <t>2010020198170011</t>
  </si>
  <si>
    <t>LOUISE CERAMIC TABLE LAMP</t>
  </si>
  <si>
    <t>40019373</t>
  </si>
  <si>
    <t>2010020198180011</t>
  </si>
  <si>
    <t>40019372</t>
  </si>
  <si>
    <t>2010010103200035</t>
  </si>
  <si>
    <t>DARK NATALIE PHOTO FRAME  - 5X7</t>
  </si>
  <si>
    <t>40019382</t>
  </si>
  <si>
    <t>2010010104200035</t>
  </si>
  <si>
    <t>DARK NATALIE PHOTO FRAME  - 8X10</t>
  </si>
  <si>
    <t>40019381</t>
  </si>
  <si>
    <t>2010010103180035</t>
  </si>
  <si>
    <t>40019400</t>
  </si>
  <si>
    <t>2010010104180035</t>
  </si>
  <si>
    <t>40019399</t>
  </si>
  <si>
    <t>2010010398180019</t>
  </si>
  <si>
    <t>BRY MEMO HOLDER + PLANNER</t>
  </si>
  <si>
    <t>40019402</t>
  </si>
  <si>
    <t>2010010398160019</t>
  </si>
  <si>
    <t>40019414</t>
  </si>
  <si>
    <t>2010010104980036</t>
  </si>
  <si>
    <t>BEACH AZTEC PHOTO FRAME 8X10 SET OF 3</t>
  </si>
  <si>
    <t>40019411</t>
  </si>
  <si>
    <t>2010010103980036</t>
  </si>
  <si>
    <t>BEACH AZTEC PHOTO FRAME 5X7 SET OF 3</t>
  </si>
  <si>
    <t>40019413</t>
  </si>
  <si>
    <t>2010010102980036</t>
  </si>
  <si>
    <t>BEACH AZTEC PHOTO FRAME 4X6 SET OF 3</t>
  </si>
  <si>
    <t>40019410</t>
  </si>
  <si>
    <t>2010010104980037</t>
  </si>
  <si>
    <t>BEACH MORPH PHOTO FRAME 8X10 SET OF 3</t>
  </si>
  <si>
    <t>40019406</t>
  </si>
  <si>
    <t>2010010103980037</t>
  </si>
  <si>
    <t>BEACH MORPH PHOTO FRAME 5X7 SET OF 3</t>
  </si>
  <si>
    <t>40019409</t>
  </si>
  <si>
    <t>2010010102980037</t>
  </si>
  <si>
    <t>BEACH MORPH PHOTO FRAME 4X6 SET OF 3</t>
  </si>
  <si>
    <t>40019412</t>
  </si>
  <si>
    <t>2010010104200039</t>
  </si>
  <si>
    <t>ZOE RAW LIFE PHOTO FRAME 8X10</t>
  </si>
  <si>
    <t>40019407</t>
  </si>
  <si>
    <t>2010010104190039</t>
  </si>
  <si>
    <t>40019404</t>
  </si>
  <si>
    <t>2010010104220040</t>
  </si>
  <si>
    <t>ZENDAYA RAW LIFE PHOTO FRAME 8X10</t>
  </si>
  <si>
    <t>40019437</t>
  </si>
  <si>
    <t>2010010104200040</t>
  </si>
  <si>
    <t>40019436</t>
  </si>
  <si>
    <t>2010010104200041</t>
  </si>
  <si>
    <t>ZEDD RAW LIFE PHOTO FRAME 8X10</t>
  </si>
  <si>
    <t>40019430</t>
  </si>
  <si>
    <t>2010010104190041</t>
  </si>
  <si>
    <t>40019433</t>
  </si>
  <si>
    <t>2010010298200021</t>
  </si>
  <si>
    <t>ZEDD FAMILY FRAME - SET 4</t>
  </si>
  <si>
    <t>40019428</t>
  </si>
  <si>
    <t>2010010298200022</t>
  </si>
  <si>
    <t>ZEDD FAMILY FRAME - SET 6</t>
  </si>
  <si>
    <t>40019427</t>
  </si>
  <si>
    <t>2010010104040042</t>
  </si>
  <si>
    <t>ZELDA PASTEL SUMMER PHOTO FRAME 8X10</t>
  </si>
  <si>
    <t>40019426</t>
  </si>
  <si>
    <t>2010010104130042</t>
  </si>
  <si>
    <t>40019369</t>
  </si>
  <si>
    <t>2010010102220043</t>
  </si>
  <si>
    <t>ZACH PASTEL SUMMER PHOTO FRAME 4X6</t>
  </si>
  <si>
    <t>40019368</t>
  </si>
  <si>
    <t>2010010102200043</t>
  </si>
  <si>
    <t>40019361</t>
  </si>
  <si>
    <t>2010010104220043</t>
  </si>
  <si>
    <t>ZACH PASTEL SUMMER PHOTO FRAME 8X10</t>
  </si>
  <si>
    <t>40019359</t>
  </si>
  <si>
    <t>2010010104200043</t>
  </si>
  <si>
    <t>40019367</t>
  </si>
  <si>
    <t>2010010102040044</t>
  </si>
  <si>
    <t>ZINIA PASTEL SUMMER PHOTO FRAME 4X6</t>
  </si>
  <si>
    <t>40019366</t>
  </si>
  <si>
    <t>2010010102130044</t>
  </si>
  <si>
    <t>40019363</t>
  </si>
  <si>
    <t>2010010104040044</t>
  </si>
  <si>
    <t>ZINIA PASTEL SUMMER PHOTO FRAME 8X10</t>
  </si>
  <si>
    <t>40019365</t>
  </si>
  <si>
    <t>2010010104130044</t>
  </si>
  <si>
    <t>40019364</t>
  </si>
  <si>
    <t>2010010298130023</t>
  </si>
  <si>
    <t>ZELDA FAMILY FRAME SET OF 3</t>
  </si>
  <si>
    <t>40019362</t>
  </si>
  <si>
    <t>2010010298040023</t>
  </si>
  <si>
    <t>40019360</t>
  </si>
  <si>
    <t>2010041802230008</t>
  </si>
  <si>
    <t>D/XE  LIA TAPER CANDLE HOLDER A– M</t>
  </si>
  <si>
    <t>40019624</t>
  </si>
  <si>
    <t>2010041801240008</t>
  </si>
  <si>
    <t>D/XE  LIA TAPER CANDLE HOLDER A– S</t>
  </si>
  <si>
    <t>40019623</t>
  </si>
  <si>
    <t>2010041802230009</t>
  </si>
  <si>
    <t>D/XE LIA TAPER CANDLE HOLDER B – M</t>
  </si>
  <si>
    <t>40019622</t>
  </si>
  <si>
    <t>2010041801240009</t>
  </si>
  <si>
    <t>D/XE LIA TAPER CANDLE HOLDER B – S</t>
  </si>
  <si>
    <t>40019621</t>
  </si>
  <si>
    <t>2010070198180016</t>
  </si>
  <si>
    <t>VISTA BLACK YVES DCRTV A FAUX PLANT</t>
  </si>
  <si>
    <t>2010070101180019</t>
  </si>
  <si>
    <t>DALLIA FAUX PLANT SMALL</t>
  </si>
  <si>
    <t>40014647</t>
  </si>
  <si>
    <t>2010070101160019</t>
  </si>
  <si>
    <t>40014648</t>
  </si>
  <si>
    <t>2010070101160020</t>
  </si>
  <si>
    <t>40014650</t>
  </si>
  <si>
    <t>2010010198160014</t>
  </si>
  <si>
    <t>BENNY TRPCL A M.HLDR/WHI BOARD</t>
  </si>
  <si>
    <t>40014562</t>
  </si>
  <si>
    <t>2010010198180015</t>
  </si>
  <si>
    <t>BENNY TRPCL B M.HLDR/WHI BOARD</t>
  </si>
  <si>
    <t>40014563</t>
  </si>
  <si>
    <t>2010010798180015</t>
  </si>
  <si>
    <t>W.FRM GREEN BOTANICALS</t>
  </si>
  <si>
    <t>40014631</t>
  </si>
  <si>
    <t>2010010798210014</t>
  </si>
  <si>
    <t>W.FRM GREEN IVY &amp; PALM</t>
  </si>
  <si>
    <t>40014630</t>
  </si>
  <si>
    <t>2010010798210016</t>
  </si>
  <si>
    <t>W.FRM GRN MDERN PALM QTES</t>
  </si>
  <si>
    <t>40014632</t>
  </si>
  <si>
    <t>2010020198168149</t>
  </si>
  <si>
    <t>40016881</t>
  </si>
  <si>
    <t>2010010198180016</t>
  </si>
  <si>
    <t>BENNY TERRAZO A M.HLDR/WHI BRD</t>
  </si>
  <si>
    <t>40014564</t>
  </si>
  <si>
    <t>2010010198160017</t>
  </si>
  <si>
    <t>BENNY TERRAZO B M.HLDR/WHI BRD</t>
  </si>
  <si>
    <t>40014565</t>
  </si>
  <si>
    <t>2010010102160019</t>
  </si>
  <si>
    <t>ESS CAVERN A PHOTO FRAME 4x6</t>
  </si>
  <si>
    <t>40017343</t>
  </si>
  <si>
    <t>2010010102180019</t>
  </si>
  <si>
    <t>40017345</t>
  </si>
  <si>
    <t>2010011303180015</t>
  </si>
  <si>
    <t>D/XD ZURA PHOTO FRAME 5X7</t>
  </si>
  <si>
    <t>40017534</t>
  </si>
  <si>
    <t>2010011303160015</t>
  </si>
  <si>
    <t>40017535</t>
  </si>
  <si>
    <t>2010011303070015</t>
  </si>
  <si>
    <t>40017536</t>
  </si>
  <si>
    <t>2010011304180015</t>
  </si>
  <si>
    <t>40017537</t>
  </si>
  <si>
    <t>2010011304070015</t>
  </si>
  <si>
    <t>40017539</t>
  </si>
  <si>
    <t>2010011302240016</t>
  </si>
  <si>
    <t>D/XD ZOEY PHOTO FRAME 4X6</t>
  </si>
  <si>
    <t>40017540</t>
  </si>
  <si>
    <t>2010011302190016</t>
  </si>
  <si>
    <t>40017541</t>
  </si>
  <si>
    <t>2010011303240016</t>
  </si>
  <si>
    <t>D/XD ZOEY PHOTO FRAME 5X7</t>
  </si>
  <si>
    <t>40017542</t>
  </si>
  <si>
    <t>2010011303190016</t>
  </si>
  <si>
    <t>40017543</t>
  </si>
  <si>
    <t>2010011498200019</t>
  </si>
  <si>
    <t>D/XD ZEDDIE FAMILY FRAME 4OPEN</t>
  </si>
  <si>
    <t>40017544</t>
  </si>
  <si>
    <t>2010011498200020</t>
  </si>
  <si>
    <t>D/XD ZEDDIE FAMILY FRAME 8OPEN</t>
  </si>
  <si>
    <t>40017545</t>
  </si>
  <si>
    <t>2010010898040014</t>
  </si>
  <si>
    <t>XYLA DARE TO DREAM  CANVAS FRM SET 2</t>
  </si>
  <si>
    <t>40018019</t>
  </si>
  <si>
    <t>2010010898080015</t>
  </si>
  <si>
    <t>XAVI FLOWERS  CANVAS FRM SET 2</t>
  </si>
  <si>
    <t>40018000</t>
  </si>
  <si>
    <t>2010010898080016</t>
  </si>
  <si>
    <t>XAVI BIRDS  CANVAS FRM SET 2</t>
  </si>
  <si>
    <t>40018001</t>
  </si>
  <si>
    <t>2010010898180018</t>
  </si>
  <si>
    <t>XIA LIFE IS GOOD  CANVAS FRM SET 2</t>
  </si>
  <si>
    <t>40018004</t>
  </si>
  <si>
    <t>2010010898220020</t>
  </si>
  <si>
    <t>XION DREAM BIG CANVAS FRM SET 2</t>
  </si>
  <si>
    <t>40018008</t>
  </si>
  <si>
    <t>2010010298180017</t>
  </si>
  <si>
    <t>40018113</t>
  </si>
  <si>
    <t>2010010298160017</t>
  </si>
  <si>
    <t>40018114</t>
  </si>
  <si>
    <t>2010020198170012</t>
  </si>
  <si>
    <t>LOIS CERAMIC TABLE LAMP</t>
  </si>
  <si>
    <t>40019371</t>
  </si>
  <si>
    <t>2010020198180012</t>
  </si>
  <si>
    <t>40019370</t>
  </si>
  <si>
    <t>2010020198180013</t>
  </si>
  <si>
    <t>LEVITZ METAL TABLE LAMP</t>
  </si>
  <si>
    <t>40019378</t>
  </si>
  <si>
    <t>2010020198160013</t>
  </si>
  <si>
    <t>40019377</t>
  </si>
  <si>
    <t>2010020198180014</t>
  </si>
  <si>
    <t>LYKA METAL TABLE LAMP</t>
  </si>
  <si>
    <t>40019376</t>
  </si>
  <si>
    <t>2010020198160014</t>
  </si>
  <si>
    <t>40019375</t>
  </si>
  <si>
    <t>2010020198290015</t>
  </si>
  <si>
    <t>LAURENT METAL TABLE LAMP</t>
  </si>
  <si>
    <t>40019374</t>
  </si>
  <si>
    <t>2010020198180015</t>
  </si>
  <si>
    <t>40019390</t>
  </si>
  <si>
    <t>2010020198290016</t>
  </si>
  <si>
    <t>LEVIS METAL TABLE LAMP</t>
  </si>
  <si>
    <t>40019389</t>
  </si>
  <si>
    <t>2010020198180016</t>
  </si>
  <si>
    <t>40019388</t>
  </si>
  <si>
    <t>2010020198230017</t>
  </si>
  <si>
    <t>ZOELLA CERAMIC TABLE LAMP</t>
  </si>
  <si>
    <t>40019384</t>
  </si>
  <si>
    <t>2010020198220017</t>
  </si>
  <si>
    <t>40019383</t>
  </si>
  <si>
    <t>2010020198180017</t>
  </si>
  <si>
    <t>40019380</t>
  </si>
  <si>
    <t>2010020198230018</t>
  </si>
  <si>
    <t>ZOILA CERAMIC TABLE LAMP</t>
  </si>
  <si>
    <t>40019385</t>
  </si>
  <si>
    <t>2010020198220018</t>
  </si>
  <si>
    <t>40019386</t>
  </si>
  <si>
    <t>2010020198180018</t>
  </si>
  <si>
    <t>40019387</t>
  </si>
  <si>
    <t>2010010298180020</t>
  </si>
  <si>
    <t>BETSY FAMILY FOLDING FRAME - 4 OPENING</t>
  </si>
  <si>
    <t>40019396</t>
  </si>
  <si>
    <t>2010010298160020</t>
  </si>
  <si>
    <t>40019392</t>
  </si>
  <si>
    <t>2010010298220020</t>
  </si>
  <si>
    <t>40019395</t>
  </si>
  <si>
    <t>2010010398180018</t>
  </si>
  <si>
    <t>BENJAMIN MEMO HOLDER + PLANNER</t>
  </si>
  <si>
    <t>40019394</t>
  </si>
  <si>
    <t>2010010398160018</t>
  </si>
  <si>
    <t>40019393</t>
  </si>
  <si>
    <t>2010041098250233</t>
  </si>
  <si>
    <t>TAYLOR DOG A TABLETOP DECOR</t>
  </si>
  <si>
    <t>40020373</t>
  </si>
  <si>
    <t>2010041098250234</t>
  </si>
  <si>
    <t>TAYLOR DOG B TABLETOP DECOR</t>
  </si>
  <si>
    <t>40020371</t>
  </si>
  <si>
    <t>2010041098250235</t>
  </si>
  <si>
    <t>TAYLOR DOG C TABLETOP DECOR</t>
  </si>
  <si>
    <t>40020370</t>
  </si>
  <si>
    <t>2010040903160008</t>
  </si>
  <si>
    <t>QUINLY C VASE - L</t>
  </si>
  <si>
    <t>40020374</t>
  </si>
  <si>
    <t>2010040901160008</t>
  </si>
  <si>
    <t>QUINLY C VASE -S</t>
  </si>
  <si>
    <t>40020375</t>
  </si>
  <si>
    <t>2010040603160009</t>
  </si>
  <si>
    <t>QUINLY E CHOLDER - L</t>
  </si>
  <si>
    <t>40020377</t>
  </si>
  <si>
    <t>2010040601160009</t>
  </si>
  <si>
    <t>QUINLY E CHOLDER - S</t>
  </si>
  <si>
    <t>40020376</t>
  </si>
  <si>
    <t>2010041003250232</t>
  </si>
  <si>
    <t>QUINY PARIS TTOP DECOR -L</t>
  </si>
  <si>
    <t>40020369</t>
  </si>
  <si>
    <t>2010070198040111</t>
  </si>
  <si>
    <t>40020372</t>
  </si>
  <si>
    <t>2010041801180026</t>
  </si>
  <si>
    <t>SKYLY HURRICANE CANDLEHOLDER - S</t>
  </si>
  <si>
    <t>40020378</t>
  </si>
  <si>
    <t>2010041803180026</t>
  </si>
  <si>
    <t>SKYLY HURRICANE CANDLEHOLDER - L</t>
  </si>
  <si>
    <t>40020386</t>
  </si>
  <si>
    <t>2010040698180012</t>
  </si>
  <si>
    <t>SONYA SET 2 VOTIVE CNDLEHOLDER</t>
  </si>
  <si>
    <t>40020385</t>
  </si>
  <si>
    <t>2010040698180013</t>
  </si>
  <si>
    <t>SANA SET 2 VOTIVE CANDLEHOLDER</t>
  </si>
  <si>
    <t>40020384</t>
  </si>
  <si>
    <t>2010040698180014</t>
  </si>
  <si>
    <t>SOLEIL VOTIVE CANDLEHOLDER</t>
  </si>
  <si>
    <t>40020383</t>
  </si>
  <si>
    <t>2010040698180015</t>
  </si>
  <si>
    <t>SAOIRSE HURRICANE CANDLEHOLDER</t>
  </si>
  <si>
    <t>40020382</t>
  </si>
  <si>
    <t>2010040601170010</t>
  </si>
  <si>
    <t>SILVANNA METAL CHOLDER -S</t>
  </si>
  <si>
    <t>40020381</t>
  </si>
  <si>
    <t>2010040603170010</t>
  </si>
  <si>
    <t>SILVANNA METAL CHOLDER - L</t>
  </si>
  <si>
    <t>40020380</t>
  </si>
  <si>
    <t>2010040601180011</t>
  </si>
  <si>
    <t>40020379</t>
  </si>
  <si>
    <t>2010040603180011</t>
  </si>
  <si>
    <t>40020387</t>
  </si>
  <si>
    <t>2010041901160005</t>
  </si>
  <si>
    <t>D/XF Darla Decorative Tray -S</t>
  </si>
  <si>
    <t>40020391</t>
  </si>
  <si>
    <t>2010041903160005</t>
  </si>
  <si>
    <t>D/XF Darla Decorative Tray -L</t>
  </si>
  <si>
    <t>40020390</t>
  </si>
  <si>
    <t>2010041901180005</t>
  </si>
  <si>
    <t>40020389</t>
  </si>
  <si>
    <t>2010041903180005</t>
  </si>
  <si>
    <t>40020388</t>
  </si>
  <si>
    <t>2010070203160040</t>
  </si>
  <si>
    <t>JAMES GEO DECORATIVE PLANTER - L</t>
  </si>
  <si>
    <t>40020399</t>
  </si>
  <si>
    <t>2010070203220040</t>
  </si>
  <si>
    <t>40020398</t>
  </si>
  <si>
    <t>2010070201160040</t>
  </si>
  <si>
    <t>JAMES GEO DECORATIVE PLANTER - S</t>
  </si>
  <si>
    <t>40020397</t>
  </si>
  <si>
    <t>2010070201220040</t>
  </si>
  <si>
    <t>40020396</t>
  </si>
  <si>
    <t>2010070203160041</t>
  </si>
  <si>
    <t>JAMES ROUND DECORATIVE PLANTER - L</t>
  </si>
  <si>
    <t>40020395</t>
  </si>
  <si>
    <t>2010070203220041</t>
  </si>
  <si>
    <t>40020394</t>
  </si>
  <si>
    <t>2010070201160041</t>
  </si>
  <si>
    <t>JAMES ROUND DECORATIVE PLANTER - S</t>
  </si>
  <si>
    <t>40020393</t>
  </si>
  <si>
    <t>2010070201220041</t>
  </si>
  <si>
    <t>40020392</t>
  </si>
  <si>
    <t>2010030403173456</t>
  </si>
  <si>
    <t>LOVE FLOWER ROUND WALL CLOCK</t>
  </si>
  <si>
    <t>40020450</t>
  </si>
  <si>
    <t>2010030403133456</t>
  </si>
  <si>
    <t>40020449</t>
  </si>
  <si>
    <t>2010030403173457</t>
  </si>
  <si>
    <t>LOVE FLOWER SQUARE WALL CLOCK</t>
  </si>
  <si>
    <t>40020448</t>
  </si>
  <si>
    <t>2010030403133457</t>
  </si>
  <si>
    <t>40020447</t>
  </si>
  <si>
    <t>2010030403223401</t>
  </si>
  <si>
    <t>40020446</t>
  </si>
  <si>
    <t>2010030403223337</t>
  </si>
  <si>
    <t>40020445</t>
  </si>
  <si>
    <t>2010030402163458</t>
  </si>
  <si>
    <t>JUST PAN WALL CLOCK</t>
  </si>
  <si>
    <t>40020444</t>
  </si>
  <si>
    <t>2010030402183458</t>
  </si>
  <si>
    <t>40020443</t>
  </si>
  <si>
    <t>2010030403183459</t>
  </si>
  <si>
    <t>JUST COFFEE WALL CLOCK</t>
  </si>
  <si>
    <t>40020442</t>
  </si>
  <si>
    <t>2010030403183460</t>
  </si>
  <si>
    <t>JUST ESPRESSO WALL CLOCK</t>
  </si>
  <si>
    <t>40020441</t>
  </si>
  <si>
    <t>2010030402143461</t>
  </si>
  <si>
    <t>JUST LOVE STYLE  WALL CLOCK</t>
  </si>
  <si>
    <t>40020455</t>
  </si>
  <si>
    <t>2010030402153461</t>
  </si>
  <si>
    <t>40020454</t>
  </si>
  <si>
    <t>2010030402173462</t>
  </si>
  <si>
    <t>JUST HOME STYLE WALL CLOCK</t>
  </si>
  <si>
    <t>40020453</t>
  </si>
  <si>
    <t>2010030402223462</t>
  </si>
  <si>
    <t>40020452</t>
  </si>
  <si>
    <t>2010030402043462</t>
  </si>
  <si>
    <t>40020451</t>
  </si>
  <si>
    <t>2010030402173463</t>
  </si>
  <si>
    <t>JARI WALL CLOCK</t>
  </si>
  <si>
    <t>40020460</t>
  </si>
  <si>
    <t>2010030402223463</t>
  </si>
  <si>
    <t>40020459</t>
  </si>
  <si>
    <t>2010030402043463</t>
  </si>
  <si>
    <t>40020458</t>
  </si>
  <si>
    <t>2010030403173464</t>
  </si>
  <si>
    <t>JARVIS WALL CLOCK</t>
  </si>
  <si>
    <t>40020457</t>
  </si>
  <si>
    <t>2010030403223464</t>
  </si>
  <si>
    <t>40020456</t>
  </si>
  <si>
    <t>2010030403043464</t>
  </si>
  <si>
    <t>40020461</t>
  </si>
  <si>
    <t>2010021198181281</t>
  </si>
  <si>
    <t>D/XE FARRAH SUNSET LED TABLE LAMP B</t>
  </si>
  <si>
    <t>40020877</t>
  </si>
  <si>
    <t>2010021198181282</t>
  </si>
  <si>
    <t>D/XE  FARRAH SUNSET LED TABLE LAMP C</t>
  </si>
  <si>
    <t>40020876</t>
  </si>
  <si>
    <t>2010042298180053</t>
  </si>
  <si>
    <t>DX/C TAYLOR EMPIRE TBLTOP DECOR</t>
  </si>
  <si>
    <t>40020970</t>
  </si>
  <si>
    <t>2010042298160054</t>
  </si>
  <si>
    <t>DX/C TAYLOR PARIS TBLTOP DECOR</t>
  </si>
  <si>
    <t>40020969</t>
  </si>
  <si>
    <t>2010042201160067</t>
  </si>
  <si>
    <t>D/XE  RODORA TBLTOP DECOR SMALL</t>
  </si>
  <si>
    <t>40021278</t>
  </si>
  <si>
    <t>2010042201180067</t>
  </si>
  <si>
    <t>D/XE RODORA TBLTOP DECOR SMALL</t>
  </si>
  <si>
    <t>40021277</t>
  </si>
  <si>
    <t>2010042203160067</t>
  </si>
  <si>
    <t>D/XE  RODORA TBLTOP DECOR BIG</t>
  </si>
  <si>
    <t>40021276</t>
  </si>
  <si>
    <t>2010042203180067</t>
  </si>
  <si>
    <t>40021275</t>
  </si>
  <si>
    <t>2010042298160069</t>
  </si>
  <si>
    <t>D/XE  RILEY JACKSTONE TBLTOP DECOR</t>
  </si>
  <si>
    <t>40021274</t>
  </si>
  <si>
    <t>2010042298180069</t>
  </si>
  <si>
    <t>40021279</t>
  </si>
  <si>
    <t>2010060498020003</t>
  </si>
  <si>
    <t>40021265</t>
  </si>
  <si>
    <t>2010060498030003</t>
  </si>
  <si>
    <t>40021264</t>
  </si>
  <si>
    <t>2010060498040003</t>
  </si>
  <si>
    <t>40021273</t>
  </si>
  <si>
    <t>2010060498070003</t>
  </si>
  <si>
    <t>40021272</t>
  </si>
  <si>
    <t>2010060498100003</t>
  </si>
  <si>
    <t>40021271</t>
  </si>
  <si>
    <t>2010060498130003</t>
  </si>
  <si>
    <t>40021270</t>
  </si>
  <si>
    <t>2010060498160003</t>
  </si>
  <si>
    <t>40021269</t>
  </si>
  <si>
    <t>2010060498170003</t>
  </si>
  <si>
    <t>40021268</t>
  </si>
  <si>
    <t>2010060499040003</t>
  </si>
  <si>
    <t>40021267</t>
  </si>
  <si>
    <t>2010060499130003</t>
  </si>
  <si>
    <t>40021266</t>
  </si>
  <si>
    <t>2010030698220003</t>
  </si>
  <si>
    <t>D/XD RAPHAEL BLOCK TABLE CLOCK</t>
  </si>
  <si>
    <t>40021831</t>
  </si>
  <si>
    <t>2010030698160002</t>
  </si>
  <si>
    <t>D/XD ROXY BLOCK TABLE CLOCK</t>
  </si>
  <si>
    <t>40021830</t>
  </si>
  <si>
    <t>2010030698070001</t>
  </si>
  <si>
    <t>D/XD ROBLES BLOCK TABLE CLOCK</t>
  </si>
  <si>
    <t>40021829</t>
  </si>
  <si>
    <t>2010030698270004</t>
  </si>
  <si>
    <t>D/XD RIENE METAL TABLE CLOCK</t>
  </si>
  <si>
    <t>40021828</t>
  </si>
  <si>
    <t>2010030698180004</t>
  </si>
  <si>
    <t>40021827</t>
  </si>
  <si>
    <t>2010030698170005</t>
  </si>
  <si>
    <t>D/XD ROAN METAL TABLE CLOCK</t>
  </si>
  <si>
    <t>40021826</t>
  </si>
  <si>
    <t>2010030698240005</t>
  </si>
  <si>
    <t>40021825</t>
  </si>
  <si>
    <t>2010030698160006</t>
  </si>
  <si>
    <t>D/XD RIVA METAL TABLE CLOCK</t>
  </si>
  <si>
    <t>40021824</t>
  </si>
  <si>
    <t>2010030698180006</t>
  </si>
  <si>
    <t>40021832</t>
  </si>
  <si>
    <t>2020021198250044</t>
  </si>
  <si>
    <t>LEAH METAL TABLE LAMP</t>
  </si>
  <si>
    <t>40021919</t>
  </si>
  <si>
    <t>2020021198260044</t>
  </si>
  <si>
    <t>LEAH METAL TABLE LAM</t>
  </si>
  <si>
    <t>40021918</t>
  </si>
  <si>
    <t>2010050201020005</t>
  </si>
  <si>
    <t>40021976</t>
  </si>
  <si>
    <t>2010050202020005</t>
  </si>
  <si>
    <t>40021975</t>
  </si>
  <si>
    <t>2010050204020005</t>
  </si>
  <si>
    <t>40021974</t>
  </si>
  <si>
    <t>2010050201040005</t>
  </si>
  <si>
    <t>40021973</t>
  </si>
  <si>
    <t>2010050202040005</t>
  </si>
  <si>
    <t>40021972</t>
  </si>
  <si>
    <t>2010050204040005</t>
  </si>
  <si>
    <t>40021971</t>
  </si>
  <si>
    <t>2010050201100005</t>
  </si>
  <si>
    <t>40021970</t>
  </si>
  <si>
    <t>2010050202100005</t>
  </si>
  <si>
    <t>40021959</t>
  </si>
  <si>
    <t>2010050204100005</t>
  </si>
  <si>
    <t>Basic Modern Pillar Candle</t>
  </si>
  <si>
    <t>40021969</t>
  </si>
  <si>
    <t>2010050201020006</t>
  </si>
  <si>
    <t>40021968</t>
  </si>
  <si>
    <t>2010050202020006</t>
  </si>
  <si>
    <t>40021967</t>
  </si>
  <si>
    <t>2010050204020006</t>
  </si>
  <si>
    <t>40021966</t>
  </si>
  <si>
    <t>2010050201040006</t>
  </si>
  <si>
    <t>40021965</t>
  </si>
  <si>
    <t>2010050202040006</t>
  </si>
  <si>
    <t>40021964</t>
  </si>
  <si>
    <t>2010050204040006</t>
  </si>
  <si>
    <t>40021963</t>
  </si>
  <si>
    <t>2010050201100006</t>
  </si>
  <si>
    <t>40021962</t>
  </si>
  <si>
    <t>2010050202100006</t>
  </si>
  <si>
    <t>40021961</t>
  </si>
  <si>
    <t>2010050204100006</t>
  </si>
  <si>
    <t>40021960</t>
  </si>
  <si>
    <t>2010010398180024</t>
  </si>
  <si>
    <t>MOROCCO CORK MEMOBOARD</t>
  </si>
  <si>
    <t>40022853</t>
  </si>
  <si>
    <t>2010010398160025</t>
  </si>
  <si>
    <t>MARILYN ROSE CORK MEMOBOARD</t>
  </si>
  <si>
    <t>40022852</t>
  </si>
  <si>
    <t>2010010398180026</t>
  </si>
  <si>
    <t>MELLOW DIAMONDS CORK MEMOBOARD</t>
  </si>
  <si>
    <t>40022851</t>
  </si>
  <si>
    <t>2010010398180027</t>
  </si>
  <si>
    <t>MAP OF WORLD CORK MEMOBOARD</t>
  </si>
  <si>
    <t>40022850</t>
  </si>
  <si>
    <t>2010010398160028</t>
  </si>
  <si>
    <t>MALINA HEART CORK MEMOBOARD</t>
  </si>
  <si>
    <t>40022849</t>
  </si>
  <si>
    <t>2010010398180029</t>
  </si>
  <si>
    <t>MOE'S TREE CORK MEMOBOARD</t>
  </si>
  <si>
    <t>40022848</t>
  </si>
  <si>
    <t>2010012098170025</t>
  </si>
  <si>
    <t>AEGEAN BLUSH CHAMBER CNVS ART</t>
  </si>
  <si>
    <t>40022812</t>
  </si>
  <si>
    <t>2010012098180026</t>
  </si>
  <si>
    <t>AEGEAN DAWN IN THE LAND CNVS ART</t>
  </si>
  <si>
    <t>40022811</t>
  </si>
  <si>
    <t>2010012098170027</t>
  </si>
  <si>
    <t>AEGEAN HELIX WALL ART</t>
  </si>
  <si>
    <t>40022810</t>
  </si>
  <si>
    <t>2010010798180132</t>
  </si>
  <si>
    <t>ZEN LIVING A SET OF 5 W. FRAME</t>
  </si>
  <si>
    <t>40022783</t>
  </si>
  <si>
    <t>2010010798020133</t>
  </si>
  <si>
    <t>AEGEAN EARTH TONES A SET OF 5 W. FRME</t>
  </si>
  <si>
    <t>40022775</t>
  </si>
  <si>
    <t>2010010798170134</t>
  </si>
  <si>
    <t>AEGEAN CITY LIFE SET OF 3 WALL FRAME</t>
  </si>
  <si>
    <t>40022774</t>
  </si>
  <si>
    <t>2010010798070135</t>
  </si>
  <si>
    <t>AEGEAN SHADES OF BLUE SET OF 3 W. FRM</t>
  </si>
  <si>
    <t>40022773</t>
  </si>
  <si>
    <t>2010010798180136</t>
  </si>
  <si>
    <t>CITY PORTRAITS SET OF 5 W. FRM</t>
  </si>
  <si>
    <t>40022772</t>
  </si>
  <si>
    <t>2010010798180137</t>
  </si>
  <si>
    <t>FLOWER PORTRAITS SETOF5 W. FRM</t>
  </si>
  <si>
    <t>40022771</t>
  </si>
  <si>
    <t>2010010798180138</t>
  </si>
  <si>
    <t>CORPORATE WORLD SETOF3 W. FRME</t>
  </si>
  <si>
    <t>40022770</t>
  </si>
  <si>
    <t>2010010798010139</t>
  </si>
  <si>
    <t>TROPICAL SUNSET SET OF3 W. FRM</t>
  </si>
  <si>
    <t>40022769</t>
  </si>
  <si>
    <t>2010010102200054</t>
  </si>
  <si>
    <t>ESS JAIDYN P. FRM SET2 – 4X6</t>
  </si>
  <si>
    <t>40022847</t>
  </si>
  <si>
    <t>2010010102190054</t>
  </si>
  <si>
    <t>40022846</t>
  </si>
  <si>
    <t>2010010103200054</t>
  </si>
  <si>
    <t>ESS JAIDYN P. FRM SET2 – 5X7</t>
  </si>
  <si>
    <t>40022845</t>
  </si>
  <si>
    <t>2010010103190054</t>
  </si>
  <si>
    <t>40022844</t>
  </si>
  <si>
    <t>2010010104200054</t>
  </si>
  <si>
    <t>ESS JAIDYN P. FRM SET2 – 8X10</t>
  </si>
  <si>
    <t>40022843</t>
  </si>
  <si>
    <t>2010010104190054</t>
  </si>
  <si>
    <t>40022842</t>
  </si>
  <si>
    <t>2010010103220055</t>
  </si>
  <si>
    <t>ZAYNE PHOTO FRAME 5X7</t>
  </si>
  <si>
    <t>40022841</t>
  </si>
  <si>
    <t>2010010104220055</t>
  </si>
  <si>
    <t>ZAYNE PHOTO FRAME 8X10</t>
  </si>
  <si>
    <t>40022840</t>
  </si>
  <si>
    <t>2010010103070055</t>
  </si>
  <si>
    <t>40022839</t>
  </si>
  <si>
    <t>2010010104070055</t>
  </si>
  <si>
    <t>40022838</t>
  </si>
  <si>
    <t>2010010103010055</t>
  </si>
  <si>
    <t>40022837</t>
  </si>
  <si>
    <t>2010010104010055</t>
  </si>
  <si>
    <t>40022836</t>
  </si>
  <si>
    <t>2010010103220056</t>
  </si>
  <si>
    <t>ZEEK PHOTO FRAME 5X7</t>
  </si>
  <si>
    <t>40022835</t>
  </si>
  <si>
    <t>2010010104220056</t>
  </si>
  <si>
    <t>ZEEK PHOTO FRAME 8X10</t>
  </si>
  <si>
    <t>40022834</t>
  </si>
  <si>
    <t>2010010103070056</t>
  </si>
  <si>
    <t>40022833</t>
  </si>
  <si>
    <t>2010010104070056</t>
  </si>
  <si>
    <t>40022832</t>
  </si>
  <si>
    <t>2010010103010056</t>
  </si>
  <si>
    <t>40022879</t>
  </si>
  <si>
    <t>2010010104010056</t>
  </si>
  <si>
    <t>40022876</t>
  </si>
  <si>
    <t>2010010103220057</t>
  </si>
  <si>
    <t>ZIRCH PHOTO FRAME 5X7</t>
  </si>
  <si>
    <t>40022875</t>
  </si>
  <si>
    <t>2010010104220057</t>
  </si>
  <si>
    <t>ZIRCH PHOTO FRAME 8X10</t>
  </si>
  <si>
    <t>40022874</t>
  </si>
  <si>
    <t>2010010103180057</t>
  </si>
  <si>
    <t>40022873</t>
  </si>
  <si>
    <t>2010010104180057</t>
  </si>
  <si>
    <t>40022872</t>
  </si>
  <si>
    <t>2010010103160057</t>
  </si>
  <si>
    <t>40022871</t>
  </si>
  <si>
    <t>2010010104160057</t>
  </si>
  <si>
    <t>40022870</t>
  </si>
  <si>
    <t>2010010603160009</t>
  </si>
  <si>
    <t>ZEENIA MIR FRM</t>
  </si>
  <si>
    <t>40022831</t>
  </si>
  <si>
    <t>2010010603220009</t>
  </si>
  <si>
    <t>40022830</t>
  </si>
  <si>
    <t>2010010698160009</t>
  </si>
  <si>
    <t>40022829</t>
  </si>
  <si>
    <t>2010010698220009</t>
  </si>
  <si>
    <t>40022828</t>
  </si>
  <si>
    <t>2010010605160009</t>
  </si>
  <si>
    <t>40022827</t>
  </si>
  <si>
    <t>2010010605220009</t>
  </si>
  <si>
    <t>40022826</t>
  </si>
  <si>
    <t>2010010102220058</t>
  </si>
  <si>
    <t>BIBLEE PHOTO FRAME</t>
  </si>
  <si>
    <t>40022888</t>
  </si>
  <si>
    <t>2010010103220058</t>
  </si>
  <si>
    <t>40022887</t>
  </si>
  <si>
    <t>2010010104220058</t>
  </si>
  <si>
    <t>40022886</t>
  </si>
  <si>
    <t>2010010102170058</t>
  </si>
  <si>
    <t>40022885</t>
  </si>
  <si>
    <t>2010010103170058</t>
  </si>
  <si>
    <t>40022889</t>
  </si>
  <si>
    <t>2010010104170058</t>
  </si>
  <si>
    <t>40022884</t>
  </si>
  <si>
    <t>2010010102160059</t>
  </si>
  <si>
    <t>BASE PHOTO FRAME</t>
  </si>
  <si>
    <t>40022883</t>
  </si>
  <si>
    <t>2010010103160059</t>
  </si>
  <si>
    <t>40022882</t>
  </si>
  <si>
    <t>2010010104160059</t>
  </si>
  <si>
    <t>40022881</t>
  </si>
  <si>
    <t>2010010102170059</t>
  </si>
  <si>
    <t>40022880</t>
  </si>
  <si>
    <t>2010010103170059</t>
  </si>
  <si>
    <t>40022878</t>
  </si>
  <si>
    <t>2010010104170059</t>
  </si>
  <si>
    <t>40022877</t>
  </si>
  <si>
    <t>2010010102170060</t>
  </si>
  <si>
    <t>BOA PHOTO FRAME</t>
  </si>
  <si>
    <t>40022867</t>
  </si>
  <si>
    <t>2010010103170060</t>
  </si>
  <si>
    <t>40022866</t>
  </si>
  <si>
    <t>2010010104170060</t>
  </si>
  <si>
    <t>40022865</t>
  </si>
  <si>
    <t>2010010102220060</t>
  </si>
  <si>
    <t>40022864</t>
  </si>
  <si>
    <t>2010010103220060</t>
  </si>
  <si>
    <t>40022863</t>
  </si>
  <si>
    <t>2010010104220060</t>
  </si>
  <si>
    <t>40022862</t>
  </si>
  <si>
    <t>2010010401180011</t>
  </si>
  <si>
    <t>ESS BRADLEY CERT FRAME</t>
  </si>
  <si>
    <t>40022855</t>
  </si>
  <si>
    <t>2010010401250011</t>
  </si>
  <si>
    <t>40022854</t>
  </si>
  <si>
    <t>2010010403180011</t>
  </si>
  <si>
    <t>40022861</t>
  </si>
  <si>
    <t>2010010403250011</t>
  </si>
  <si>
    <t>40022860</t>
  </si>
  <si>
    <t>2010010401180012</t>
  </si>
  <si>
    <t>ESS BUD CERT FRAME</t>
  </si>
  <si>
    <t>40022859</t>
  </si>
  <si>
    <t>2010010401190012</t>
  </si>
  <si>
    <t>40022858</t>
  </si>
  <si>
    <t>2010010404180012</t>
  </si>
  <si>
    <t>40022857</t>
  </si>
  <si>
    <t>2010010404190012</t>
  </si>
  <si>
    <t>40022856</t>
  </si>
  <si>
    <t>2010010502180003</t>
  </si>
  <si>
    <t>ESS BRADROW SIGN FRAME</t>
  </si>
  <si>
    <t>40022869</t>
  </si>
  <si>
    <t>2010010502190003</t>
  </si>
  <si>
    <t>40022868</t>
  </si>
  <si>
    <t>2010010798180140</t>
  </si>
  <si>
    <t>ESS WLL FRM 3D CRUCIFIX</t>
  </si>
  <si>
    <t>40022792</t>
  </si>
  <si>
    <t>2010010798180141</t>
  </si>
  <si>
    <t>ESS WLL FRM 3D LAST SUPPER S</t>
  </si>
  <si>
    <t>40022791</t>
  </si>
  <si>
    <t>2010010798180142</t>
  </si>
  <si>
    <t>ESS WLL FRM 3D LAST SUPPER M</t>
  </si>
  <si>
    <t>40022790</t>
  </si>
  <si>
    <t>2010010798040143</t>
  </si>
  <si>
    <t>AEGEAN VAN GOGH PAINT W. FRM A -S</t>
  </si>
  <si>
    <t>40022789</t>
  </si>
  <si>
    <t>2010010798070144</t>
  </si>
  <si>
    <t>AEGEAN VAN GOGH PAINT W. FRM B -S</t>
  </si>
  <si>
    <t>40022793</t>
  </si>
  <si>
    <t>2010010798040145</t>
  </si>
  <si>
    <t>AEGEAN VALERIA PAINT W. FRM A -L</t>
  </si>
  <si>
    <t>40022788</t>
  </si>
  <si>
    <t>2010010798100146</t>
  </si>
  <si>
    <t>AEGEAN VALERIA PAINT W. FRM B -L</t>
  </si>
  <si>
    <t>40022787</t>
  </si>
  <si>
    <t>2010010798020147</t>
  </si>
  <si>
    <t>AEGEAN VICTORIA W. FRM A -S</t>
  </si>
  <si>
    <t>40022786</t>
  </si>
  <si>
    <t>2010010798040148</t>
  </si>
  <si>
    <t>AEGEAN VICTORIA W. FRM B- S</t>
  </si>
  <si>
    <t>40022785</t>
  </si>
  <si>
    <t>2010010798040149</t>
  </si>
  <si>
    <t>AEGEAN VICTORIA W. FRM A -L</t>
  </si>
  <si>
    <t>40022784</t>
  </si>
  <si>
    <t>2010010798020150</t>
  </si>
  <si>
    <t>AEGEAN VICTORIA W. FRM B- L</t>
  </si>
  <si>
    <t>40022782</t>
  </si>
  <si>
    <t>2010010701220151</t>
  </si>
  <si>
    <t>AEGEAN VENIECE MORRIS W. FRM A - S</t>
  </si>
  <si>
    <t>40022781</t>
  </si>
  <si>
    <t>2010010701220152</t>
  </si>
  <si>
    <t>AEGEAN VENIECE MORRIS W. FRM B - S</t>
  </si>
  <si>
    <t>40022780</t>
  </si>
  <si>
    <t>2010010701170153</t>
  </si>
  <si>
    <t>AEGEAN VENIECE MATISSE W. FRM A - L</t>
  </si>
  <si>
    <t>40022779</t>
  </si>
  <si>
    <t>2010010701170154</t>
  </si>
  <si>
    <t>AEGEAN VENIECE MATISSE W. FRM B - L</t>
  </si>
  <si>
    <t>40022778</t>
  </si>
  <si>
    <t>2010010701070155</t>
  </si>
  <si>
    <t>AEGEAN VIKTOR BLUE W. FRM A</t>
  </si>
  <si>
    <t>40022777</t>
  </si>
  <si>
    <t>2010010701070156</t>
  </si>
  <si>
    <t>AEGEAN VIKTOR BLUE W. FRM B</t>
  </si>
  <si>
    <t>40022776</t>
  </si>
  <si>
    <t>2010010703220155</t>
  </si>
  <si>
    <t>40022768</t>
  </si>
  <si>
    <t>2010010703220156</t>
  </si>
  <si>
    <t>40022767</t>
  </si>
  <si>
    <t>2010010701170157</t>
  </si>
  <si>
    <t>VALKYRIE CITY W. FRM A</t>
  </si>
  <si>
    <t>40022766</t>
  </si>
  <si>
    <t>2010010701170158</t>
  </si>
  <si>
    <t>VALKYRIE CITY W. FRM B</t>
  </si>
  <si>
    <t>40022765</t>
  </si>
  <si>
    <t>2010010703170159</t>
  </si>
  <si>
    <t>VALKYRIE HUE W. FRM A - L</t>
  </si>
  <si>
    <t>40022764</t>
  </si>
  <si>
    <t>2010010703170160</t>
  </si>
  <si>
    <t>VALKYRIE HUE W. FRM B - L</t>
  </si>
  <si>
    <t>40022808</t>
  </si>
  <si>
    <t>2010010701180161</t>
  </si>
  <si>
    <t>VIOLA BLACK W. FRM A - S</t>
  </si>
  <si>
    <t>40022807</t>
  </si>
  <si>
    <t>2010010701180162</t>
  </si>
  <si>
    <t>VIOLA BLACK W. FRM B - S</t>
  </si>
  <si>
    <t>40022806</t>
  </si>
  <si>
    <t>2010010703170163</t>
  </si>
  <si>
    <t>VIOLA CREAM W. FRM A - L</t>
  </si>
  <si>
    <t>40022805</t>
  </si>
  <si>
    <t>2010010703170164</t>
  </si>
  <si>
    <t>VIOLA CREAM W. FRM B - L</t>
  </si>
  <si>
    <t>40022804</t>
  </si>
  <si>
    <t>2010010701170165</t>
  </si>
  <si>
    <t>VENUS ART W. FRM A - S</t>
  </si>
  <si>
    <t>40022803</t>
  </si>
  <si>
    <t>2010010701170166</t>
  </si>
  <si>
    <t>VENUS ART W. FRM B - S</t>
  </si>
  <si>
    <t>40022802</t>
  </si>
  <si>
    <t>2010010703170167</t>
  </si>
  <si>
    <t>VENUS LINES W. FRM A - L</t>
  </si>
  <si>
    <t>40022801</t>
  </si>
  <si>
    <t>2010010703170168</t>
  </si>
  <si>
    <t>VENUS LINES W. FRM B - L</t>
  </si>
  <si>
    <t>40022809</t>
  </si>
  <si>
    <t>2010020198188170</t>
  </si>
  <si>
    <t>AUDREY TABLE LAMP</t>
  </si>
  <si>
    <t>40022823</t>
  </si>
  <si>
    <t>2010020198168170</t>
  </si>
  <si>
    <t>40022822</t>
  </si>
  <si>
    <t>2010020198018168</t>
  </si>
  <si>
    <t>AEGEAN ALICIA TABLE LAMP</t>
  </si>
  <si>
    <t>40022821</t>
  </si>
  <si>
    <t>2010020198078168</t>
  </si>
  <si>
    <t>40022820</t>
  </si>
  <si>
    <t>2010020198188168</t>
  </si>
  <si>
    <t>40022819</t>
  </si>
  <si>
    <t>2010020198018169</t>
  </si>
  <si>
    <t>AEGEAN ALEAH TABLE LAMP</t>
  </si>
  <si>
    <t>40022818</t>
  </si>
  <si>
    <t>2010020198078169</t>
  </si>
  <si>
    <t>40022817</t>
  </si>
  <si>
    <t>2010020198188169</t>
  </si>
  <si>
    <t>40022816</t>
  </si>
  <si>
    <t>2010021398181830</t>
  </si>
  <si>
    <t>D/XD GRINA METAL F. LAMP</t>
  </si>
  <si>
    <t>40022800</t>
  </si>
  <si>
    <t>2010021398161832</t>
  </si>
  <si>
    <t>D/XE AUDREY FLOOR LAMP</t>
  </si>
  <si>
    <t>40022799</t>
  </si>
  <si>
    <t>2010021398251824</t>
  </si>
  <si>
    <t>D/XE FIN METAL FLOOR LAMP</t>
  </si>
  <si>
    <t>40022798</t>
  </si>
  <si>
    <t>2010021398181826</t>
  </si>
  <si>
    <t>D/XE  FRETZI METAL FLOOR LAMP</t>
  </si>
  <si>
    <t>40022797</t>
  </si>
  <si>
    <t>2010021198181303</t>
  </si>
  <si>
    <t>D/XE HARIETT TABLE LAMP</t>
  </si>
  <si>
    <t>40022815</t>
  </si>
  <si>
    <t>2010021398181833</t>
  </si>
  <si>
    <t>D/XE HARIETT FLOOR LAMP</t>
  </si>
  <si>
    <t>40022796</t>
  </si>
  <si>
    <t>2010021198221304</t>
  </si>
  <si>
    <t>D/XE HELENA TABLE LAMP</t>
  </si>
  <si>
    <t>40022814</t>
  </si>
  <si>
    <t>2010021398221834</t>
  </si>
  <si>
    <t>D/XE HELENA FLOOR LAMP</t>
  </si>
  <si>
    <t>40022795</t>
  </si>
  <si>
    <t>2010021198161305</t>
  </si>
  <si>
    <t>D/XE HARVEY TABLE LAMP</t>
  </si>
  <si>
    <t>40022813</t>
  </si>
  <si>
    <t>2010021398161835</t>
  </si>
  <si>
    <t>D/XE HARVEY FLOOR LAMP</t>
  </si>
  <si>
    <t>40022794</t>
  </si>
  <si>
    <t>2010020101268171</t>
  </si>
  <si>
    <t>ZHA CERAMIC TABLE LAMP – SMALL</t>
  </si>
  <si>
    <t>40022825</t>
  </si>
  <si>
    <t>2010020101258171</t>
  </si>
  <si>
    <t>40022824</t>
  </si>
  <si>
    <t>2010050201130007</t>
  </si>
  <si>
    <t>WILLOW LOVE PILLAR CANDLE</t>
  </si>
  <si>
    <t>40022701</t>
  </si>
  <si>
    <t>2010050202130007</t>
  </si>
  <si>
    <t>40022700</t>
  </si>
  <si>
    <t>2010050204130007</t>
  </si>
  <si>
    <t>40022699</t>
  </si>
  <si>
    <t>2010050201070008</t>
  </si>
  <si>
    <t>WILLOW LIFE PILLAR CANDLE</t>
  </si>
  <si>
    <t>40022698</t>
  </si>
  <si>
    <t>2010050202070008</t>
  </si>
  <si>
    <t>40022697</t>
  </si>
  <si>
    <t>2010050204070008</t>
  </si>
  <si>
    <t>40022696</t>
  </si>
  <si>
    <t>2010050201160009</t>
  </si>
  <si>
    <t>WILLOW SOUL PILLAR CANDLE</t>
  </si>
  <si>
    <t>40022705</t>
  </si>
  <si>
    <t>2010050202160009</t>
  </si>
  <si>
    <t>40022704</t>
  </si>
  <si>
    <t>2010050204160009</t>
  </si>
  <si>
    <t>40022703</t>
  </si>
  <si>
    <t>2010050204010010</t>
  </si>
  <si>
    <t>AEGEAN WICKED HIVE PLLR CNDL</t>
  </si>
  <si>
    <t>40022692</t>
  </si>
  <si>
    <t>2010050205010010</t>
  </si>
  <si>
    <t>40022693</t>
  </si>
  <si>
    <t>2010050204070011</t>
  </si>
  <si>
    <t>40022712</t>
  </si>
  <si>
    <t>2010050205070011</t>
  </si>
  <si>
    <t>40022694</t>
  </si>
  <si>
    <t>2010050204170012</t>
  </si>
  <si>
    <t>40022713</t>
  </si>
  <si>
    <t>2010050205170012</t>
  </si>
  <si>
    <t>40022695</t>
  </si>
  <si>
    <t>2010050204010013</t>
  </si>
  <si>
    <t>AEGEAN WICKED DOTS PLLR CNDL</t>
  </si>
  <si>
    <t>40022702</t>
  </si>
  <si>
    <t>2010050205010013</t>
  </si>
  <si>
    <t>40022709</t>
  </si>
  <si>
    <t>2010050204070014</t>
  </si>
  <si>
    <t>40022707</t>
  </si>
  <si>
    <t>2010050205070014</t>
  </si>
  <si>
    <t>40022710</t>
  </si>
  <si>
    <t>2010050204160015</t>
  </si>
  <si>
    <t>40022708</t>
  </si>
  <si>
    <t>2010050205160015</t>
  </si>
  <si>
    <t>40022711</t>
  </si>
  <si>
    <t>CardCode</t>
  </si>
  <si>
    <t>CardName</t>
  </si>
  <si>
    <t>RS01</t>
  </si>
  <si>
    <t>C-UTX001</t>
  </si>
  <si>
    <t>URATEX ALABANG</t>
  </si>
  <si>
    <t>C-UTX002</t>
  </si>
  <si>
    <t>URATEX MARCOS HIGHWAY</t>
  </si>
  <si>
    <t>C-UTX003</t>
  </si>
  <si>
    <t>URATEX MILLER</t>
  </si>
  <si>
    <t>C-UTX004</t>
  </si>
  <si>
    <t>URATEX VALENZUELA</t>
  </si>
  <si>
    <t>Sum of QTY SOLD</t>
  </si>
  <si>
    <t>Sum of AMOUNT</t>
  </si>
  <si>
    <t>2010010698160010</t>
  </si>
  <si>
    <t>ZEUS METAL STANDING MIRROR</t>
  </si>
  <si>
    <t>40023204</t>
  </si>
  <si>
    <t>2010010698180010</t>
  </si>
  <si>
    <t>40023203</t>
  </si>
  <si>
    <t>2010010698160011</t>
  </si>
  <si>
    <t>ZION METAL STANDING MIRROR</t>
  </si>
  <si>
    <t>40023202</t>
  </si>
  <si>
    <t>2010010698180011</t>
  </si>
  <si>
    <t>40023201</t>
  </si>
  <si>
    <t>X9998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</si>
</sst>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#,##0.00;[Red]\(#,##0.00\)"/>
    <numFmt numFmtId="166" formatCode="#,##0;[Red]\(#,##0\)"/>
    <numFmt numFmtId="167" formatCode="#,##0.00%;[Red]\(#,##0.00%\)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0"/>
      <name val="Verdana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0" borderId="0"/>
    <xf numFmtId="0" fontId="5" fillId="0" borderId="0"/>
    <xf numFmtId="164" fontId="6" fillId="0" borderId="0" applyFont="0" applyFill="0" applyBorder="0" applyAlignment="0" applyProtection="0"/>
    <xf numFmtId="0" fontId="13" fillId="0" borderId="0"/>
  </cellStyleXfs>
  <cellXfs count="63">
    <xf numFmtId="0" fontId="0" fillId="0" borderId="0" xfId="0"/>
    <xf numFmtId="0" fontId="0" fillId="0" borderId="0" xfId="0" applyAlignment="1">
      <alignment horizontal="right"/>
    </xf>
    <xf numFmtId="0" fontId="2" fillId="0" borderId="0" xfId="1" applyAlignment="1">
      <alignment horizontal="right"/>
    </xf>
    <xf numFmtId="14" fontId="0" fillId="0" borderId="0" xfId="0" applyNumberFormat="1"/>
    <xf numFmtId="2" fontId="0" fillId="2" borderId="0" xfId="0" applyNumberFormat="1" applyFill="1"/>
    <xf numFmtId="2" fontId="3" fillId="2" borderId="0" xfId="0" applyNumberFormat="1" applyFont="1" applyFill="1"/>
    <xf numFmtId="0" fontId="0" fillId="2" borderId="0" xfId="0" applyFill="1"/>
    <xf numFmtId="164" fontId="11" fillId="0" borderId="0" xfId="0" applyNumberFormat="1" applyFont="1"/>
    <xf numFmtId="0" fontId="8" fillId="0" borderId="0" xfId="0" applyFont="1"/>
    <xf numFmtId="49" fontId="0" fillId="0" borderId="0" xfId="0" applyNumberFormat="1"/>
    <xf numFmtId="49" fontId="8" fillId="4" borderId="2" xfId="0" applyNumberFormat="1" applyFont="1" applyFill="1" applyBorder="1"/>
    <xf numFmtId="49" fontId="9" fillId="4" borderId="2" xfId="0" applyNumberFormat="1" applyFont="1" applyFill="1" applyBorder="1"/>
    <xf numFmtId="49" fontId="8" fillId="4" borderId="2" xfId="0" applyNumberFormat="1" applyFont="1" applyFill="1" applyBorder="1" applyAlignment="1">
      <alignment horizontal="center"/>
    </xf>
    <xf numFmtId="49" fontId="10" fillId="4" borderId="8" xfId="0" applyNumberFormat="1" applyFont="1" applyFill="1" applyBorder="1"/>
    <xf numFmtId="49" fontId="8" fillId="4" borderId="0" xfId="0" applyNumberFormat="1" applyFont="1" applyFill="1"/>
    <xf numFmtId="49" fontId="8" fillId="4" borderId="0" xfId="0" applyNumberFormat="1" applyFont="1" applyFill="1" applyAlignment="1">
      <alignment horizontal="center"/>
    </xf>
    <xf numFmtId="49" fontId="10" fillId="4" borderId="4" xfId="0" applyNumberFormat="1" applyFont="1" applyFill="1" applyBorder="1"/>
    <xf numFmtId="49" fontId="0" fillId="2" borderId="0" xfId="0" applyNumberFormat="1" applyFill="1"/>
    <xf numFmtId="0" fontId="4" fillId="0" borderId="0" xfId="5" applyFont="1"/>
    <xf numFmtId="0" fontId="14" fillId="0" borderId="9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wrapText="1"/>
    </xf>
    <xf numFmtId="165" fontId="14" fillId="0" borderId="9" xfId="0" applyNumberFormat="1" applyFont="1" applyBorder="1" applyAlignment="1">
      <alignment horizontal="right" wrapText="1"/>
    </xf>
    <xf numFmtId="166" fontId="14" fillId="0" borderId="9" xfId="0" applyNumberFormat="1" applyFont="1" applyBorder="1" applyAlignment="1">
      <alignment horizontal="right" wrapText="1"/>
    </xf>
    <xf numFmtId="4" fontId="0" fillId="0" borderId="0" xfId="0" applyNumberFormat="1"/>
    <xf numFmtId="0" fontId="0" fillId="0" borderId="0" xfId="0" applyAlignment="1">
      <alignment horizontal="center" vertical="center" wrapText="1"/>
    </xf>
    <xf numFmtId="167" fontId="14" fillId="0" borderId="9" xfId="0" applyNumberFormat="1" applyFont="1" applyBorder="1" applyAlignment="1">
      <alignment horizontal="right" wrapText="1"/>
    </xf>
    <xf numFmtId="4" fontId="8" fillId="4" borderId="0" xfId="4" applyNumberFormat="1" applyFont="1" applyFill="1" applyBorder="1"/>
    <xf numFmtId="0" fontId="8" fillId="4" borderId="2" xfId="4" applyNumberFormat="1" applyFont="1" applyFill="1" applyBorder="1"/>
    <xf numFmtId="0" fontId="8" fillId="4" borderId="2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7" fillId="3" borderId="10" xfId="0" applyFont="1" applyFill="1" applyBorder="1" applyAlignment="1">
      <alignment horizontal="center" vertical="center" wrapText="1"/>
    </xf>
    <xf numFmtId="0" fontId="17" fillId="3" borderId="10" xfId="0" applyFont="1" applyFill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8" fillId="4" borderId="6" xfId="0" applyNumberFormat="1" applyFont="1" applyFill="1" applyBorder="1" applyAlignment="1">
      <alignment horizontal="center" vertical="center"/>
    </xf>
    <xf numFmtId="0" fontId="18" fillId="4" borderId="6" xfId="0" applyFont="1" applyFill="1" applyBorder="1" applyAlignment="1">
      <alignment horizontal="center" vertical="center"/>
    </xf>
    <xf numFmtId="49" fontId="18" fillId="4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64" fontId="1" fillId="0" borderId="0" xfId="4" applyFont="1" applyBorder="1" applyAlignment="1">
      <alignment horizontal="center"/>
    </xf>
    <xf numFmtId="14" fontId="0" fillId="0" borderId="0" xfId="0" applyNumberFormat="1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4" applyFont="1" applyBorder="1" applyAlignment="1">
      <alignment horizontal="right" vertical="top"/>
    </xf>
    <xf numFmtId="14" fontId="0" fillId="0" borderId="0" xfId="0" applyNumberFormat="1" applyAlignment="1">
      <alignment horizontal="center" vertical="top"/>
    </xf>
    <xf numFmtId="0" fontId="15" fillId="3" borderId="11" xfId="0" applyFont="1" applyFill="1" applyBorder="1" applyAlignment="1">
      <alignment horizontal="center" vertical="center" wrapText="1"/>
    </xf>
    <xf numFmtId="0" fontId="0" fillId="3" borderId="12" xfId="0" applyFill="1" applyBorder="1"/>
    <xf numFmtId="0" fontId="16" fillId="0" borderId="0" xfId="0" applyNumberFormat="1" applyFont="1"/>
    <xf numFmtId="0" fontId="0" fillId="0" borderId="0" xfId="0" applyNumberFormat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7" fillId="0" borderId="0" xfId="0" applyFont="1" applyAlignment="1">
      <alignment horizontal="right"/>
    </xf>
    <xf numFmtId="49" fontId="8" fillId="4" borderId="2" xfId="0" applyNumberFormat="1" applyFont="1" applyFill="1" applyBorder="1" applyAlignment="1">
      <alignment horizontal="right"/>
    </xf>
    <xf numFmtId="49" fontId="8" fillId="4" borderId="0" xfId="0" applyNumberFormat="1" applyFont="1" applyFill="1" applyAlignment="1">
      <alignment horizontal="right"/>
    </xf>
    <xf numFmtId="49" fontId="18" fillId="4" borderId="6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49" fontId="8" fillId="4" borderId="3" xfId="0" applyNumberFormat="1" applyFont="1" applyFill="1" applyBorder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4" borderId="5" xfId="0" applyNumberFormat="1" applyFont="1" applyFill="1" applyBorder="1" applyAlignment="1">
      <alignment horizontal="center" vertical="center"/>
    </xf>
    <xf numFmtId="49" fontId="8" fillId="4" borderId="6" xfId="0" applyNumberFormat="1" applyFont="1" applyFill="1" applyBorder="1" applyAlignment="1">
      <alignment horizontal="center" vertical="center"/>
    </xf>
  </cellXfs>
  <cellStyles count="6">
    <cellStyle name="Comma" xfId="4" builtinId="3"/>
    <cellStyle name="Hyperlink" xfId="1" builtinId="8"/>
    <cellStyle name="Normal" xfId="0" builtinId="0"/>
    <cellStyle name="Normal 2" xfId="2"/>
    <cellStyle name="Normal 3" xfId="3"/>
    <cellStyle name="Normal 4" xfId="5"/>
  </cellStyles>
  <dxfs count="54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wrapText="1" readingOrder="0"/>
    </dxf>
    <dxf>
      <alignment wrapText="1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D24A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arck Anthony Illao" refreshedDate="44817.480100810186" backgroundQuery="1" createdVersion="6" refreshedVersion="6" minRefreshableVersion="3" recordCount="0" supportSubquery="1" supportAdvancedDrill="1">
  <cacheSource type="external" connectionId="1"/>
  <cacheFields count="6">
    <cacheField name="[Range1].[MATCODE].[MATCODE]" caption="MATCODE" numFmtId="0" hierarchy="5" level="1">
      <sharedItems containsSemiMixedTypes="0" containsString="0" containsNumber="1" containsInteger="1" minValue="40012853" maxValue="40021976" count="464">
        <n v="40012853"/>
        <n v="40012990"/>
        <n v="40012991"/>
        <n v="40013024"/>
        <n v="40013138"/>
        <n v="40013191"/>
        <n v="40013205"/>
        <n v="40013206"/>
        <n v="40013207"/>
        <n v="40013231"/>
        <n v="40013298"/>
        <n v="40013299"/>
        <n v="40013300"/>
        <n v="40013301"/>
        <n v="40013302"/>
        <n v="40013303"/>
        <n v="40013304"/>
        <n v="40013305"/>
        <n v="40013306"/>
        <n v="40013318"/>
        <n v="40013319"/>
        <n v="40013322"/>
        <n v="40013323"/>
        <n v="40013334"/>
        <n v="40013341"/>
        <n v="40013380"/>
        <n v="40013382"/>
        <n v="40013383"/>
        <n v="40013385"/>
        <n v="40013391"/>
        <n v="40013539"/>
        <n v="40013570"/>
        <n v="40013728"/>
        <n v="40013730"/>
        <n v="40013731"/>
        <n v="40013732"/>
        <n v="40013745"/>
        <n v="40013759"/>
        <n v="40013787"/>
        <n v="40013792"/>
        <n v="40013797"/>
        <n v="40013799"/>
        <n v="40013800"/>
        <n v="40013803"/>
        <n v="40013804"/>
        <n v="40013805"/>
        <n v="40013806"/>
        <n v="40013807"/>
        <n v="40013808"/>
        <n v="40013809"/>
        <n v="40013810"/>
        <n v="40013811"/>
        <n v="40013812"/>
        <n v="40013813"/>
        <n v="40013814"/>
        <n v="40013816"/>
        <n v="40013817"/>
        <n v="40013818"/>
        <n v="40013820"/>
        <n v="40013837"/>
        <n v="40013846"/>
        <n v="40013847"/>
        <n v="40013848"/>
        <n v="40013850"/>
        <n v="40013852"/>
        <n v="40013854"/>
        <n v="40013855"/>
        <n v="40013867"/>
        <n v="40013868"/>
        <n v="40013870"/>
        <n v="40013871"/>
        <n v="40013872"/>
        <n v="40013873"/>
        <n v="40013874"/>
        <n v="40013875"/>
        <n v="40013876"/>
        <n v="40013877"/>
        <n v="40013878"/>
        <n v="40013879"/>
        <n v="40013889"/>
        <n v="40013895"/>
        <n v="40013897"/>
        <n v="40013971"/>
        <n v="40013972"/>
        <n v="40013986"/>
        <n v="40013998"/>
        <n v="40013999"/>
        <n v="40014000"/>
        <n v="40014006"/>
        <n v="40014007"/>
        <n v="40014008"/>
        <n v="40014010"/>
        <n v="40014012"/>
        <n v="40014015"/>
        <n v="40014050"/>
        <n v="40014064"/>
        <n v="40014070"/>
        <n v="40014071"/>
        <n v="40014074"/>
        <n v="40014080"/>
        <n v="40014088"/>
        <n v="40014090"/>
        <n v="40014506"/>
        <n v="40014507"/>
        <n v="40014509"/>
        <n v="40014511"/>
        <n v="40014514"/>
        <n v="40014515"/>
        <n v="40014525"/>
        <n v="40014528"/>
        <n v="40014543"/>
        <n v="40014550"/>
        <n v="40014551"/>
        <n v="40014556"/>
        <n v="40014557"/>
        <n v="40014582"/>
        <n v="40014606"/>
        <n v="40014607"/>
        <n v="40014609"/>
        <n v="40014610"/>
        <n v="40014611"/>
        <n v="40014612"/>
        <n v="40014623"/>
        <n v="40014656"/>
        <n v="40014663"/>
        <n v="40014664"/>
        <n v="40014666"/>
        <n v="40014667"/>
        <n v="40014668"/>
        <n v="40014679"/>
        <n v="40014681"/>
        <n v="40014684"/>
        <n v="40014686"/>
        <n v="40014688"/>
        <n v="40014690"/>
        <n v="40014693"/>
        <n v="40014696"/>
        <n v="40014712"/>
        <n v="40014713"/>
        <n v="40015370"/>
        <n v="40015371"/>
        <n v="40015383"/>
        <n v="40015613"/>
        <n v="40015614"/>
        <n v="40015615"/>
        <n v="40015621"/>
        <n v="40015622"/>
        <n v="40015623"/>
        <n v="40015666"/>
        <n v="40015686"/>
        <n v="40015695"/>
        <n v="40015699"/>
        <n v="40016533"/>
        <n v="40016534"/>
        <n v="40016535"/>
        <n v="40016537"/>
        <n v="40016709"/>
        <n v="40016725"/>
        <n v="40016727"/>
        <n v="40016728"/>
        <n v="40016786"/>
        <n v="40016813"/>
        <n v="40016861"/>
        <n v="40016862"/>
        <n v="40016863"/>
        <n v="40016865"/>
        <n v="40016885"/>
        <n v="40017345"/>
        <n v="40017353"/>
        <n v="40017354"/>
        <n v="40017355"/>
        <n v="40017356"/>
        <n v="40017362"/>
        <n v="40017363"/>
        <n v="40017365"/>
        <n v="40017366"/>
        <n v="40017368"/>
        <n v="40017370"/>
        <n v="40017372"/>
        <n v="40017373"/>
        <n v="40017381"/>
        <n v="40017390"/>
        <n v="40017392"/>
        <n v="40017393"/>
        <n v="40017398"/>
        <n v="40017399"/>
        <n v="40017401"/>
        <n v="40017402"/>
        <n v="40017403"/>
        <n v="40017419"/>
        <n v="40017426"/>
        <n v="40017433"/>
        <n v="40017434"/>
        <n v="40017441"/>
        <n v="40017442"/>
        <n v="40017443"/>
        <n v="40017444"/>
        <n v="40017459"/>
        <n v="40017460"/>
        <n v="40017461"/>
        <n v="40017462"/>
        <n v="40017463"/>
        <n v="40017464"/>
        <n v="40017465"/>
        <n v="40017467"/>
        <n v="40017468"/>
        <n v="40017470"/>
        <n v="40017477"/>
        <n v="40017478"/>
        <n v="40017493"/>
        <n v="40017500"/>
        <n v="40017501"/>
        <n v="40017502"/>
        <n v="40017503"/>
        <n v="40017504"/>
        <n v="40017505"/>
        <n v="40017506"/>
        <n v="40017507"/>
        <n v="40017508"/>
        <n v="40017525"/>
        <n v="40017526"/>
        <n v="40017527"/>
        <n v="40017546"/>
        <n v="40017549"/>
        <n v="40017559"/>
        <n v="40017563"/>
        <n v="40017567"/>
        <n v="40017568"/>
        <n v="40017569"/>
        <n v="40017571"/>
        <n v="40017574"/>
        <n v="40017577"/>
        <n v="40017580"/>
        <n v="40017585"/>
        <n v="40017588"/>
        <n v="40017593"/>
        <n v="40017594"/>
        <n v="40017597"/>
        <n v="40017598"/>
        <n v="40017599"/>
        <n v="40017603"/>
        <n v="40017613"/>
        <n v="40017618"/>
        <n v="40017621"/>
        <n v="40017622"/>
        <n v="40017623"/>
        <n v="40017624"/>
        <n v="40017625"/>
        <n v="40017634"/>
        <n v="40017635"/>
        <n v="40017636"/>
        <n v="40017637"/>
        <n v="40017638"/>
        <n v="40017639"/>
        <n v="40017844"/>
        <n v="40017845"/>
        <n v="40017851"/>
        <n v="40017853"/>
        <n v="40017855"/>
        <n v="40017859"/>
        <n v="40017860"/>
        <n v="40017863"/>
        <n v="40017866"/>
        <n v="40017868"/>
        <n v="40017871"/>
        <n v="40017901"/>
        <n v="40017910"/>
        <n v="40017917"/>
        <n v="40018021"/>
        <n v="40018023"/>
        <n v="40018028"/>
        <n v="40018029"/>
        <n v="40018033"/>
        <n v="40018034"/>
        <n v="40018110"/>
        <n v="40018111"/>
        <n v="40018254"/>
        <n v="40018255"/>
        <n v="40018256"/>
        <n v="40018257"/>
        <n v="40018259"/>
        <n v="40018263"/>
        <n v="40018265"/>
        <n v="40018267"/>
        <n v="40018291"/>
        <n v="40018295"/>
        <n v="40018298"/>
        <n v="40018301"/>
        <n v="40018304"/>
        <n v="40018305"/>
        <n v="40018307"/>
        <n v="40018347"/>
        <n v="40018352"/>
        <n v="40018353"/>
        <n v="40018354"/>
        <n v="40018360"/>
        <n v="40018361"/>
        <n v="40018363"/>
        <n v="40018365"/>
        <n v="40018366"/>
        <n v="40018372"/>
        <n v="40018572"/>
        <n v="40018573"/>
        <n v="40018574"/>
        <n v="40018576"/>
        <n v="40018586"/>
        <n v="40018589"/>
        <n v="40018590"/>
        <n v="40018592"/>
        <n v="40018593"/>
        <n v="40018700"/>
        <n v="40018701"/>
        <n v="40018702"/>
        <n v="40018706"/>
        <n v="40018707"/>
        <n v="40018708"/>
        <n v="40018812"/>
        <n v="40018813"/>
        <n v="40018814"/>
        <n v="40018816"/>
        <n v="40018817"/>
        <n v="40018818"/>
        <n v="40018819"/>
        <n v="40018820"/>
        <n v="40018821"/>
        <n v="40018822"/>
        <n v="40018826"/>
        <n v="40018827"/>
        <n v="40018829"/>
        <n v="40018834"/>
        <n v="40018836"/>
        <n v="40019091"/>
        <n v="40019095"/>
        <n v="40019096"/>
        <n v="40019097"/>
        <n v="40019098"/>
        <n v="40019099"/>
        <n v="40019100"/>
        <n v="40019101"/>
        <n v="40019102"/>
        <n v="40019104"/>
        <n v="40019105"/>
        <n v="40019106"/>
        <n v="40019107"/>
        <n v="40019108"/>
        <n v="40019109"/>
        <n v="40019110"/>
        <n v="40019111"/>
        <n v="40019118"/>
        <n v="40019122"/>
        <n v="40019133"/>
        <n v="40019134"/>
        <n v="40019135"/>
        <n v="40019136"/>
        <n v="40019137"/>
        <n v="40019138"/>
        <n v="40019140"/>
        <n v="40019141"/>
        <n v="40019142"/>
        <n v="40019143"/>
        <n v="40019144"/>
        <n v="40019145"/>
        <n v="40019146"/>
        <n v="40019147"/>
        <n v="40019148"/>
        <n v="40019149"/>
        <n v="40019150"/>
        <n v="40019151"/>
        <n v="40019152"/>
        <n v="40019155"/>
        <n v="40019156"/>
        <n v="40019158"/>
        <n v="40019159"/>
        <n v="40019161"/>
        <n v="40019253"/>
        <n v="40019258"/>
        <n v="40019260"/>
        <n v="40019262"/>
        <n v="40019264"/>
        <n v="40019266"/>
        <n v="40019269"/>
        <n v="40019273"/>
        <n v="40019274"/>
        <n v="40019276"/>
        <n v="40019277"/>
        <n v="40019361"/>
        <n v="40019362"/>
        <n v="40019363"/>
        <n v="40019364"/>
        <n v="40019367"/>
        <n v="40019368"/>
        <n v="40019369"/>
        <n v="40019372"/>
        <n v="40019380"/>
        <n v="40019381"/>
        <n v="40019383"/>
        <n v="40019385"/>
        <n v="40019386"/>
        <n v="40019391"/>
        <n v="40019392"/>
        <n v="40019395"/>
        <n v="40019398"/>
        <n v="40019404"/>
        <n v="40019406"/>
        <n v="40019409"/>
        <n v="40019410"/>
        <n v="40019413"/>
        <n v="40019428"/>
        <n v="40019431"/>
        <n v="40019432"/>
        <n v="40019621"/>
        <n v="40019626"/>
        <n v="40019627"/>
        <n v="40019630"/>
        <n v="40020371"/>
        <n v="40020388"/>
        <n v="40020389"/>
        <n v="40020390"/>
        <n v="40020391"/>
        <n v="40020434"/>
        <n v="40020435"/>
        <n v="40020436"/>
        <n v="40020440"/>
        <n v="40020447"/>
        <n v="40020448"/>
        <n v="40020449"/>
        <n v="40020450"/>
        <n v="40020451"/>
        <n v="40020452"/>
        <n v="40020453"/>
        <n v="40020454"/>
        <n v="40020456"/>
        <n v="40020457"/>
        <n v="40020458"/>
        <n v="40020459"/>
        <n v="40020460"/>
        <n v="40020461"/>
        <n v="40020876"/>
        <n v="40021264"/>
        <n v="40021265"/>
        <n v="40021266"/>
        <n v="40021267"/>
        <n v="40021268"/>
        <n v="40021269"/>
        <n v="40021271"/>
        <n v="40021272"/>
        <n v="40021273"/>
        <n v="40021824"/>
        <n v="40021959"/>
        <n v="40021960"/>
        <n v="40021961"/>
        <n v="40021962"/>
        <n v="40021963"/>
        <n v="40021965"/>
        <n v="40021967"/>
        <n v="40021968"/>
        <n v="40021969"/>
        <n v="40021970"/>
        <n v="40021971"/>
        <n v="40021972"/>
        <n v="40021973"/>
        <n v="40021974"/>
        <n v="40021975"/>
        <n v="40021976"/>
      </sharedItems>
      <extLst>
        <ext xmlns:x15="http://schemas.microsoft.com/office/spreadsheetml/2010/11/main" uri="{4F2E5C28-24EA-4eb8-9CBF-B6C8F9C3D259}">
          <x15:cachedUniqueNames>
            <x15:cachedUniqueName index="0" name="[Range1].[MATCODE].&amp;[40012853]"/>
            <x15:cachedUniqueName index="1" name="[Range1].[MATCODE].&amp;[40012990]"/>
            <x15:cachedUniqueName index="2" name="[Range1].[MATCODE].&amp;[40012991]"/>
            <x15:cachedUniqueName index="3" name="[Range1].[MATCODE].&amp;[40013024]"/>
            <x15:cachedUniqueName index="4" name="[Range1].[MATCODE].&amp;[40013138]"/>
            <x15:cachedUniqueName index="5" name="[Range1].[MATCODE].&amp;[40013191]"/>
            <x15:cachedUniqueName index="6" name="[Range1].[MATCODE].&amp;[40013205]"/>
            <x15:cachedUniqueName index="7" name="[Range1].[MATCODE].&amp;[40013206]"/>
            <x15:cachedUniqueName index="8" name="[Range1].[MATCODE].&amp;[40013207]"/>
            <x15:cachedUniqueName index="9" name="[Range1].[MATCODE].&amp;[40013231]"/>
            <x15:cachedUniqueName index="10" name="[Range1].[MATCODE].&amp;[40013298]"/>
            <x15:cachedUniqueName index="11" name="[Range1].[MATCODE].&amp;[40013299]"/>
            <x15:cachedUniqueName index="12" name="[Range1].[MATCODE].&amp;[40013300]"/>
            <x15:cachedUniqueName index="13" name="[Range1].[MATCODE].&amp;[40013301]"/>
            <x15:cachedUniqueName index="14" name="[Range1].[MATCODE].&amp;[40013302]"/>
            <x15:cachedUniqueName index="15" name="[Range1].[MATCODE].&amp;[40013303]"/>
            <x15:cachedUniqueName index="16" name="[Range1].[MATCODE].&amp;[40013304]"/>
            <x15:cachedUniqueName index="17" name="[Range1].[MATCODE].&amp;[40013305]"/>
            <x15:cachedUniqueName index="18" name="[Range1].[MATCODE].&amp;[40013306]"/>
            <x15:cachedUniqueName index="19" name="[Range1].[MATCODE].&amp;[40013318]"/>
            <x15:cachedUniqueName index="20" name="[Range1].[MATCODE].&amp;[40013319]"/>
            <x15:cachedUniqueName index="21" name="[Range1].[MATCODE].&amp;[40013322]"/>
            <x15:cachedUniqueName index="22" name="[Range1].[MATCODE].&amp;[40013323]"/>
            <x15:cachedUniqueName index="23" name="[Range1].[MATCODE].&amp;[40013334]"/>
            <x15:cachedUniqueName index="24" name="[Range1].[MATCODE].&amp;[40013341]"/>
            <x15:cachedUniqueName index="25" name="[Range1].[MATCODE].&amp;[40013380]"/>
            <x15:cachedUniqueName index="26" name="[Range1].[MATCODE].&amp;[40013382]"/>
            <x15:cachedUniqueName index="27" name="[Range1].[MATCODE].&amp;[40013383]"/>
            <x15:cachedUniqueName index="28" name="[Range1].[MATCODE].&amp;[40013385]"/>
            <x15:cachedUniqueName index="29" name="[Range1].[MATCODE].&amp;[40013391]"/>
            <x15:cachedUniqueName index="30" name="[Range1].[MATCODE].&amp;[40013539]"/>
            <x15:cachedUniqueName index="31" name="[Range1].[MATCODE].&amp;[40013570]"/>
            <x15:cachedUniqueName index="32" name="[Range1].[MATCODE].&amp;[40013728]"/>
            <x15:cachedUniqueName index="33" name="[Range1].[MATCODE].&amp;[40013730]"/>
            <x15:cachedUniqueName index="34" name="[Range1].[MATCODE].&amp;[40013731]"/>
            <x15:cachedUniqueName index="35" name="[Range1].[MATCODE].&amp;[40013732]"/>
            <x15:cachedUniqueName index="36" name="[Range1].[MATCODE].&amp;[40013745]"/>
            <x15:cachedUniqueName index="37" name="[Range1].[MATCODE].&amp;[40013759]"/>
            <x15:cachedUniqueName index="38" name="[Range1].[MATCODE].&amp;[40013787]"/>
            <x15:cachedUniqueName index="39" name="[Range1].[MATCODE].&amp;[40013792]"/>
            <x15:cachedUniqueName index="40" name="[Range1].[MATCODE].&amp;[40013797]"/>
            <x15:cachedUniqueName index="41" name="[Range1].[MATCODE].&amp;[40013799]"/>
            <x15:cachedUniqueName index="42" name="[Range1].[MATCODE].&amp;[40013800]"/>
            <x15:cachedUniqueName index="43" name="[Range1].[MATCODE].&amp;[40013803]"/>
            <x15:cachedUniqueName index="44" name="[Range1].[MATCODE].&amp;[40013804]"/>
            <x15:cachedUniqueName index="45" name="[Range1].[MATCODE].&amp;[40013805]"/>
            <x15:cachedUniqueName index="46" name="[Range1].[MATCODE].&amp;[40013806]"/>
            <x15:cachedUniqueName index="47" name="[Range1].[MATCODE].&amp;[40013807]"/>
            <x15:cachedUniqueName index="48" name="[Range1].[MATCODE].&amp;[40013808]"/>
            <x15:cachedUniqueName index="49" name="[Range1].[MATCODE].&amp;[40013809]"/>
            <x15:cachedUniqueName index="50" name="[Range1].[MATCODE].&amp;[40013810]"/>
            <x15:cachedUniqueName index="51" name="[Range1].[MATCODE].&amp;[40013811]"/>
            <x15:cachedUniqueName index="52" name="[Range1].[MATCODE].&amp;[40013812]"/>
            <x15:cachedUniqueName index="53" name="[Range1].[MATCODE].&amp;[40013813]"/>
            <x15:cachedUniqueName index="54" name="[Range1].[MATCODE].&amp;[40013814]"/>
            <x15:cachedUniqueName index="55" name="[Range1].[MATCODE].&amp;[40013816]"/>
            <x15:cachedUniqueName index="56" name="[Range1].[MATCODE].&amp;[40013817]"/>
            <x15:cachedUniqueName index="57" name="[Range1].[MATCODE].&amp;[40013818]"/>
            <x15:cachedUniqueName index="58" name="[Range1].[MATCODE].&amp;[40013820]"/>
            <x15:cachedUniqueName index="59" name="[Range1].[MATCODE].&amp;[40013837]"/>
            <x15:cachedUniqueName index="60" name="[Range1].[MATCODE].&amp;[40013846]"/>
            <x15:cachedUniqueName index="61" name="[Range1].[MATCODE].&amp;[40013847]"/>
            <x15:cachedUniqueName index="62" name="[Range1].[MATCODE].&amp;[40013848]"/>
            <x15:cachedUniqueName index="63" name="[Range1].[MATCODE].&amp;[40013850]"/>
            <x15:cachedUniqueName index="64" name="[Range1].[MATCODE].&amp;[40013852]"/>
            <x15:cachedUniqueName index="65" name="[Range1].[MATCODE].&amp;[40013854]"/>
            <x15:cachedUniqueName index="66" name="[Range1].[MATCODE].&amp;[40013855]"/>
            <x15:cachedUniqueName index="67" name="[Range1].[MATCODE].&amp;[40013867]"/>
            <x15:cachedUniqueName index="68" name="[Range1].[MATCODE].&amp;[40013868]"/>
            <x15:cachedUniqueName index="69" name="[Range1].[MATCODE].&amp;[40013870]"/>
            <x15:cachedUniqueName index="70" name="[Range1].[MATCODE].&amp;[40013871]"/>
            <x15:cachedUniqueName index="71" name="[Range1].[MATCODE].&amp;[40013872]"/>
            <x15:cachedUniqueName index="72" name="[Range1].[MATCODE].&amp;[40013873]"/>
            <x15:cachedUniqueName index="73" name="[Range1].[MATCODE].&amp;[40013874]"/>
            <x15:cachedUniqueName index="74" name="[Range1].[MATCODE].&amp;[40013875]"/>
            <x15:cachedUniqueName index="75" name="[Range1].[MATCODE].&amp;[40013876]"/>
            <x15:cachedUniqueName index="76" name="[Range1].[MATCODE].&amp;[40013877]"/>
            <x15:cachedUniqueName index="77" name="[Range1].[MATCODE].&amp;[40013878]"/>
            <x15:cachedUniqueName index="78" name="[Range1].[MATCODE].&amp;[40013879]"/>
            <x15:cachedUniqueName index="79" name="[Range1].[MATCODE].&amp;[40013889]"/>
            <x15:cachedUniqueName index="80" name="[Range1].[MATCODE].&amp;[40013895]"/>
            <x15:cachedUniqueName index="81" name="[Range1].[MATCODE].&amp;[40013897]"/>
            <x15:cachedUniqueName index="82" name="[Range1].[MATCODE].&amp;[40013971]"/>
            <x15:cachedUniqueName index="83" name="[Range1].[MATCODE].&amp;[40013972]"/>
            <x15:cachedUniqueName index="84" name="[Range1].[MATCODE].&amp;[40013986]"/>
            <x15:cachedUniqueName index="85" name="[Range1].[MATCODE].&amp;[40013998]"/>
            <x15:cachedUniqueName index="86" name="[Range1].[MATCODE].&amp;[40013999]"/>
            <x15:cachedUniqueName index="87" name="[Range1].[MATCODE].&amp;[40014000]"/>
            <x15:cachedUniqueName index="88" name="[Range1].[MATCODE].&amp;[40014006]"/>
            <x15:cachedUniqueName index="89" name="[Range1].[MATCODE].&amp;[40014007]"/>
            <x15:cachedUniqueName index="90" name="[Range1].[MATCODE].&amp;[40014008]"/>
            <x15:cachedUniqueName index="91" name="[Range1].[MATCODE].&amp;[40014010]"/>
            <x15:cachedUniqueName index="92" name="[Range1].[MATCODE].&amp;[40014012]"/>
            <x15:cachedUniqueName index="93" name="[Range1].[MATCODE].&amp;[40014015]"/>
            <x15:cachedUniqueName index="94" name="[Range1].[MATCODE].&amp;[40014050]"/>
            <x15:cachedUniqueName index="95" name="[Range1].[MATCODE].&amp;[40014064]"/>
            <x15:cachedUniqueName index="96" name="[Range1].[MATCODE].&amp;[40014070]"/>
            <x15:cachedUniqueName index="97" name="[Range1].[MATCODE].&amp;[40014071]"/>
            <x15:cachedUniqueName index="98" name="[Range1].[MATCODE].&amp;[40014074]"/>
            <x15:cachedUniqueName index="99" name="[Range1].[MATCODE].&amp;[40014080]"/>
            <x15:cachedUniqueName index="100" name="[Range1].[MATCODE].&amp;[40014088]"/>
            <x15:cachedUniqueName index="101" name="[Range1].[MATCODE].&amp;[40014090]"/>
            <x15:cachedUniqueName index="102" name="[Range1].[MATCODE].&amp;[40014506]"/>
            <x15:cachedUniqueName index="103" name="[Range1].[MATCODE].&amp;[40014507]"/>
            <x15:cachedUniqueName index="104" name="[Range1].[MATCODE].&amp;[40014509]"/>
            <x15:cachedUniqueName index="105" name="[Range1].[MATCODE].&amp;[40014511]"/>
            <x15:cachedUniqueName index="106" name="[Range1].[MATCODE].&amp;[40014514]"/>
            <x15:cachedUniqueName index="107" name="[Range1].[MATCODE].&amp;[40014515]"/>
            <x15:cachedUniqueName index="108" name="[Range1].[MATCODE].&amp;[40014525]"/>
            <x15:cachedUniqueName index="109" name="[Range1].[MATCODE].&amp;[40014528]"/>
            <x15:cachedUniqueName index="110" name="[Range1].[MATCODE].&amp;[40014543]"/>
            <x15:cachedUniqueName index="111" name="[Range1].[MATCODE].&amp;[40014550]"/>
            <x15:cachedUniqueName index="112" name="[Range1].[MATCODE].&amp;[40014551]"/>
            <x15:cachedUniqueName index="113" name="[Range1].[MATCODE].&amp;[40014556]"/>
            <x15:cachedUniqueName index="114" name="[Range1].[MATCODE].&amp;[40014557]"/>
            <x15:cachedUniqueName index="115" name="[Range1].[MATCODE].&amp;[40014582]"/>
            <x15:cachedUniqueName index="116" name="[Range1].[MATCODE].&amp;[40014606]"/>
            <x15:cachedUniqueName index="117" name="[Range1].[MATCODE].&amp;[40014607]"/>
            <x15:cachedUniqueName index="118" name="[Range1].[MATCODE].&amp;[40014609]"/>
            <x15:cachedUniqueName index="119" name="[Range1].[MATCODE].&amp;[40014610]"/>
            <x15:cachedUniqueName index="120" name="[Range1].[MATCODE].&amp;[40014611]"/>
            <x15:cachedUniqueName index="121" name="[Range1].[MATCODE].&amp;[40014612]"/>
            <x15:cachedUniqueName index="122" name="[Range1].[MATCODE].&amp;[40014623]"/>
            <x15:cachedUniqueName index="123" name="[Range1].[MATCODE].&amp;[40014656]"/>
            <x15:cachedUniqueName index="124" name="[Range1].[MATCODE].&amp;[40014663]"/>
            <x15:cachedUniqueName index="125" name="[Range1].[MATCODE].&amp;[40014664]"/>
            <x15:cachedUniqueName index="126" name="[Range1].[MATCODE].&amp;[40014666]"/>
            <x15:cachedUniqueName index="127" name="[Range1].[MATCODE].&amp;[40014667]"/>
            <x15:cachedUniqueName index="128" name="[Range1].[MATCODE].&amp;[40014668]"/>
            <x15:cachedUniqueName index="129" name="[Range1].[MATCODE].&amp;[40014679]"/>
            <x15:cachedUniqueName index="130" name="[Range1].[MATCODE].&amp;[40014681]"/>
            <x15:cachedUniqueName index="131" name="[Range1].[MATCODE].&amp;[40014684]"/>
            <x15:cachedUniqueName index="132" name="[Range1].[MATCODE].&amp;[40014686]"/>
            <x15:cachedUniqueName index="133" name="[Range1].[MATCODE].&amp;[40014688]"/>
            <x15:cachedUniqueName index="134" name="[Range1].[MATCODE].&amp;[40014690]"/>
            <x15:cachedUniqueName index="135" name="[Range1].[MATCODE].&amp;[40014693]"/>
            <x15:cachedUniqueName index="136" name="[Range1].[MATCODE].&amp;[40014696]"/>
            <x15:cachedUniqueName index="137" name="[Range1].[MATCODE].&amp;[40014712]"/>
            <x15:cachedUniqueName index="138" name="[Range1].[MATCODE].&amp;[40014713]"/>
            <x15:cachedUniqueName index="139" name="[Range1].[MATCODE].&amp;[40015370]"/>
            <x15:cachedUniqueName index="140" name="[Range1].[MATCODE].&amp;[40015371]"/>
            <x15:cachedUniqueName index="141" name="[Range1].[MATCODE].&amp;[40015383]"/>
            <x15:cachedUniqueName index="142" name="[Range1].[MATCODE].&amp;[40015613]"/>
            <x15:cachedUniqueName index="143" name="[Range1].[MATCODE].&amp;[40015614]"/>
            <x15:cachedUniqueName index="144" name="[Range1].[MATCODE].&amp;[40015615]"/>
            <x15:cachedUniqueName index="145" name="[Range1].[MATCODE].&amp;[40015621]"/>
            <x15:cachedUniqueName index="146" name="[Range1].[MATCODE].&amp;[40015622]"/>
            <x15:cachedUniqueName index="147" name="[Range1].[MATCODE].&amp;[40015623]"/>
            <x15:cachedUniqueName index="148" name="[Range1].[MATCODE].&amp;[40015666]"/>
            <x15:cachedUniqueName index="149" name="[Range1].[MATCODE].&amp;[40015686]"/>
            <x15:cachedUniqueName index="150" name="[Range1].[MATCODE].&amp;[40015695]"/>
            <x15:cachedUniqueName index="151" name="[Range1].[MATCODE].&amp;[40015699]"/>
            <x15:cachedUniqueName index="152" name="[Range1].[MATCODE].&amp;[40016533]"/>
            <x15:cachedUniqueName index="153" name="[Range1].[MATCODE].&amp;[40016534]"/>
            <x15:cachedUniqueName index="154" name="[Range1].[MATCODE].&amp;[40016535]"/>
            <x15:cachedUniqueName index="155" name="[Range1].[MATCODE].&amp;[40016537]"/>
            <x15:cachedUniqueName index="156" name="[Range1].[MATCODE].&amp;[40016709]"/>
            <x15:cachedUniqueName index="157" name="[Range1].[MATCODE].&amp;[40016725]"/>
            <x15:cachedUniqueName index="158" name="[Range1].[MATCODE].&amp;[40016727]"/>
            <x15:cachedUniqueName index="159" name="[Range1].[MATCODE].&amp;[40016728]"/>
            <x15:cachedUniqueName index="160" name="[Range1].[MATCODE].&amp;[40016786]"/>
            <x15:cachedUniqueName index="161" name="[Range1].[MATCODE].&amp;[40016813]"/>
            <x15:cachedUniqueName index="162" name="[Range1].[MATCODE].&amp;[40016861]"/>
            <x15:cachedUniqueName index="163" name="[Range1].[MATCODE].&amp;[40016862]"/>
            <x15:cachedUniqueName index="164" name="[Range1].[MATCODE].&amp;[40016863]"/>
            <x15:cachedUniqueName index="165" name="[Range1].[MATCODE].&amp;[40016865]"/>
            <x15:cachedUniqueName index="166" name="[Range1].[MATCODE].&amp;[40016885]"/>
            <x15:cachedUniqueName index="167" name="[Range1].[MATCODE].&amp;[40017345]"/>
            <x15:cachedUniqueName index="168" name="[Range1].[MATCODE].&amp;[40017353]"/>
            <x15:cachedUniqueName index="169" name="[Range1].[MATCODE].&amp;[40017354]"/>
            <x15:cachedUniqueName index="170" name="[Range1].[MATCODE].&amp;[40017355]"/>
            <x15:cachedUniqueName index="171" name="[Range1].[MATCODE].&amp;[40017356]"/>
            <x15:cachedUniqueName index="172" name="[Range1].[MATCODE].&amp;[40017362]"/>
            <x15:cachedUniqueName index="173" name="[Range1].[MATCODE].&amp;[40017363]"/>
            <x15:cachedUniqueName index="174" name="[Range1].[MATCODE].&amp;[40017365]"/>
            <x15:cachedUniqueName index="175" name="[Range1].[MATCODE].&amp;[40017366]"/>
            <x15:cachedUniqueName index="176" name="[Range1].[MATCODE].&amp;[40017368]"/>
            <x15:cachedUniqueName index="177" name="[Range1].[MATCODE].&amp;[40017370]"/>
            <x15:cachedUniqueName index="178" name="[Range1].[MATCODE].&amp;[40017372]"/>
            <x15:cachedUniqueName index="179" name="[Range1].[MATCODE].&amp;[40017373]"/>
            <x15:cachedUniqueName index="180" name="[Range1].[MATCODE].&amp;[40017381]"/>
            <x15:cachedUniqueName index="181" name="[Range1].[MATCODE].&amp;[40017390]"/>
            <x15:cachedUniqueName index="182" name="[Range1].[MATCODE].&amp;[40017392]"/>
            <x15:cachedUniqueName index="183" name="[Range1].[MATCODE].&amp;[40017393]"/>
            <x15:cachedUniqueName index="184" name="[Range1].[MATCODE].&amp;[40017398]"/>
            <x15:cachedUniqueName index="185" name="[Range1].[MATCODE].&amp;[40017399]"/>
            <x15:cachedUniqueName index="186" name="[Range1].[MATCODE].&amp;[40017401]"/>
            <x15:cachedUniqueName index="187" name="[Range1].[MATCODE].&amp;[40017402]"/>
            <x15:cachedUniqueName index="188" name="[Range1].[MATCODE].&amp;[40017403]"/>
            <x15:cachedUniqueName index="189" name="[Range1].[MATCODE].&amp;[40017419]"/>
            <x15:cachedUniqueName index="190" name="[Range1].[MATCODE].&amp;[40017426]"/>
            <x15:cachedUniqueName index="191" name="[Range1].[MATCODE].&amp;[40017433]"/>
            <x15:cachedUniqueName index="192" name="[Range1].[MATCODE].&amp;[40017434]"/>
            <x15:cachedUniqueName index="193" name="[Range1].[MATCODE].&amp;[40017441]"/>
            <x15:cachedUniqueName index="194" name="[Range1].[MATCODE].&amp;[40017442]"/>
            <x15:cachedUniqueName index="195" name="[Range1].[MATCODE].&amp;[40017443]"/>
            <x15:cachedUniqueName index="196" name="[Range1].[MATCODE].&amp;[40017444]"/>
            <x15:cachedUniqueName index="197" name="[Range1].[MATCODE].&amp;[40017459]"/>
            <x15:cachedUniqueName index="198" name="[Range1].[MATCODE].&amp;[40017460]"/>
            <x15:cachedUniqueName index="199" name="[Range1].[MATCODE].&amp;[40017461]"/>
            <x15:cachedUniqueName index="200" name="[Range1].[MATCODE].&amp;[40017462]"/>
            <x15:cachedUniqueName index="201" name="[Range1].[MATCODE].&amp;[40017463]"/>
            <x15:cachedUniqueName index="202" name="[Range1].[MATCODE].&amp;[40017464]"/>
            <x15:cachedUniqueName index="203" name="[Range1].[MATCODE].&amp;[40017465]"/>
            <x15:cachedUniqueName index="204" name="[Range1].[MATCODE].&amp;[40017467]"/>
            <x15:cachedUniqueName index="205" name="[Range1].[MATCODE].&amp;[40017468]"/>
            <x15:cachedUniqueName index="206" name="[Range1].[MATCODE].&amp;[40017470]"/>
            <x15:cachedUniqueName index="207" name="[Range1].[MATCODE].&amp;[40017477]"/>
            <x15:cachedUniqueName index="208" name="[Range1].[MATCODE].&amp;[40017478]"/>
            <x15:cachedUniqueName index="209" name="[Range1].[MATCODE].&amp;[40017493]"/>
            <x15:cachedUniqueName index="210" name="[Range1].[MATCODE].&amp;[40017500]"/>
            <x15:cachedUniqueName index="211" name="[Range1].[MATCODE].&amp;[40017501]"/>
            <x15:cachedUniqueName index="212" name="[Range1].[MATCODE].&amp;[40017502]"/>
            <x15:cachedUniqueName index="213" name="[Range1].[MATCODE].&amp;[40017503]"/>
            <x15:cachedUniqueName index="214" name="[Range1].[MATCODE].&amp;[40017504]"/>
            <x15:cachedUniqueName index="215" name="[Range1].[MATCODE].&amp;[40017505]"/>
            <x15:cachedUniqueName index="216" name="[Range1].[MATCODE].&amp;[40017506]"/>
            <x15:cachedUniqueName index="217" name="[Range1].[MATCODE].&amp;[40017507]"/>
            <x15:cachedUniqueName index="218" name="[Range1].[MATCODE].&amp;[40017508]"/>
            <x15:cachedUniqueName index="219" name="[Range1].[MATCODE].&amp;[40017525]"/>
            <x15:cachedUniqueName index="220" name="[Range1].[MATCODE].&amp;[40017526]"/>
            <x15:cachedUniqueName index="221" name="[Range1].[MATCODE].&amp;[40017527]"/>
            <x15:cachedUniqueName index="222" name="[Range1].[MATCODE].&amp;[40017546]"/>
            <x15:cachedUniqueName index="223" name="[Range1].[MATCODE].&amp;[40017549]"/>
            <x15:cachedUniqueName index="224" name="[Range1].[MATCODE].&amp;[40017559]"/>
            <x15:cachedUniqueName index="225" name="[Range1].[MATCODE].&amp;[40017563]"/>
            <x15:cachedUniqueName index="226" name="[Range1].[MATCODE].&amp;[40017567]"/>
            <x15:cachedUniqueName index="227" name="[Range1].[MATCODE].&amp;[40017568]"/>
            <x15:cachedUniqueName index="228" name="[Range1].[MATCODE].&amp;[40017569]"/>
            <x15:cachedUniqueName index="229" name="[Range1].[MATCODE].&amp;[40017571]"/>
            <x15:cachedUniqueName index="230" name="[Range1].[MATCODE].&amp;[40017574]"/>
            <x15:cachedUniqueName index="231" name="[Range1].[MATCODE].&amp;[40017577]"/>
            <x15:cachedUniqueName index="232" name="[Range1].[MATCODE].&amp;[40017580]"/>
            <x15:cachedUniqueName index="233" name="[Range1].[MATCODE].&amp;[40017585]"/>
            <x15:cachedUniqueName index="234" name="[Range1].[MATCODE].&amp;[40017588]"/>
            <x15:cachedUniqueName index="235" name="[Range1].[MATCODE].&amp;[40017593]"/>
            <x15:cachedUniqueName index="236" name="[Range1].[MATCODE].&amp;[40017594]"/>
            <x15:cachedUniqueName index="237" name="[Range1].[MATCODE].&amp;[40017597]"/>
            <x15:cachedUniqueName index="238" name="[Range1].[MATCODE].&amp;[40017598]"/>
            <x15:cachedUniqueName index="239" name="[Range1].[MATCODE].&amp;[40017599]"/>
            <x15:cachedUniqueName index="240" name="[Range1].[MATCODE].&amp;[40017603]"/>
            <x15:cachedUniqueName index="241" name="[Range1].[MATCODE].&amp;[40017613]"/>
            <x15:cachedUniqueName index="242" name="[Range1].[MATCODE].&amp;[40017618]"/>
            <x15:cachedUniqueName index="243" name="[Range1].[MATCODE].&amp;[40017621]"/>
            <x15:cachedUniqueName index="244" name="[Range1].[MATCODE].&amp;[40017622]"/>
            <x15:cachedUniqueName index="245" name="[Range1].[MATCODE].&amp;[40017623]"/>
            <x15:cachedUniqueName index="246" name="[Range1].[MATCODE].&amp;[40017624]"/>
            <x15:cachedUniqueName index="247" name="[Range1].[MATCODE].&amp;[40017625]"/>
            <x15:cachedUniqueName index="248" name="[Range1].[MATCODE].&amp;[40017634]"/>
            <x15:cachedUniqueName index="249" name="[Range1].[MATCODE].&amp;[40017635]"/>
            <x15:cachedUniqueName index="250" name="[Range1].[MATCODE].&amp;[40017636]"/>
            <x15:cachedUniqueName index="251" name="[Range1].[MATCODE].&amp;[40017637]"/>
            <x15:cachedUniqueName index="252" name="[Range1].[MATCODE].&amp;[40017638]"/>
            <x15:cachedUniqueName index="253" name="[Range1].[MATCODE].&amp;[40017639]"/>
            <x15:cachedUniqueName index="254" name="[Range1].[MATCODE].&amp;[40017844]"/>
            <x15:cachedUniqueName index="255" name="[Range1].[MATCODE].&amp;[40017845]"/>
            <x15:cachedUniqueName index="256" name="[Range1].[MATCODE].&amp;[40017851]"/>
            <x15:cachedUniqueName index="257" name="[Range1].[MATCODE].&amp;[40017853]"/>
            <x15:cachedUniqueName index="258" name="[Range1].[MATCODE].&amp;[40017855]"/>
            <x15:cachedUniqueName index="259" name="[Range1].[MATCODE].&amp;[40017859]"/>
            <x15:cachedUniqueName index="260" name="[Range1].[MATCODE].&amp;[40017860]"/>
            <x15:cachedUniqueName index="261" name="[Range1].[MATCODE].&amp;[40017863]"/>
            <x15:cachedUniqueName index="262" name="[Range1].[MATCODE].&amp;[40017866]"/>
            <x15:cachedUniqueName index="263" name="[Range1].[MATCODE].&amp;[40017868]"/>
            <x15:cachedUniqueName index="264" name="[Range1].[MATCODE].&amp;[40017871]"/>
            <x15:cachedUniqueName index="265" name="[Range1].[MATCODE].&amp;[40017901]"/>
            <x15:cachedUniqueName index="266" name="[Range1].[MATCODE].&amp;[40017910]"/>
            <x15:cachedUniqueName index="267" name="[Range1].[MATCODE].&amp;[40017917]"/>
            <x15:cachedUniqueName index="268" name="[Range1].[MATCODE].&amp;[40018021]"/>
            <x15:cachedUniqueName index="269" name="[Range1].[MATCODE].&amp;[40018023]"/>
            <x15:cachedUniqueName index="270" name="[Range1].[MATCODE].&amp;[40018028]"/>
            <x15:cachedUniqueName index="271" name="[Range1].[MATCODE].&amp;[40018029]"/>
            <x15:cachedUniqueName index="272" name="[Range1].[MATCODE].&amp;[40018033]"/>
            <x15:cachedUniqueName index="273" name="[Range1].[MATCODE].&amp;[40018034]"/>
            <x15:cachedUniqueName index="274" name="[Range1].[MATCODE].&amp;[40018110]"/>
            <x15:cachedUniqueName index="275" name="[Range1].[MATCODE].&amp;[40018111]"/>
            <x15:cachedUniqueName index="276" name="[Range1].[MATCODE].&amp;[40018254]"/>
            <x15:cachedUniqueName index="277" name="[Range1].[MATCODE].&amp;[40018255]"/>
            <x15:cachedUniqueName index="278" name="[Range1].[MATCODE].&amp;[40018256]"/>
            <x15:cachedUniqueName index="279" name="[Range1].[MATCODE].&amp;[40018257]"/>
            <x15:cachedUniqueName index="280" name="[Range1].[MATCODE].&amp;[40018259]"/>
            <x15:cachedUniqueName index="281" name="[Range1].[MATCODE].&amp;[40018263]"/>
            <x15:cachedUniqueName index="282" name="[Range1].[MATCODE].&amp;[40018265]"/>
            <x15:cachedUniqueName index="283" name="[Range1].[MATCODE].&amp;[40018267]"/>
            <x15:cachedUniqueName index="284" name="[Range1].[MATCODE].&amp;[40018291]"/>
            <x15:cachedUniqueName index="285" name="[Range1].[MATCODE].&amp;[40018295]"/>
            <x15:cachedUniqueName index="286" name="[Range1].[MATCODE].&amp;[40018298]"/>
            <x15:cachedUniqueName index="287" name="[Range1].[MATCODE].&amp;[40018301]"/>
            <x15:cachedUniqueName index="288" name="[Range1].[MATCODE].&amp;[40018304]"/>
            <x15:cachedUniqueName index="289" name="[Range1].[MATCODE].&amp;[40018305]"/>
            <x15:cachedUniqueName index="290" name="[Range1].[MATCODE].&amp;[40018307]"/>
            <x15:cachedUniqueName index="291" name="[Range1].[MATCODE].&amp;[40018347]"/>
            <x15:cachedUniqueName index="292" name="[Range1].[MATCODE].&amp;[40018352]"/>
            <x15:cachedUniqueName index="293" name="[Range1].[MATCODE].&amp;[40018353]"/>
            <x15:cachedUniqueName index="294" name="[Range1].[MATCODE].&amp;[40018354]"/>
            <x15:cachedUniqueName index="295" name="[Range1].[MATCODE].&amp;[40018360]"/>
            <x15:cachedUniqueName index="296" name="[Range1].[MATCODE].&amp;[40018361]"/>
            <x15:cachedUniqueName index="297" name="[Range1].[MATCODE].&amp;[40018363]"/>
            <x15:cachedUniqueName index="298" name="[Range1].[MATCODE].&amp;[40018365]"/>
            <x15:cachedUniqueName index="299" name="[Range1].[MATCODE].&amp;[40018366]"/>
            <x15:cachedUniqueName index="300" name="[Range1].[MATCODE].&amp;[40018372]"/>
            <x15:cachedUniqueName index="301" name="[Range1].[MATCODE].&amp;[40018572]"/>
            <x15:cachedUniqueName index="302" name="[Range1].[MATCODE].&amp;[40018573]"/>
            <x15:cachedUniqueName index="303" name="[Range1].[MATCODE].&amp;[40018574]"/>
            <x15:cachedUniqueName index="304" name="[Range1].[MATCODE].&amp;[40018576]"/>
            <x15:cachedUniqueName index="305" name="[Range1].[MATCODE].&amp;[40018586]"/>
            <x15:cachedUniqueName index="306" name="[Range1].[MATCODE].&amp;[40018589]"/>
            <x15:cachedUniqueName index="307" name="[Range1].[MATCODE].&amp;[40018590]"/>
            <x15:cachedUniqueName index="308" name="[Range1].[MATCODE].&amp;[40018592]"/>
            <x15:cachedUniqueName index="309" name="[Range1].[MATCODE].&amp;[40018593]"/>
            <x15:cachedUniqueName index="310" name="[Range1].[MATCODE].&amp;[40018700]"/>
            <x15:cachedUniqueName index="311" name="[Range1].[MATCODE].&amp;[40018701]"/>
            <x15:cachedUniqueName index="312" name="[Range1].[MATCODE].&amp;[40018702]"/>
            <x15:cachedUniqueName index="313" name="[Range1].[MATCODE].&amp;[40018706]"/>
            <x15:cachedUniqueName index="314" name="[Range1].[MATCODE].&amp;[40018707]"/>
            <x15:cachedUniqueName index="315" name="[Range1].[MATCODE].&amp;[40018708]"/>
            <x15:cachedUniqueName index="316" name="[Range1].[MATCODE].&amp;[40018812]"/>
            <x15:cachedUniqueName index="317" name="[Range1].[MATCODE].&amp;[40018813]"/>
            <x15:cachedUniqueName index="318" name="[Range1].[MATCODE].&amp;[40018814]"/>
            <x15:cachedUniqueName index="319" name="[Range1].[MATCODE].&amp;[40018816]"/>
            <x15:cachedUniqueName index="320" name="[Range1].[MATCODE].&amp;[40018817]"/>
            <x15:cachedUniqueName index="321" name="[Range1].[MATCODE].&amp;[40018818]"/>
            <x15:cachedUniqueName index="322" name="[Range1].[MATCODE].&amp;[40018819]"/>
            <x15:cachedUniqueName index="323" name="[Range1].[MATCODE].&amp;[40018820]"/>
            <x15:cachedUniqueName index="324" name="[Range1].[MATCODE].&amp;[40018821]"/>
            <x15:cachedUniqueName index="325" name="[Range1].[MATCODE].&amp;[40018822]"/>
            <x15:cachedUniqueName index="326" name="[Range1].[MATCODE].&amp;[40018826]"/>
            <x15:cachedUniqueName index="327" name="[Range1].[MATCODE].&amp;[40018827]"/>
            <x15:cachedUniqueName index="328" name="[Range1].[MATCODE].&amp;[40018829]"/>
            <x15:cachedUniqueName index="329" name="[Range1].[MATCODE].&amp;[40018834]"/>
            <x15:cachedUniqueName index="330" name="[Range1].[MATCODE].&amp;[40018836]"/>
            <x15:cachedUniqueName index="331" name="[Range1].[MATCODE].&amp;[40019091]"/>
            <x15:cachedUniqueName index="332" name="[Range1].[MATCODE].&amp;[40019095]"/>
            <x15:cachedUniqueName index="333" name="[Range1].[MATCODE].&amp;[40019096]"/>
            <x15:cachedUniqueName index="334" name="[Range1].[MATCODE].&amp;[40019097]"/>
            <x15:cachedUniqueName index="335" name="[Range1].[MATCODE].&amp;[40019098]"/>
            <x15:cachedUniqueName index="336" name="[Range1].[MATCODE].&amp;[40019099]"/>
            <x15:cachedUniqueName index="337" name="[Range1].[MATCODE].&amp;[40019100]"/>
            <x15:cachedUniqueName index="338" name="[Range1].[MATCODE].&amp;[40019101]"/>
            <x15:cachedUniqueName index="339" name="[Range1].[MATCODE].&amp;[40019102]"/>
            <x15:cachedUniqueName index="340" name="[Range1].[MATCODE].&amp;[40019104]"/>
            <x15:cachedUniqueName index="341" name="[Range1].[MATCODE].&amp;[40019105]"/>
            <x15:cachedUniqueName index="342" name="[Range1].[MATCODE].&amp;[40019106]"/>
            <x15:cachedUniqueName index="343" name="[Range1].[MATCODE].&amp;[40019107]"/>
            <x15:cachedUniqueName index="344" name="[Range1].[MATCODE].&amp;[40019108]"/>
            <x15:cachedUniqueName index="345" name="[Range1].[MATCODE].&amp;[40019109]"/>
            <x15:cachedUniqueName index="346" name="[Range1].[MATCODE].&amp;[40019110]"/>
            <x15:cachedUniqueName index="347" name="[Range1].[MATCODE].&amp;[40019111]"/>
            <x15:cachedUniqueName index="348" name="[Range1].[MATCODE].&amp;[40019118]"/>
            <x15:cachedUniqueName index="349" name="[Range1].[MATCODE].&amp;[40019122]"/>
            <x15:cachedUniqueName index="350" name="[Range1].[MATCODE].&amp;[40019133]"/>
            <x15:cachedUniqueName index="351" name="[Range1].[MATCODE].&amp;[40019134]"/>
            <x15:cachedUniqueName index="352" name="[Range1].[MATCODE].&amp;[40019135]"/>
            <x15:cachedUniqueName index="353" name="[Range1].[MATCODE].&amp;[40019136]"/>
            <x15:cachedUniqueName index="354" name="[Range1].[MATCODE].&amp;[40019137]"/>
            <x15:cachedUniqueName index="355" name="[Range1].[MATCODE].&amp;[40019138]"/>
            <x15:cachedUniqueName index="356" name="[Range1].[MATCODE].&amp;[40019140]"/>
            <x15:cachedUniqueName index="357" name="[Range1].[MATCODE].&amp;[40019141]"/>
            <x15:cachedUniqueName index="358" name="[Range1].[MATCODE].&amp;[40019142]"/>
            <x15:cachedUniqueName index="359" name="[Range1].[MATCODE].&amp;[40019143]"/>
            <x15:cachedUniqueName index="360" name="[Range1].[MATCODE].&amp;[40019144]"/>
            <x15:cachedUniqueName index="361" name="[Range1].[MATCODE].&amp;[40019145]"/>
            <x15:cachedUniqueName index="362" name="[Range1].[MATCODE].&amp;[40019146]"/>
            <x15:cachedUniqueName index="363" name="[Range1].[MATCODE].&amp;[40019147]"/>
            <x15:cachedUniqueName index="364" name="[Range1].[MATCODE].&amp;[40019148]"/>
            <x15:cachedUniqueName index="365" name="[Range1].[MATCODE].&amp;[40019149]"/>
            <x15:cachedUniqueName index="366" name="[Range1].[MATCODE].&amp;[40019150]"/>
            <x15:cachedUniqueName index="367" name="[Range1].[MATCODE].&amp;[40019151]"/>
            <x15:cachedUniqueName index="368" name="[Range1].[MATCODE].&amp;[40019152]"/>
            <x15:cachedUniqueName index="369" name="[Range1].[MATCODE].&amp;[40019155]"/>
            <x15:cachedUniqueName index="370" name="[Range1].[MATCODE].&amp;[40019156]"/>
            <x15:cachedUniqueName index="371" name="[Range1].[MATCODE].&amp;[40019158]"/>
            <x15:cachedUniqueName index="372" name="[Range1].[MATCODE].&amp;[40019159]"/>
            <x15:cachedUniqueName index="373" name="[Range1].[MATCODE].&amp;[40019161]"/>
            <x15:cachedUniqueName index="374" name="[Range1].[MATCODE].&amp;[40019253]"/>
            <x15:cachedUniqueName index="375" name="[Range1].[MATCODE].&amp;[40019258]"/>
            <x15:cachedUniqueName index="376" name="[Range1].[MATCODE].&amp;[40019260]"/>
            <x15:cachedUniqueName index="377" name="[Range1].[MATCODE].&amp;[40019262]"/>
            <x15:cachedUniqueName index="378" name="[Range1].[MATCODE].&amp;[40019264]"/>
            <x15:cachedUniqueName index="379" name="[Range1].[MATCODE].&amp;[40019266]"/>
            <x15:cachedUniqueName index="380" name="[Range1].[MATCODE].&amp;[40019269]"/>
            <x15:cachedUniqueName index="381" name="[Range1].[MATCODE].&amp;[40019273]"/>
            <x15:cachedUniqueName index="382" name="[Range1].[MATCODE].&amp;[40019274]"/>
            <x15:cachedUniqueName index="383" name="[Range1].[MATCODE].&amp;[40019276]"/>
            <x15:cachedUniqueName index="384" name="[Range1].[MATCODE].&amp;[40019277]"/>
            <x15:cachedUniqueName index="385" name="[Range1].[MATCODE].&amp;[40019361]"/>
            <x15:cachedUniqueName index="386" name="[Range1].[MATCODE].&amp;[40019362]"/>
            <x15:cachedUniqueName index="387" name="[Range1].[MATCODE].&amp;[40019363]"/>
            <x15:cachedUniqueName index="388" name="[Range1].[MATCODE].&amp;[40019364]"/>
            <x15:cachedUniqueName index="389" name="[Range1].[MATCODE].&amp;[40019367]"/>
            <x15:cachedUniqueName index="390" name="[Range1].[MATCODE].&amp;[40019368]"/>
            <x15:cachedUniqueName index="391" name="[Range1].[MATCODE].&amp;[40019369]"/>
            <x15:cachedUniqueName index="392" name="[Range1].[MATCODE].&amp;[40019372]"/>
            <x15:cachedUniqueName index="393" name="[Range1].[MATCODE].&amp;[40019380]"/>
            <x15:cachedUniqueName index="394" name="[Range1].[MATCODE].&amp;[40019381]"/>
            <x15:cachedUniqueName index="395" name="[Range1].[MATCODE].&amp;[40019383]"/>
            <x15:cachedUniqueName index="396" name="[Range1].[MATCODE].&amp;[40019385]"/>
            <x15:cachedUniqueName index="397" name="[Range1].[MATCODE].&amp;[40019386]"/>
            <x15:cachedUniqueName index="398" name="[Range1].[MATCODE].&amp;[40019391]"/>
            <x15:cachedUniqueName index="399" name="[Range1].[MATCODE].&amp;[40019392]"/>
            <x15:cachedUniqueName index="400" name="[Range1].[MATCODE].&amp;[40019395]"/>
            <x15:cachedUniqueName index="401" name="[Range1].[MATCODE].&amp;[40019398]"/>
            <x15:cachedUniqueName index="402" name="[Range1].[MATCODE].&amp;[40019404]"/>
            <x15:cachedUniqueName index="403" name="[Range1].[MATCODE].&amp;[40019406]"/>
            <x15:cachedUniqueName index="404" name="[Range1].[MATCODE].&amp;[40019409]"/>
            <x15:cachedUniqueName index="405" name="[Range1].[MATCODE].&amp;[40019410]"/>
            <x15:cachedUniqueName index="406" name="[Range1].[MATCODE].&amp;[40019413]"/>
            <x15:cachedUniqueName index="407" name="[Range1].[MATCODE].&amp;[40019428]"/>
            <x15:cachedUniqueName index="408" name="[Range1].[MATCODE].&amp;[40019431]"/>
            <x15:cachedUniqueName index="409" name="[Range1].[MATCODE].&amp;[40019432]"/>
            <x15:cachedUniqueName index="410" name="[Range1].[MATCODE].&amp;[40019621]"/>
            <x15:cachedUniqueName index="411" name="[Range1].[MATCODE].&amp;[40019626]"/>
            <x15:cachedUniqueName index="412" name="[Range1].[MATCODE].&amp;[40019627]"/>
            <x15:cachedUniqueName index="413" name="[Range1].[MATCODE].&amp;[40019630]"/>
            <x15:cachedUniqueName index="414" name="[Range1].[MATCODE].&amp;[40020371]"/>
            <x15:cachedUniqueName index="415" name="[Range1].[MATCODE].&amp;[40020388]"/>
            <x15:cachedUniqueName index="416" name="[Range1].[MATCODE].&amp;[40020389]"/>
            <x15:cachedUniqueName index="417" name="[Range1].[MATCODE].&amp;[40020390]"/>
            <x15:cachedUniqueName index="418" name="[Range1].[MATCODE].&amp;[40020391]"/>
            <x15:cachedUniqueName index="419" name="[Range1].[MATCODE].&amp;[40020434]"/>
            <x15:cachedUniqueName index="420" name="[Range1].[MATCODE].&amp;[40020435]"/>
            <x15:cachedUniqueName index="421" name="[Range1].[MATCODE].&amp;[40020436]"/>
            <x15:cachedUniqueName index="422" name="[Range1].[MATCODE].&amp;[40020440]"/>
            <x15:cachedUniqueName index="423" name="[Range1].[MATCODE].&amp;[40020447]"/>
            <x15:cachedUniqueName index="424" name="[Range1].[MATCODE].&amp;[40020448]"/>
            <x15:cachedUniqueName index="425" name="[Range1].[MATCODE].&amp;[40020449]"/>
            <x15:cachedUniqueName index="426" name="[Range1].[MATCODE].&amp;[40020450]"/>
            <x15:cachedUniqueName index="427" name="[Range1].[MATCODE].&amp;[40020451]"/>
            <x15:cachedUniqueName index="428" name="[Range1].[MATCODE].&amp;[40020452]"/>
            <x15:cachedUniqueName index="429" name="[Range1].[MATCODE].&amp;[40020453]"/>
            <x15:cachedUniqueName index="430" name="[Range1].[MATCODE].&amp;[40020454]"/>
            <x15:cachedUniqueName index="431" name="[Range1].[MATCODE].&amp;[40020456]"/>
            <x15:cachedUniqueName index="432" name="[Range1].[MATCODE].&amp;[40020457]"/>
            <x15:cachedUniqueName index="433" name="[Range1].[MATCODE].&amp;[40020458]"/>
            <x15:cachedUniqueName index="434" name="[Range1].[MATCODE].&amp;[40020459]"/>
            <x15:cachedUniqueName index="435" name="[Range1].[MATCODE].&amp;[40020460]"/>
            <x15:cachedUniqueName index="436" name="[Range1].[MATCODE].&amp;[40020461]"/>
            <x15:cachedUniqueName index="437" name="[Range1].[MATCODE].&amp;[40020876]"/>
            <x15:cachedUniqueName index="438" name="[Range1].[MATCODE].&amp;[40021264]"/>
            <x15:cachedUniqueName index="439" name="[Range1].[MATCODE].&amp;[40021265]"/>
            <x15:cachedUniqueName index="440" name="[Range1].[MATCODE].&amp;[40021266]"/>
            <x15:cachedUniqueName index="441" name="[Range1].[MATCODE].&amp;[40021267]"/>
            <x15:cachedUniqueName index="442" name="[Range1].[MATCODE].&amp;[40021268]"/>
            <x15:cachedUniqueName index="443" name="[Range1].[MATCODE].&amp;[40021269]"/>
            <x15:cachedUniqueName index="444" name="[Range1].[MATCODE].&amp;[40021271]"/>
            <x15:cachedUniqueName index="445" name="[Range1].[MATCODE].&amp;[40021272]"/>
            <x15:cachedUniqueName index="446" name="[Range1].[MATCODE].&amp;[40021273]"/>
            <x15:cachedUniqueName index="447" name="[Range1].[MATCODE].&amp;[40021824]"/>
            <x15:cachedUniqueName index="448" name="[Range1].[MATCODE].&amp;[40021959]"/>
            <x15:cachedUniqueName index="449" name="[Range1].[MATCODE].&amp;[40021960]"/>
            <x15:cachedUniqueName index="450" name="[Range1].[MATCODE].&amp;[40021961]"/>
            <x15:cachedUniqueName index="451" name="[Range1].[MATCODE].&amp;[40021962]"/>
            <x15:cachedUniqueName index="452" name="[Range1].[MATCODE].&amp;[40021963]"/>
            <x15:cachedUniqueName index="453" name="[Range1].[MATCODE].&amp;[40021965]"/>
            <x15:cachedUniqueName index="454" name="[Range1].[MATCODE].&amp;[40021967]"/>
            <x15:cachedUniqueName index="455" name="[Range1].[MATCODE].&amp;[40021968]"/>
            <x15:cachedUniqueName index="456" name="[Range1].[MATCODE].&amp;[40021969]"/>
            <x15:cachedUniqueName index="457" name="[Range1].[MATCODE].&amp;[40021970]"/>
            <x15:cachedUniqueName index="458" name="[Range1].[MATCODE].&amp;[40021971]"/>
            <x15:cachedUniqueName index="459" name="[Range1].[MATCODE].&amp;[40021972]"/>
            <x15:cachedUniqueName index="460" name="[Range1].[MATCODE].&amp;[40021973]"/>
            <x15:cachedUniqueName index="461" name="[Range1].[MATCODE].&amp;[40021974]"/>
            <x15:cachedUniqueName index="462" name="[Range1].[MATCODE].&amp;[40021975]"/>
            <x15:cachedUniqueName index="463" name="[Range1].[MATCODE].&amp;[40021976]"/>
          </x15:cachedUniqueNames>
        </ext>
      </extLst>
    </cacheField>
    <cacheField name="[Range1].[ITEM DESCRIPTION].[ITEM DESCRIPTION]" caption="ITEM DESCRIPTION" numFmtId="0" hierarchy="6" level="1">
      <sharedItems count="421">
        <s v="EPC D/XD LUXE GEOM RD DIF GLD"/>
        <s v="EPC DCRTIVE BALLS BLU TILES SN"/>
        <s v="EPC DCRTIVE BALLS WHT SNTRINI"/>
        <s v="EPC BASIC DOTS AROMA DIFFUSER"/>
        <s v="EPC BNT B PHTO FRME 8X10 WHT"/>
        <s v="EPC LAST SUPPER SMALL ASSTD C"/>
        <s v="EPC PHOTO FRAME STAND WOOD BL"/>
        <s v="&quot;EPC 13&quot;&quot; WOOD FRAME STAND CO"/>
        <s v="&quot;EPC 13&quot;&quot; WOOD FRAME STAND -"/>
        <s v="EPC PRINCE PLASTIC DESK LAMP"/>
        <s v="EPC NTRAL HUES PILLAR CNDLEGRY"/>
        <s v="EPC NTRAL HUES PILLAR CNDLEBRW"/>
        <s v="EPC NTRAL HUES PILLAR CNDLEWHT"/>
        <s v="EPC LUSH FOREST PILLAR CNDLEPN"/>
        <s v="EPC LUSH FOREST PILLAR CNDLEGR"/>
        <s v="EPC LUSH FOREST PILLAR CNDLEPU"/>
        <s v="EPC MISTY FOREST PILLAR CNDLEP"/>
        <s v="EPC SUMMER LOVE PILLAR CNDLEGR"/>
        <s v="EPC SUMMER LOVE PILLAR CNDLEYE"/>
        <s v="EPC SUMMER LOVE PILLARCNDLEYE"/>
        <s v="EPC SUMMER LOVE PILLAR CNDLEOR"/>
        <s v="EPC SUMMER DREAM PILLAR CNDLEY"/>
        <s v="EPC RIPLEY CRTIFCATE FRAME A4"/>
        <s v="EPC D/XC JARETT METAL TABLE LA"/>
        <s v="EPC BRANDIE VINTAGE TABLE CLOC"/>
        <s v="EPC BRIANNA VINTAGE TABLE CLOC"/>
        <s v="EPC WILLY WALL CLOCK BLK"/>
        <s v="EPC ETHNICITY LOVE CERAMIC VAS"/>
        <s v="EPC ESSE LED TAP CNDLE SET OF"/>
        <s v="EPC ESSE LED VOTIVE SET OF 4 G"/>
        <s v="EPC BOTTLE STOPPER LED FAIRY L"/>
        <s v="EPC BASIC TAPERED CNDLE LEMONG"/>
        <s v="EPC BASIC TAPERED CNDLE ROSEPI"/>
        <s v="EPC BASIC TAPERED CNDLE CITRON"/>
        <s v="EPC SCENTED VOTIVE LEMONGRASSG"/>
        <s v="EPC SCENTED VOTIVE ROSEPINK"/>
        <s v="EPC SCENTED VOTIVE LAVANDERVIO"/>
        <s v="EPC SCENTED VOTIVE UNSCENTED W"/>
        <s v="EPC SCENTED VOTIVE CITRONELLA"/>
        <s v="EPC 10 SCENTED TLIGHT LEMONGRA"/>
        <s v="EPC 10 SCENTED TLIGHT LEMONORA"/>
        <s v="EPC 10 SCENTED TLIGHT ROSEPINK"/>
        <s v="EPC 10 SCENTED TLIGHT LAVENDER"/>
        <s v="EPC 10 UNSCENTED TLIGHT WHT"/>
        <s v="EPC 10 SCENTED TLIGHT CITRONEL"/>
        <s v="EPC 36 SCENTED TLIGHT LEMONORA"/>
        <s v="EPC 36 SCENTED TLIGHT ROSEPINK"/>
        <s v="EPC 36 SCENTED TLIGHT LAVANDER"/>
        <s v="EPC 36 SCENTED TLIGHT CITRONEL"/>
        <s v="EPC YANNAH GLASS CNDLEHOLDERCL"/>
        <s v="EPC BASIC INCENSE STICK SET 20"/>
        <s v="EPC ESSE FRAG OIL 15ML NO ORAN"/>
        <s v="EPC ESSE FRAG OIL 15 ML CC BLU"/>
        <s v="EPC ESSE FRAG OIL 15 ML RP PIN"/>
        <s v="EPC ESSE FRAG OIL 15 ML LG LIG"/>
        <s v="EPC ESSE FRAG OIL 15 ML CH BRO"/>
        <s v="EPC ESSE FRAG OIL 15 ML HS LIG"/>
        <s v="EPC ESSE FRAG OIL 15 ML JCB PI"/>
        <s v="EPC ESSE FRAG OIL 15 ML FRA GR"/>
        <s v="EPC ESSE FRAG OIL 15 ML EUC GR"/>
        <s v="EPC ESSE FRAG OIL 15 ML FVC RE"/>
        <s v="EPC ESSE FRAG OIL 15 ML ABR ED"/>
        <s v="EPC ESSE FRAG OIL 15 ML CIT YE"/>
        <s v="EPC BALINESE ROUND CHOLDER S B"/>
        <s v="EPC BALINESE RECTANGLE CHOLDER"/>
        <s v="EPC PACCO PFRAME 8X10 WHT"/>
        <s v="EPC PACCO PFRAME 5X7 GRY"/>
        <s v="EPC PEABO PHTO FRAME 5X7 GRY"/>
        <s v="EPC JUMBO WOOD MIRROR FRAMED-B"/>
        <s v="EPC JUMBO WOOD MIRROR FRAME BL"/>
        <s v="EPC JUMBO WOOD MIRROR FRAMENAT"/>
        <s v="EPC JIMBO WOOD FLOOR MIRRORNAT"/>
        <s v="EPC JIMBO WOOD FLOOR MIRROR BL"/>
        <s v="EPC JAZZ WOOD FLOOR MIRRORBROW"/>
        <s v="EPC JASMINE METAL FLOOR MIRROR"/>
        <s v="EPC BAI LED DESK LAMP WHT"/>
        <s v="EPC BUN LED DESKLAMP W/MOBILE"/>
        <s v="EPC MARGELLAFLORADECOPLNT/4PCS"/>
        <s v="EPC YASMINE PLNTS 1 BLK MATTE"/>
        <s v="EPC YANNY METAL 1 BLK MATTE"/>
        <s v="EPC YANNY METAL 2 BLK MATTE"/>
        <s v="EPC YANNA A DECO PLANTS BLK"/>
        <s v="EPC YANNA D DECO PLANTS BLK"/>
        <s v="EPC MARGELLA DMOND CRAMIC OIL"/>
        <s v="EPC BAXTER PFRAME NW 4X6"/>
        <s v="EPC BAXTER PFRAME NW 5X7"/>
        <s v="EPC BAXTER PFRAME BW 4X6"/>
        <s v="EPC BAXTER PFRAME BW 8X10"/>
        <s v="EPC BENNY PFRAME WHITE 8X10"/>
        <s v="EPC BENNY PFRAME BLK 4X6"/>
        <s v="EPC LIGHT NATALIE PFRAME GRAY"/>
        <s v="EPC LIGHT NATALIE PFRAME NATUR"/>
        <s v="EPC METALLIC NATALIE A PFRAME"/>
        <s v="EPC METALLIC NATALIE SOF2 PFRM"/>
        <s v="EPC METALLICNATALIE SOF2 PFRME"/>
        <s v="EPC GENEVA GLASS CNDLE HLDR S"/>
        <s v="EPC KEN DECOR FAUX PLNT SMA TR"/>
        <s v="EPC KEN DECOR FAUX PLNT SMA BL"/>
        <s v="EPC KEN DECOR FAUX PLNT MED BL"/>
        <s v="EPC KELSY DECOR FAUX PLNT SMA"/>
        <s v="EPC KELSY DECOR FAUX PLNT LAR"/>
        <s v="EPC SAVE NATURE CERAMIC OIL BU"/>
        <s v="EPC GRAHAM MODERN LIFE AROMA D"/>
        <s v="EPC JULIEN WALL CLOCK LUMINOUS"/>
        <s v="EPC CLEMENCE WALL CLOCK LUMINO"/>
        <s v="EPC LAURA WALL CLOCK LUMINUOUS"/>
        <s v="EPC XION DAMASK PATTERN ORANGE"/>
        <s v="EPC XION DAMASK PATTERN WHT"/>
        <s v="EPC XION EYE PATTERN CERAMIC B"/>
        <s v="EPC XION FLORAL CERAMIC BALL B"/>
        <s v="EPC XANDER BASIC CERAMIC BALL"/>
        <s v="EPC XANDER MODERN PTTRN CRAMIC"/>
        <s v="EPC XANDER DOTTED CERAMIC BALL"/>
        <s v="EPC SUMMER FAMILY FRAME - 4 OP"/>
        <s v="EPC RUDOLPH WALL CLOCK BLK"/>
        <s v="EPC RUDOLPH WALL CLOCK WHT"/>
        <s v="EPC GEORGIA GLASS CANDLE HOLDE"/>
        <s v="EPC NATURALIST B WALL CLOCK"/>
        <s v="EPC NATURALIST C WALL CLOCK"/>
        <s v="EPC NATURALIST D WALL CLOCK"/>
        <s v="EPC WALLACE WALL CLOCK"/>
        <s v="EPC XAVIER LOSTINPARADISECANVA"/>
        <s v="EPC MARIETA GEO PTRN CRMC OIL"/>
        <s v="EPC XAVIER LEAF CERAMIC BALL W"/>
        <s v="EPC XAVIER FLORAL CERAMIC BALS"/>
        <s v="EPC ANDREA VNTGE TCLOCK CRM"/>
        <s v="EPC ANDREA VNTGE TCLOCK GRY"/>
        <s v="EPC ANDREA VNTGE TCLOCK BLK"/>
        <s v="EPC MAZERUNNER LED TTOP ORA"/>
        <s v="EPC JENNIFER SQ W. CLOCK CRM"/>
        <s v="EPC ESS BRUCEANLOG T CLOCK BLK"/>
        <s v="EPC ESS BRYANT ANLOG T. CLOCK"/>
        <s v="EPC ESS BRYANT ANLOG T. CLOCK."/>
        <s v="EPC ZAPATA TABLE LAMP BLK FS"/>
        <s v="EPC MAZE LED TABLETOP/LANTERN"/>
        <s v="EPC ESS KITCH. PAN STEAK W. CL"/>
        <s v="EPC ESS BRODY ANLOG T. CLOCK B"/>
        <s v="EPC ESS BRODY ANLOG T. CLOCK G"/>
        <s v="EPC ESS BIANCA DIG CLOCK BLK F"/>
        <s v="EPC ESS ZUELLIG TLAMP MATTE GR"/>
        <s v="EPC ESS CAVERN A PHTO FRM 4X6"/>
        <s v="EPC ESS MINIMAL A PHTO FRM 5X7"/>
        <s v="EPC ESS MINIMAL A PHTO FRM 8X1"/>
        <s v="EPC ESS MINIMAL B PHTO FRM 8X1"/>
        <s v="EPC WHITNEY ART P. CNDL 2X3 CR"/>
        <s v="EPC WHITNEY ART P. CNDL 3X3 CR"/>
        <s v="EPC WHITNEY ART P. CNDL 2X3 PR"/>
        <s v="EPC WHITNEY ART P. CNDL 3X3 PR"/>
        <s v="EPC WHITNEY ART P. CNDL 2X4 GR"/>
        <s v="EPC WINONA ART P. CNDL 3X3 TAU"/>
        <s v="EPC WINONA ART P. CNDL 3X4 TAU"/>
        <s v="EPC WAVERLY QTES P. CNDL 3X3 P"/>
        <s v="EPC WINSLET QTES P. CNDL 2X3 P"/>
        <s v="EPC WINSLET QTES P. CNDL 3X3 P"/>
        <s v="EPC WINSLET QTES P. CNDL 2X3 G"/>
        <s v="EPC WINSLET QTES P. CNDL 3X3 O"/>
        <s v="EPC WYETH J. CNDL 2.75X4 WHT S"/>
        <s v="EPC WYETH J. CNDL 2.75X4 GRN S"/>
        <s v="EPC WYETH J. CNDL 2.75X4.75 GR"/>
        <s v="EPC WYETH J. CNDL 2.75X4 ORA S"/>
        <s v="EPC W.FRM LOVE 12X12 NTRL FS"/>
        <s v="EPC W.FRM EVE FIGURE S BLK FS"/>
        <s v="EPC W.FRM PARIS BALLOON S DK"/>
        <s v="EPC W.FRM PARIS BOYAGE S DK"/>
        <s v="EPC W.FRM CR�ME COL A 12X12 DK"/>
        <s v="EPC W.FRM CR�ME COL B 12X12 DK"/>
        <s v="EPC W.FRM SHADOW WS A 12X12 DK"/>
        <s v="EPC W.FRM SHADOW WS B 12X12 DK"/>
        <s v="EPC W.FRM UNDR THE SUN S NTRL"/>
        <s v="EPC W.FRM LIL SHADOW S NTRL FS"/>
        <s v="EPC W.FRM UMBER SUN L NTRL FS"/>
        <s v="EPC W.FRM BEHIND THE SUN L NTR"/>
        <s v="EPC W.FRM CERISE MOON S NTRL F"/>
        <s v="EPC W.FRM CERISE NIGHT S NTRL"/>
        <s v="EPC W.FRM FRESH OASIS L NTRL F"/>
        <s v="EPC W.FRM DEMETER 12X12 NTRL F"/>
        <s v="EPC W.FRM PERSEPHONE 12X12 NTR"/>
        <s v="EPC W.FRM KEEP SIMPLE 12X12 N"/>
        <s v="EPC W.FRM RUS LINE A S BLK FS"/>
        <s v="EPC W.FRM RUS LINE B S BLK FS"/>
        <s v="EPC W.FRM ADELAIDE A S DK BWN"/>
        <s v="EPC W.FRM CELOSIA B L NTRL FS"/>
        <s v="EPC W.FRM NAT ART A S NTRL FS"/>
        <s v="EPC W.FRM NAT ART B S NTRL FS"/>
        <s v="EPC W.FRM NAT ART C L NTRL FS"/>
        <s v="EPC W.FRM NAT ART D L NTRL FS"/>
        <s v="EPC W.FRM HANG POT 12X12 NTRL"/>
        <s v="EPC W.FRM POLKA POT 12X12 NTRL"/>
        <s v="EPC W.FRM FLUSH PLNTA 12X12 NT"/>
        <s v="EPC W.FRM FLUSH PLNTB 12X12 NT"/>
        <s v="EPC ESS JUMBO W. MIRROR 8X10 D"/>
        <s v="EPC ESS JUMBO W. MIRROR 16X20"/>
        <s v="EPC ESS JUMBO W. MIRROR 12X36"/>
        <s v="EPC ZELL PHOTO FRM 5X7 GRY L"/>
        <s v="EPC ZELL PHOTO FRM 8X10 GRY X"/>
        <s v="EPC ZYRA PHOTO FRM 5X7 NTRL L"/>
        <s v="EPC ZYRA PHOTO FRM 8X10 GRY XL"/>
        <s v="EPC ZORA PHOTO FRM 8X10 CRM XL"/>
        <s v="EPC ZORA PHOTO FRM 8X10 WHT XL"/>
        <s v="EPC ZORA PHOTO FRM 8X10 GRY XL"/>
        <s v="EPC ESS YANNA CLIP DESK LAMP B"/>
        <s v="EPC ESS YSSA BULB DESK LAMP BL"/>
        <s v="EPC ROSALINDA LED LANTERN L WH"/>
        <s v="EPC ESS GRACELYN REVITALIZER N"/>
        <s v="EPC ESS RAPHAEL MEDAL FRM L 4P"/>
        <s v="EPC ESS RIPLEY DOC FRM 8.5X11S"/>
        <s v="EPC ESS RIPLEY DOC FRM A4 SLVR"/>
        <s v="EPC ESS RIPLEY DOC FRM A4 NTRL"/>
        <s v="EPC ESS RIDLEY DOCUMNT FRME 8."/>
        <s v="EPC ESS RIDLEY DOCUMNT FRME 11"/>
        <s v="EPC ESS RUE SIGNI FRME 16X20 B"/>
        <s v="EPC ESS MARIETTA GEO OIL BURNE"/>
        <s v="EPC MY GRN LIFE RND OIL BURNER"/>
        <s v="EPC MY DIAMND PATTRN OIL BRNER"/>
        <s v="EPC MY SCALE PATTRN OIL BRNER"/>
        <s v="EPC ESS FRAG OIL 15ML LVNDR PR"/>
        <s v="EPC ESS TLGHT CNDL 36PCS LMN G"/>
        <s v="EPC ESS TLGHT CNDL 36PCS LMN O"/>
        <s v="EPC ESS TLGHT CNDL 36PCS RSE P"/>
        <s v="EPC ESS TLGHT CNDL 36PCS LVNDR"/>
        <s v="EPC ESS TLGHT CNDL 36PCS UNSCN"/>
        <s v="EPC ESS JRCNDL W HNDL CTRNELLA"/>
        <s v="EPC ESS DECOR BALLS PALMS YEL"/>
        <s v="EPC ESS DECOR BALLS PALMS GRY"/>
        <s v="EPC ESS DECOR BALLS HAMMERED G"/>
        <s v="EPC ESS DECOR BALLS XAVI GLD F"/>
        <s v="EPC ESS DECOR BALLS XAMIRA WHT"/>
        <s v="EPC ESS DECOR BALLS XANTHIA WH"/>
        <s v="EPC ESS DECOR BALLS TROPICS WH"/>
        <s v="EPC ESS DECOR BALLS PAISLEY WH"/>
        <s v="EPC ESS DECOR BALLS TROPICS YE"/>
        <s v="EPC ESS MARGAUX-S OIL BURNER W"/>
        <s v="EPC ESS MARIBELLE-S OIL BURNER"/>
        <s v="EPC GLADYS WALL ART C WHT FS"/>
        <s v="EPC GEORGINA WALL ART A BLK FS"/>
        <s v="EPC ESS PRINCE BULB DESK LAMP"/>
        <s v="EPC ESS WARREN METAL LNTRN GLD"/>
        <s v="EPC ESS WILSON METAL LNTRN BLK"/>
        <s v="EPC ESS WILSON METAL LNTRN GLD"/>
        <s v="EPC ESS WARREN METAL LNTRN BLK"/>
        <s v="EPC ESS WILSON METAL LNTRN BGE"/>
        <s v="EPC ESS WARREN METAL LNTRN BGE"/>
        <s v="EPC AUTUMN FAM FRAME - 3OPENIN"/>
        <s v="EPC JOEY ST. SIDES CANVAS ART"/>
        <s v="EPC JOEY DWN THE ST. CNVAS ART"/>
        <s v="EPC JUST AUTMN FLWERS CNVS ART"/>
        <s v="EPC JOEY BY THE BCH B CNVS ART"/>
        <s v="EPC JOEY BY THE BCH A CNVS ART"/>
        <s v="EPC JUST BUCKWHTS B CNVS ART S"/>
        <s v="EPC JOEY PSTL PLL-OVR CNVS ART"/>
        <s v="EPC JUST WHT &amp; FLEUR CNVS ART"/>
        <s v="EPC JANNA BWN LOOPS CNVS ART S"/>
        <s v="EPC MORE AND MORE WOOD TTOP DC"/>
        <s v="EPC MATTERS MOST WOOD TTOP DCO"/>
        <s v="EPC LESS &amp; LESS WOOD TTOP DCOR"/>
        <s v="EPC JEITH FLLIN IN PARIS A C.A"/>
        <s v="EPC JEITH FLLIN IN PARIS B C.A"/>
        <s v="EPC JEITH PNK UMBRELLAS CNVS A"/>
        <s v="EPC SMMER FAM LTTR FRM 4 OPENN"/>
        <s v="EPC ZIGGY CER TABLE LAMP WHT F"/>
        <s v="EPC ZENDAYA PFRM 8X10 BLK XL"/>
        <s v="EPC ZENDAYA P FRM 8X10 GRY XL"/>
        <s v="EPC ESS JANE P FRM SET2 4X6 G"/>
        <s v="EPC ESS JANE P FRM SET2 5X7 BL"/>
        <s v="EPC ESS JANE P FRM SET2 5X7 GR"/>
        <s v="EPC ESS JANE P FRM SET2 8X10 W"/>
        <s v="EPC ESS JANE P FRM SET2 8X10 G"/>
        <s v="EPC ZENDAYA P FRM 8X10 WHT XL"/>
        <s v="EPC GABRIELLA WMN LNE CER T LM"/>
        <s v="EPC RICKA CER T LMP CRM FS"/>
        <s v="EPC MOSCOW CERAMIC T.LMP CRM F"/>
        <s v="EPC GAYLE WMN LNE CER T LMP A"/>
        <s v="EPC RICKA CER T LMP WHT FS"/>
        <s v="EPC GENEVIVE WMN LNE CER T LMP"/>
        <s v="EPC C/S WHS&amp;DRMS J CDL BLU FS"/>
        <s v="EPC C/S WHS&amp;DRMS J CDL ORA FS"/>
        <s v="EPC C/S WHS&amp;DRMS J CDL PRPLE F"/>
        <s v="EPC C/S WTRSIDE J CDL YEL FS"/>
        <s v="EPC C/S WTRSIDE J CDL BLU FS"/>
        <s v="EPC C/S WTRSIDE J CDL PNK FS"/>
        <s v="EPCCAREN DCR SUC PLNT B GRN FS"/>
        <s v="EPCCAREN DCR SUC PLNT C GRN FS"/>
        <s v="EPCCAEL DCR RBBR TREE A RED FS"/>
        <s v="EPCCAEL DCR RBBR TREE C GRN FS"/>
        <s v="EPCCAVALLI DCR CACTUS A GRN FS"/>
        <s v="EPCCAVALLI DCR CACTUS B GRN FS"/>
        <s v="EPCCAVALLI DCR CACTUS C GRN FS"/>
        <s v="EPCCALLISTO DCR CCTUS A GRN FS"/>
        <s v="EPCCALLISTO DCR CCTUS B GRN FS"/>
        <s v="EPCCALLISTO DCR CCTUS C GRN FS"/>
        <s v="EPC CAR DCR CTUS PLNT A GRN FS"/>
        <s v="EPC CERIS DCR RBBR TREE GRN FS"/>
        <s v="EPC CURTIS DCR ORC PLNT WHT FS"/>
        <s v="EPC CARA DCR SUC PLNT C GRN FS"/>
        <s v="EPC CAR DCR CTUS PLNT C GRN FS"/>
        <s v="EPC FEVEZ METAL TABLE LAMP WHT"/>
        <s v="EPC ZURI CERAMIC TABLE LAMP CR"/>
        <s v="EPC ZURI CERAMIC TABLE LAMP GR"/>
        <s v="EPC ZION CERAMIC TABLE LAMP WH"/>
        <s v="EPC ZION CERAMIC TABLE LAMP CR"/>
        <s v="EPC ZION CERAMIC TABLE LAMP GR"/>
        <s v="EPC ZYE CERAMIC TABLE LAMP W"/>
        <s v="EPC ZYE CERAMIC TABLE LAMP C"/>
        <s v="EPC ZYE CERAMIC TABLE LAMP G"/>
        <s v="EPC ZHAQ CERAMIC TABLE LAMP C"/>
        <s v="EPC ZHAQ CERAMIC TABLE LAMP G"/>
        <s v="EPC ELF 3D ROUND TABLE CLOCK B"/>
        <s v="EPC ELF 3D ROUND TABLE CLOCK W"/>
        <s v="EPC ELF 3D ROUND TABLE CLOCK G"/>
        <s v="EPC ELF 3D TABLE CLOCK BLK M"/>
        <s v="EPC ELF 3D TABLE CLOCK WHT M"/>
        <s v="EPC ELF 3D TABLE CLOCK GRY M"/>
        <s v="EPC ESS MODERN LUM WALL CLOCK"/>
        <s v="EPC EUNICE METAL WALL CLOCK BL"/>
        <s v="EPC ESS GREY W. CLOCK WHT M"/>
        <s v="EPC ESS GREY W. CLOCK SLVR M"/>
        <s v="EPC ESS GREY W. CLOCK BLK M"/>
        <s v="EPC ESS GRIMM W. CLOCK COOL GR"/>
        <s v="EPC ESS GRIMM W. CLOCK MCHA M"/>
        <s v="EPC ESS GRIMM W. CLOCK BLK M"/>
        <s v="EPC LIZZY W. CLOCK SLVR L"/>
        <s v="EPC LABELLE W. CLOCK BLK L"/>
        <s v="EPC LABELLE W. CLOCK SILVER CH"/>
        <s v="EPC JACKLYN WALL CLOCK GRY L"/>
        <s v="EPC JACKLYN WALL CLOCK CRM L"/>
        <s v="EPC JACKLYN WALL CLOCK BLK L"/>
        <s v="EPC JACKSON WALL CLOCK GRY L"/>
        <s v="EPC JACKSON WALL CLOCK CRM L"/>
        <s v="EPC JACKSON WALL CLOCK BLK L"/>
        <s v="EPC JACKIE WALL CLOCK GRY M"/>
        <s v="EPC JACKIE WALL CLOCK CRM M"/>
        <s v="EPC JACKIE WALL CLOCK BLK M"/>
        <s v="EPC JUST FLORAL GIFTY WCLOCK W"/>
        <s v="EPC JUST LEAF GIFTY WALL CLOCK"/>
        <s v="EPC JUST SIMPLE GIFTY WALL CL"/>
        <s v="EPC JUST SIMPLE GIFTY WCLOCK"/>
        <s v="EPC JEAN STORAGE/ WALL CLOCK W"/>
        <s v="EPC YVETTE CER. VASE L WHT"/>
        <s v="EPC YVETTE CER. VASE S BLK"/>
        <s v="EPC YUSEF CER. VASE M DRK GRN"/>
        <s v="EPC YUSEF CER. VASE M ORA"/>
        <s v="EPC YNNA CER. VASE S DRK GRN"/>
        <s v="EPC YNNA CER. VASE S ORA"/>
        <s v="EPC YEISHA PLANTER L WHT"/>
        <s v="EPC DIANARA LADY T.DECOR -S TA"/>
        <s v="EPC ESS YANNA CLIP DESK LAMP W"/>
        <s v="EPC ESS YSSA BULB DESK LAMP WR"/>
        <s v="EPC ESS YSSA BULB DESK LAMP WH"/>
        <s v="EPC ZACH PSTEL SMMR PFRME 4X6"/>
        <s v="EPC ZELDA FAMILY FRAME SET OF"/>
        <s v="EPC ZINIA PSTEL SMMR PFRME 4X"/>
        <s v="EPC ZINIA PSTEL SMMR PFRME 8X1"/>
        <s v="EPC ZACH PSTEL SMMR PFRME 8X1"/>
        <s v="EPC ZELDA PSTEL SMMR PFRME 8X1"/>
        <s v="EPC LOUISE CERAMIC TABLE LAMP"/>
        <s v="EPC ZOELLA CERAMIC TABLE LAMP"/>
        <s v="EPC DARK NATALIE PHTO FRME-8X1"/>
        <s v="EPC ZOILA CERAMIC TABLE LAMP L"/>
        <s v="EPC ZOILA CERAMIC TABLE LAMP C"/>
        <s v="EPC BROOKLYN PHOTO FRAME SET O"/>
        <s v="EPC BETSY FAMILY F FRAME-4 OPE"/>
        <s v="EPC BETSY FAMILY FFRAME-4 OPEN"/>
        <s v="EPC ZENDAYA RAW LIFE PFRAME 5X"/>
        <s v="EPC BEACH MORPH PFRME 8X10 SET"/>
        <s v="EPC BEACH MORPH PFRME 5X7 SET"/>
        <s v="EPC BEACH AZTEC PFRME 4X6 SET"/>
        <s v="EPC BEACH AZTEC PFRME 5X7 SET"/>
        <s v="EPC ZEDD FAMILY FRAME - SET 4"/>
        <s v="EPC ZELDA PASTEL SMMR PFRME 5X"/>
        <s v="EPC DLXE LIA TPER CDL HLDR GRY"/>
        <s v="EPC DLXE LUNA CERAMIC VASE A"/>
        <s v="EPC DLXE LUNA CERAMIC VASE C"/>
        <s v="EPC DLXE LUNA CER VASE WHT"/>
        <s v="EPC TAYLOR DOG B TTOP DECOR GL"/>
        <s v="EPC DLX DARLA DECO CNDL TRAY L"/>
        <s v="EPC DLX DARLA DECO CNDL TRAY S"/>
        <s v="EPC BLU CERAMIC VASE MED WGRY"/>
        <s v="EPC BLU CERAMIC VASE LRG WHT"/>
        <s v="EPC BLU CERAMIC VASE MED WHT"/>
        <s v="EPC BENJ CERAMIC VASE SML GRY"/>
        <s v="EPC LOVE FLWR SQR WCLOK L PNK"/>
        <s v="EPC LOVE FLWR SQR WCLOK L CRM"/>
        <s v="EPC LOVE FLWR RND WCLOK L PNK"/>
        <s v="EPC LOVE FLWR RND WCLOK L CRM"/>
        <s v="EPC JST HOME STYL WCLOK MED GR"/>
        <s v="EPC JST HOME STYL WCLOK MED WG"/>
        <s v="EPC JST HOME STYL WCLOK MED CR"/>
        <s v="EPC JST LVE STYL WCLOK MED DPN"/>
        <s v="EPC JARI WALL CLOCK LRG WGRY"/>
        <s v="EPC JARI WALL CLOCK LRG CRM"/>
        <s v="EPC JARI WALL CLOCK MED GRN"/>
        <s v="EPC JARI WALL CLOCK MED WGRY"/>
        <s v="EPC JARI WALL CLOCK MED CRM"/>
        <s v="EPC JARI WALL CLOCK LRG GRN"/>
        <s v="EPC FARRAH SUNSET LEDTBLLAMP C"/>
        <s v="EPC ESS INC STCK CTRONELLA YEL"/>
        <s v="EPC ESS INC STCK TRP FRTS ORA"/>
        <s v="EPC ESS INC STCK CH BLOSMS PNK"/>
        <s v="EPC ESS INC STCK LMONVRBNA GRN"/>
        <s v="EPC ESS INC STCK SANDLWOOD CRM"/>
        <s v="EPC ESS INC STCK FRESHMUSK WHT"/>
        <s v="EPC ESS INC STCK LAVANDER PRP"/>
        <s v="EPC ESS INC STCK BERGAMOT BLU"/>
        <s v="EPC ESS INC STCK BAMBOO GRN"/>
        <s v="EPCD/XDRIVAMETAL TBLCLCK WHTMT"/>
        <s v="EPC BSIC MDRN PLR CNDL PUR MED"/>
        <s v="EPCJEWEL TONE PLR CNDL PUR LRG"/>
        <s v="EPCJEWEL TONE PLR CNDL PUR MED"/>
        <s v="EPCJEWEL TONE PLR CNDL PUR SML"/>
        <s v="EPCJEWEL TONE PLR CNDL GRN LRG"/>
        <s v="EPCJEWEL TONE PLR CNDL GRN SML"/>
        <s v="EPCJEWEL TONE PLR CNDL ORA MED"/>
        <s v="EPCJEWEL TONE PLR CNDL ORA SML"/>
        <s v="EPC BSIC MDRN PLR CNDL PUR LRG"/>
        <s v="EPC BSIC MDRN PLR CNDL PUR SML"/>
        <s v="EPC BSIC MDRN PLR CNDL GRN LRG"/>
        <s v="EPC BSIC MDRN PLR CNDL GRN MED"/>
        <s v="EPC BSIC MDRN PLR CNDLGRN SML"/>
        <s v="EPC BSIC MDRN PLR CNDL ORA LRG"/>
        <s v="EPC BSIC MDRN PLR CNDL ORA MED"/>
        <s v="EPC BSIC MDRN PLR CNDL ORA SML"/>
      </sharedItems>
    </cacheField>
    <cacheField name="[Range1].[STORE].[STORE]" caption="STORE" numFmtId="0" level="1">
      <sharedItems count="4">
        <s v="MHW"/>
        <s v="ALABANG"/>
        <s v="MILLER"/>
        <s v="VALENZUELA"/>
      </sharedItems>
    </cacheField>
    <cacheField name="[Range1].[DATE].[DATE]" caption="DATE" numFmtId="0" hierarchy="1" level="1">
      <sharedItems containsSemiMixedTypes="0" containsNonDate="0" containsDate="1" containsString="0" minDate="2022-07-01T00:00:00" maxDate="2022-08-01T00:00:00" count="31">
        <d v="2022-07-08T00:00:00"/>
        <d v="2022-07-15T00:00:00"/>
        <d v="2022-07-12T00:00:00"/>
        <d v="2022-07-22T00:00:00"/>
        <d v="2022-07-20T00:00:00"/>
        <d v="2022-07-17T00:00:00"/>
        <d v="2022-07-11T00:00:00"/>
        <d v="2022-07-23T00:00:00"/>
        <d v="2022-07-16T00:00:00"/>
        <d v="2022-07-29T00:00:00"/>
        <d v="2022-07-26T00:00:00"/>
        <d v="2022-07-09T00:00:00"/>
        <d v="2022-07-24T00:00:00"/>
        <d v="2022-07-01T00:00:00"/>
        <d v="2022-07-06T00:00:00"/>
        <d v="2022-07-10T00:00:00"/>
        <d v="2022-07-30T00:00:00"/>
        <d v="2022-07-02T00:00:00"/>
        <d v="2022-07-25T00:00:00"/>
        <d v="2022-07-27T00:00:00"/>
        <d v="2022-07-19T00:00:00"/>
        <d v="2022-07-14T00:00:00"/>
        <d v="2022-07-04T00:00:00"/>
        <d v="2022-07-31T00:00:00"/>
        <d v="2022-07-05T00:00:00"/>
        <d v="2022-07-18T00:00:00"/>
        <d v="2022-07-07T00:00:00"/>
        <d v="2022-07-03T00:00:00"/>
        <d v="2022-07-28T00:00:00"/>
        <d v="2022-07-13T00:00:00"/>
        <d v="2022-07-21T00:00:00"/>
      </sharedItems>
    </cacheField>
    <cacheField name="[Measures].[Sum of QTY SOLD]" caption="Sum of QTY SOLD" numFmtId="0" hierarchy="10" level="32767"/>
    <cacheField name="[Measures].[Sum of AMOUNT]" caption="Sum of AMOUNT" numFmtId="0" hierarchy="11" level="32767"/>
  </cacheFields>
  <cacheHierarchies count="15">
    <cacheHierarchy uniqueName="[Range1].[STORE]" caption="STORE" attribute="1" defaultMemberUniqueName="[Range1].[STORE].[All]" allUniqueName="[Range1].[STORE].[All]" dimensionUniqueName="[Range1]" displayFolder="" count="2" memberValueDatatype="130" unbalanced="0">
      <fieldsUsage count="2">
        <fieldUsage x="-1"/>
        <fieldUsage x="2"/>
      </fieldsUsage>
    </cacheHierarchy>
    <cacheHierarchy uniqueName="[Range1].[DATE]" caption="DATE" attribute="1" time="1" defaultMemberUniqueName="[Range1].[DATE].[All]" allUniqueName="[Range1].[DATE].[All]" dimensionUniqueName="[Range1]" displayFolder="" count="2" memberValueDatatype="7" unbalanced="0">
      <fieldsUsage count="2">
        <fieldUsage x="-1"/>
        <fieldUsage x="3"/>
      </fieldsUsage>
    </cacheHierarchy>
    <cacheHierarchy uniqueName="[Range1].[OR #]" caption="OR #" attribute="1" defaultMemberUniqueName="[Range1].[OR #].[All]" allUniqueName="[Range1].[OR #].[All]" dimensionUniqueName="[Range1]" displayFolder="" count="0" memberValueDatatype="20" unbalanced="0"/>
    <cacheHierarchy uniqueName="[Range1].[SUPPLIER]" caption="SUPPLIER" attribute="1" defaultMemberUniqueName="[Range1].[SUPPLIER].[All]" allUniqueName="[Range1].[SUPPLIER].[All]" dimensionUniqueName="[Range1]" displayFolder="" count="0" memberValueDatatype="130" unbalanced="0"/>
    <cacheHierarchy uniqueName="[Range1].[CATEGORY]" caption="CATEGORY" attribute="1" defaultMemberUniqueName="[Range1].[CATEGORY].[All]" allUniqueName="[Range1].[CATEGORY].[All]" dimensionUniqueName="[Range1]" displayFolder="" count="0" memberValueDatatype="130" unbalanced="0"/>
    <cacheHierarchy uniqueName="[Range1].[MATCODE]" caption="MATCODE" attribute="1" defaultMemberUniqueName="[Range1].[MATCODE].[All]" allUniqueName="[Range1].[MATCODE].[All]" dimensionUniqueName="[Range1]" displayFolder="" count="2" memberValueDatatype="20" unbalanced="0">
      <fieldsUsage count="2">
        <fieldUsage x="-1"/>
        <fieldUsage x="0"/>
      </fieldsUsage>
    </cacheHierarchy>
    <cacheHierarchy uniqueName="[Range1].[ITEM DESCRIPTION]" caption="ITEM DESCRIPTION" attribute="1" defaultMemberUniqueName="[Range1].[ITEM DESCRIPTION].[All]" allUniqueName="[Range1].[ITEM DESCRIPTION].[All]" dimensionUniqueName="[Range1]" displayFolder="" count="2" memberValueDatatype="130" unbalanced="0">
      <fieldsUsage count="2">
        <fieldUsage x="-1"/>
        <fieldUsage x="1"/>
      </fieldsUsage>
    </cacheHierarchy>
    <cacheHierarchy uniqueName="[Range1].[QTY SOLD]" caption="QTY SOLD" attribute="1" defaultMemberUniqueName="[Range1].[QTY SOLD].[All]" allUniqueName="[Range1].[QTY SOLD].[All]" dimensionUniqueName="[Range1]" displayFolder="" count="0" memberValueDatatype="20" unbalanced="0"/>
    <cacheHierarchy uniqueName="[Range1].[AMOUNT]" caption="AMOUNT" attribute="1" defaultMemberUniqueName="[Range1].[AMOUNT].[All]" allUniqueName="[Range1].[AMOUNT].[All]" dimensionUniqueName="[Range1]" displayFolder="" count="0" memberValueDatatype="5" unbalanced="0"/>
    <cacheHierarchy uniqueName="[Measures].[Sum of MATCODE]" caption="Sum of MATCODE" measure="1" displayFolder="" measureGroup="Range1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QTY SOLD]" caption="Sum of QTY SOLD" measure="1" displayFolder="" measureGroup="Range1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AMOUNT]" caption="Sum of AMOUNT" measure="1" displayFolder="" measureGroup="Range1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gross]" caption="gross" measure="1" displayFolder="" measureGroup="Range1" count="0"/>
    <cacheHierarchy uniqueName="[Measures].[__XL_Count Range1]" caption="__XL_Count Range1" measure="1" displayFolder="" measureGroup="Range1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Range1" uniqueName="[Range1]" caption="Range1"/>
  </dimensions>
  <measureGroups count="1">
    <measureGroup name="Range1" caption="Rang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k Anthony Illao" refreshedDate="44817.480190046299" createdVersion="6" refreshedVersion="6" minRefreshableVersion="3" recordCount="1472">
  <cacheSource type="worksheet">
    <worksheetSource ref="C1:E1048576" sheet="Data"/>
  </cacheSource>
  <cacheFields count="4">
    <cacheField name="OR #" numFmtId="0">
      <sharedItems containsString="0" containsBlank="1" containsNumber="1" containsInteger="1" minValue="7871" maxValue="74277"/>
    </cacheField>
    <cacheField name="SUPPLIER" numFmtId="0">
      <sharedItems containsBlank="1"/>
    </cacheField>
    <cacheField name="CATEGORY" numFmtId="0">
      <sharedItems containsBlank="1"/>
    </cacheField>
    <cacheField name="Gross Price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72">
  <r>
    <n v="61959"/>
    <s v="EVERYDAY PRODUCTS"/>
    <s v="S-ACCESSORIES &amp; DECORS"/>
  </r>
  <r>
    <n v="61970"/>
    <s v="EVERYDAY PRODUCTS"/>
    <s v="S-ACCESSORIES &amp; DECORS"/>
  </r>
  <r>
    <n v="61970"/>
    <s v="EVERYDAY PRODUCTS"/>
    <s v="S-ACCESSORIES &amp; DECORS"/>
  </r>
  <r>
    <n v="69011"/>
    <s v="EVERYDAY PRODUCTS"/>
    <s v="S-ACCESSORIES &amp; DECORS"/>
  </r>
  <r>
    <n v="69024"/>
    <s v="EVERYDAY PRODUCTS"/>
    <s v="S-ACCESSORIES &amp; DECORS"/>
  </r>
  <r>
    <n v="69024"/>
    <s v="EVERYDAY PRODUCTS"/>
    <s v="S-ACCESSORIES &amp; DECORS"/>
  </r>
  <r>
    <n v="69183"/>
    <s v="EVERYDAY PRODUCTS"/>
    <s v="S-ACCESSORIES &amp; DECORS"/>
  </r>
  <r>
    <n v="69183"/>
    <s v="EVERYDAY PRODUCTS"/>
    <s v="S-ACCESSORIES &amp; DECORS"/>
  </r>
  <r>
    <n v="69183"/>
    <s v="EVERYDAY PRODUCTS"/>
    <s v="S-ACCESSORIES &amp; DECORS"/>
  </r>
  <r>
    <n v="70717"/>
    <s v="EVERYDAY PRODUCTS"/>
    <s v="S-ACCESSORIES &amp; DECORS"/>
  </r>
  <r>
    <n v="69215"/>
    <s v="EVERYDAY PRODUCTS"/>
    <s v="S-ACCESSORIES &amp; DECORS"/>
  </r>
  <r>
    <n v="52648"/>
    <s v="EVERYDAY PRODUCTS"/>
    <s v="S-ACCESSORIES &amp; DECORS"/>
  </r>
  <r>
    <n v="61990"/>
    <s v="EVERYDAY PRODUCTS"/>
    <s v="S-ACCESSORIES &amp; DECORS"/>
  </r>
  <r>
    <n v="61995"/>
    <s v="EVERYDAY PRODUCTS"/>
    <s v="S-ACCESSORIES &amp; DECORS"/>
  </r>
  <r>
    <n v="62015"/>
    <s v="EVERYDAY PRODUCTS"/>
    <s v="S-ACCESSORIES &amp; DECORS"/>
  </r>
  <r>
    <n v="62015"/>
    <s v="EVERYDAY PRODUCTS"/>
    <s v="S-ACCESSORIES &amp; DECORS"/>
  </r>
  <r>
    <n v="62015"/>
    <s v="EVERYDAY PRODUCTS"/>
    <s v="S-ACCESSORIES &amp; DECORS"/>
  </r>
  <r>
    <n v="69071"/>
    <s v="EVERYDAY PRODUCTS"/>
    <s v="S-ACCESSORIES &amp; DECORS"/>
  </r>
  <r>
    <n v="69206"/>
    <s v="EVERYDAY PRODUCTS"/>
    <s v="S-ACCESSORIES &amp; DECORS"/>
  </r>
  <r>
    <n v="69225"/>
    <s v="EVERYDAY PRODUCTS"/>
    <s v="S-ACCESSORIES &amp; DECORS"/>
  </r>
  <r>
    <n v="70746"/>
    <s v="EVERYDAY PRODUCTS"/>
    <s v="S-ACCESSORIES &amp; DECORS"/>
  </r>
  <r>
    <n v="70774"/>
    <s v="EVERYDAY PRODUCTS"/>
    <s v="S-ACCESSORIES &amp; DECORS"/>
  </r>
  <r>
    <n v="62044"/>
    <s v="EVERYDAY PRODUCTS"/>
    <s v="S-ACCESSORIES &amp; DECORS"/>
  </r>
  <r>
    <n v="62044"/>
    <s v="EVERYDAY PRODUCTS"/>
    <s v="S-ACCESSORIES &amp; DECORS"/>
  </r>
  <r>
    <n v="62044"/>
    <s v="EVERYDAY PRODUCTS"/>
    <s v="S-ACCESSORIES &amp; DECORS"/>
  </r>
  <r>
    <n v="62053"/>
    <s v="EVERYDAY PRODUCTS"/>
    <s v="S-ACCESSORIES &amp; DECORS"/>
  </r>
  <r>
    <n v="70798"/>
    <s v="EVERYDAY PRODUCTS"/>
    <s v="S-ACCESSORIES &amp; DECORS"/>
  </r>
  <r>
    <n v="70804"/>
    <s v="EVERYDAY PRODUCTS"/>
    <s v="S-ACCESSORIES &amp; DECORS"/>
  </r>
  <r>
    <n v="70807"/>
    <s v="EVERYDAY PRODUCTS"/>
    <s v="S-ACCESSORIES &amp; DECORS"/>
  </r>
  <r>
    <n v="70807"/>
    <s v="EVERYDAY PRODUCTS"/>
    <s v="S-ACCESSORIES &amp; DECORS"/>
  </r>
  <r>
    <n v="70807"/>
    <s v="EVERYDAY PRODUCTS"/>
    <s v="S-ACCESSORIES &amp; DECORS"/>
  </r>
  <r>
    <n v="70807"/>
    <s v="EVERYDAY PRODUCTS"/>
    <s v="S-ACCESSORIES &amp; DECORS"/>
  </r>
  <r>
    <n v="70807"/>
    <s v="EVERYDAY PRODUCTS"/>
    <s v="S-ACCESSORIES &amp; DECORS"/>
  </r>
  <r>
    <n v="70807"/>
    <s v="EVERYDAY PRODUCTS"/>
    <s v="S-ACCESSORIES &amp; DECORS"/>
  </r>
  <r>
    <n v="70807"/>
    <s v="EVERYDAY PRODUCTS"/>
    <s v="S-ACCESSORIES &amp; DECORS"/>
  </r>
  <r>
    <n v="70813"/>
    <s v="EVERYDAY PRODUCTS"/>
    <s v="S-ACCESSORIES &amp; DECORS"/>
  </r>
  <r>
    <n v="70813"/>
    <s v="EVERYDAY PRODUCTS"/>
    <s v="S-ACCESSORIES &amp; DECORS"/>
  </r>
  <r>
    <n v="70813"/>
    <s v="EVERYDAY PRODUCTS"/>
    <s v="S-ACCESSORIES &amp; DECORS"/>
  </r>
  <r>
    <n v="52708"/>
    <s v="EVERYDAY PRODUCTS"/>
    <s v="S-ACCESSORIES &amp; DECORS"/>
  </r>
  <r>
    <n v="69249"/>
    <s v="EVERYDAY PRODUCTS"/>
    <s v="S-ACCESSORIES &amp; DECORS"/>
  </r>
  <r>
    <n v="69249"/>
    <s v="EVERYDAY PRODUCTS"/>
    <s v="S-ACCESSORIES &amp; DECORS"/>
  </r>
  <r>
    <n v="69249"/>
    <s v="EVERYDAY PRODUCTS"/>
    <s v="S-ACCESSORIES &amp; DECORS"/>
  </r>
  <r>
    <n v="70838"/>
    <s v="EVERYDAY PRODUCTS"/>
    <s v="S-ACCESSORIES &amp; DECORS"/>
  </r>
  <r>
    <n v="70838"/>
    <s v="EVERYDAY PRODUCTS"/>
    <s v="S-ACCESSORIES &amp; DECORS"/>
  </r>
  <r>
    <n v="70915"/>
    <s v="EVERYDAY PRODUCTS"/>
    <s v="S-ACCESSORIES &amp; DECORS"/>
  </r>
  <r>
    <n v="52770"/>
    <s v="EVERYDAY PRODUCTS"/>
    <s v="S-ACCESSORIES &amp; DECORS"/>
  </r>
  <r>
    <n v="52770"/>
    <s v="EVERYDAY PRODUCTS"/>
    <s v="S-ACCESSORIES &amp; DECORS"/>
  </r>
  <r>
    <n v="52770"/>
    <s v="EVERYDAY PRODUCTS"/>
    <s v="S-ACCESSORIES &amp; DECORS"/>
  </r>
  <r>
    <n v="52770"/>
    <s v="EVERYDAY PRODUCTS"/>
    <s v="S-ACCESSORIES &amp; DECORS"/>
  </r>
  <r>
    <n v="52770"/>
    <s v="EVERYDAY PRODUCTS"/>
    <s v="S-ACCESSORIES &amp; DECORS"/>
  </r>
  <r>
    <n v="69273"/>
    <s v="EVERYDAY PRODUCTS"/>
    <s v="S-ACCESSORIES &amp; DECORS"/>
  </r>
  <r>
    <n v="69273"/>
    <s v="EVERYDAY PRODUCTS"/>
    <s v="S-ACCESSORIES &amp; DECORS"/>
  </r>
  <r>
    <n v="69296"/>
    <s v="EVERYDAY PRODUCTS"/>
    <s v="S-ACCESSORIES &amp; DECORS"/>
  </r>
  <r>
    <n v="69296"/>
    <s v="EVERYDAY PRODUCTS"/>
    <s v="S-ACCESSORIES &amp; DECORS"/>
  </r>
  <r>
    <n v="70888"/>
    <s v="EVERYDAY PRODUCTS"/>
    <s v="S-ACCESSORIES &amp; DECORS"/>
  </r>
  <r>
    <n v="70888"/>
    <s v="EVERYDAY PRODUCTS"/>
    <s v="S-ACCESSORIES &amp; DECORS"/>
  </r>
  <r>
    <n v="62123"/>
    <s v="EVERYDAY PRODUCTS"/>
    <s v="S-ACCESSORIES &amp; DECORS"/>
  </r>
  <r>
    <n v="69119"/>
    <s v="EVERYDAY PRODUCTS"/>
    <s v="S-ACCESSORIES &amp; DECORS"/>
  </r>
  <r>
    <n v="69363"/>
    <s v="EVERYDAY PRODUCTS"/>
    <s v="S-ACCESSORIES &amp; DECORS"/>
  </r>
  <r>
    <n v="62126"/>
    <s v="EVERYDAY PRODUCTS"/>
    <s v="S-ACCESSORIES &amp; DECORS"/>
  </r>
  <r>
    <n v="70976"/>
    <s v="EVERYDAY PRODUCTS"/>
    <s v="S-ACCESSORIES &amp; DECORS"/>
  </r>
  <r>
    <n v="52829"/>
    <s v="EVERYDAY PRODUCTS"/>
    <s v="S-ACCESSORIES &amp; DECORS"/>
  </r>
  <r>
    <n v="52829"/>
    <s v="EVERYDAY PRODUCTS"/>
    <s v="S-ACCESSORIES &amp; DECORS"/>
  </r>
  <r>
    <n v="52829"/>
    <s v="EVERYDAY PRODUCTS"/>
    <s v="S-ACCESSORIES &amp; DECORS"/>
  </r>
  <r>
    <n v="62173"/>
    <s v="EVERYDAY PRODUCTS"/>
    <s v="S-ACCESSORIES &amp; DECORS"/>
  </r>
  <r>
    <n v="69381"/>
    <s v="EVERYDAY PRODUCTS"/>
    <s v="S-ACCESSORIES &amp; DECORS"/>
  </r>
  <r>
    <n v="69226"/>
    <s v="EVERYDAY PRODUCTS"/>
    <s v="S-ACCESSORIES &amp; DECORS"/>
  </r>
  <r>
    <n v="69226"/>
    <s v="EVERYDAY PRODUCTS"/>
    <s v="S-ACCESSORIES &amp; DECORS"/>
  </r>
  <r>
    <n v="62213"/>
    <s v="EVERYDAY PRODUCTS"/>
    <s v="S-ACCESSORIES &amp; DECORS"/>
  </r>
  <r>
    <n v="62221"/>
    <s v="EVERYDAY PRODUCTS"/>
    <s v="S-ACCESSORIES &amp; DECORS"/>
  </r>
  <r>
    <n v="62221"/>
    <s v="EVERYDAY PRODUCTS"/>
    <s v="S-ACCESSORIES &amp; DECORS"/>
  </r>
  <r>
    <n v="69211"/>
    <s v="EVERYDAY PRODUCTS"/>
    <s v="S-ACCESSORIES &amp; DECORS"/>
  </r>
  <r>
    <n v="69211"/>
    <s v="EVERYDAY PRODUCTS"/>
    <s v="S-ACCESSORIES &amp; DECORS"/>
  </r>
  <r>
    <n v="69227"/>
    <s v="EVERYDAY PRODUCTS"/>
    <s v="S-ACCESSORIES &amp; DECORS"/>
  </r>
  <r>
    <n v="52900"/>
    <s v="EVERYDAY PRODUCTS"/>
    <s v="S-ACCESSORIES &amp; DECORS"/>
  </r>
  <r>
    <n v="52900"/>
    <s v="EVERYDAY PRODUCTS"/>
    <s v="S-ACCESSORIES &amp; DECORS"/>
  </r>
  <r>
    <n v="52894"/>
    <s v="EVERYDAY PRODUCTS"/>
    <s v="S-ACCESSORIES &amp; DECORS"/>
  </r>
  <r>
    <n v="62240"/>
    <s v="EVERYDAY PRODUCTS"/>
    <s v="S-ACCESSORIES &amp; DECORS"/>
  </r>
  <r>
    <n v="62243"/>
    <s v="EVERYDAY PRODUCTS"/>
    <s v="S-ACCESSORIES &amp; DECORS"/>
  </r>
  <r>
    <n v="62243"/>
    <s v="EVERYDAY PRODUCTS"/>
    <s v="S-ACCESSORIES &amp; DECORS"/>
  </r>
  <r>
    <n v="62272"/>
    <s v="EVERYDAY PRODUCTS"/>
    <s v="S-ACCESSORIES &amp; DECORS"/>
  </r>
  <r>
    <n v="69255"/>
    <s v="EVERYDAY PRODUCTS"/>
    <s v="S-ACCESSORIES &amp; DECORS"/>
  </r>
  <r>
    <n v="69255"/>
    <s v="EVERYDAY PRODUCTS"/>
    <s v="S-ACCESSORIES &amp; DECORS"/>
  </r>
  <r>
    <n v="69255"/>
    <s v="EVERYDAY PRODUCTS"/>
    <s v="S-ACCESSORIES &amp; DECORS"/>
  </r>
  <r>
    <n v="69265"/>
    <s v="EVERYDAY PRODUCTS"/>
    <s v="S-ACCESSORIES &amp; DECORS"/>
  </r>
  <r>
    <n v="71041"/>
    <s v="EVERYDAY PRODUCTS"/>
    <s v="S-ACCESSORIES &amp; DECORS"/>
  </r>
  <r>
    <n v="69307"/>
    <s v="EVERYDAY PRODUCTS"/>
    <s v="S-ACCESSORIES &amp; DECORS"/>
  </r>
  <r>
    <n v="69458"/>
    <s v="EVERYDAY PRODUCTS"/>
    <s v="S-ACCESSORIES &amp; DECORS"/>
  </r>
  <r>
    <n v="52918"/>
    <s v="EVERYDAY PRODUCTS"/>
    <s v="S-ACCESSORIES &amp; DECORS"/>
  </r>
  <r>
    <n v="62279"/>
    <s v="EVERYDAY PRODUCTS"/>
    <s v="S-ACCESSORIES &amp; DECORS"/>
  </r>
  <r>
    <n v="69273"/>
    <s v="EVERYDAY PRODUCTS"/>
    <s v="S-ACCESSORIES &amp; DECORS"/>
  </r>
  <r>
    <n v="69273"/>
    <s v="EVERYDAY PRODUCTS"/>
    <s v="S-ACCESSORIES &amp; DECORS"/>
  </r>
  <r>
    <n v="69303"/>
    <s v="EVERYDAY PRODUCTS"/>
    <s v="S-ACCESSORIES &amp; DECORS"/>
  </r>
  <r>
    <n v="69303"/>
    <s v="EVERYDAY PRODUCTS"/>
    <s v="S-ACCESSORIES &amp; DECORS"/>
  </r>
  <r>
    <n v="69304"/>
    <s v="EVERYDAY PRODUCTS"/>
    <s v="S-ACCESSORIES &amp; DECORS"/>
  </r>
  <r>
    <n v="69307"/>
    <s v="EVERYDAY PRODUCTS"/>
    <s v="S-ACCESSORIES &amp; DECORS"/>
  </r>
  <r>
    <n v="69307"/>
    <s v="EVERYDAY PRODUCTS"/>
    <s v="S-ACCESSORIES &amp; DECORS"/>
  </r>
  <r>
    <n v="69321"/>
    <s v="EVERYDAY PRODUCTS"/>
    <s v="S-ACCESSORIES &amp; DECORS"/>
  </r>
  <r>
    <n v="69533"/>
    <s v="EVERYDAY PRODUCTS"/>
    <s v="S-ACCESSORIES &amp; DECORS"/>
  </r>
  <r>
    <n v="71129"/>
    <s v="EVERYDAY PRODUCTS"/>
    <s v="S-ACCESSORIES &amp; DECORS"/>
  </r>
  <r>
    <n v="71129"/>
    <s v="EVERYDAY PRODUCTS"/>
    <s v="S-ACCESSORIES &amp; DECORS"/>
  </r>
  <r>
    <n v="71129"/>
    <s v="EVERYDAY PRODUCTS"/>
    <s v="S-ACCESSORIES &amp; DECORS"/>
  </r>
  <r>
    <n v="71129"/>
    <s v="EVERYDAY PRODUCTS"/>
    <s v="S-ACCESSORIES &amp; DECORS"/>
  </r>
  <r>
    <n v="71139"/>
    <s v="EVERYDAY PRODUCTS"/>
    <s v="S-ACCESSORIES &amp; DECORS"/>
  </r>
  <r>
    <n v="71139"/>
    <s v="EVERYDAY PRODUCTS"/>
    <s v="S-ACCESSORIES &amp; DECORS"/>
  </r>
  <r>
    <n v="52959"/>
    <s v="EVERYDAY PRODUCTS"/>
    <s v="S-ACCESSORIES &amp; DECORS"/>
  </r>
  <r>
    <n v="52959"/>
    <s v="EVERYDAY PRODUCTS"/>
    <s v="S-ACCESSORIES &amp; DECORS"/>
  </r>
  <r>
    <n v="71166"/>
    <s v="EVERYDAY PRODUCTS"/>
    <s v="S-ACCESSORIES &amp; DECORS"/>
  </r>
  <r>
    <n v="71184"/>
    <s v="EVERYDAY PRODUCTS"/>
    <s v="S-ACCESSORIES &amp; DECORS"/>
  </r>
  <r>
    <n v="71184"/>
    <s v="EVERYDAY PRODUCTS"/>
    <s v="S-ACCESSORIES &amp; DECORS"/>
  </r>
  <r>
    <n v="69559"/>
    <s v="EVERYDAY PRODUCTS"/>
    <s v="S-ACCESSORIES &amp; DECORS"/>
  </r>
  <r>
    <n v="69568"/>
    <s v="EVERYDAY PRODUCTS"/>
    <s v="S-ACCESSORIES &amp; DECORS"/>
  </r>
  <r>
    <n v="71166"/>
    <s v="EVERYDAY PRODUCTS"/>
    <s v="S-ACCESSORIES &amp; DECORS"/>
  </r>
  <r>
    <n v="71241"/>
    <s v="EVERYDAY PRODUCTS"/>
    <s v="S-ACCESSORIES &amp; DECORS"/>
  </r>
  <r>
    <n v="71241"/>
    <s v="EVERYDAY PRODUCTS"/>
    <s v="S-ACCESSORIES &amp; DECORS"/>
  </r>
  <r>
    <n v="69623"/>
    <s v="EVERYDAY PRODUCTS"/>
    <s v="S-ACCESSORIES &amp; DECORS"/>
  </r>
  <r>
    <n v="69479"/>
    <s v="EVERYDAY PRODUCTS"/>
    <s v="S-ACCESSORIES &amp; DECORS"/>
  </r>
  <r>
    <n v="69479"/>
    <s v="EVERYDAY PRODUCTS"/>
    <s v="S-ACCESSORIES &amp; DECORS"/>
  </r>
  <r>
    <n v="69621"/>
    <s v="EVERYDAY PRODUCTS"/>
    <s v="S-ACCESSORIES &amp; DECORS"/>
  </r>
  <r>
    <n v="69621"/>
    <s v="EVERYDAY PRODUCTS"/>
    <s v="S-ACCESSORIES &amp; DECORS"/>
  </r>
  <r>
    <n v="69623"/>
    <s v="EVERYDAY PRODUCTS"/>
    <s v="S-ACCESSORIES &amp; DECORS"/>
  </r>
  <r>
    <n v="71221"/>
    <s v="EVERYDAY PRODUCTS"/>
    <s v="S-ACCESSORIES &amp; DECORS"/>
  </r>
  <r>
    <n v="71221"/>
    <s v="EVERYDAY PRODUCTS"/>
    <s v="S-ACCESSORIES &amp; DECORS"/>
  </r>
  <r>
    <n v="71221"/>
    <s v="EVERYDAY PRODUCTS"/>
    <s v="S-ACCESSORIES &amp; DECORS"/>
  </r>
  <r>
    <n v="71241"/>
    <s v="EVERYDAY PRODUCTS"/>
    <s v="S-ACCESSORIES &amp; DECORS"/>
  </r>
  <r>
    <n v="71241"/>
    <s v="EVERYDAY PRODUCTS"/>
    <s v="S-ACCESSORIES &amp; DECORS"/>
  </r>
  <r>
    <n v="71241"/>
    <s v="EVERYDAY PRODUCTS"/>
    <s v="S-ACCESSORIES &amp; DECORS"/>
  </r>
  <r>
    <n v="71241"/>
    <s v="EVERYDAY PRODUCTS"/>
    <s v="S-ACCESSORIES &amp; DECORS"/>
  </r>
  <r>
    <n v="71241"/>
    <s v="EVERYDAY PRODUCTS"/>
    <s v="S-ACCESSORIES &amp; DECORS"/>
  </r>
  <r>
    <n v="71241"/>
    <s v="EVERYDAY PRODUCTS"/>
    <s v="S-ACCESSORIES &amp; DECORS"/>
  </r>
  <r>
    <n v="71241"/>
    <s v="EVERYDAY PRODUCTS"/>
    <s v="S-ACCESSORIES &amp; DECORS"/>
  </r>
  <r>
    <n v="71241"/>
    <s v="EVERYDAY PRODUCTS"/>
    <s v="S-ACCESSORIES &amp; DECORS"/>
  </r>
  <r>
    <n v="62345"/>
    <s v="EVERYDAY PRODUCTS"/>
    <s v="S-ACCESSORIES &amp; DECORS"/>
  </r>
  <r>
    <n v="62345"/>
    <s v="EVERYDAY PRODUCTS"/>
    <s v="S-ACCESSORIES &amp; DECORS"/>
  </r>
  <r>
    <n v="62345"/>
    <s v="EVERYDAY PRODUCTS"/>
    <s v="S-ACCESSORIES &amp; DECORS"/>
  </r>
  <r>
    <n v="62345"/>
    <s v="EVERYDAY PRODUCTS"/>
    <s v="S-ACCESSORIES &amp; DECORS"/>
  </r>
  <r>
    <n v="62345"/>
    <s v="EVERYDAY PRODUCTS"/>
    <s v="S-ACCESSORIES &amp; DECORS"/>
  </r>
  <r>
    <n v="62345"/>
    <s v="EVERYDAY PRODUCTS"/>
    <s v="S-ACCESSORIES &amp; DECORS"/>
  </r>
  <r>
    <n v="62355"/>
    <s v="EVERYDAY PRODUCTS"/>
    <s v="S-ACCESSORIES &amp; DECORS"/>
  </r>
  <r>
    <n v="69493"/>
    <s v="EVERYDAY PRODUCTS"/>
    <s v="S-ACCESSORIES &amp; DECORS"/>
  </r>
  <r>
    <n v="71271"/>
    <s v="EVERYDAY PRODUCTS"/>
    <s v="S-ACCESSORIES &amp; DECORS"/>
  </r>
  <r>
    <n v="71275"/>
    <s v="EVERYDAY PRODUCTS"/>
    <s v="S-ACCESSORIES &amp; DECORS"/>
  </r>
  <r>
    <n v="71275"/>
    <s v="EVERYDAY PRODUCTS"/>
    <s v="S-ACCESSORIES &amp; DECORS"/>
  </r>
  <r>
    <n v="62377"/>
    <s v="EVERYDAY PRODUCTS"/>
    <s v="S-ACCESSORIES &amp; DECORS"/>
  </r>
  <r>
    <n v="62377"/>
    <s v="EVERYDAY PRODUCTS"/>
    <s v="S-ACCESSORIES &amp; DECORS"/>
  </r>
  <r>
    <n v="71327"/>
    <s v="EVERYDAY PRODUCTS"/>
    <s v="S-ACCESSORIES &amp; DECORS"/>
  </r>
  <r>
    <n v="53102"/>
    <s v="EVERYDAY PRODUCTS"/>
    <s v="S-ACCESSORIES &amp; DECORS"/>
  </r>
  <r>
    <n v="62391"/>
    <s v="EVERYDAY PRODUCTS"/>
    <s v="S-ACCESSORIES &amp; DECORS"/>
  </r>
  <r>
    <n v="62391"/>
    <s v="EVERYDAY PRODUCTS"/>
    <s v="S-ACCESSORIES &amp; DECORS"/>
  </r>
  <r>
    <n v="71316"/>
    <s v="EVERYDAY PRODUCTS"/>
    <s v="S-ACCESSORIES &amp; DECORS"/>
  </r>
  <r>
    <n v="71327"/>
    <s v="EVERYDAY PRODUCTS"/>
    <s v="S-ACCESSORIES &amp; DECORS"/>
  </r>
  <r>
    <n v="69692"/>
    <s v="EVERYDAY PRODUCTS"/>
    <s v="S-ACCESSORIES &amp; DECORS"/>
  </r>
  <r>
    <n v="53155"/>
    <s v="EVERYDAY PRODUCTS"/>
    <s v="S-ACCESSORIES &amp; DECORS"/>
  </r>
  <r>
    <n v="53155"/>
    <s v="EVERYDAY PRODUCTS"/>
    <s v="S-ACCESSORIES &amp; DECORS"/>
  </r>
  <r>
    <n v="69693"/>
    <s v="EVERYDAY PRODUCTS"/>
    <s v="S-ACCESSORIES &amp; DECORS"/>
  </r>
  <r>
    <n v="71373"/>
    <s v="EVERYDAY PRODUCTS"/>
    <s v="S-ACCESSORIES &amp; DECORS"/>
  </r>
  <r>
    <n v="71373"/>
    <s v="EVERYDAY PRODUCTS"/>
    <s v="S-ACCESSORIES &amp; DECORS"/>
  </r>
  <r>
    <n v="53158"/>
    <s v="EVERYDAY PRODUCTS"/>
    <s v="S-ACCESSORIES &amp; DECORS"/>
  </r>
  <r>
    <n v="62465"/>
    <s v="EVERYDAY PRODUCTS"/>
    <s v="S-ACCESSORIES &amp; DECORS"/>
  </r>
  <r>
    <n v="69605"/>
    <s v="EVERYDAY PRODUCTS"/>
    <s v="S-ACCESSORIES &amp; DECORS"/>
  </r>
  <r>
    <n v="69632"/>
    <s v="EVERYDAY PRODUCTS"/>
    <s v="S-ACCESSORIES &amp; DECORS"/>
  </r>
  <r>
    <n v="69743"/>
    <s v="EVERYDAY PRODUCTS"/>
    <s v="S-ACCESSORIES &amp; DECORS"/>
  </r>
  <r>
    <n v="69743"/>
    <s v="EVERYDAY PRODUCTS"/>
    <s v="S-ACCESSORIES &amp; DECORS"/>
  </r>
  <r>
    <n v="71475"/>
    <s v="EVERYDAY PRODUCTS"/>
    <s v="S-ACCESSORIES &amp; DECORS"/>
  </r>
  <r>
    <n v="71475"/>
    <s v="EVERYDAY PRODUCTS"/>
    <s v="S-ACCESSORIES &amp; DECORS"/>
  </r>
  <r>
    <n v="71475"/>
    <s v="EVERYDAY PRODUCTS"/>
    <s v="S-ACCESSORIES &amp; DECORS"/>
  </r>
  <r>
    <n v="71475"/>
    <s v="EVERYDAY PRODUCTS"/>
    <s v="S-ACCESSORIES &amp; DECORS"/>
  </r>
  <r>
    <n v="71475"/>
    <s v="EVERYDAY PRODUCTS"/>
    <s v="S-ACCESSORIES &amp; DECORS"/>
  </r>
  <r>
    <n v="53221"/>
    <s v="EVERYDAY PRODUCTS"/>
    <s v="S-ACCESSORIES &amp; DECORS"/>
  </r>
  <r>
    <n v="62516"/>
    <s v="EVERYDAY PRODUCTS"/>
    <s v="S-ACCESSORIES &amp; DECORS"/>
  </r>
  <r>
    <n v="69656"/>
    <s v="EVERYDAY PRODUCTS"/>
    <s v="S-ACCESSORIES &amp; DECORS"/>
  </r>
  <r>
    <n v="69656"/>
    <s v="EVERYDAY PRODUCTS"/>
    <s v="S-ACCESSORIES &amp; DECORS"/>
  </r>
  <r>
    <n v="69672"/>
    <s v="EVERYDAY PRODUCTS"/>
    <s v="S-ACCESSORIES &amp; DECORS"/>
  </r>
  <r>
    <n v="53251"/>
    <s v="EVERYDAY PRODUCTS"/>
    <s v="S-ACCESSORIES &amp; DECORS"/>
  </r>
  <r>
    <n v="53251"/>
    <s v="EVERYDAY PRODUCTS"/>
    <s v="S-ACCESSORIES &amp; DECORS"/>
  </r>
  <r>
    <n v="53251"/>
    <s v="EVERYDAY PRODUCTS"/>
    <s v="S-ACCESSORIES &amp; DECORS"/>
  </r>
  <r>
    <n v="53251"/>
    <s v="EVERYDAY PRODUCTS"/>
    <s v="S-ACCESSORIES &amp; DECORS"/>
  </r>
  <r>
    <n v="62563"/>
    <s v="EVERYDAY PRODUCTS"/>
    <s v="S-ACCESSORIES &amp; DECORS"/>
  </r>
  <r>
    <n v="69791"/>
    <s v="EVERYDAY PRODUCTS"/>
    <s v="S-ACCESSORIES &amp; DECORS"/>
  </r>
  <r>
    <n v="71494"/>
    <s v="EVERYDAY PRODUCTS"/>
    <s v="S-ACCESSORIES &amp; DECORS"/>
  </r>
  <r>
    <n v="71494"/>
    <s v="EVERYDAY PRODUCTS"/>
    <s v="S-ACCESSORIES &amp; DECORS"/>
  </r>
  <r>
    <n v="69721"/>
    <s v="EVERYDAY PRODUCTS"/>
    <s v="S-ACCESSORIES &amp; DECORS"/>
  </r>
  <r>
    <n v="69722"/>
    <s v="EVERYDAY PRODUCTS"/>
    <s v="S-ACCESSORIES &amp; DECORS"/>
  </r>
  <r>
    <n v="69735"/>
    <s v="EVERYDAY PRODUCTS"/>
    <s v="S-ACCESSORIES &amp; DECORS"/>
  </r>
  <r>
    <n v="69800"/>
    <s v="EVERYDAY PRODUCTS"/>
    <s v="S-ACCESSORIES &amp; DECORS"/>
  </r>
  <r>
    <n v="69817"/>
    <s v="EVERYDAY PRODUCTS"/>
    <s v="S-ACCESSORIES &amp; DECORS"/>
  </r>
  <r>
    <n v="71520"/>
    <s v="EVERYDAY PRODUCTS"/>
    <s v="S-ACCESSORIES &amp; DECORS"/>
  </r>
  <r>
    <n v="71524"/>
    <s v="EVERYDAY PRODUCTS"/>
    <s v="S-ACCESSORIES &amp; DECORS"/>
  </r>
  <r>
    <n v="71524"/>
    <s v="EVERYDAY PRODUCTS"/>
    <s v="S-ACCESSORIES &amp; DECORS"/>
  </r>
  <r>
    <n v="71530"/>
    <s v="EVERYDAY PRODUCTS"/>
    <s v="S-ACCESSORIES &amp; DECORS"/>
  </r>
  <r>
    <n v="71540"/>
    <s v="EVERYDAY PRODUCTS"/>
    <s v="S-ACCESSORIES &amp; DECORS"/>
  </r>
  <r>
    <n v="69843"/>
    <s v="EVERYDAY PRODUCTS"/>
    <s v="S-ACCESSORIES &amp; DECORS"/>
  </r>
  <r>
    <n v="69783"/>
    <s v="EVERYDAY PRODUCTS"/>
    <s v="S-ACCESSORIES &amp; DECORS"/>
  </r>
  <r>
    <n v="53337"/>
    <s v="EVERYDAY PRODUCTS"/>
    <s v="S-ACCESSORIES &amp; DECORS"/>
  </r>
  <r>
    <n v="53337"/>
    <s v="EVERYDAY PRODUCTS"/>
    <s v="S-ACCESSORIES &amp; DECORS"/>
  </r>
  <r>
    <n v="71555"/>
    <s v="EVERYDAY PRODUCTS"/>
    <s v="S-ACCESSORIES &amp; DECORS"/>
  </r>
  <r>
    <n v="69753"/>
    <s v="EVERYDAY PRODUCTS"/>
    <s v="S-ACCESSORIES &amp; DECORS"/>
  </r>
  <r>
    <n v="69753"/>
    <s v="EVERYDAY PRODUCTS"/>
    <s v="S-ACCESSORIES &amp; DECORS"/>
  </r>
  <r>
    <n v="71555"/>
    <s v="EVERYDAY PRODUCTS"/>
    <s v="S-ACCESSORIES &amp; DECORS"/>
  </r>
  <r>
    <n v="53330"/>
    <s v="EVERYDAY PRODUCTS"/>
    <s v="S-ACCESSORIES &amp; DECORS"/>
  </r>
  <r>
    <n v="53337"/>
    <s v="EVERYDAY PRODUCTS"/>
    <s v="S-ACCESSORIES &amp; DECORS"/>
  </r>
  <r>
    <n v="53337"/>
    <s v="EVERYDAY PRODUCTS"/>
    <s v="S-ACCESSORIES &amp; DECORS"/>
  </r>
  <r>
    <n v="53337"/>
    <s v="EVERYDAY PRODUCTS"/>
    <s v="S-ACCESSORIES &amp; DECORS"/>
  </r>
  <r>
    <n v="53351"/>
    <s v="EVERYDAY PRODUCTS"/>
    <s v="S-ACCESSORIES &amp; DECORS"/>
  </r>
  <r>
    <n v="69770"/>
    <s v="EVERYDAY PRODUCTS"/>
    <s v="S-ACCESSORIES &amp; DECORS"/>
  </r>
  <r>
    <n v="53371"/>
    <s v="EVERYDAY PRODUCTS"/>
    <s v="S-ACCESSORIES &amp; DECORS"/>
  </r>
  <r>
    <n v="69799"/>
    <s v="EVERYDAY PRODUCTS"/>
    <s v="S-ACCESSORIES &amp; DECORS"/>
  </r>
  <r>
    <n v="69799"/>
    <s v="EVERYDAY PRODUCTS"/>
    <s v="S-ACCESSORIES &amp; DECORS"/>
  </r>
  <r>
    <n v="69799"/>
    <s v="EVERYDAY PRODUCTS"/>
    <s v="S-ACCESSORIES &amp; DECORS"/>
  </r>
  <r>
    <n v="69884"/>
    <s v="EVERYDAY PRODUCTS"/>
    <s v="S-ACCESSORIES &amp; DECORS"/>
  </r>
  <r>
    <n v="71611"/>
    <s v="EVERYDAY PRODUCTS"/>
    <s v="S-ACCESSORIES &amp; DECORS"/>
  </r>
  <r>
    <n v="69897"/>
    <s v="EVERYDAY PRODUCTS"/>
    <s v="S-ACCESSORIES &amp; DECORS"/>
  </r>
  <r>
    <n v="69897"/>
    <s v="EVERYDAY PRODUCTS"/>
    <s v="S-ACCESSORIES &amp; DECORS"/>
  </r>
  <r>
    <n v="62642"/>
    <s v="EVERYDAY PRODUCTS"/>
    <s v="S-ACCESSORIES &amp; DECORS"/>
  </r>
  <r>
    <n v="62660"/>
    <s v="EVERYDAY PRODUCTS"/>
    <s v="S-ACCESSORIES &amp; DECORS"/>
  </r>
  <r>
    <n v="69891"/>
    <s v="EVERYDAY PRODUCTS"/>
    <s v="S-ACCESSORIES &amp; DECORS"/>
  </r>
  <r>
    <n v="71620"/>
    <s v="EVERYDAY PRODUCTS"/>
    <s v="S-ACCESSORIES &amp; DECORS"/>
  </r>
  <r>
    <n v="71620"/>
    <s v="EVERYDAY PRODUCTS"/>
    <s v="S-ACCESSORIES &amp; DECORS"/>
  </r>
  <r>
    <n v="71620"/>
    <s v="EVERYDAY PRODUCTS"/>
    <s v="S-ACCESSORIES &amp; DECORS"/>
  </r>
  <r>
    <n v="71642"/>
    <s v="EVERYDAY PRODUCTS"/>
    <s v="S-ACCESSORIES &amp; DECORS"/>
  </r>
  <r>
    <n v="71642"/>
    <s v="EVERYDAY PRODUCTS"/>
    <s v="S-ACCESSORIES &amp; DECORS"/>
  </r>
  <r>
    <n v="71668"/>
    <s v="EVERYDAY PRODUCTS"/>
    <s v="S-ACCESSORIES &amp; DECORS"/>
  </r>
  <r>
    <n v="71668"/>
    <s v="EVERYDAY PRODUCTS"/>
    <s v="S-ACCESSORIES &amp; DECORS"/>
  </r>
  <r>
    <n v="62666"/>
    <s v="EVERYDAY PRODUCTS"/>
    <s v="S-ACCESSORIES &amp; DECORS"/>
  </r>
  <r>
    <n v="69883"/>
    <s v="EVERYDAY PRODUCTS"/>
    <s v="S-ACCESSORIES &amp; DECORS"/>
  </r>
  <r>
    <n v="69883"/>
    <s v="EVERYDAY PRODUCTS"/>
    <s v="S-ACCESSORIES &amp; DECORS"/>
  </r>
  <r>
    <n v="53432"/>
    <s v="EVERYDAY PRODUCTS"/>
    <s v="S-ACCESSORIES &amp; DECORS"/>
  </r>
  <r>
    <n v="62677"/>
    <s v="EVERYDAY PRODUCTS"/>
    <s v="S-ACCESSORIES &amp; DECORS"/>
  </r>
  <r>
    <n v="69862"/>
    <s v="EVERYDAY PRODUCTS"/>
    <s v="S-ACCESSORIES &amp; DECORS"/>
  </r>
  <r>
    <n v="69873"/>
    <s v="EVERYDAY PRODUCTS"/>
    <s v="S-ACCESSORIES &amp; DECORS"/>
  </r>
  <r>
    <n v="69883"/>
    <s v="EVERYDAY PRODUCTS"/>
    <s v="S-ACCESSORIES &amp; DECORS"/>
  </r>
  <r>
    <n v="69883"/>
    <s v="EVERYDAY PRODUCTS"/>
    <s v="S-ACCESSORIES &amp; DECORS"/>
  </r>
  <r>
    <n v="69883"/>
    <s v="EVERYDAY PRODUCTS"/>
    <s v="S-ACCESSORIES &amp; DECORS"/>
  </r>
  <r>
    <n v="69920"/>
    <s v="EVERYDAY PRODUCTS"/>
    <s v="S-ACCESSORIES &amp; DECORS"/>
  </r>
  <r>
    <n v="62719"/>
    <s v="EVERYDAY PRODUCTS"/>
    <s v="S-ACCESSORIES &amp; DECORS"/>
  </r>
  <r>
    <n v="62719"/>
    <s v="EVERYDAY PRODUCTS"/>
    <s v="S-ACCESSORIES &amp; DECORS"/>
  </r>
  <r>
    <n v="62727"/>
    <s v="EVERYDAY PRODUCTS"/>
    <s v="S-ACCESSORIES &amp; DECORS"/>
  </r>
  <r>
    <n v="62727"/>
    <s v="EVERYDAY PRODUCTS"/>
    <s v="S-ACCESSORIES &amp; DECORS"/>
  </r>
  <r>
    <n v="69927"/>
    <s v="EVERYDAY PRODUCTS"/>
    <s v="S-ACCESSORIES &amp; DECORS"/>
  </r>
  <r>
    <n v="69934"/>
    <s v="EVERYDAY PRODUCTS"/>
    <s v="S-ACCESSORIES &amp; DECORS"/>
  </r>
  <r>
    <n v="53496"/>
    <s v="EVERYDAY PRODUCTS"/>
    <s v="S-ACCESSORIES &amp; DECORS"/>
  </r>
  <r>
    <n v="62729"/>
    <s v="EVERYDAY PRODUCTS"/>
    <s v="S-ACCESSORIES &amp; DECORS"/>
  </r>
  <r>
    <n v="62744"/>
    <s v="EVERYDAY PRODUCTS"/>
    <s v="S-ACCESSORIES &amp; DECORS"/>
  </r>
  <r>
    <n v="62756"/>
    <s v="EVERYDAY PRODUCTS"/>
    <s v="S-ACCESSORIES &amp; DECORS"/>
  </r>
  <r>
    <n v="62756"/>
    <s v="EVERYDAY PRODUCTS"/>
    <s v="S-ACCESSORIES &amp; DECORS"/>
  </r>
  <r>
    <n v="62756"/>
    <s v="EVERYDAY PRODUCTS"/>
    <s v="S-ACCESSORIES &amp; DECORS"/>
  </r>
  <r>
    <n v="62756"/>
    <s v="EVERYDAY PRODUCTS"/>
    <s v="S-ACCESSORIES &amp; DECORS"/>
  </r>
  <r>
    <n v="62756"/>
    <s v="EVERYDAY PRODUCTS"/>
    <s v="S-ACCESSORIES &amp; DECORS"/>
  </r>
  <r>
    <n v="69967"/>
    <s v="EVERYDAY PRODUCTS"/>
    <s v="S-ACCESSORIES &amp; DECORS"/>
  </r>
  <r>
    <n v="62785"/>
    <s v="EVERYDAY PRODUCTS"/>
    <s v="S-ACCESSORIES &amp; DECORS"/>
  </r>
  <r>
    <n v="70012"/>
    <s v="EVERYDAY PRODUCTS"/>
    <s v="S-ACCESSORIES &amp; DECORS"/>
  </r>
  <r>
    <n v="53562"/>
    <s v="EVERYDAY PRODUCTS"/>
    <s v="S-ACCESSORIES &amp; DECORS"/>
  </r>
  <r>
    <n v="62806"/>
    <s v="EVERYDAY PRODUCTS"/>
    <s v="S-ACCESSORIES &amp; DECORS"/>
  </r>
  <r>
    <n v="62806"/>
    <s v="EVERYDAY PRODUCTS"/>
    <s v="S-ACCESSORIES &amp; DECORS"/>
  </r>
  <r>
    <n v="70016"/>
    <s v="EVERYDAY PRODUCTS"/>
    <s v="S-ACCESSORIES &amp; DECORS"/>
  </r>
  <r>
    <n v="71763"/>
    <s v="EVERYDAY PRODUCTS"/>
    <s v="S-ACCESSORIES &amp; DECORS"/>
  </r>
  <r>
    <n v="71800"/>
    <s v="EVERYDAY PRODUCTS"/>
    <s v="S-ACCESSORIES &amp; DECORS"/>
  </r>
  <r>
    <n v="71800"/>
    <s v="EVERYDAY PRODUCTS"/>
    <s v="S-ACCESSORIES &amp; DECORS"/>
  </r>
  <r>
    <n v="71800"/>
    <s v="EVERYDAY PRODUCTS"/>
    <s v="S-ACCESSORIES &amp; DECORS"/>
  </r>
  <r>
    <n v="71800"/>
    <s v="EVERYDAY PRODUCTS"/>
    <s v="S-ACCESSORIES &amp; DECORS"/>
  </r>
  <r>
    <n v="71800"/>
    <s v="EVERYDAY PRODUCTS"/>
    <s v="S-ACCESSORIES &amp; DECORS"/>
  </r>
  <r>
    <n v="70059"/>
    <s v="EVERYDAY PRODUCTS"/>
    <s v="S-ACCESSORIES &amp; DECORS"/>
  </r>
  <r>
    <n v="62850"/>
    <s v="EVERYDAY PRODUCTS"/>
    <s v="S-ACCESSORIES &amp; DECORS"/>
  </r>
  <r>
    <n v="62857"/>
    <s v="EVERYDAY PRODUCTS"/>
    <s v="S-ACCESSORIES &amp; DECORS"/>
  </r>
  <r>
    <n v="70047"/>
    <s v="EVERYDAY PRODUCTS"/>
    <s v="S-ACCESSORIES &amp; DECORS"/>
  </r>
  <r>
    <n v="71768"/>
    <s v="EVERYDAY PRODUCTS"/>
    <s v="S-ACCESSORIES &amp; DECORS"/>
  </r>
  <r>
    <n v="71768"/>
    <s v="EVERYDAY PRODUCTS"/>
    <s v="S-ACCESSORIES &amp; DECORS"/>
  </r>
  <r>
    <n v="71770"/>
    <s v="EVERYDAY PRODUCTS"/>
    <s v="S-ACCESSORIES &amp; DECORS"/>
  </r>
  <r>
    <n v="71770"/>
    <s v="EVERYDAY PRODUCTS"/>
    <s v="S-ACCESSORIES &amp; DECORS"/>
  </r>
  <r>
    <n v="71770"/>
    <s v="EVERYDAY PRODUCTS"/>
    <s v="S-ACCESSORIES &amp; DECORS"/>
  </r>
  <r>
    <n v="71770"/>
    <s v="EVERYDAY PRODUCTS"/>
    <s v="S-ACCESSORIES &amp; DECORS"/>
  </r>
  <r>
    <n v="71782"/>
    <s v="EVERYDAY PRODUCTS"/>
    <s v="S-ACCESSORIES &amp; DECORS"/>
  </r>
  <r>
    <n v="71782"/>
    <s v="EVERYDAY PRODUCTS"/>
    <s v="S-ACCESSORIES &amp; DECORS"/>
  </r>
  <r>
    <n v="71796"/>
    <s v="EVERYDAY PRODUCTS"/>
    <s v="S-ACCESSORIES &amp; DECORS"/>
  </r>
  <r>
    <n v="71800"/>
    <s v="EVERYDAY PRODUCTS"/>
    <s v="S-ACCESSORIES &amp; DECORS"/>
  </r>
  <r>
    <n v="71800"/>
    <s v="EVERYDAY PRODUCTS"/>
    <s v="S-ACCESSORIES &amp; DECORS"/>
  </r>
  <r>
    <n v="71800"/>
    <s v="EVERYDAY PRODUCTS"/>
    <s v="S-ACCESSORIES &amp; DECORS"/>
  </r>
  <r>
    <n v="71800"/>
    <s v="EVERYDAY PRODUCTS"/>
    <s v="S-ACCESSORIES &amp; DECORS"/>
  </r>
  <r>
    <n v="71806"/>
    <s v="EVERYDAY PRODUCTS"/>
    <s v="S-ACCESSORIES &amp; DECORS"/>
  </r>
  <r>
    <n v="18638"/>
    <s v="EVERYDAY PRODUCTS"/>
    <s v="S-ACCESSORIES &amp; DECORS"/>
  </r>
  <r>
    <n v="17180"/>
    <s v="EVERYDAY PRODUCTS"/>
    <s v="S-ACCESSORIES &amp; DECORS"/>
  </r>
  <r>
    <n v="17180"/>
    <s v="EVERYDAY PRODUCTS"/>
    <s v="S-ACCESSORIES &amp; DECORS"/>
  </r>
  <r>
    <n v="17180"/>
    <s v="EVERYDAY PRODUCTS"/>
    <s v="S-ACCESSORIES &amp; DECORS"/>
  </r>
  <r>
    <n v="19578"/>
    <s v="EVERYDAY PRODUCTS"/>
    <s v="S-ACCESSORIES &amp; DECORS"/>
  </r>
  <r>
    <n v="19578"/>
    <s v="EVERYDAY PRODUCTS"/>
    <s v="S-ACCESSORIES &amp; DECORS"/>
  </r>
  <r>
    <n v="19578"/>
    <s v="EVERYDAY PRODUCTS"/>
    <s v="S-ACCESSORIES &amp; DECORS"/>
  </r>
  <r>
    <n v="19578"/>
    <s v="EVERYDAY PRODUCTS"/>
    <s v="S-ACCESSORIES &amp; DECORS"/>
  </r>
  <r>
    <n v="19578"/>
    <s v="EVERYDAY PRODUCTS"/>
    <s v="S-ACCESSORIES &amp; DECORS"/>
  </r>
  <r>
    <n v="19578"/>
    <s v="EVERYDAY PRODUCTS"/>
    <s v="S-ACCESSORIES &amp; DECORS"/>
  </r>
  <r>
    <n v="10160"/>
    <s v="EVERYDAY PRODUCTS"/>
    <s v="S-ACCESSORIES &amp; DECORS"/>
  </r>
  <r>
    <n v="10160"/>
    <s v="EVERYDAY PRODUCTS"/>
    <s v="S-ACCESSORIES &amp; DECORS"/>
  </r>
  <r>
    <n v="19635"/>
    <s v="EVERYDAY PRODUCTS"/>
    <s v="S-ACCESSORIES &amp; DECORS"/>
  </r>
  <r>
    <n v="7908"/>
    <s v="EVERYDAY PRODUCTS"/>
    <s v="S-ACCESSORIES &amp; DECORS"/>
  </r>
  <r>
    <n v="18706"/>
    <s v="EVERYDAY PRODUCTS"/>
    <s v="S-ACCESSORIES &amp; DECORS"/>
  </r>
  <r>
    <n v="7871"/>
    <s v="EVERYDAY PRODUCTS"/>
    <s v="S-ACCESSORIES &amp; DECORS"/>
  </r>
  <r>
    <n v="18723"/>
    <s v="EVERYDAY PRODUCTS"/>
    <s v="S-ACCESSORIES &amp; DECORS"/>
  </r>
  <r>
    <n v="19693"/>
    <s v="EVERYDAY PRODUCTS"/>
    <s v="S-ACCESSORIES &amp; DECORS"/>
  </r>
  <r>
    <n v="18804"/>
    <s v="EVERYDAY PRODUCTS"/>
    <s v="S-ACCESSORIES &amp; DECORS"/>
  </r>
  <r>
    <n v="19698"/>
    <s v="EVERYDAY PRODUCTS"/>
    <s v="S-ACCESSORIES &amp; DECORS"/>
  </r>
  <r>
    <n v="7922"/>
    <s v="EVERYDAY PRODUCTS"/>
    <s v="S-ACCESSORIES &amp; DECORS"/>
  </r>
  <r>
    <n v="7922"/>
    <s v="EVERYDAY PRODUCTS"/>
    <s v="S-ACCESSORIES &amp; DECORS"/>
  </r>
  <r>
    <n v="17294"/>
    <s v="EVERYDAY PRODUCTS"/>
    <s v="S-ACCESSORIES &amp; DECORS"/>
  </r>
  <r>
    <n v="18791"/>
    <s v="EVERYDAY PRODUCTS"/>
    <s v="S-ACCESSORIES &amp; DECORS"/>
  </r>
  <r>
    <n v="18791"/>
    <s v="EVERYDAY PRODUCTS"/>
    <s v="S-ACCESSORIES &amp; DECORS"/>
  </r>
  <r>
    <n v="18791"/>
    <s v="EVERYDAY PRODUCTS"/>
    <s v="S-ACCESSORIES &amp; DECORS"/>
  </r>
  <r>
    <n v="10237"/>
    <s v="EVERYDAY PRODUCTS"/>
    <s v="S-ACCESSORIES &amp; DECORS"/>
  </r>
  <r>
    <n v="10244"/>
    <s v="EVERYDAY PRODUCTS"/>
    <s v="S-ACCESSORIES &amp; DECORS"/>
  </r>
  <r>
    <n v="19813"/>
    <s v="EVERYDAY PRODUCTS"/>
    <s v="S-ACCESSORIES &amp; DECORS"/>
  </r>
  <r>
    <n v="19813"/>
    <s v="EVERYDAY PRODUCTS"/>
    <s v="S-ACCESSORIES &amp; DECORS"/>
  </r>
  <r>
    <n v="10244"/>
    <s v="EVERYDAY PRODUCTS"/>
    <s v="S-ACCESSORIES &amp; DECORS"/>
  </r>
  <r>
    <n v="18830"/>
    <s v="EVERYDAY PRODUCTS"/>
    <s v="S-ACCESSORIES &amp; DECORS"/>
  </r>
  <r>
    <n v="18830"/>
    <s v="EVERYDAY PRODUCTS"/>
    <s v="S-ACCESSORIES &amp; DECORS"/>
  </r>
  <r>
    <n v="17336"/>
    <s v="EVERYDAY PRODUCTS"/>
    <s v="S-ACCESSORIES &amp; DECORS"/>
  </r>
  <r>
    <n v="10237"/>
    <s v="EVERYDAY PRODUCTS"/>
    <s v="S-ACCESSORIES &amp; DECORS"/>
  </r>
  <r>
    <n v="10205"/>
    <s v="EVERYDAY PRODUCTS"/>
    <s v="S-ACCESSORIES &amp; DECORS"/>
  </r>
  <r>
    <n v="10205"/>
    <s v="EVERYDAY PRODUCTS"/>
    <s v="S-ACCESSORIES &amp; DECORS"/>
  </r>
  <r>
    <n v="17470"/>
    <s v="EVERYDAY PRODUCTS"/>
    <s v="S-ACCESSORIES &amp; DECORS"/>
  </r>
  <r>
    <n v="18891"/>
    <s v="EVERYDAY PRODUCTS"/>
    <s v="S-ACCESSORIES &amp; DECORS"/>
  </r>
  <r>
    <n v="18866"/>
    <s v="EVERYDAY PRODUCTS"/>
    <s v="S-ACCESSORIES &amp; DECORS"/>
  </r>
  <r>
    <n v="17440"/>
    <s v="EVERYDAY PRODUCTS"/>
    <s v="S-ACCESSORIES &amp; DECORS"/>
  </r>
  <r>
    <n v="17440"/>
    <s v="EVERYDAY PRODUCTS"/>
    <s v="S-ACCESSORIES &amp; DECORS"/>
  </r>
  <r>
    <n v="17470"/>
    <s v="EVERYDAY PRODUCTS"/>
    <s v="S-ACCESSORIES &amp; DECORS"/>
  </r>
  <r>
    <n v="17472"/>
    <s v="EVERYDAY PRODUCTS"/>
    <s v="S-ACCESSORIES &amp; DECORS"/>
  </r>
  <r>
    <n v="19897"/>
    <s v="EVERYDAY PRODUCTS"/>
    <s v="S-ACCESSORIES &amp; DECORS"/>
  </r>
  <r>
    <n v="19889"/>
    <s v="EVERYDAY PRODUCTS"/>
    <s v="S-ACCESSORIES &amp; DECORS"/>
  </r>
  <r>
    <n v="18930"/>
    <s v="EVERYDAY PRODUCTS"/>
    <s v="S-ACCESSORIES &amp; DECORS"/>
  </r>
  <r>
    <n v="10286"/>
    <s v="EVERYDAY PRODUCTS"/>
    <s v="S-ACCESSORIES &amp; DECORS"/>
  </r>
  <r>
    <n v="18930"/>
    <s v="EVERYDAY PRODUCTS"/>
    <s v="S-ACCESSORIES &amp; DECORS"/>
  </r>
  <r>
    <n v="10292"/>
    <s v="EVERYDAY PRODUCTS"/>
    <s v="S-ACCESSORIES &amp; DECORS"/>
  </r>
  <r>
    <n v="17498"/>
    <s v="EVERYDAY PRODUCTS"/>
    <s v="S-ACCESSORIES &amp; DECORS"/>
  </r>
  <r>
    <n v="17498"/>
    <s v="EVERYDAY PRODUCTS"/>
    <s v="S-ACCESSORIES &amp; DECORS"/>
  </r>
  <r>
    <n v="13199"/>
    <s v="EVERYDAY PRODUCTS"/>
    <s v="S-ACCESSORIES &amp; DECORS"/>
  </r>
  <r>
    <n v="19011"/>
    <s v="EVERYDAY PRODUCTS"/>
    <s v="S-ACCESSORIES &amp; DECORS"/>
  </r>
  <r>
    <n v="13260"/>
    <s v="EVERYDAY PRODUCTS"/>
    <s v="S-ACCESSORIES &amp; DECORS"/>
  </r>
  <r>
    <n v="10303"/>
    <s v="EVERYDAY PRODUCTS"/>
    <s v="S-ACCESSORIES &amp; DECORS"/>
  </r>
  <r>
    <n v="19025"/>
    <s v="EVERYDAY PRODUCTS"/>
    <s v="S-ACCESSORIES &amp; DECORS"/>
  </r>
  <r>
    <n v="19035"/>
    <s v="EVERYDAY PRODUCTS"/>
    <s v="S-ACCESSORIES &amp; DECORS"/>
  </r>
  <r>
    <n v="19028"/>
    <s v="EVERYDAY PRODUCTS"/>
    <s v="S-ACCESSORIES &amp; DECORS"/>
  </r>
  <r>
    <n v="19028"/>
    <s v="EVERYDAY PRODUCTS"/>
    <s v="S-ACCESSORIES &amp; DECORS"/>
  </r>
  <r>
    <n v="19028"/>
    <s v="EVERYDAY PRODUCTS"/>
    <s v="S-ACCESSORIES &amp; DECORS"/>
  </r>
  <r>
    <n v="10327"/>
    <s v="EVERYDAY PRODUCTS"/>
    <s v="S-ACCESSORIES &amp; DECORS"/>
  </r>
  <r>
    <n v="19025"/>
    <s v="EVERYDAY PRODUCTS"/>
    <s v="S-ACCESSORIES &amp; DECORS"/>
  </r>
  <r>
    <n v="17584"/>
    <s v="EVERYDAY PRODUCTS"/>
    <s v="S-ACCESSORIES &amp; DECORS"/>
  </r>
  <r>
    <n v="7948"/>
    <s v="EVERYDAY PRODUCTS"/>
    <s v="S-ACCESSORIES &amp; DECORS"/>
  </r>
  <r>
    <n v="7948"/>
    <s v="EVERYDAY PRODUCTS"/>
    <s v="S-ACCESSORIES &amp; DECORS"/>
  </r>
  <r>
    <n v="20187"/>
    <s v="EVERYDAY PRODUCTS"/>
    <s v="S-ACCESSORIES &amp; DECORS"/>
  </r>
  <r>
    <n v="20217"/>
    <s v="EVERYDAY PRODUCTS"/>
    <s v="S-ACCESSORIES &amp; DECORS"/>
  </r>
  <r>
    <n v="20210"/>
    <s v="EVERYDAY PRODUCTS"/>
    <s v="S-ACCESSORIES &amp; DECORS"/>
  </r>
  <r>
    <n v="20187"/>
    <s v="EVERYDAY PRODUCTS"/>
    <s v="S-ACCESSORIES &amp; DECORS"/>
  </r>
  <r>
    <n v="19061"/>
    <s v="EVERYDAY PRODUCTS"/>
    <s v="S-ACCESSORIES &amp; DECORS"/>
  </r>
  <r>
    <n v="19061"/>
    <s v="EVERYDAY PRODUCTS"/>
    <s v="S-ACCESSORIES &amp; DECORS"/>
  </r>
  <r>
    <n v="19150"/>
    <s v="EVERYDAY PRODUCTS"/>
    <s v="S-ACCESSORIES &amp; DECORS"/>
  </r>
  <r>
    <n v="13308"/>
    <s v="EVERYDAY PRODUCTS"/>
    <s v="S-ACCESSORIES &amp; DECORS"/>
  </r>
  <r>
    <n v="19182"/>
    <s v="EVERYDAY PRODUCTS"/>
    <s v="S-ACCESSORIES &amp; DECORS"/>
  </r>
  <r>
    <n v="13296"/>
    <s v="EVERYDAY PRODUCTS"/>
    <s v="S-ACCESSORIES &amp; DECORS"/>
  </r>
  <r>
    <n v="19239"/>
    <s v="EVERYDAY PRODUCTS"/>
    <s v="S-ACCESSORIES &amp; DECORS"/>
  </r>
  <r>
    <n v="13382"/>
    <s v="EVERYDAY PRODUCTS"/>
    <s v="S-ACCESSORIES &amp; DECORS"/>
  </r>
  <r>
    <n v="19276"/>
    <s v="EVERYDAY PRODUCTS"/>
    <s v="S-ACCESSORIES &amp; DECORS"/>
  </r>
  <r>
    <n v="10461"/>
    <s v="EVERYDAY PRODUCTS"/>
    <s v="S-ACCESSORIES &amp; DECORS"/>
  </r>
  <r>
    <n v="20359"/>
    <s v="EVERYDAY PRODUCTS"/>
    <s v="S-ACCESSORIES &amp; DECORS"/>
  </r>
  <r>
    <n v="20419"/>
    <s v="EVERYDAY PRODUCTS"/>
    <s v="S-ACCESSORIES &amp; DECORS"/>
  </r>
  <r>
    <n v="19335"/>
    <s v="EVERYDAY PRODUCTS"/>
    <s v="S-ACCESSORIES &amp; DECORS"/>
  </r>
  <r>
    <n v="19335"/>
    <s v="EVERYDAY PRODUCTS"/>
    <s v="S-ACCESSORIES &amp; DECORS"/>
  </r>
  <r>
    <n v="19372"/>
    <s v="EVERYDAY PRODUCTS"/>
    <s v="S-ACCESSORIES &amp; DECORS"/>
  </r>
  <r>
    <n v="13418"/>
    <s v="EVERYDAY PRODUCTS"/>
    <s v="S-ACCESSORIES &amp; DECORS"/>
  </r>
  <r>
    <n v="20419"/>
    <s v="EVERYDAY PRODUCTS"/>
    <s v="S-ACCESSORIES &amp; DECORS"/>
  </r>
  <r>
    <n v="10526"/>
    <s v="EVERYDAY PRODUCTS"/>
    <s v="S-ACCESSORIES &amp; DECORS"/>
  </r>
  <r>
    <n v="10508"/>
    <s v="EVERYDAY PRODUCTS"/>
    <s v="S-ACCESSORIES &amp; DECORS"/>
  </r>
  <r>
    <n v="17811"/>
    <s v="EVERYDAY PRODUCTS"/>
    <s v="S-ACCESSORIES &amp; DECORS"/>
  </r>
  <r>
    <n v="17811"/>
    <s v="EVERYDAY PRODUCTS"/>
    <s v="S-ACCESSORIES &amp; DECORS"/>
  </r>
  <r>
    <n v="20394"/>
    <s v="EVERYDAY PRODUCTS"/>
    <s v="S-ACCESSORIES &amp; DECORS"/>
  </r>
  <r>
    <n v="17811"/>
    <s v="EVERYDAY PRODUCTS"/>
    <s v="S-ACCESSORIES &amp; DECORS"/>
  </r>
  <r>
    <n v="13407"/>
    <s v="EVERYDAY PRODUCTS"/>
    <s v="S-ACCESSORIES &amp; DECORS"/>
  </r>
  <r>
    <n v="17785"/>
    <s v="EVERYDAY PRODUCTS"/>
    <s v="S-ACCESSORIES &amp; DECORS"/>
  </r>
  <r>
    <n v="20457"/>
    <s v="EVERYDAY PRODUCTS"/>
    <s v="S-ACCESSORIES &amp; DECORS"/>
  </r>
  <r>
    <n v="19391"/>
    <s v="EVERYDAY PRODUCTS"/>
    <s v="S-ACCESSORIES &amp; DECORS"/>
  </r>
  <r>
    <n v="17820"/>
    <s v="EVERYDAY PRODUCTS"/>
    <s v="S-ACCESSORIES &amp; DECORS"/>
  </r>
  <r>
    <n v="20494"/>
    <s v="EVERYDAY PRODUCTS"/>
    <s v="S-ACCESSORIES &amp; DECORS"/>
  </r>
  <r>
    <n v="10563"/>
    <s v="EVERYDAY PRODUCTS"/>
    <s v="S-ACCESSORIES &amp; DECORS"/>
  </r>
  <r>
    <n v="10563"/>
    <s v="EVERYDAY PRODUCTS"/>
    <s v="S-ACCESSORIES &amp; DECORS"/>
  </r>
  <r>
    <n v="10613"/>
    <s v="EVERYDAY PRODUCTS"/>
    <s v="S-ACCESSORIES &amp; DECORS"/>
  </r>
  <r>
    <n v="20594"/>
    <s v="EVERYDAY PRODUCTS"/>
    <s v="S-ACCESSORIES &amp; DECORS"/>
  </r>
  <r>
    <n v="19461"/>
    <s v="EVERYDAY PRODUCTS"/>
    <s v="S-ACCESSORIES &amp; DECORS"/>
  </r>
  <r>
    <n v="10586"/>
    <s v="EVERYDAY PRODUCTS"/>
    <s v="S-ACCESSORIES &amp; DECORS"/>
  </r>
  <r>
    <n v="17924"/>
    <s v="EVERYDAY PRODUCTS"/>
    <s v="S-ACCESSORIES &amp; DECORS"/>
  </r>
  <r>
    <n v="10613"/>
    <s v="EVERYDAY PRODUCTS"/>
    <s v="S-ACCESSORIES &amp; DECORS"/>
  </r>
  <r>
    <n v="17879"/>
    <s v="EVERYDAY PRODUCTS"/>
    <s v="S-ACCESSORIES &amp; DECORS"/>
  </r>
  <r>
    <n v="17871"/>
    <s v="EVERYDAY PRODUCTS"/>
    <s v="S-ACCESSORIES &amp; DECORS"/>
  </r>
  <r>
    <n v="10610"/>
    <s v="EVERYDAY PRODUCTS"/>
    <s v="S-ACCESSORIES &amp; DECORS"/>
  </r>
  <r>
    <n v="17943"/>
    <s v="EVERYDAY PRODUCTS"/>
    <s v="S-ACCESSORIES &amp; DECORS"/>
  </r>
  <r>
    <n v="20698"/>
    <s v="EVERYDAY PRODUCTS"/>
    <s v="S-ACCESSORIES &amp; DECORS"/>
  </r>
  <r>
    <n v="20644"/>
    <s v="EVERYDAY PRODUCTS"/>
    <s v="S-ACCESSORIES &amp; DECORS"/>
  </r>
  <r>
    <n v="19494"/>
    <s v="EVERYDAY PRODUCTS"/>
    <s v="S-ACCESSORIES &amp; DECORS"/>
  </r>
  <r>
    <n v="13529"/>
    <s v="EVERYDAY PRODUCTS"/>
    <s v="S-ACCESSORIES &amp; DECORS"/>
  </r>
  <r>
    <n v="19489"/>
    <s v="EVERYDAY PRODUCTS"/>
    <s v="S-ACCESSORIES &amp; DECORS"/>
  </r>
  <r>
    <n v="20694"/>
    <s v="EVERYDAY PRODUCTS"/>
    <s v="S-ACCESSORIES &amp; DECORS"/>
  </r>
  <r>
    <n v="10653"/>
    <s v="EVERYDAY PRODUCTS"/>
    <s v="S-ACCESSORIES &amp; DECORS"/>
  </r>
  <r>
    <n v="19563"/>
    <s v="EVERYDAY PRODUCTS"/>
    <s v="S-ACCESSORIES &amp; DECORS"/>
  </r>
  <r>
    <n v="10670"/>
    <s v="EVERYDAY PRODUCTS"/>
    <s v="S-ACCESSORIES &amp; DECORS"/>
  </r>
  <r>
    <n v="19558"/>
    <s v="EVERYDAY PRODUCTS"/>
    <s v="S-ACCESSORIES &amp; DECORS"/>
  </r>
  <r>
    <n v="10670"/>
    <s v="EVERYDAY PRODUCTS"/>
    <s v="S-ACCESSORIES &amp; DECORS"/>
  </r>
  <r>
    <n v="13590"/>
    <s v="EVERYDAY PRODUCTS"/>
    <s v="S-ACCESSORIES &amp; DECORS"/>
  </r>
  <r>
    <n v="13590"/>
    <s v="EVERYDAY PRODUCTS"/>
    <s v="S-ACCESSORIES &amp; DECORS"/>
  </r>
  <r>
    <n v="10743"/>
    <s v="EVERYDAY PRODUCTS"/>
    <s v="S-ACCESSORIES &amp; DECORS"/>
  </r>
  <r>
    <n v="18010"/>
    <s v="EVERYDAY PRODUCTS"/>
    <s v="S-ACCESSORIES &amp; DECORS"/>
  </r>
  <r>
    <n v="10679"/>
    <s v="EVERYDAY PRODUCTS"/>
    <s v="S-ACCESSORIES &amp; DECORS"/>
  </r>
  <r>
    <n v="13609"/>
    <s v="EVERYDAY PRODUCTS"/>
    <s v="S-ACCESSORIES &amp; DECORS"/>
  </r>
  <r>
    <n v="19558"/>
    <s v="EVERYDAY PRODUCTS"/>
    <s v="S-ACCESSORIES &amp; DECORS"/>
  </r>
  <r>
    <n v="19558"/>
    <s v="EVERYDAY PRODUCTS"/>
    <s v="S-ACCESSORIES &amp; DECORS"/>
  </r>
  <r>
    <n v="19558"/>
    <s v="EVERYDAY PRODUCTS"/>
    <s v="S-ACCESSORIES &amp; DECORS"/>
  </r>
  <r>
    <n v="19606"/>
    <s v="EVERYDAY PRODUCTS"/>
    <s v="S-ACCESSORIES &amp; DECORS"/>
  </r>
  <r>
    <n v="19690"/>
    <s v="EVERYDAY PRODUCTS"/>
    <s v="S-ACCESSORIES &amp; DECORS"/>
  </r>
  <r>
    <n v="19690"/>
    <s v="EVERYDAY PRODUCTS"/>
    <s v="S-ACCESSORIES &amp; DECORS"/>
  </r>
  <r>
    <n v="10793"/>
    <s v="EVERYDAY PRODUCTS"/>
    <s v="S-ACCESSORIES &amp; DECORS"/>
  </r>
  <r>
    <n v="19677"/>
    <s v="EVERYDAY PRODUCTS"/>
    <s v="S-ACCESSORIES &amp; DECORS"/>
  </r>
  <r>
    <n v="19677"/>
    <s v="EVERYDAY PRODUCTS"/>
    <s v="S-ACCESSORIES &amp; DECORS"/>
  </r>
  <r>
    <n v="19691"/>
    <s v="EVERYDAY PRODUCTS"/>
    <s v="S-ACCESSORIES &amp; DECORS"/>
  </r>
  <r>
    <n v="18054"/>
    <s v="EVERYDAY PRODUCTS"/>
    <s v="S-ACCESSORIES &amp; DECORS"/>
  </r>
  <r>
    <n v="18054"/>
    <s v="EVERYDAY PRODUCTS"/>
    <s v="S-ACCESSORIES &amp; DECORS"/>
  </r>
  <r>
    <n v="18052"/>
    <s v="EVERYDAY PRODUCTS"/>
    <s v="S-ACCESSORIES &amp; DECORS"/>
  </r>
  <r>
    <n v="18086"/>
    <s v="EVERYDAY PRODUCTS"/>
    <s v="S-ACCESSORIES &amp; DECORS"/>
  </r>
  <r>
    <n v="19671"/>
    <s v="EVERYDAY PRODUCTS"/>
    <s v="S-ACCESSORIES &amp; DECORS"/>
  </r>
  <r>
    <n v="10758"/>
    <s v="EVERYDAY PRODUCTS"/>
    <s v="S-ACCESSORIES &amp; DECORS"/>
  </r>
  <r>
    <n v="18092"/>
    <s v="EVERYDAY PRODUCTS"/>
    <s v="S-ACCESSORIES &amp; DECORS"/>
  </r>
  <r>
    <n v="10851"/>
    <s v="EVERYDAY PRODUCTS"/>
    <s v="S-ACCESSORIES &amp; DECORS"/>
  </r>
  <r>
    <n v="19783"/>
    <s v="EVERYDAY PRODUCTS"/>
    <s v="S-ACCESSORIES &amp; DECORS"/>
  </r>
  <r>
    <n v="19783"/>
    <s v="EVERYDAY PRODUCTS"/>
    <s v="S-ACCESSORIES &amp; DECORS"/>
  </r>
  <r>
    <n v="19783"/>
    <s v="EVERYDAY PRODUCTS"/>
    <s v="S-ACCESSORIES &amp; DECORS"/>
  </r>
  <r>
    <n v="19783"/>
    <s v="EVERYDAY PRODUCTS"/>
    <s v="S-ACCESSORIES &amp; DECORS"/>
  </r>
  <r>
    <n v="19821"/>
    <s v="EVERYDAY PRODUCTS"/>
    <s v="S-ACCESSORIES &amp; DECORS"/>
  </r>
  <r>
    <n v="19821"/>
    <s v="EVERYDAY PRODUCTS"/>
    <s v="S-ACCESSORIES &amp; DECORS"/>
  </r>
  <r>
    <n v="10857"/>
    <s v="EVERYDAY PRODUCTS"/>
    <s v="S-ACCESSORIES &amp; DECORS"/>
  </r>
  <r>
    <n v="10831"/>
    <s v="EVERYDAY PRODUCTS"/>
    <s v="S-ACCESSORIES &amp; DECORS"/>
  </r>
  <r>
    <n v="19781"/>
    <s v="EVERYDAY PRODUCTS"/>
    <s v="S-ACCESSORIES &amp; DECORS"/>
  </r>
  <r>
    <n v="18139"/>
    <s v="EVERYDAY PRODUCTS"/>
    <s v="S-ACCESSORIES &amp; DECORS"/>
  </r>
  <r>
    <n v="18124"/>
    <s v="EVERYDAY PRODUCTS"/>
    <s v="S-ACCESSORIES &amp; DECORS"/>
  </r>
  <r>
    <n v="18124"/>
    <s v="EVERYDAY PRODUCTS"/>
    <s v="S-ACCESSORIES &amp; DECORS"/>
  </r>
  <r>
    <n v="18130"/>
    <s v="EVERYDAY PRODUCTS"/>
    <s v="S-ACCESSORIES &amp; DECORS"/>
  </r>
  <r>
    <n v="18130"/>
    <s v="EVERYDAY PRODUCTS"/>
    <s v="S-ACCESSORIES &amp; DECORS"/>
  </r>
  <r>
    <n v="20793"/>
    <s v="EVERYDAY PRODUCTS"/>
    <s v="S-ACCESSORIES &amp; DECORS"/>
  </r>
  <r>
    <n v="18182"/>
    <s v="EVERYDAY PRODUCTS"/>
    <s v="S-ACCESSORIES &amp; DECORS"/>
  </r>
  <r>
    <n v="10877"/>
    <s v="EVERYDAY PRODUCTS"/>
    <s v="S-ACCESSORIES &amp; DECORS"/>
  </r>
  <r>
    <n v="20787"/>
    <s v="EVERYDAY PRODUCTS"/>
    <s v="S-ACCESSORIES &amp; DECORS"/>
  </r>
  <r>
    <n v="18198"/>
    <s v="EVERYDAY PRODUCTS"/>
    <s v="S-ACCESSORIES &amp; DECORS"/>
  </r>
  <r>
    <n v="18259"/>
    <s v="EVERYDAY PRODUCTS"/>
    <s v="S-ACCESSORIES &amp; DECORS"/>
  </r>
  <r>
    <n v="19899"/>
    <s v="EVERYDAY PRODUCTS"/>
    <s v="S-ACCESSORIES &amp; DECORS"/>
  </r>
  <r>
    <n v="19928"/>
    <s v="EVERYDAY PRODUCTS"/>
    <s v="S-ACCESSORIES &amp; DECORS"/>
  </r>
  <r>
    <n v="19918"/>
    <s v="EVERYDAY PRODUCTS"/>
    <s v="S-ACCESSORIES &amp; DECORS"/>
  </r>
  <r>
    <n v="13689"/>
    <s v="EVERYDAY PRODUCTS"/>
    <s v="S-ACCESSORIES &amp; DECORS"/>
  </r>
  <r>
    <n v="13643"/>
    <s v="EVERYDAY PRODUCTS"/>
    <s v="S-ACCESSORIES &amp; DECORS"/>
  </r>
  <r>
    <n v="19925"/>
    <s v="EVERYDAY PRODUCTS"/>
    <s v="S-ACCESSORIES &amp; DECORS"/>
  </r>
  <r>
    <n v="19950"/>
    <s v="EVERYDAY PRODUCTS"/>
    <s v="S-ACCESSORIES &amp; DECORS"/>
  </r>
  <r>
    <n v="19984"/>
    <s v="EVERYDAY PRODUCTS"/>
    <s v="S-ACCESSORIES &amp; DECORS"/>
  </r>
  <r>
    <n v="20881"/>
    <s v="EVERYDAY PRODUCTS"/>
    <s v="S-ACCESSORIES &amp; DECORS"/>
  </r>
  <r>
    <n v="19950"/>
    <s v="EVERYDAY PRODUCTS"/>
    <s v="S-ACCESSORIES &amp; DECORS"/>
  </r>
  <r>
    <n v="20910"/>
    <s v="EVERYDAY PRODUCTS"/>
    <s v="S-ACCESSORIES &amp; DECORS"/>
  </r>
  <r>
    <n v="20910"/>
    <s v="EVERYDAY PRODUCTS"/>
    <s v="S-ACCESSORIES &amp; DECORS"/>
  </r>
  <r>
    <n v="18357"/>
    <s v="EVERYDAY PRODUCTS"/>
    <s v="S-ACCESSORIES &amp; DECORS"/>
  </r>
  <r>
    <n v="20004"/>
    <s v="EVERYDAY PRODUCTS"/>
    <s v="S-ACCESSORIES &amp; DECORS"/>
  </r>
  <r>
    <n v="20031"/>
    <s v="EVERYDAY PRODUCTS"/>
    <s v="S-ACCESSORIES &amp; DECORS"/>
  </r>
  <r>
    <n v="20948"/>
    <s v="EVERYDAY PRODUCTS"/>
    <s v="S-ACCESSORIES &amp; DECORS"/>
  </r>
  <r>
    <n v="20031"/>
    <s v="EVERYDAY PRODUCTS"/>
    <s v="S-ACCESSORIES &amp; DECORS"/>
  </r>
  <r>
    <n v="20926"/>
    <s v="EVERYDAY PRODUCTS"/>
    <s v="S-ACCESSORIES &amp; DECORS"/>
  </r>
  <r>
    <n v="20031"/>
    <s v="EVERYDAY PRODUCTS"/>
    <s v="S-ACCESSORIES &amp; DECORS"/>
  </r>
  <r>
    <n v="18357"/>
    <s v="EVERYDAY PRODUCTS"/>
    <s v="S-ACCESSORIES &amp; DECORS"/>
  </r>
  <r>
    <n v="20004"/>
    <s v="EVERYDAY PRODUCTS"/>
    <s v="S-ACCESSORIES &amp; DECORS"/>
  </r>
  <r>
    <n v="11003"/>
    <s v="EVERYDAY PRODUCTS"/>
    <s v="S-ACCESSORIES &amp; DECORS"/>
  </r>
  <r>
    <n v="11045"/>
    <s v="EVERYDAY PRODUCTS"/>
    <s v="S-ACCESSORIES &amp; DECORS"/>
  </r>
  <r>
    <n v="21008"/>
    <s v="EVERYDAY PRODUCTS"/>
    <s v="S-ACCESSORIES &amp; DECORS"/>
  </r>
  <r>
    <n v="13767"/>
    <s v="EVERYDAY PRODUCTS"/>
    <s v="S-ACCESSORIES &amp; DECORS"/>
  </r>
  <r>
    <n v="13767"/>
    <s v="EVERYDAY PRODUCTS"/>
    <s v="S-ACCESSORIES &amp; DECORS"/>
  </r>
  <r>
    <n v="13767"/>
    <s v="EVERYDAY PRODUCTS"/>
    <s v="S-ACCESSORIES &amp; DECORS"/>
  </r>
  <r>
    <n v="13767"/>
    <s v="EVERYDAY PRODUCTS"/>
    <s v="S-ACCESSORIES &amp; DECORS"/>
  </r>
  <r>
    <n v="13767"/>
    <s v="EVERYDAY PRODUCTS"/>
    <s v="S-ACCESSORIES &amp; DECORS"/>
  </r>
  <r>
    <n v="21008"/>
    <s v="EVERYDAY PRODUCTS"/>
    <s v="S-ACCESSORIES &amp; DECORS"/>
  </r>
  <r>
    <n v="11028"/>
    <s v="EVERYDAY PRODUCTS"/>
    <s v="S-ACCESSORIES &amp; DECORS"/>
  </r>
  <r>
    <n v="13730"/>
    <s v="EVERYDAY PRODUCTS"/>
    <s v="S-ACCESSORIES &amp; DECORS"/>
  </r>
  <r>
    <n v="20043"/>
    <s v="EVERYDAY PRODUCTS"/>
    <s v="S-ACCESSORIES &amp; DECORS"/>
  </r>
  <r>
    <n v="13767"/>
    <s v="EVERYDAY PRODUCTS"/>
    <s v="S-ACCESSORIES &amp; DECORS"/>
  </r>
  <r>
    <n v="11094"/>
    <s v="EVERYDAY PRODUCTS"/>
    <s v="S-ACCESSORIES &amp; DECORS"/>
  </r>
  <r>
    <n v="11094"/>
    <s v="EVERYDAY PRODUCTS"/>
    <s v="S-ACCESSORIES &amp; DECORS"/>
  </r>
  <r>
    <n v="20105"/>
    <s v="EVERYDAY PRODUCTS"/>
    <s v="S-ACCESSORIES &amp; DECORS"/>
  </r>
  <r>
    <n v="13838"/>
    <s v="EVERYDAY PRODUCTS"/>
    <s v="S-ACCESSORIES &amp; DECORS"/>
  </r>
  <r>
    <n v="13852"/>
    <s v="EVERYDAY PRODUCTS"/>
    <s v="S-ACCESSORIES &amp; DECORS"/>
  </r>
  <r>
    <n v="13852"/>
    <s v="EVERYDAY PRODUCTS"/>
    <s v="S-ACCESSORIES &amp; DECORS"/>
  </r>
  <r>
    <n v="13852"/>
    <s v="EVERYDAY PRODUCTS"/>
    <s v="S-ACCESSORIES &amp; DECORS"/>
  </r>
  <r>
    <n v="13852"/>
    <s v="EVERYDAY PRODUCTS"/>
    <s v="S-ACCESSORIES &amp; DECORS"/>
  </r>
  <r>
    <n v="13838"/>
    <s v="EVERYDAY PRODUCTS"/>
    <s v="S-ACCESSORIES &amp; DECORS"/>
  </r>
  <r>
    <n v="13838"/>
    <s v="EVERYDAY PRODUCTS"/>
    <s v="S-ACCESSORIES &amp; DECORS"/>
  </r>
  <r>
    <n v="13838"/>
    <s v="EVERYDAY PRODUCTS"/>
    <s v="S-ACCESSORIES &amp; DECORS"/>
  </r>
  <r>
    <n v="11187"/>
    <s v="EVERYDAY PRODUCTS"/>
    <s v="S-ACCESSORIES &amp; DECORS"/>
  </r>
  <r>
    <n v="11187"/>
    <s v="EVERYDAY PRODUCTS"/>
    <s v="S-ACCESSORIES &amp; DECORS"/>
  </r>
  <r>
    <n v="11168"/>
    <s v="EVERYDAY PRODUCTS"/>
    <s v="S-ACCESSORIES &amp; DECORS"/>
  </r>
  <r>
    <n v="20181"/>
    <s v="EVERYDAY PRODUCTS"/>
    <s v="S-ACCESSORIES &amp; DECORS"/>
  </r>
  <r>
    <n v="13838"/>
    <s v="EVERYDAY PRODUCTS"/>
    <s v="S-ACCESSORIES &amp; DECORS"/>
  </r>
  <r>
    <n v="11168"/>
    <s v="EVERYDAY PRODUCTS"/>
    <s v="S-ACCESSORIES &amp; DECORS"/>
  </r>
  <r>
    <n v="11187"/>
    <s v="EVERYDAY PRODUCTS"/>
    <s v="S-ACCESSORIES &amp; DECORS"/>
  </r>
  <r>
    <n v="13828"/>
    <s v="EVERYDAY PRODUCTS"/>
    <s v="S-ACCESSORIES &amp; DECORS"/>
  </r>
  <r>
    <n v="11187"/>
    <s v="EVERYDAY PRODUCTS"/>
    <s v="S-ACCESSORIES &amp; DECORS"/>
  </r>
  <r>
    <n v="11187"/>
    <s v="EVERYDAY PRODUCTS"/>
    <s v="S-ACCESSORIES &amp; DECORS"/>
  </r>
  <r>
    <n v="13882"/>
    <s v="EVERYDAY PRODUCTS"/>
    <s v="S-ACCESSORIES &amp; DECORS"/>
  </r>
  <r>
    <n v="13882"/>
    <s v="EVERYDAY PRODUCTS"/>
    <s v="S-ACCESSORIES &amp; DECORS"/>
  </r>
  <r>
    <n v="13879"/>
    <s v="EVERYDAY PRODUCTS"/>
    <s v="S-ACCESSORIES &amp; DECORS"/>
  </r>
  <r>
    <n v="13879"/>
    <s v="EVERYDAY PRODUCTS"/>
    <s v="S-ACCESSORIES &amp; DECORS"/>
  </r>
  <r>
    <n v="13902"/>
    <s v="EVERYDAY PRODUCTS"/>
    <s v="S-ACCESSORIES &amp; DECORS"/>
  </r>
  <r>
    <n v="13902"/>
    <s v="EVERYDAY PRODUCTS"/>
    <s v="S-ACCESSORIES &amp; DECORS"/>
  </r>
  <r>
    <n v="13887"/>
    <s v="EVERYDAY PRODUCTS"/>
    <s v="S-ACCESSORIES &amp; DECORS"/>
  </r>
  <r>
    <n v="21025"/>
    <s v="EVERYDAY PRODUCTS"/>
    <s v="S-ACCESSORIES &amp; DECORS"/>
  </r>
  <r>
    <n v="21032"/>
    <s v="EVERYDAY PRODUCTS"/>
    <s v="S-ACCESSORIES &amp; DECORS"/>
  </r>
  <r>
    <n v="13912"/>
    <s v="EVERYDAY PRODUCTS"/>
    <s v="S-ACCESSORIES &amp; DECORS"/>
  </r>
  <r>
    <n v="21120"/>
    <s v="EVERYDAY PRODUCTS"/>
    <s v="S-ACCESSORIES &amp; DECORS"/>
  </r>
  <r>
    <n v="21120"/>
    <s v="EVERYDAY PRODUCTS"/>
    <s v="S-ACCESSORIES &amp; DECORS"/>
  </r>
  <r>
    <n v="21105"/>
    <s v="EVERYDAY PRODUCTS"/>
    <s v="S-ACCESSORIES &amp; DECORS"/>
  </r>
  <r>
    <n v="21105"/>
    <s v="EVERYDAY PRODUCTS"/>
    <s v="S-ACCESSORIES &amp; DECORS"/>
  </r>
  <r>
    <n v="14006"/>
    <s v="EVERYDAY PRODUCTS"/>
    <s v="S-ACCESSORIES &amp; DECORS"/>
  </r>
  <r>
    <n v="18732"/>
    <s v="EVERYDAY PRODUCTS"/>
    <s v="S-ACCESSORIES &amp; DECORS"/>
  </r>
  <r>
    <n v="8039"/>
    <s v="EVERYDAY PRODUCTS"/>
    <s v="S-ACCESSORIES &amp; DECORS"/>
  </r>
  <r>
    <n v="8022"/>
    <s v="EVERYDAY PRODUCTS"/>
    <s v="S-ACCESSORIES &amp; DECORS"/>
  </r>
  <r>
    <n v="8022"/>
    <s v="EVERYDAY PRODUCTS"/>
    <s v="S-ACCESSORIES &amp; DECORS"/>
  </r>
  <r>
    <n v="18707"/>
    <s v="EVERYDAY PRODUCTS"/>
    <s v="S-ACCESSORIES &amp; DECORS"/>
  </r>
  <r>
    <n v="18706"/>
    <s v="EVERYDAY PRODUCTS"/>
    <s v="S-ACCESSORIES &amp; DECORS"/>
  </r>
  <r>
    <n v="13991"/>
    <s v="EVERYDAY PRODUCTS"/>
    <s v="S-ACCESSORIES &amp; DECORS"/>
  </r>
  <r>
    <n v="18732"/>
    <s v="EVERYDAY PRODUCTS"/>
    <s v="S-ACCESSORIES &amp; DECORS"/>
  </r>
  <r>
    <n v="8050"/>
    <s v="EVERYDAY PRODUCTS"/>
    <s v="S-ACCESSORIES &amp; DECORS"/>
  </r>
  <r>
    <n v="21192"/>
    <s v="EVERYDAY PRODUCTS"/>
    <s v="S-ACCESSORIES &amp; DECORS"/>
  </r>
  <r>
    <n v="14006"/>
    <s v="EVERYDAY PRODUCTS"/>
    <s v="S-ACCESSORIES &amp; DECORS"/>
  </r>
  <r>
    <n v="8039"/>
    <s v="EVERYDAY PRODUCTS"/>
    <s v="S-ACCESSORIES &amp; DECORS"/>
  </r>
  <r>
    <n v="14006"/>
    <s v="EVERYDAY PRODUCTS"/>
    <s v="S-ACCESSORIES &amp; DECORS"/>
  </r>
  <r>
    <n v="11214"/>
    <s v="EVERYDAY PRODUCTS"/>
    <s v="S-ACCESSORIES &amp; DECORS"/>
  </r>
  <r>
    <n v="18788"/>
    <s v="EVERYDAY PRODUCTS"/>
    <s v="S-ACCESSORIES &amp; DECORS"/>
  </r>
  <r>
    <n v="20334"/>
    <s v="EVERYDAY PRODUCTS"/>
    <s v="S-ACCESSORIES &amp; DECORS"/>
  </r>
  <r>
    <n v="8065"/>
    <s v="EVERYDAY PRODUCTS"/>
    <s v="S-ACCESSORIES &amp; DECORS"/>
  </r>
  <r>
    <n v="8078"/>
    <s v="EVERYDAY PRODUCTS"/>
    <s v="S-ACCESSORIES &amp; DECORS"/>
  </r>
  <r>
    <n v="20362"/>
    <s v="EVERYDAY PRODUCTS"/>
    <s v="S-ACCESSORIES &amp; DECORS"/>
  </r>
  <r>
    <n v="21229"/>
    <s v="EVERYDAY PRODUCTS"/>
    <s v="S-ACCESSORIES &amp; DECORS"/>
  </r>
  <r>
    <n v="18826"/>
    <s v="EVERYDAY PRODUCTS"/>
    <s v="S-ACCESSORIES &amp; DECORS"/>
  </r>
  <r>
    <n v="14098"/>
    <s v="EVERYDAY PRODUCTS"/>
    <s v="S-ACCESSORIES &amp; DECORS"/>
  </r>
  <r>
    <n v="8114"/>
    <s v="EVERYDAY PRODUCTS"/>
    <s v="S-ACCESSORIES &amp; DECORS"/>
  </r>
  <r>
    <n v="20401"/>
    <s v="EVERYDAY PRODUCTS"/>
    <s v="S-ACCESSORIES &amp; DECORS"/>
  </r>
  <r>
    <n v="14118"/>
    <s v="EVERYDAY PRODUCTS"/>
    <s v="S-ACCESSORIES &amp; DECORS"/>
  </r>
  <r>
    <n v="14118"/>
    <s v="EVERYDAY PRODUCTS"/>
    <s v="S-ACCESSORIES &amp; DECORS"/>
  </r>
  <r>
    <n v="21289"/>
    <s v="EVERYDAY PRODUCTS"/>
    <s v="S-ACCESSORIES &amp; DECORS"/>
  </r>
  <r>
    <n v="18826"/>
    <s v="EVERYDAY PRODUCTS"/>
    <s v="S-ACCESSORIES &amp; DECORS"/>
  </r>
  <r>
    <n v="8114"/>
    <s v="EVERYDAY PRODUCTS"/>
    <s v="S-ACCESSORIES &amp; DECORS"/>
  </r>
  <r>
    <n v="18809"/>
    <s v="EVERYDAY PRODUCTS"/>
    <s v="S-ACCESSORIES &amp; DECORS"/>
  </r>
  <r>
    <n v="18826"/>
    <s v="EVERYDAY PRODUCTS"/>
    <s v="S-ACCESSORIES &amp; DECORS"/>
  </r>
  <r>
    <n v="18835"/>
    <s v="EVERYDAY PRODUCTS"/>
    <s v="S-ACCESSORIES &amp; DECORS"/>
  </r>
  <r>
    <n v="33050"/>
    <s v="EVERYDAY PRODUCTS"/>
    <s v="S-ACCESSORIES &amp; DECORS"/>
  </r>
  <r>
    <n v="51028"/>
    <s v="EVERYDAY PRODUCTS"/>
    <s v="S-ACCESSORIES &amp; DECORS"/>
  </r>
  <r>
    <n v="43164"/>
    <s v="EVERYDAY PRODUCTS"/>
    <s v="S-ACCESSORIES &amp; DECORS"/>
  </r>
  <r>
    <n v="51029"/>
    <s v="EVERYDAY PRODUCTS"/>
    <s v="S-ACCESSORIES &amp; DECORS"/>
  </r>
  <r>
    <n v="33050"/>
    <s v="EVERYDAY PRODUCTS"/>
    <s v="S-ACCESSORIES &amp; DECORS"/>
  </r>
  <r>
    <n v="70987"/>
    <s v="EVERYDAY PRODUCTS"/>
    <s v="S-ACCESSORIES &amp; DECORS"/>
  </r>
  <r>
    <n v="70959"/>
    <s v="EVERYDAY PRODUCTS"/>
    <s v="S-ACCESSORIES &amp; DECORS"/>
  </r>
  <r>
    <n v="70959"/>
    <s v="EVERYDAY PRODUCTS"/>
    <s v="S-ACCESSORIES &amp; DECORS"/>
  </r>
  <r>
    <n v="33099"/>
    <s v="EVERYDAY PRODUCTS"/>
    <s v="S-ACCESSORIES &amp; DECORS"/>
  </r>
  <r>
    <n v="33099"/>
    <s v="EVERYDAY PRODUCTS"/>
    <s v="S-ACCESSORIES &amp; DECORS"/>
  </r>
  <r>
    <n v="43197"/>
    <s v="EVERYDAY PRODUCTS"/>
    <s v="S-ACCESSORIES &amp; DECORS"/>
  </r>
  <r>
    <n v="43206"/>
    <s v="EVERYDAY PRODUCTS"/>
    <s v="S-ACCESSORIES &amp; DECORS"/>
  </r>
  <r>
    <n v="51106"/>
    <s v="EVERYDAY PRODUCTS"/>
    <s v="S-ACCESSORIES &amp; DECORS"/>
  </r>
  <r>
    <n v="51106"/>
    <s v="EVERYDAY PRODUCTS"/>
    <s v="S-ACCESSORIES &amp; DECORS"/>
  </r>
  <r>
    <n v="51100"/>
    <s v="EVERYDAY PRODUCTS"/>
    <s v="S-ACCESSORIES &amp; DECORS"/>
  </r>
  <r>
    <n v="33147"/>
    <s v="EVERYDAY PRODUCTS"/>
    <s v="S-ACCESSORIES &amp; DECORS"/>
  </r>
  <r>
    <n v="43222"/>
    <s v="EVERYDAY PRODUCTS"/>
    <s v="S-ACCESSORIES &amp; DECORS"/>
  </r>
  <r>
    <n v="33120"/>
    <s v="EVERYDAY PRODUCTS"/>
    <s v="S-ACCESSORIES &amp; DECORS"/>
  </r>
  <r>
    <n v="51144"/>
    <s v="EVERYDAY PRODUCTS"/>
    <s v="S-ACCESSORIES &amp; DECORS"/>
  </r>
  <r>
    <n v="51144"/>
    <s v="EVERYDAY PRODUCTS"/>
    <s v="S-ACCESSORIES &amp; DECORS"/>
  </r>
  <r>
    <n v="51178"/>
    <s v="EVERYDAY PRODUCTS"/>
    <s v="S-ACCESSORIES &amp; DECORS"/>
  </r>
  <r>
    <n v="51178"/>
    <s v="EVERYDAY PRODUCTS"/>
    <s v="S-ACCESSORIES &amp; DECORS"/>
  </r>
  <r>
    <n v="51184"/>
    <s v="EVERYDAY PRODUCTS"/>
    <s v="S-ACCESSORIES &amp; DECORS"/>
  </r>
  <r>
    <n v="71185"/>
    <s v="EVERYDAY PRODUCTS"/>
    <s v="S-ACCESSORIES &amp; DECORS"/>
  </r>
  <r>
    <n v="43346"/>
    <s v="EVERYDAY PRODUCTS"/>
    <s v="S-ACCESSORIES &amp; DECORS"/>
  </r>
  <r>
    <n v="43355"/>
    <s v="EVERYDAY PRODUCTS"/>
    <s v="S-ACCESSORIES &amp; DECORS"/>
  </r>
  <r>
    <n v="71228"/>
    <s v="EVERYDAY PRODUCTS"/>
    <s v="S-ACCESSORIES &amp; DECORS"/>
  </r>
  <r>
    <n v="71226"/>
    <s v="EVERYDAY PRODUCTS"/>
    <s v="S-ACCESSORIES &amp; DECORS"/>
  </r>
  <r>
    <n v="43353"/>
    <s v="EVERYDAY PRODUCTS"/>
    <s v="S-ACCESSORIES &amp; DECORS"/>
  </r>
  <r>
    <n v="43353"/>
    <s v="EVERYDAY PRODUCTS"/>
    <s v="S-ACCESSORIES &amp; DECORS"/>
  </r>
  <r>
    <n v="43353"/>
    <s v="EVERYDAY PRODUCTS"/>
    <s v="S-ACCESSORIES &amp; DECORS"/>
  </r>
  <r>
    <n v="71228"/>
    <s v="EVERYDAY PRODUCTS"/>
    <s v="S-ACCESSORIES &amp; DECORS"/>
  </r>
  <r>
    <n v="71219"/>
    <s v="EVERYDAY PRODUCTS"/>
    <s v="S-ACCESSORIES &amp; DECORS"/>
  </r>
  <r>
    <n v="71219"/>
    <s v="EVERYDAY PRODUCTS"/>
    <s v="S-ACCESSORIES &amp; DECORS"/>
  </r>
  <r>
    <n v="71219"/>
    <s v="EVERYDAY PRODUCTS"/>
    <s v="S-ACCESSORIES &amp; DECORS"/>
  </r>
  <r>
    <n v="71228"/>
    <s v="EVERYDAY PRODUCTS"/>
    <s v="S-ACCESSORIES &amp; DECORS"/>
  </r>
  <r>
    <n v="43355"/>
    <s v="EVERYDAY PRODUCTS"/>
    <s v="S-ACCESSORIES &amp; DECORS"/>
  </r>
  <r>
    <n v="71228"/>
    <s v="EVERYDAY PRODUCTS"/>
    <s v="S-ACCESSORIES &amp; DECORS"/>
  </r>
  <r>
    <n v="51233"/>
    <s v="EVERYDAY PRODUCTS"/>
    <s v="S-ACCESSORIES &amp; DECORS"/>
  </r>
  <r>
    <n v="51233"/>
    <s v="EVERYDAY PRODUCTS"/>
    <s v="S-ACCESSORIES &amp; DECORS"/>
  </r>
  <r>
    <n v="51233"/>
    <s v="EVERYDAY PRODUCTS"/>
    <s v="S-ACCESSORIES &amp; DECORS"/>
  </r>
  <r>
    <n v="71219"/>
    <s v="EVERYDAY PRODUCTS"/>
    <s v="S-ACCESSORIES &amp; DECORS"/>
  </r>
  <r>
    <n v="43389"/>
    <s v="EVERYDAY PRODUCTS"/>
    <s v="S-ACCESSORIES &amp; DECORS"/>
  </r>
  <r>
    <n v="71261"/>
    <s v="EVERYDAY PRODUCTS"/>
    <s v="S-ACCESSORIES &amp; DECORS"/>
  </r>
  <r>
    <n v="33209"/>
    <s v="EVERYDAY PRODUCTS"/>
    <s v="S-ACCESSORIES &amp; DECORS"/>
  </r>
  <r>
    <n v="43425"/>
    <s v="EVERYDAY PRODUCTS"/>
    <s v="S-ACCESSORIES &amp; DECORS"/>
  </r>
  <r>
    <n v="43425"/>
    <s v="EVERYDAY PRODUCTS"/>
    <s v="S-ACCESSORIES &amp; DECORS"/>
  </r>
  <r>
    <n v="51330"/>
    <s v="EVERYDAY PRODUCTS"/>
    <s v="S-ACCESSORIES &amp; DECORS"/>
  </r>
  <r>
    <n v="43425"/>
    <s v="EVERYDAY PRODUCTS"/>
    <s v="S-ACCESSORIES &amp; DECORS"/>
  </r>
  <r>
    <n v="33231"/>
    <s v="EVERYDAY PRODUCTS"/>
    <s v="S-ACCESSORIES &amp; DECORS"/>
  </r>
  <r>
    <n v="43451"/>
    <s v="EVERYDAY PRODUCTS"/>
    <s v="S-ACCESSORIES &amp; DECORS"/>
  </r>
  <r>
    <n v="43451"/>
    <s v="EVERYDAY PRODUCTS"/>
    <s v="S-ACCESSORIES &amp; DECORS"/>
  </r>
  <r>
    <n v="51372"/>
    <s v="EVERYDAY PRODUCTS"/>
    <s v="S-ACCESSORIES &amp; DECORS"/>
  </r>
  <r>
    <n v="43466"/>
    <s v="EVERYDAY PRODUCTS"/>
    <s v="S-ACCESSORIES &amp; DECORS"/>
  </r>
  <r>
    <n v="43466"/>
    <s v="EVERYDAY PRODUCTS"/>
    <s v="S-ACCESSORIES &amp; DECORS"/>
  </r>
  <r>
    <n v="43466"/>
    <s v="EVERYDAY PRODUCTS"/>
    <s v="S-ACCESSORIES &amp; DECORS"/>
  </r>
  <r>
    <n v="51377"/>
    <s v="EVERYDAY PRODUCTS"/>
    <s v="S-ACCESSORIES &amp; DECORS"/>
  </r>
  <r>
    <n v="43472"/>
    <s v="EVERYDAY PRODUCTS"/>
    <s v="S-ACCESSORIES &amp; DECORS"/>
  </r>
  <r>
    <n v="43466"/>
    <s v="EVERYDAY PRODUCTS"/>
    <s v="S-ACCESSORIES &amp; DECORS"/>
  </r>
  <r>
    <n v="51377"/>
    <s v="EVERYDAY PRODUCTS"/>
    <s v="S-ACCESSORIES &amp; DECORS"/>
  </r>
  <r>
    <n v="43472"/>
    <s v="EVERYDAY PRODUCTS"/>
    <s v="S-ACCESSORIES &amp; DECORS"/>
  </r>
  <r>
    <n v="51394"/>
    <s v="EVERYDAY PRODUCTS"/>
    <s v="S-ACCESSORIES &amp; DECORS"/>
  </r>
  <r>
    <n v="33297"/>
    <s v="EVERYDAY PRODUCTS"/>
    <s v="S-ACCESSORIES &amp; DECORS"/>
  </r>
  <r>
    <n v="51412"/>
    <s v="EVERYDAY PRODUCTS"/>
    <s v="S-ACCESSORIES &amp; DECORS"/>
  </r>
  <r>
    <n v="51420"/>
    <s v="EVERYDAY PRODUCTS"/>
    <s v="S-ACCESSORIES &amp; DECORS"/>
  </r>
  <r>
    <n v="71410"/>
    <s v="EVERYDAY PRODUCTS"/>
    <s v="S-ACCESSORIES &amp; DECORS"/>
  </r>
  <r>
    <n v="71410"/>
    <s v="EVERYDAY PRODUCTS"/>
    <s v="S-ACCESSORIES &amp; DECORS"/>
  </r>
  <r>
    <n v="43497"/>
    <s v="EVERYDAY PRODUCTS"/>
    <s v="S-ACCESSORIES &amp; DECORS"/>
  </r>
  <r>
    <n v="33368"/>
    <s v="EVERYDAY PRODUCTS"/>
    <s v="S-ACCESSORIES &amp; DECORS"/>
  </r>
  <r>
    <n v="33368"/>
    <s v="EVERYDAY PRODUCTS"/>
    <s v="S-ACCESSORIES &amp; DECORS"/>
  </r>
  <r>
    <n v="33369"/>
    <s v="EVERYDAY PRODUCTS"/>
    <s v="S-ACCESSORIES &amp; DECORS"/>
  </r>
  <r>
    <n v="51429"/>
    <s v="EVERYDAY PRODUCTS"/>
    <s v="S-ACCESSORIES &amp; DECORS"/>
  </r>
  <r>
    <n v="33368"/>
    <s v="EVERYDAY PRODUCTS"/>
    <s v="S-ACCESSORIES &amp; DECORS"/>
  </r>
  <r>
    <n v="33368"/>
    <s v="EVERYDAY PRODUCTS"/>
    <s v="S-ACCESSORIES &amp; DECORS"/>
  </r>
  <r>
    <n v="33368"/>
    <s v="EVERYDAY PRODUCTS"/>
    <s v="S-ACCESSORIES &amp; DECORS"/>
  </r>
  <r>
    <n v="33368"/>
    <s v="EVERYDAY PRODUCTS"/>
    <s v="S-ACCESSORIES &amp; DECORS"/>
  </r>
  <r>
    <n v="33368"/>
    <s v="EVERYDAY PRODUCTS"/>
    <s v="S-ACCESSORIES &amp; DECORS"/>
  </r>
  <r>
    <n v="33368"/>
    <s v="EVERYDAY PRODUCTS"/>
    <s v="S-ACCESSORIES &amp; DECORS"/>
  </r>
  <r>
    <n v="71410"/>
    <s v="EVERYDAY PRODUCTS"/>
    <s v="S-ACCESSORIES &amp; DECORS"/>
  </r>
  <r>
    <n v="71410"/>
    <s v="EVERYDAY PRODUCTS"/>
    <s v="S-ACCESSORIES &amp; DECORS"/>
  </r>
  <r>
    <n v="71410"/>
    <s v="EVERYDAY PRODUCTS"/>
    <s v="S-ACCESSORIES &amp; DECORS"/>
  </r>
  <r>
    <n v="33369"/>
    <s v="EVERYDAY PRODUCTS"/>
    <s v="S-ACCESSORIES &amp; DECORS"/>
  </r>
  <r>
    <n v="33369"/>
    <s v="EVERYDAY PRODUCTS"/>
    <s v="S-ACCESSORIES &amp; DECORS"/>
  </r>
  <r>
    <n v="33369"/>
    <s v="EVERYDAY PRODUCTS"/>
    <s v="S-ACCESSORIES &amp; DECORS"/>
  </r>
  <r>
    <n v="33369"/>
    <s v="EVERYDAY PRODUCTS"/>
    <s v="S-ACCESSORIES &amp; DECORS"/>
  </r>
  <r>
    <n v="33369"/>
    <s v="EVERYDAY PRODUCTS"/>
    <s v="S-ACCESSORIES &amp; DECORS"/>
  </r>
  <r>
    <n v="33369"/>
    <s v="EVERYDAY PRODUCTS"/>
    <s v="S-ACCESSORIES &amp; DECORS"/>
  </r>
  <r>
    <n v="51436"/>
    <s v="EVERYDAY PRODUCTS"/>
    <s v="S-ACCESSORIES &amp; DECORS"/>
  </r>
  <r>
    <n v="71428"/>
    <s v="EVERYDAY PRODUCTS"/>
    <s v="S-ACCESSORIES &amp; DECORS"/>
  </r>
  <r>
    <n v="33368"/>
    <s v="EVERYDAY PRODUCTS"/>
    <s v="S-ACCESSORIES &amp; DECORS"/>
  </r>
  <r>
    <n v="33368"/>
    <s v="EVERYDAY PRODUCTS"/>
    <s v="S-ACCESSORIES &amp; DECORS"/>
  </r>
  <r>
    <n v="33368"/>
    <s v="EVERYDAY PRODUCTS"/>
    <s v="S-ACCESSORIES &amp; DECORS"/>
  </r>
  <r>
    <n v="33368"/>
    <s v="EVERYDAY PRODUCTS"/>
    <s v="S-ACCESSORIES &amp; DECORS"/>
  </r>
  <r>
    <n v="33368"/>
    <s v="EVERYDAY PRODUCTS"/>
    <s v="S-ACCESSORIES &amp; DECORS"/>
  </r>
  <r>
    <n v="33368"/>
    <s v="EVERYDAY PRODUCTS"/>
    <s v="S-ACCESSORIES &amp; DECORS"/>
  </r>
  <r>
    <n v="33369"/>
    <s v="EVERYDAY PRODUCTS"/>
    <s v="S-ACCESSORIES &amp; DECORS"/>
  </r>
  <r>
    <n v="33369"/>
    <s v="EVERYDAY PRODUCTS"/>
    <s v="S-ACCESSORIES &amp; DECORS"/>
  </r>
  <r>
    <n v="33369"/>
    <s v="EVERYDAY PRODUCTS"/>
    <s v="S-ACCESSORIES &amp; DECORS"/>
  </r>
  <r>
    <n v="33369"/>
    <s v="EVERYDAY PRODUCTS"/>
    <s v="S-ACCESSORIES &amp; DECORS"/>
  </r>
  <r>
    <n v="51436"/>
    <s v="EVERYDAY PRODUCTS"/>
    <s v="S-ACCESSORIES &amp; DECORS"/>
  </r>
  <r>
    <n v="33369"/>
    <s v="EVERYDAY PRODUCTS"/>
    <s v="S-ACCESSORIES &amp; DECORS"/>
  </r>
  <r>
    <n v="43514"/>
    <s v="EVERYDAY PRODUCTS"/>
    <s v="S-ACCESSORIES &amp; DECORS"/>
  </r>
  <r>
    <n v="43514"/>
    <s v="EVERYDAY PRODUCTS"/>
    <s v="S-ACCESSORIES &amp; DECORS"/>
  </r>
  <r>
    <n v="71475"/>
    <s v="EVERYDAY PRODUCTS"/>
    <s v="S-ACCESSORIES &amp; DECORS"/>
  </r>
  <r>
    <n v="33400"/>
    <s v="EVERYDAY PRODUCTS"/>
    <s v="S-ACCESSORIES &amp; DECORS"/>
  </r>
  <r>
    <n v="33397"/>
    <s v="EVERYDAY PRODUCTS"/>
    <s v="S-ACCESSORIES &amp; DECORS"/>
  </r>
  <r>
    <n v="71475"/>
    <s v="EVERYDAY PRODUCTS"/>
    <s v="S-ACCESSORIES &amp; DECORS"/>
  </r>
  <r>
    <n v="33419"/>
    <s v="EVERYDAY PRODUCTS"/>
    <s v="S-ACCESSORIES &amp; DECORS"/>
  </r>
  <r>
    <n v="43559"/>
    <s v="EVERYDAY PRODUCTS"/>
    <s v="S-ACCESSORIES &amp; DECORS"/>
  </r>
  <r>
    <n v="51484"/>
    <s v="EVERYDAY PRODUCTS"/>
    <s v="S-ACCESSORIES &amp; DECORS"/>
  </r>
  <r>
    <n v="51496"/>
    <s v="EVERYDAY PRODUCTS"/>
    <s v="S-ACCESSORIES &amp; DECORS"/>
  </r>
  <r>
    <n v="51496"/>
    <s v="EVERYDAY PRODUCTS"/>
    <s v="S-ACCESSORIES &amp; DECORS"/>
  </r>
  <r>
    <n v="43567"/>
    <s v="EVERYDAY PRODUCTS"/>
    <s v="S-ACCESSORIES &amp; DECORS"/>
  </r>
  <r>
    <n v="33477"/>
    <s v="EVERYDAY PRODUCTS"/>
    <s v="S-ACCESSORIES &amp; DECORS"/>
  </r>
  <r>
    <n v="33477"/>
    <s v="EVERYDAY PRODUCTS"/>
    <s v="S-ACCESSORIES &amp; DECORS"/>
  </r>
  <r>
    <n v="43622"/>
    <s v="EVERYDAY PRODUCTS"/>
    <s v="S-ACCESSORIES &amp; DECORS"/>
  </r>
  <r>
    <n v="43582"/>
    <s v="EVERYDAY PRODUCTS"/>
    <s v="S-ACCESSORIES &amp; DECORS"/>
  </r>
  <r>
    <n v="71593"/>
    <s v="EVERYDAY PRODUCTS"/>
    <s v="S-ACCESSORIES &amp; DECORS"/>
  </r>
  <r>
    <n v="71593"/>
    <s v="EVERYDAY PRODUCTS"/>
    <s v="S-ACCESSORIES &amp; DECORS"/>
  </r>
  <r>
    <n v="51523"/>
    <s v="EVERYDAY PRODUCTS"/>
    <s v="S-ACCESSORIES &amp; DECORS"/>
  </r>
  <r>
    <n v="33477"/>
    <s v="EVERYDAY PRODUCTS"/>
    <s v="S-ACCESSORIES &amp; DECORS"/>
  </r>
  <r>
    <n v="33477"/>
    <s v="EVERYDAY PRODUCTS"/>
    <s v="S-ACCESSORIES &amp; DECORS"/>
  </r>
  <r>
    <n v="33477"/>
    <s v="EVERYDAY PRODUCTS"/>
    <s v="S-ACCESSORIES &amp; DECORS"/>
  </r>
  <r>
    <n v="71593"/>
    <s v="EVERYDAY PRODUCTS"/>
    <s v="S-ACCESSORIES &amp; DECORS"/>
  </r>
  <r>
    <n v="33477"/>
    <s v="EVERYDAY PRODUCTS"/>
    <s v="S-ACCESSORIES &amp; DECORS"/>
  </r>
  <r>
    <n v="51638"/>
    <s v="EVERYDAY PRODUCTS"/>
    <s v="S-ACCESSORIES &amp; DECORS"/>
  </r>
  <r>
    <n v="33551"/>
    <s v="EVERYDAY PRODUCTS"/>
    <s v="S-ACCESSORIES &amp; DECORS"/>
  </r>
  <r>
    <n v="33551"/>
    <s v="EVERYDAY PRODUCTS"/>
    <s v="S-ACCESSORIES &amp; DECORS"/>
  </r>
  <r>
    <n v="51638"/>
    <s v="EVERYDAY PRODUCTS"/>
    <s v="S-ACCESSORIES &amp; DECORS"/>
  </r>
  <r>
    <n v="51633"/>
    <s v="EVERYDAY PRODUCTS"/>
    <s v="S-ACCESSORIES &amp; DECORS"/>
  </r>
  <r>
    <n v="51633"/>
    <s v="EVERYDAY PRODUCTS"/>
    <s v="S-ACCESSORIES &amp; DECORS"/>
  </r>
  <r>
    <n v="33551"/>
    <s v="EVERYDAY PRODUCTS"/>
    <s v="S-ACCESSORIES &amp; DECORS"/>
  </r>
  <r>
    <n v="33551"/>
    <s v="EVERYDAY PRODUCTS"/>
    <s v="S-ACCESSORIES &amp; DECORS"/>
  </r>
  <r>
    <n v="33566"/>
    <s v="EVERYDAY PRODUCTS"/>
    <s v="S-ACCESSORIES &amp; DECORS"/>
  </r>
  <r>
    <n v="43712"/>
    <s v="EVERYDAY PRODUCTS"/>
    <s v="S-ACCESSORIES &amp; DECORS"/>
  </r>
  <r>
    <n v="43712"/>
    <s v="EVERYDAY PRODUCTS"/>
    <s v="S-ACCESSORIES &amp; DECORS"/>
  </r>
  <r>
    <n v="51678"/>
    <s v="EVERYDAY PRODUCTS"/>
    <s v="S-ACCESSORIES &amp; DECORS"/>
  </r>
  <r>
    <n v="71683"/>
    <s v="EVERYDAY PRODUCTS"/>
    <s v="S-ACCESSORIES &amp; DECORS"/>
  </r>
  <r>
    <n v="33627"/>
    <s v="EVERYDAY PRODUCTS"/>
    <s v="S-ACCESSORIES &amp; DECORS"/>
  </r>
  <r>
    <n v="33629"/>
    <s v="EVERYDAY PRODUCTS"/>
    <s v="S-ACCESSORIES &amp; DECORS"/>
  </r>
  <r>
    <n v="33625"/>
    <s v="EVERYDAY PRODUCTS"/>
    <s v="S-ACCESSORIES &amp; DECORS"/>
  </r>
  <r>
    <n v="71714"/>
    <s v="EVERYDAY PRODUCTS"/>
    <s v="S-ACCESSORIES &amp; DECORS"/>
  </r>
  <r>
    <n v="71808"/>
    <s v="EVERYDAY PRODUCTS"/>
    <s v="S-ACCESSORIES &amp; DECORS"/>
  </r>
  <r>
    <n v="33708"/>
    <s v="EVERYDAY PRODUCTS"/>
    <s v="S-ACCESSORIES &amp; DECORS"/>
  </r>
  <r>
    <n v="71813"/>
    <s v="EVERYDAY PRODUCTS"/>
    <s v="S-ACCESSORIES &amp; DECORS"/>
  </r>
  <r>
    <n v="71816"/>
    <s v="EVERYDAY PRODUCTS"/>
    <s v="S-ACCESSORIES &amp; DECORS"/>
  </r>
  <r>
    <n v="71934"/>
    <s v="EVERYDAY PRODUCTS"/>
    <s v="S-ACCESSORIES &amp; DECORS"/>
  </r>
  <r>
    <n v="51831"/>
    <s v="EVERYDAY PRODUCTS"/>
    <s v="S-ACCESSORIES &amp; DECORS"/>
  </r>
  <r>
    <n v="51831"/>
    <s v="EVERYDAY PRODUCTS"/>
    <s v="S-ACCESSORIES &amp; DECORS"/>
  </r>
  <r>
    <n v="51831"/>
    <s v="EVERYDAY PRODUCTS"/>
    <s v="S-ACCESSORIES &amp; DECORS"/>
  </r>
  <r>
    <n v="33789"/>
    <s v="EVERYDAY PRODUCTS"/>
    <s v="S-ACCESSORIES &amp; DECORS"/>
  </r>
  <r>
    <n v="33832"/>
    <s v="EVERYDAY PRODUCTS"/>
    <s v="S-ACCESSORIES &amp; DECORS"/>
  </r>
  <r>
    <n v="33832"/>
    <s v="EVERYDAY PRODUCTS"/>
    <s v="S-ACCESSORIES &amp; DECORS"/>
  </r>
  <r>
    <n v="51861"/>
    <s v="EVERYDAY PRODUCTS"/>
    <s v="S-ACCESSORIES &amp; DECORS"/>
  </r>
  <r>
    <n v="51861"/>
    <s v="EVERYDAY PRODUCTS"/>
    <s v="S-ACCESSORIES &amp; DECORS"/>
  </r>
  <r>
    <n v="43870"/>
    <s v="EVERYDAY PRODUCTS"/>
    <s v="S-ACCESSORIES &amp; DECORS"/>
  </r>
  <r>
    <n v="51861"/>
    <s v="EVERYDAY PRODUCTS"/>
    <s v="S-ACCESSORIES &amp; DECORS"/>
  </r>
  <r>
    <n v="72032"/>
    <s v="EVERYDAY PRODUCTS"/>
    <s v="S-ACCESSORIES &amp; DECORS"/>
  </r>
  <r>
    <n v="72036"/>
    <s v="EVERYDAY PRODUCTS"/>
    <s v="S-ACCESSORIES &amp; DECORS"/>
  </r>
  <r>
    <n v="43894"/>
    <s v="EVERYDAY PRODUCTS"/>
    <s v="S-ACCESSORIES &amp; DECORS"/>
  </r>
  <r>
    <n v="33873"/>
    <s v="EVERYDAY PRODUCTS"/>
    <s v="S-ACCESSORIES &amp; DECORS"/>
  </r>
  <r>
    <n v="43899"/>
    <s v="EVERYDAY PRODUCTS"/>
    <s v="S-ACCESSORIES &amp; DECORS"/>
  </r>
  <r>
    <n v="51884"/>
    <s v="EVERYDAY PRODUCTS"/>
    <s v="S-ACCESSORIES &amp; DECORS"/>
  </r>
  <r>
    <n v="33911"/>
    <s v="EVERYDAY PRODUCTS"/>
    <s v="S-ACCESSORIES &amp; DECORS"/>
  </r>
  <r>
    <n v="33911"/>
    <s v="EVERYDAY PRODUCTS"/>
    <s v="S-ACCESSORIES &amp; DECORS"/>
  </r>
  <r>
    <n v="33876"/>
    <s v="EVERYDAY PRODUCTS"/>
    <s v="S-ACCESSORIES &amp; DECORS"/>
  </r>
  <r>
    <n v="33893"/>
    <s v="EVERYDAY PRODUCTS"/>
    <s v="S-ACCESSORIES &amp; DECORS"/>
  </r>
  <r>
    <n v="33893"/>
    <s v="EVERYDAY PRODUCTS"/>
    <s v="S-ACCESSORIES &amp; DECORS"/>
  </r>
  <r>
    <n v="33934"/>
    <s v="EVERYDAY PRODUCTS"/>
    <s v="S-ACCESSORIES &amp; DECORS"/>
  </r>
  <r>
    <n v="33934"/>
    <s v="EVERYDAY PRODUCTS"/>
    <s v="S-ACCESSORIES &amp; DECORS"/>
  </r>
  <r>
    <n v="51937"/>
    <s v="EVERYDAY PRODUCTS"/>
    <s v="S-ACCESSORIES &amp; DECORS"/>
  </r>
  <r>
    <n v="51937"/>
    <s v="EVERYDAY PRODUCTS"/>
    <s v="S-ACCESSORIES &amp; DECORS"/>
  </r>
  <r>
    <n v="51937"/>
    <s v="EVERYDAY PRODUCTS"/>
    <s v="S-ACCESSORIES &amp; DECORS"/>
  </r>
  <r>
    <n v="72042"/>
    <s v="EVERYDAY PRODUCTS"/>
    <s v="S-ACCESSORIES &amp; DECORS"/>
  </r>
  <r>
    <n v="51948"/>
    <s v="EVERYDAY PRODUCTS"/>
    <s v="S-ACCESSORIES &amp; DECORS"/>
  </r>
  <r>
    <n v="51937"/>
    <s v="EVERYDAY PRODUCTS"/>
    <s v="S-ACCESSORIES &amp; DECORS"/>
  </r>
  <r>
    <n v="51950"/>
    <s v="EVERYDAY PRODUCTS"/>
    <s v="S-ACCESSORIES &amp; DECORS"/>
  </r>
  <r>
    <n v="51950"/>
    <s v="EVERYDAY PRODUCTS"/>
    <s v="S-ACCESSORIES &amp; DECORS"/>
  </r>
  <r>
    <n v="51950"/>
    <s v="EVERYDAY PRODUCTS"/>
    <s v="S-ACCESSORIES &amp; DECORS"/>
  </r>
  <r>
    <n v="33987"/>
    <s v="EVERYDAY PRODUCTS"/>
    <s v="S-ACCESSORIES &amp; DECORS"/>
  </r>
  <r>
    <n v="33995"/>
    <s v="EVERYDAY PRODUCTS"/>
    <s v="S-ACCESSORIES &amp; DECORS"/>
  </r>
  <r>
    <n v="43942"/>
    <s v="EVERYDAY PRODUCTS"/>
    <s v="S-ACCESSORIES &amp; DECORS"/>
  </r>
  <r>
    <n v="34013"/>
    <s v="EVERYDAY PRODUCTS"/>
    <s v="S-ACCESSORIES &amp; DECORS"/>
  </r>
  <r>
    <n v="72146"/>
    <s v="EVERYDAY PRODUCTS"/>
    <s v="S-ACCESSORIES &amp; DECORS"/>
  </r>
  <r>
    <n v="72146"/>
    <s v="EVERYDAY PRODUCTS"/>
    <s v="S-ACCESSORIES &amp; DECORS"/>
  </r>
  <r>
    <n v="72147"/>
    <s v="EVERYDAY PRODUCTS"/>
    <s v="S-ACCESSORIES &amp; DECORS"/>
  </r>
  <r>
    <n v="34013"/>
    <s v="EVERYDAY PRODUCTS"/>
    <s v="S-ACCESSORIES &amp; DECORS"/>
  </r>
  <r>
    <n v="34013"/>
    <s v="EVERYDAY PRODUCTS"/>
    <s v="S-ACCESSORIES &amp; DECORS"/>
  </r>
  <r>
    <n v="52009"/>
    <s v="EVERYDAY PRODUCTS"/>
    <s v="S-ACCESSORIES &amp; DECORS"/>
  </r>
  <r>
    <n v="44024"/>
    <s v="EVERYDAY PRODUCTS"/>
    <s v="S-ACCESSORIES &amp; DECORS"/>
  </r>
  <r>
    <n v="52037"/>
    <s v="EVERYDAY PRODUCTS"/>
    <s v="S-ACCESSORIES &amp; DECORS"/>
  </r>
  <r>
    <n v="52047"/>
    <s v="EVERYDAY PRODUCTS"/>
    <s v="S-ACCESSORIES &amp; DECORS"/>
  </r>
  <r>
    <n v="34061"/>
    <s v="EVERYDAY PRODUCTS"/>
    <s v="S-ACCESSORIES &amp; DECORS"/>
  </r>
  <r>
    <n v="52070"/>
    <s v="EVERYDAY PRODUCTS"/>
    <s v="S-ACCESSORIES &amp; DECORS"/>
  </r>
  <r>
    <n v="34061"/>
    <s v="EVERYDAY PRODUCTS"/>
    <s v="S-ACCESSORIES &amp; DECORS"/>
  </r>
  <r>
    <n v="72309"/>
    <s v="EVERYDAY PRODUCTS"/>
    <s v="S-ACCESSORIES &amp; DECORS"/>
  </r>
  <r>
    <n v="72265"/>
    <s v="EVERYDAY PRODUCTS"/>
    <s v="S-ACCESSORIES &amp; DECORS"/>
  </r>
  <r>
    <n v="72265"/>
    <s v="EVERYDAY PRODUCTS"/>
    <s v="S-ACCESSORIES &amp; DECORS"/>
  </r>
  <r>
    <n v="34136"/>
    <s v="EVERYDAY PRODUCTS"/>
    <s v="S-ACCESSORIES &amp; DECORS"/>
  </r>
  <r>
    <n v="34126"/>
    <s v="EVERYDAY PRODUCTS"/>
    <s v="S-ACCESSORIES &amp; DECORS"/>
  </r>
  <r>
    <n v="34126"/>
    <s v="EVERYDAY PRODUCTS"/>
    <s v="S-ACCESSORIES &amp; DECORS"/>
  </r>
  <r>
    <n v="52156"/>
    <s v="EVERYDAY PRODUCTS"/>
    <s v="S-ACCESSORIES &amp; DECORS"/>
  </r>
  <r>
    <n v="52156"/>
    <s v="EVERYDAY PRODUCTS"/>
    <s v="S-ACCESSORIES &amp; DECORS"/>
  </r>
  <r>
    <n v="52136"/>
    <s v="EVERYDAY PRODUCTS"/>
    <s v="S-ACCESSORIES &amp; DECORS"/>
  </r>
  <r>
    <n v="52136"/>
    <s v="EVERYDAY PRODUCTS"/>
    <s v="S-ACCESSORIES &amp; DECORS"/>
  </r>
  <r>
    <n v="72392"/>
    <s v="EVERYDAY PRODUCTS"/>
    <s v="S-ACCESSORIES &amp; DECORS"/>
  </r>
  <r>
    <n v="72392"/>
    <s v="EVERYDAY PRODUCTS"/>
    <s v="S-ACCESSORIES &amp; DECORS"/>
  </r>
  <r>
    <n v="34189"/>
    <s v="EVERYDAY PRODUCTS"/>
    <s v="S-ACCESSORIES &amp; DECORS"/>
  </r>
  <r>
    <n v="34205"/>
    <s v="EVERYDAY PRODUCTS"/>
    <s v="S-ACCESSORIES &amp; DECORS"/>
  </r>
  <r>
    <n v="52179"/>
    <s v="EVERYDAY PRODUCTS"/>
    <s v="S-ACCESSORIES &amp; DECORS"/>
  </r>
  <r>
    <n v="34183"/>
    <s v="EVERYDAY PRODUCTS"/>
    <s v="S-ACCESSORIES &amp; DECORS"/>
  </r>
  <r>
    <n v="72943"/>
    <s v="EVERYDAY PRODUCTS"/>
    <s v="S-ACCESSORIES &amp; DECORS"/>
  </r>
  <r>
    <n v="72943"/>
    <s v="EVERYDAY PRODUCTS"/>
    <s v="S-ACCESSORIES &amp; DECORS"/>
  </r>
  <r>
    <n v="31136"/>
    <s v="EVERYDAY PRODUCTS"/>
    <s v="S-ACCESSORIES &amp; DECORS"/>
  </r>
  <r>
    <n v="72972"/>
    <s v="EVERYDAY PRODUCTS"/>
    <s v="S-ACCESSORIES &amp; DECORS"/>
  </r>
  <r>
    <n v="65326"/>
    <s v="EVERYDAY PRODUCTS"/>
    <s v="S-ACCESSORIES &amp; DECORS"/>
  </r>
  <r>
    <n v="72953"/>
    <s v="EVERYDAY PRODUCTS"/>
    <s v="S-ACCESSORIES &amp; DECORS"/>
  </r>
  <r>
    <n v="31145"/>
    <s v="EVERYDAY PRODUCTS"/>
    <s v="S-ACCESSORIES &amp; DECORS"/>
  </r>
  <r>
    <n v="31204"/>
    <s v="EVERYDAY PRODUCTS"/>
    <s v="S-ACCESSORIES &amp; DECORS"/>
  </r>
  <r>
    <n v="65341"/>
    <s v="EVERYDAY PRODUCTS"/>
    <s v="S-ACCESSORIES &amp; DECORS"/>
  </r>
  <r>
    <n v="65353"/>
    <s v="EVERYDAY PRODUCTS"/>
    <s v="S-ACCESSORIES &amp; DECORS"/>
  </r>
  <r>
    <n v="31203"/>
    <s v="EVERYDAY PRODUCTS"/>
    <s v="S-ACCESSORIES &amp; DECORS"/>
  </r>
  <r>
    <n v="65335"/>
    <s v="EVERYDAY PRODUCTS"/>
    <s v="S-ACCESSORIES &amp; DECORS"/>
  </r>
  <r>
    <n v="65355"/>
    <s v="EVERYDAY PRODUCTS"/>
    <s v="S-ACCESSORIES &amp; DECORS"/>
  </r>
  <r>
    <n v="65431"/>
    <s v="EVERYDAY PRODUCTS"/>
    <s v="S-ACCESSORIES &amp; DECORS"/>
  </r>
  <r>
    <n v="65402"/>
    <s v="EVERYDAY PRODUCTS"/>
    <s v="S-ACCESSORIES &amp; DECORS"/>
  </r>
  <r>
    <n v="31260"/>
    <s v="EVERYDAY PRODUCTS"/>
    <s v="S-ACCESSORIES &amp; DECORS"/>
  </r>
  <r>
    <n v="31244"/>
    <s v="EVERYDAY PRODUCTS"/>
    <s v="S-ACCESSORIES &amp; DECORS"/>
  </r>
  <r>
    <n v="31246"/>
    <s v="EVERYDAY PRODUCTS"/>
    <s v="S-ACCESSORIES &amp; DECORS"/>
  </r>
  <r>
    <n v="31260"/>
    <s v="EVERYDAY PRODUCTS"/>
    <s v="S-ACCESSORIES &amp; DECORS"/>
  </r>
  <r>
    <n v="31312"/>
    <s v="EVERYDAY PRODUCTS"/>
    <s v="S-ACCESSORIES &amp; DECORS"/>
  </r>
  <r>
    <n v="73061"/>
    <s v="EVERYDAY PRODUCTS"/>
    <s v="S-ACCESSORIES &amp; DECORS"/>
  </r>
  <r>
    <n v="31304"/>
    <s v="EVERYDAY PRODUCTS"/>
    <s v="S-ACCESSORIES &amp; DECORS"/>
  </r>
  <r>
    <n v="31279"/>
    <s v="EVERYDAY PRODUCTS"/>
    <s v="S-ACCESSORIES &amp; DECORS"/>
  </r>
  <r>
    <n v="31304"/>
    <s v="EVERYDAY PRODUCTS"/>
    <s v="S-ACCESSORIES &amp; DECORS"/>
  </r>
  <r>
    <n v="73093"/>
    <s v="EVERYDAY PRODUCTS"/>
    <s v="S-ACCESSORIES &amp; DECORS"/>
  </r>
  <r>
    <n v="73093"/>
    <s v="EVERYDAY PRODUCTS"/>
    <s v="S-ACCESSORIES &amp; DECORS"/>
  </r>
  <r>
    <n v="73093"/>
    <s v="EVERYDAY PRODUCTS"/>
    <s v="S-ACCESSORIES &amp; DECORS"/>
  </r>
  <r>
    <n v="73089"/>
    <s v="EVERYDAY PRODUCTS"/>
    <s v="S-ACCESSORIES &amp; DECORS"/>
  </r>
  <r>
    <n v="65534"/>
    <s v="EVERYDAY PRODUCTS"/>
    <s v="S-ACCESSORIES &amp; DECORS"/>
  </r>
  <r>
    <n v="65518"/>
    <s v="EVERYDAY PRODUCTS"/>
    <s v="S-ACCESSORIES &amp; DECORS"/>
  </r>
  <r>
    <n v="65520"/>
    <s v="EVERYDAY PRODUCTS"/>
    <s v="S-ACCESSORIES &amp; DECORS"/>
  </r>
  <r>
    <n v="31421"/>
    <s v="EVERYDAY PRODUCTS"/>
    <s v="S-ACCESSORIES &amp; DECORS"/>
  </r>
  <r>
    <n v="65518"/>
    <s v="EVERYDAY PRODUCTS"/>
    <s v="S-ACCESSORIES &amp; DECORS"/>
  </r>
  <r>
    <n v="65518"/>
    <s v="EVERYDAY PRODUCTS"/>
    <s v="S-ACCESSORIES &amp; DECORS"/>
  </r>
  <r>
    <n v="65556"/>
    <s v="EVERYDAY PRODUCTS"/>
    <s v="S-ACCESSORIES &amp; DECORS"/>
  </r>
  <r>
    <n v="65567"/>
    <s v="EVERYDAY PRODUCTS"/>
    <s v="S-ACCESSORIES &amp; DECORS"/>
  </r>
  <r>
    <n v="31472"/>
    <s v="EVERYDAY PRODUCTS"/>
    <s v="S-ACCESSORIES &amp; DECORS"/>
  </r>
  <r>
    <n v="73160"/>
    <s v="EVERYDAY PRODUCTS"/>
    <s v="S-ACCESSORIES &amp; DECORS"/>
  </r>
  <r>
    <n v="31459"/>
    <s v="EVERYDAY PRODUCTS"/>
    <s v="S-ACCESSORIES &amp; DECORS"/>
  </r>
  <r>
    <n v="73207"/>
    <s v="EVERYDAY PRODUCTS"/>
    <s v="S-ACCESSORIES &amp; DECORS"/>
  </r>
  <r>
    <n v="31517"/>
    <s v="EVERYDAY PRODUCTS"/>
    <s v="S-ACCESSORIES &amp; DECORS"/>
  </r>
  <r>
    <n v="31542"/>
    <s v="EVERYDAY PRODUCTS"/>
    <s v="S-ACCESSORIES &amp; DECORS"/>
  </r>
  <r>
    <n v="73251"/>
    <s v="EVERYDAY PRODUCTS"/>
    <s v="S-ACCESSORIES &amp; DECORS"/>
  </r>
  <r>
    <n v="31542"/>
    <s v="EVERYDAY PRODUCTS"/>
    <s v="S-ACCESSORIES &amp; DECORS"/>
  </r>
  <r>
    <n v="31514"/>
    <s v="EVERYDAY PRODUCTS"/>
    <s v="S-ACCESSORIES &amp; DECORS"/>
  </r>
  <r>
    <n v="31517"/>
    <s v="EVERYDAY PRODUCTS"/>
    <s v="S-ACCESSORIES &amp; DECORS"/>
  </r>
  <r>
    <n v="31525"/>
    <s v="EVERYDAY PRODUCTS"/>
    <s v="S-ACCESSORIES &amp; DECORS"/>
  </r>
  <r>
    <n v="65594"/>
    <s v="EVERYDAY PRODUCTS"/>
    <s v="S-ACCESSORIES &amp; DECORS"/>
  </r>
  <r>
    <n v="65595"/>
    <s v="EVERYDAY PRODUCTS"/>
    <s v="S-ACCESSORIES &amp; DECORS"/>
  </r>
  <r>
    <n v="73297"/>
    <s v="EVERYDAY PRODUCTS"/>
    <s v="S-ACCESSORIES &amp; DECORS"/>
  </r>
  <r>
    <n v="73300"/>
    <s v="EVERYDAY PRODUCTS"/>
    <s v="S-ACCESSORIES &amp; DECORS"/>
  </r>
  <r>
    <n v="65679"/>
    <s v="EVERYDAY PRODUCTS"/>
    <s v="S-ACCESSORIES &amp; DECORS"/>
  </r>
  <r>
    <n v="65694"/>
    <s v="EVERYDAY PRODUCTS"/>
    <s v="S-ACCESSORIES &amp; DECORS"/>
  </r>
  <r>
    <n v="73306"/>
    <s v="EVERYDAY PRODUCTS"/>
    <s v="S-ACCESSORIES &amp; DECORS"/>
  </r>
  <r>
    <n v="73333"/>
    <s v="EVERYDAY PRODUCTS"/>
    <s v="S-ACCESSORIES &amp; DECORS"/>
  </r>
  <r>
    <n v="73333"/>
    <s v="EVERYDAY PRODUCTS"/>
    <s v="S-ACCESSORIES &amp; DECORS"/>
  </r>
  <r>
    <n v="31629"/>
    <s v="EVERYDAY PRODUCTS"/>
    <s v="S-ACCESSORIES &amp; DECORS"/>
  </r>
  <r>
    <n v="31600"/>
    <s v="EVERYDAY PRODUCTS"/>
    <s v="S-ACCESSORIES &amp; DECORS"/>
  </r>
  <r>
    <n v="31600"/>
    <s v="EVERYDAY PRODUCTS"/>
    <s v="S-ACCESSORIES &amp; DECORS"/>
  </r>
  <r>
    <n v="31613"/>
    <s v="EVERYDAY PRODUCTS"/>
    <s v="S-ACCESSORIES &amp; DECORS"/>
  </r>
  <r>
    <n v="31613"/>
    <s v="EVERYDAY PRODUCTS"/>
    <s v="S-ACCESSORIES &amp; DECORS"/>
  </r>
  <r>
    <n v="31629"/>
    <s v="EVERYDAY PRODUCTS"/>
    <s v="S-ACCESSORIES &amp; DECORS"/>
  </r>
  <r>
    <n v="73434"/>
    <s v="EVERYDAY PRODUCTS"/>
    <s v="S-ACCESSORIES &amp; DECORS"/>
  </r>
  <r>
    <n v="31642"/>
    <s v="EVERYDAY PRODUCTS"/>
    <s v="S-ACCESSORIES &amp; DECORS"/>
  </r>
  <r>
    <n v="31711"/>
    <s v="EVERYDAY PRODUCTS"/>
    <s v="S-ACCESSORIES &amp; DECORS"/>
  </r>
  <r>
    <n v="73516"/>
    <s v="EVERYDAY PRODUCTS"/>
    <s v="S-ACCESSORIES &amp; DECORS"/>
  </r>
  <r>
    <n v="73516"/>
    <s v="EVERYDAY PRODUCTS"/>
    <s v="S-ACCESSORIES &amp; DECORS"/>
  </r>
  <r>
    <n v="73491"/>
    <s v="EVERYDAY PRODUCTS"/>
    <s v="S-ACCESSORIES &amp; DECORS"/>
  </r>
  <r>
    <n v="73516"/>
    <s v="EVERYDAY PRODUCTS"/>
    <s v="S-ACCESSORIES &amp; DECORS"/>
  </r>
  <r>
    <n v="73516"/>
    <s v="EVERYDAY PRODUCTS"/>
    <s v="S-ACCESSORIES &amp; DECORS"/>
  </r>
  <r>
    <n v="31755"/>
    <s v="EVERYDAY PRODUCTS"/>
    <s v="S-ACCESSORIES &amp; DECORS"/>
  </r>
  <r>
    <n v="73482"/>
    <s v="EVERYDAY PRODUCTS"/>
    <s v="S-ACCESSORIES &amp; DECORS"/>
  </r>
  <r>
    <n v="31698"/>
    <s v="EVERYDAY PRODUCTS"/>
    <s v="S-ACCESSORIES &amp; DECORS"/>
  </r>
  <r>
    <n v="73491"/>
    <s v="EVERYDAY PRODUCTS"/>
    <s v="S-ACCESSORIES &amp; DECORS"/>
  </r>
  <r>
    <n v="73482"/>
    <s v="EVERYDAY PRODUCTS"/>
    <s v="S-ACCESSORIES &amp; DECORS"/>
  </r>
  <r>
    <n v="73491"/>
    <s v="EVERYDAY PRODUCTS"/>
    <s v="S-ACCESSORIES &amp; DECORS"/>
  </r>
  <r>
    <n v="73491"/>
    <s v="EVERYDAY PRODUCTS"/>
    <s v="S-ACCESSORIES &amp; DECORS"/>
  </r>
  <r>
    <n v="73491"/>
    <s v="EVERYDAY PRODUCTS"/>
    <s v="S-ACCESSORIES &amp; DECORS"/>
  </r>
  <r>
    <n v="73491"/>
    <s v="EVERYDAY PRODUCTS"/>
    <s v="S-ACCESSORIES &amp; DECORS"/>
  </r>
  <r>
    <n v="73491"/>
    <s v="EVERYDAY PRODUCTS"/>
    <s v="S-ACCESSORIES &amp; DECORS"/>
  </r>
  <r>
    <n v="73491"/>
    <s v="EVERYDAY PRODUCTS"/>
    <s v="S-ACCESSORIES &amp; DECORS"/>
  </r>
  <r>
    <n v="73499"/>
    <s v="EVERYDAY PRODUCTS"/>
    <s v="S-ACCESSORIES &amp; DECORS"/>
  </r>
  <r>
    <n v="73491"/>
    <s v="EVERYDAY PRODUCTS"/>
    <s v="S-ACCESSORIES &amp; DECORS"/>
  </r>
  <r>
    <n v="73491"/>
    <s v="EVERYDAY PRODUCTS"/>
    <s v="S-ACCESSORIES &amp; DECORS"/>
  </r>
  <r>
    <n v="73606"/>
    <s v="EVERYDAY PRODUCTS"/>
    <s v="S-ACCESSORIES &amp; DECORS"/>
  </r>
  <r>
    <n v="73606"/>
    <s v="EVERYDAY PRODUCTS"/>
    <s v="S-ACCESSORIES &amp; DECORS"/>
  </r>
  <r>
    <n v="73606"/>
    <s v="EVERYDAY PRODUCTS"/>
    <s v="S-ACCESSORIES &amp; DECORS"/>
  </r>
  <r>
    <n v="73606"/>
    <s v="EVERYDAY PRODUCTS"/>
    <s v="S-ACCESSORIES &amp; DECORS"/>
  </r>
  <r>
    <n v="31824"/>
    <s v="EVERYDAY PRODUCTS"/>
    <s v="S-ACCESSORIES &amp; DECORS"/>
  </r>
  <r>
    <n v="31798"/>
    <s v="EVERYDAY PRODUCTS"/>
    <s v="S-ACCESSORIES &amp; DECORS"/>
  </r>
  <r>
    <n v="31818"/>
    <s v="EVERYDAY PRODUCTS"/>
    <s v="S-ACCESSORIES &amp; DECORS"/>
  </r>
  <r>
    <n v="31850"/>
    <s v="EVERYDAY PRODUCTS"/>
    <s v="S-ACCESSORIES &amp; DECORS"/>
  </r>
  <r>
    <n v="65729"/>
    <s v="EVERYDAY PRODUCTS"/>
    <s v="S-ACCESSORIES &amp; DECORS"/>
  </r>
  <r>
    <n v="31798"/>
    <s v="EVERYDAY PRODUCTS"/>
    <s v="S-ACCESSORIES &amp; DECORS"/>
  </r>
  <r>
    <n v="31798"/>
    <s v="EVERYDAY PRODUCTS"/>
    <s v="S-ACCESSORIES &amp; DECORS"/>
  </r>
  <r>
    <n v="31851"/>
    <s v="EVERYDAY PRODUCTS"/>
    <s v="S-ACCESSORIES &amp; DECORS"/>
  </r>
  <r>
    <n v="73590"/>
    <s v="EVERYDAY PRODUCTS"/>
    <s v="S-ACCESSORIES &amp; DECORS"/>
  </r>
  <r>
    <n v="65708"/>
    <s v="EVERYDAY PRODUCTS"/>
    <s v="S-ACCESSORIES &amp; DECORS"/>
  </r>
  <r>
    <n v="31824"/>
    <s v="EVERYDAY PRODUCTS"/>
    <s v="S-ACCESSORIES &amp; DECORS"/>
  </r>
  <r>
    <n v="31824"/>
    <s v="EVERYDAY PRODUCTS"/>
    <s v="S-ACCESSORIES &amp; DECORS"/>
  </r>
  <r>
    <n v="73553"/>
    <s v="EVERYDAY PRODUCTS"/>
    <s v="S-ACCESSORIES &amp; DECORS"/>
  </r>
  <r>
    <n v="73553"/>
    <s v="EVERYDAY PRODUCTS"/>
    <s v="S-ACCESSORIES &amp; DECORS"/>
  </r>
  <r>
    <n v="65729"/>
    <s v="EVERYDAY PRODUCTS"/>
    <s v="S-ACCESSORIES &amp; DECORS"/>
  </r>
  <r>
    <n v="31850"/>
    <s v="EVERYDAY PRODUCTS"/>
    <s v="S-ACCESSORIES &amp; DECORS"/>
  </r>
  <r>
    <n v="73596"/>
    <s v="EVERYDAY PRODUCTS"/>
    <s v="S-ACCESSORIES &amp; DECORS"/>
  </r>
  <r>
    <n v="31851"/>
    <s v="EVERYDAY PRODUCTS"/>
    <s v="S-ACCESSORIES &amp; DECORS"/>
  </r>
  <r>
    <n v="73589"/>
    <s v="EVERYDAY PRODUCTS"/>
    <s v="S-ACCESSORIES &amp; DECORS"/>
  </r>
  <r>
    <n v="65746"/>
    <s v="EVERYDAY PRODUCTS"/>
    <s v="S-ACCESSORIES &amp; DECORS"/>
  </r>
  <r>
    <n v="65813"/>
    <s v="EVERYDAY PRODUCTS"/>
    <s v="S-ACCESSORIES &amp; DECORS"/>
  </r>
  <r>
    <n v="65832"/>
    <s v="EVERYDAY PRODUCTS"/>
    <s v="S-ACCESSORIES &amp; DECORS"/>
  </r>
  <r>
    <n v="65813"/>
    <s v="EVERYDAY PRODUCTS"/>
    <s v="S-ACCESSORIES &amp; DECORS"/>
  </r>
  <r>
    <n v="65840"/>
    <s v="EVERYDAY PRODUCTS"/>
    <s v="S-ACCESSORIES &amp; DECORS"/>
  </r>
  <r>
    <n v="73659"/>
    <s v="EVERYDAY PRODUCTS"/>
    <s v="S-ACCESSORIES &amp; DECORS"/>
  </r>
  <r>
    <n v="65858"/>
    <s v="EVERYDAY PRODUCTS"/>
    <s v="S-ACCESSORIES &amp; DECORS"/>
  </r>
  <r>
    <n v="65922"/>
    <s v="EVERYDAY PRODUCTS"/>
    <s v="S-ACCESSORIES &amp; DECORS"/>
  </r>
  <r>
    <n v="73727"/>
    <s v="EVERYDAY PRODUCTS"/>
    <s v="S-ACCESSORIES &amp; DECORS"/>
  </r>
  <r>
    <n v="65905"/>
    <s v="EVERYDAY PRODUCTS"/>
    <s v="S-ACCESSORIES &amp; DECORS"/>
  </r>
  <r>
    <n v="73744"/>
    <s v="EVERYDAY PRODUCTS"/>
    <s v="S-ACCESSORIES &amp; DECORS"/>
  </r>
  <r>
    <n v="73742"/>
    <s v="EVERYDAY PRODUCTS"/>
    <s v="S-ACCESSORIES &amp; DECORS"/>
  </r>
  <r>
    <n v="73750"/>
    <s v="EVERYDAY PRODUCTS"/>
    <s v="S-ACCESSORIES &amp; DECORS"/>
  </r>
  <r>
    <n v="73734"/>
    <s v="EVERYDAY PRODUCTS"/>
    <s v="S-ACCESSORIES &amp; DECORS"/>
  </r>
  <r>
    <n v="73743"/>
    <s v="EVERYDAY PRODUCTS"/>
    <s v="S-ACCESSORIES &amp; DECORS"/>
  </r>
  <r>
    <n v="73750"/>
    <s v="EVERYDAY PRODUCTS"/>
    <s v="S-ACCESSORIES &amp; DECORS"/>
  </r>
  <r>
    <n v="73750"/>
    <s v="EVERYDAY PRODUCTS"/>
    <s v="S-ACCESSORIES &amp; DECORS"/>
  </r>
  <r>
    <n v="31946"/>
    <s v="EVERYDAY PRODUCTS"/>
    <s v="S-ACCESSORIES &amp; DECORS"/>
  </r>
  <r>
    <n v="73781"/>
    <s v="EVERYDAY PRODUCTS"/>
    <s v="S-ACCESSORIES &amp; DECORS"/>
  </r>
  <r>
    <n v="31964"/>
    <s v="EVERYDAY PRODUCTS"/>
    <s v="S-ACCESSORIES &amp; DECORS"/>
  </r>
  <r>
    <n v="31964"/>
    <s v="EVERYDAY PRODUCTS"/>
    <s v="S-ACCESSORIES &amp; DECORS"/>
  </r>
  <r>
    <n v="31963"/>
    <s v="EVERYDAY PRODUCTS"/>
    <s v="S-ACCESSORIES &amp; DECORS"/>
  </r>
  <r>
    <n v="73781"/>
    <s v="EVERYDAY PRODUCTS"/>
    <s v="S-ACCESSORIES &amp; DECORS"/>
  </r>
  <r>
    <n v="73855"/>
    <s v="EVERYDAY PRODUCTS"/>
    <s v="S-ACCESSORIES &amp; DECORS"/>
  </r>
  <r>
    <n v="32068"/>
    <s v="EVERYDAY PRODUCTS"/>
    <s v="S-ACCESSORIES &amp; DECORS"/>
  </r>
  <r>
    <n v="73883"/>
    <s v="EVERYDAY PRODUCTS"/>
    <s v="S-ACCESSORIES &amp; DECORS"/>
  </r>
  <r>
    <n v="32068"/>
    <s v="EVERYDAY PRODUCTS"/>
    <s v="S-ACCESSORIES &amp; DECORS"/>
  </r>
  <r>
    <n v="73883"/>
    <s v="EVERYDAY PRODUCTS"/>
    <s v="S-ACCESSORIES &amp; DECORS"/>
  </r>
  <r>
    <n v="73891"/>
    <s v="EVERYDAY PRODUCTS"/>
    <s v="S-ACCESSORIES &amp; DECORS"/>
  </r>
  <r>
    <n v="32068"/>
    <s v="EVERYDAY PRODUCTS"/>
    <s v="S-ACCESSORIES &amp; DECORS"/>
  </r>
  <r>
    <n v="32025"/>
    <s v="EVERYDAY PRODUCTS"/>
    <s v="S-ACCESSORIES &amp; DECORS"/>
  </r>
  <r>
    <n v="32025"/>
    <s v="EVERYDAY PRODUCTS"/>
    <s v="S-ACCESSORIES &amp; DECORS"/>
  </r>
  <r>
    <n v="73890"/>
    <s v="EVERYDAY PRODUCTS"/>
    <s v="S-ACCESSORIES &amp; DECORS"/>
  </r>
  <r>
    <n v="32025"/>
    <s v="EVERYDAY PRODUCTS"/>
    <s v="S-ACCESSORIES &amp; DECORS"/>
  </r>
  <r>
    <n v="32025"/>
    <s v="EVERYDAY PRODUCTS"/>
    <s v="S-ACCESSORIES &amp; DECORS"/>
  </r>
  <r>
    <n v="32025"/>
    <s v="EVERYDAY PRODUCTS"/>
    <s v="S-ACCESSORIES &amp; DECORS"/>
  </r>
  <r>
    <n v="32025"/>
    <s v="EVERYDAY PRODUCTS"/>
    <s v="S-ACCESSORIES &amp; DECORS"/>
  </r>
  <r>
    <n v="32025"/>
    <s v="EVERYDAY PRODUCTS"/>
    <s v="S-ACCESSORIES &amp; DECORS"/>
  </r>
  <r>
    <n v="65944"/>
    <s v="EVERYDAY PRODUCTS"/>
    <s v="S-ACCESSORIES &amp; DECORS"/>
  </r>
  <r>
    <n v="65995"/>
    <s v="EVERYDAY PRODUCTS"/>
    <s v="S-ACCESSORIES &amp; DECORS"/>
  </r>
  <r>
    <n v="65984"/>
    <s v="EVERYDAY PRODUCTS"/>
    <s v="S-ACCESSORIES &amp; DECORS"/>
  </r>
  <r>
    <n v="65952"/>
    <s v="EVERYDAY PRODUCTS"/>
    <s v="S-ACCESSORIES &amp; DECORS"/>
  </r>
  <r>
    <n v="73958"/>
    <s v="EVERYDAY PRODUCTS"/>
    <s v="S-ACCESSORIES &amp; DECORS"/>
  </r>
  <r>
    <n v="74008"/>
    <s v="EVERYDAY PRODUCTS"/>
    <s v="S-ACCESSORIES &amp; DECORS"/>
  </r>
  <r>
    <n v="74027"/>
    <s v="EVERYDAY PRODUCTS"/>
    <s v="S-ACCESSORIES &amp; DECORS"/>
  </r>
  <r>
    <n v="32128"/>
    <s v="EVERYDAY PRODUCTS"/>
    <s v="S-ACCESSORIES &amp; DECORS"/>
  </r>
  <r>
    <n v="32128"/>
    <s v="EVERYDAY PRODUCTS"/>
    <s v="S-ACCESSORIES &amp; DECORS"/>
  </r>
  <r>
    <n v="32128"/>
    <s v="EVERYDAY PRODUCTS"/>
    <s v="S-ACCESSORIES &amp; DECORS"/>
  </r>
  <r>
    <n v="32128"/>
    <s v="EVERYDAY PRODUCTS"/>
    <s v="S-ACCESSORIES &amp; DECORS"/>
  </r>
  <r>
    <n v="32128"/>
    <s v="EVERYDAY PRODUCTS"/>
    <s v="S-ACCESSORIES &amp; DECORS"/>
  </r>
  <r>
    <n v="74066"/>
    <s v="EVERYDAY PRODUCTS"/>
    <s v="S-ACCESSORIES &amp; DECORS"/>
  </r>
  <r>
    <n v="32128"/>
    <s v="EVERYDAY PRODUCTS"/>
    <s v="S-ACCESSORIES &amp; DECORS"/>
  </r>
  <r>
    <n v="32128"/>
    <s v="EVERYDAY PRODUCTS"/>
    <s v="S-ACCESSORIES &amp; DECORS"/>
  </r>
  <r>
    <n v="74130"/>
    <s v="EVERYDAY PRODUCTS"/>
    <s v="S-ACCESSORIES &amp; DECORS"/>
  </r>
  <r>
    <n v="32156"/>
    <s v="EVERYDAY PRODUCTS"/>
    <s v="S-ACCESSORIES &amp; DECORS"/>
  </r>
  <r>
    <n v="74136"/>
    <s v="EVERYDAY PRODUCTS"/>
    <s v="S-ACCESSORIES &amp; DECORS"/>
  </r>
  <r>
    <n v="32156"/>
    <s v="EVERYDAY PRODUCTS"/>
    <s v="S-ACCESSORIES &amp; DECORS"/>
  </r>
  <r>
    <n v="74136"/>
    <s v="EVERYDAY PRODUCTS"/>
    <s v="S-ACCESSORIES &amp; DECORS"/>
  </r>
  <r>
    <n v="74136"/>
    <s v="EVERYDAY PRODUCTS"/>
    <s v="S-ACCESSORIES &amp; DECORS"/>
  </r>
  <r>
    <n v="74136"/>
    <s v="EVERYDAY PRODUCTS"/>
    <s v="S-ACCESSORIES &amp; DECORS"/>
  </r>
  <r>
    <n v="32233"/>
    <s v="EVERYDAY PRODUCTS"/>
    <s v="S-ACCESSORIES &amp; DECORS"/>
  </r>
  <r>
    <n v="74194"/>
    <s v="EVERYDAY PRODUCTS"/>
    <s v="S-ACCESSORIES &amp; DECORS"/>
  </r>
  <r>
    <n v="74243"/>
    <s v="EVERYDAY PRODUCTS"/>
    <s v="S-ACCESSORIES &amp; DECORS"/>
  </r>
  <r>
    <n v="32233"/>
    <s v="EVERYDAY PRODUCTS"/>
    <s v="S-ACCESSORIES &amp; DECORS"/>
  </r>
  <r>
    <n v="74181"/>
    <s v="EVERYDAY PRODUCTS"/>
    <s v="S-ACCESSORIES &amp; DECORS"/>
  </r>
  <r>
    <n v="74181"/>
    <s v="EVERYDAY PRODUCTS"/>
    <s v="S-ACCESSORIES &amp; DECORS"/>
  </r>
  <r>
    <n v="74238"/>
    <s v="EVERYDAY PRODUCTS"/>
    <s v="S-ACCESSORIES &amp; DECORS"/>
  </r>
  <r>
    <n v="74178"/>
    <s v="EVERYDAY PRODUCTS"/>
    <s v="S-ACCESSORIES &amp; DECORS"/>
  </r>
  <r>
    <n v="74205"/>
    <s v="EVERYDAY PRODUCTS"/>
    <s v="S-ACCESSORIES &amp; DECORS"/>
  </r>
  <r>
    <n v="74194"/>
    <s v="EVERYDAY PRODUCTS"/>
    <s v="S-ACCESSORIES &amp; DECORS"/>
  </r>
  <r>
    <n v="32269"/>
    <s v="EVERYDAY PRODUCTS"/>
    <s v="S-ACCESSORIES &amp; DECORS"/>
  </r>
  <r>
    <n v="74183"/>
    <s v="EVERYDAY PRODUCTS"/>
    <s v="S-ACCESSORIES &amp; DECORS"/>
  </r>
  <r>
    <n v="74243"/>
    <s v="EVERYDAY PRODUCTS"/>
    <s v="S-ACCESSORIES &amp; DECORS"/>
  </r>
  <r>
    <n v="74236"/>
    <s v="EVERYDAY PRODUCTS"/>
    <s v="S-ACCESSORIES &amp; DECORS"/>
  </r>
  <r>
    <n v="74253"/>
    <s v="EVERYDAY PRODUCTS"/>
    <s v="S-ACCESSORIES &amp; DECORS"/>
  </r>
  <r>
    <n v="74253"/>
    <s v="EVERYDAY PRODUCTS"/>
    <s v="S-ACCESSORIES &amp; DECORS"/>
  </r>
  <r>
    <n v="74253"/>
    <s v="EVERYDAY PRODUCTS"/>
    <s v="S-ACCESSORIES &amp; DECORS"/>
  </r>
  <r>
    <n v="32269"/>
    <s v="EVERYDAY PRODUCTS"/>
    <s v="S-ACCESSORIES &amp; DECORS"/>
  </r>
  <r>
    <n v="74277"/>
    <s v="EVERYDAY PRODUCTS"/>
    <s v="S-ACCESSORIES &amp; DECORS"/>
  </r>
  <r>
    <n v="74270"/>
    <s v="EVERYDAY PRODUCTS"/>
    <s v="S-ACCESSORIES &amp; DECORS"/>
  </r>
  <r>
    <n v="32301"/>
    <s v="EVERYDAY PRODUCTS"/>
    <s v="S-ACCESSORIES &amp; DECORS"/>
  </r>
  <r>
    <n v="32301"/>
    <s v="EVERYDAY PRODUCTS"/>
    <s v="S-ACCESSORIES &amp; DECORS"/>
  </r>
  <r>
    <n v="32335"/>
    <s v="EVERYDAY PRODUCTS"/>
    <s v="S-ACCESSORIES &amp; DECORS"/>
  </r>
  <r>
    <n v="32335"/>
    <s v="EVERYDAY PRODUCTS"/>
    <s v="S-ACCESSORIES &amp; DECORS"/>
  </r>
  <r>
    <n v="32395"/>
    <s v="EVERYDAY PRODUCTS"/>
    <s v="S-ACCESSORIES &amp; DECORS"/>
  </r>
  <r>
    <n v="66116"/>
    <s v="EVERYDAY PRODUCTS"/>
    <s v="S-ACCESSORIES &amp; DECORS"/>
  </r>
  <r>
    <n v="66116"/>
    <s v="EVERYDAY PRODUCTS"/>
    <s v="S-ACCESSORIES &amp; DECORS"/>
  </r>
  <r>
    <n v="66098"/>
    <s v="EVERYDAY PRODUCTS"/>
    <s v="S-ACCESSORIES &amp; DECORS"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  <r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Data" updatedVersion="6" minRefreshableVersion="3" showDrill="0" showMemberPropertyTips="0" useAutoFormatting="1" rowGrandTotals="0" colGrandTotals="0" itemPrintTitles="1" createdVersion="6" indent="0" compact="0" compactData="0" gridDropZones="1">
  <location ref="B3:H16" firstHeaderRow="1" firstDataRow="1" firstDataCol="1"/>
  <pivotFields count="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tag="6fb0f091-9063-483c-a845-3c35e9249cd2" updatedVersion="6" minRefreshableVersion="3" showDrill="0" useAutoFormatting="1" subtotalHiddenItems="1" rowGrandTotals="0" colGrandTotals="0" itemPrintTitles="1" createdVersion="6" indent="0" compact="0" compactData="0" multipleFieldFilters="0">
  <location ref="B3:G931" firstHeaderRow="0" firstDataRow="1" firstDataCol="4"/>
  <pivotFields count="6">
    <pivotField axis="axisRow" compact="0" allDrilled="1" outline="0" showAll="0" dataSourceSort="1" defaultSubtotal="0" defaultAttributeDrillState="1">
      <items count="46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1"/>
    <field x="2"/>
    <field x="3"/>
  </rowFields>
  <rowItems count="928">
    <i>
      <x/>
      <x/>
      <x/>
      <x/>
    </i>
    <i>
      <x v="1"/>
      <x v="1"/>
      <x v="1"/>
      <x v="1"/>
    </i>
    <i r="2">
      <x v="2"/>
      <x v="2"/>
    </i>
    <i>
      <x v="2"/>
      <x v="2"/>
      <x v="1"/>
      <x v="3"/>
    </i>
    <i r="2">
      <x v="2"/>
      <x v="2"/>
    </i>
    <i>
      <x v="3"/>
      <x v="3"/>
      <x/>
      <x v="4"/>
    </i>
    <i>
      <x v="4"/>
      <x v="4"/>
      <x/>
      <x v="5"/>
    </i>
    <i>
      <x v="5"/>
      <x v="5"/>
      <x v="3"/>
      <x v="6"/>
    </i>
    <i r="3">
      <x v="1"/>
    </i>
    <i>
      <x v="6"/>
      <x v="6"/>
      <x v="2"/>
      <x v="7"/>
    </i>
    <i>
      <x v="7"/>
      <x v="7"/>
      <x v="2"/>
      <x v="7"/>
    </i>
    <i>
      <x v="8"/>
      <x v="8"/>
      <x v="3"/>
      <x v="8"/>
    </i>
    <i r="3">
      <x v="4"/>
    </i>
    <i>
      <x v="9"/>
      <x v="9"/>
      <x v="1"/>
      <x v="9"/>
    </i>
    <i>
      <x v="10"/>
      <x v="10"/>
      <x/>
      <x v="10"/>
    </i>
    <i r="2">
      <x v="3"/>
      <x v="1"/>
    </i>
    <i>
      <x v="11"/>
      <x v="10"/>
      <x v="1"/>
      <x v="11"/>
    </i>
    <i r="2">
      <x/>
      <x v="8"/>
    </i>
    <i>
      <x v="12"/>
      <x v="10"/>
      <x v="1"/>
      <x v="4"/>
    </i>
    <i r="2">
      <x/>
      <x v="3"/>
    </i>
    <i>
      <x v="13"/>
      <x v="11"/>
      <x/>
      <x v="10"/>
    </i>
    <i r="2">
      <x v="2"/>
      <x v="8"/>
    </i>
    <i r="3">
      <x v="12"/>
    </i>
    <i r="2">
      <x v="3"/>
      <x v="13"/>
    </i>
    <i r="3">
      <x v="1"/>
    </i>
    <i>
      <x v="14"/>
      <x v="11"/>
      <x/>
      <x v="9"/>
    </i>
    <i>
      <x v="15"/>
      <x v="11"/>
      <x v="1"/>
      <x v="4"/>
    </i>
    <i>
      <x v="16"/>
      <x v="12"/>
      <x/>
      <x v="3"/>
    </i>
    <i r="2">
      <x v="3"/>
      <x v="1"/>
    </i>
    <i>
      <x v="17"/>
      <x v="12"/>
      <x v="1"/>
      <x v="7"/>
    </i>
    <i r="2">
      <x/>
      <x v="2"/>
    </i>
    <i>
      <x v="18"/>
      <x v="12"/>
      <x/>
      <x v="14"/>
    </i>
    <i>
      <x v="19"/>
      <x v="13"/>
      <x v="1"/>
      <x v="15"/>
    </i>
    <i>
      <x v="20"/>
      <x v="14"/>
      <x v="3"/>
      <x v="1"/>
    </i>
    <i>
      <x v="21"/>
      <x v="15"/>
      <x v="1"/>
      <x v="10"/>
    </i>
    <i>
      <x v="22"/>
      <x v="15"/>
      <x v="1"/>
      <x v="14"/>
    </i>
    <i r="3">
      <x v="3"/>
    </i>
    <i>
      <x v="23"/>
      <x v="16"/>
      <x v="1"/>
      <x v="16"/>
    </i>
    <i r="2">
      <x v="3"/>
      <x v="9"/>
    </i>
    <i>
      <x v="24"/>
      <x v="16"/>
      <x v="1"/>
      <x v="17"/>
    </i>
    <i r="3">
      <x v="10"/>
    </i>
    <i>
      <x v="25"/>
      <x v="17"/>
      <x v="3"/>
      <x v="11"/>
    </i>
    <i>
      <x v="26"/>
      <x v="18"/>
      <x v="2"/>
      <x v="18"/>
    </i>
    <i>
      <x v="27"/>
      <x v="19"/>
      <x v="2"/>
      <x v="18"/>
    </i>
    <i>
      <x v="28"/>
      <x v="20"/>
      <x v="2"/>
      <x v="18"/>
    </i>
    <i>
      <x v="29"/>
      <x v="21"/>
      <x v="3"/>
      <x v="1"/>
    </i>
    <i>
      <x v="30"/>
      <x v="22"/>
      <x v="1"/>
      <x v="19"/>
    </i>
    <i r="2">
      <x/>
      <x v="10"/>
    </i>
    <i>
      <x v="31"/>
      <x v="23"/>
      <x/>
      <x v="13"/>
    </i>
    <i>
      <x v="32"/>
      <x v="24"/>
      <x v="3"/>
      <x v="20"/>
    </i>
    <i>
      <x v="33"/>
      <x v="25"/>
      <x v="1"/>
      <x v="20"/>
    </i>
    <i r="2">
      <x v="2"/>
      <x v="9"/>
    </i>
    <i>
      <x v="34"/>
      <x v="25"/>
      <x/>
      <x v="17"/>
    </i>
    <i r="3">
      <x v="7"/>
    </i>
    <i r="2">
      <x v="2"/>
      <x v="21"/>
    </i>
    <i>
      <x v="35"/>
      <x v="25"/>
      <x/>
      <x v="22"/>
    </i>
    <i r="3">
      <x v="1"/>
    </i>
    <i r="3">
      <x v="23"/>
    </i>
    <i>
      <x v="36"/>
      <x v="26"/>
      <x/>
      <x v="24"/>
    </i>
    <i>
      <x v="37"/>
      <x v="27"/>
      <x v="1"/>
      <x v="21"/>
    </i>
    <i>
      <x v="38"/>
      <x v="28"/>
      <x/>
      <x v="3"/>
    </i>
    <i>
      <x v="39"/>
      <x v="29"/>
      <x/>
      <x v="21"/>
    </i>
    <i>
      <x v="40"/>
      <x v="30"/>
      <x v="3"/>
      <x v="18"/>
    </i>
    <i>
      <x v="41"/>
      <x v="31"/>
      <x v="1"/>
      <x v="1"/>
    </i>
    <i r="2">
      <x/>
      <x v="12"/>
    </i>
    <i r="3">
      <x v="19"/>
    </i>
    <i r="2">
      <x v="3"/>
      <x v="2"/>
    </i>
    <i>
      <x v="42"/>
      <x v="32"/>
      <x v="1"/>
      <x v="1"/>
    </i>
    <i>
      <x v="43"/>
      <x v="33"/>
      <x v="1"/>
      <x v="1"/>
    </i>
    <i>
      <x v="44"/>
      <x v="34"/>
      <x/>
      <x v="5"/>
    </i>
    <i r="3">
      <x v="25"/>
    </i>
    <i r="2">
      <x v="2"/>
      <x v="26"/>
    </i>
    <i r="2">
      <x v="3"/>
      <x v="2"/>
    </i>
    <i>
      <x v="45"/>
      <x v="35"/>
      <x v="1"/>
      <x v="27"/>
    </i>
    <i r="3">
      <x v="23"/>
    </i>
    <i r="2">
      <x/>
      <x v="17"/>
    </i>
    <i r="3">
      <x v="5"/>
    </i>
    <i r="3">
      <x v="4"/>
    </i>
    <i r="3">
      <x v="23"/>
    </i>
    <i r="2">
      <x v="3"/>
      <x v="28"/>
    </i>
    <i>
      <x v="46"/>
      <x v="36"/>
      <x v="1"/>
      <x v="17"/>
    </i>
    <i r="3">
      <x v="27"/>
    </i>
    <i r="3">
      <x/>
    </i>
    <i r="3">
      <x v="23"/>
    </i>
    <i r="2">
      <x v="2"/>
      <x v="26"/>
    </i>
    <i r="3">
      <x v="25"/>
    </i>
    <i r="3">
      <x v="3"/>
    </i>
    <i r="2">
      <x v="3"/>
      <x/>
    </i>
    <i r="3">
      <x v="28"/>
    </i>
    <i>
      <x v="47"/>
      <x v="37"/>
      <x/>
      <x v="5"/>
    </i>
    <i>
      <x v="48"/>
      <x v="38"/>
      <x v="2"/>
      <x v="26"/>
    </i>
    <i>
      <x v="49"/>
      <x v="39"/>
      <x v="2"/>
      <x v="11"/>
    </i>
    <i r="2">
      <x v="3"/>
      <x v="29"/>
    </i>
    <i r="3">
      <x v="8"/>
    </i>
    <i>
      <x v="50"/>
      <x v="40"/>
      <x v="2"/>
      <x v="19"/>
    </i>
    <i r="2">
      <x v="3"/>
      <x v="8"/>
    </i>
    <i>
      <x v="51"/>
      <x v="41"/>
      <x v="2"/>
      <x v="26"/>
    </i>
    <i>
      <x v="52"/>
      <x v="42"/>
      <x v="2"/>
      <x v="21"/>
    </i>
    <i>
      <x v="53"/>
      <x v="43"/>
      <x v="1"/>
      <x v="13"/>
    </i>
    <i r="3">
      <x v="17"/>
    </i>
    <i r="2">
      <x v="3"/>
      <x v="8"/>
    </i>
    <i r="3">
      <x v="5"/>
    </i>
    <i r="3">
      <x v="9"/>
    </i>
    <i>
      <x v="54"/>
      <x v="44"/>
      <x v="2"/>
      <x v="29"/>
    </i>
    <i r="3">
      <x v="30"/>
    </i>
    <i r="3">
      <x v="12"/>
    </i>
    <i r="3">
      <x v="19"/>
    </i>
    <i>
      <x v="55"/>
      <x v="45"/>
      <x v="1"/>
      <x v="22"/>
    </i>
    <i r="3">
      <x v="4"/>
    </i>
    <i r="3">
      <x v="28"/>
    </i>
    <i>
      <x v="56"/>
      <x v="46"/>
      <x v="1"/>
      <x v="29"/>
    </i>
    <i r="2">
      <x v="2"/>
      <x v="2"/>
    </i>
    <i r="3">
      <x v="7"/>
    </i>
    <i r="3">
      <x v="10"/>
    </i>
    <i r="2">
      <x v="3"/>
      <x/>
    </i>
    <i r="3">
      <x v="15"/>
    </i>
    <i r="3">
      <x v="30"/>
    </i>
    <i>
      <x v="57"/>
      <x v="47"/>
      <x v="2"/>
      <x v="11"/>
    </i>
    <i r="2">
      <x v="3"/>
      <x v="17"/>
    </i>
    <i r="3">
      <x v="4"/>
    </i>
    <i r="3">
      <x v="7"/>
    </i>
    <i>
      <x v="58"/>
      <x v="48"/>
      <x v="2"/>
      <x v="17"/>
    </i>
    <i r="3">
      <x v="29"/>
    </i>
    <i>
      <x v="59"/>
      <x v="49"/>
      <x v="3"/>
      <x v="24"/>
    </i>
    <i>
      <x v="60"/>
      <x v="50"/>
      <x v="3"/>
      <x v="4"/>
    </i>
    <i>
      <x v="61"/>
      <x v="50"/>
      <x v="1"/>
      <x v="19"/>
    </i>
    <i r="3">
      <x v="9"/>
    </i>
    <i r="2">
      <x/>
      <x v="19"/>
    </i>
    <i r="2">
      <x v="3"/>
      <x v="23"/>
    </i>
    <i>
      <x v="62"/>
      <x v="50"/>
      <x v="1"/>
      <x v="23"/>
    </i>
    <i r="2">
      <x v="3"/>
      <x v="29"/>
    </i>
    <i>
      <x v="63"/>
      <x v="50"/>
      <x v="2"/>
      <x v="26"/>
    </i>
    <i r="3">
      <x v="2"/>
    </i>
    <i r="2">
      <x v="3"/>
      <x v="5"/>
    </i>
    <i>
      <x v="64"/>
      <x v="50"/>
      <x v="1"/>
      <x v="9"/>
    </i>
    <i r="2">
      <x v="2"/>
      <x v="8"/>
    </i>
    <i r="2">
      <x v="3"/>
      <x v="13"/>
    </i>
    <i>
      <x v="65"/>
      <x v="50"/>
      <x v="1"/>
      <x v="9"/>
    </i>
    <i r="2">
      <x v="3"/>
      <x v="29"/>
    </i>
    <i>
      <x v="66"/>
      <x v="50"/>
      <x/>
      <x v="19"/>
    </i>
    <i r="2">
      <x v="3"/>
      <x v="9"/>
    </i>
    <i>
      <x v="67"/>
      <x v="51"/>
      <x/>
      <x v="13"/>
    </i>
    <i r="3">
      <x v="5"/>
    </i>
    <i r="3">
      <x v="20"/>
    </i>
    <i r="2">
      <x v="2"/>
      <x v="15"/>
    </i>
    <i r="3">
      <x v="12"/>
    </i>
    <i r="3">
      <x v="16"/>
    </i>
    <i r="2">
      <x v="3"/>
      <x v="11"/>
    </i>
    <i r="3">
      <x v="29"/>
    </i>
    <i>
      <x v="68"/>
      <x v="52"/>
      <x/>
      <x v="13"/>
    </i>
    <i r="3">
      <x v="29"/>
    </i>
    <i r="3">
      <x v="25"/>
    </i>
    <i r="3">
      <x v="12"/>
    </i>
    <i r="3">
      <x v="18"/>
    </i>
    <i r="2">
      <x v="2"/>
      <x v="15"/>
    </i>
    <i>
      <x v="69"/>
      <x v="53"/>
      <x/>
      <x v="29"/>
    </i>
    <i>
      <x v="70"/>
      <x v="54"/>
      <x/>
      <x v="22"/>
    </i>
    <i r="3">
      <x v="15"/>
    </i>
    <i r="3">
      <x v="29"/>
    </i>
    <i r="3">
      <x v="30"/>
    </i>
    <i r="3">
      <x v="12"/>
    </i>
    <i r="2">
      <x v="2"/>
      <x v="24"/>
    </i>
    <i r="3">
      <x v="18"/>
    </i>
    <i r="2">
      <x v="3"/>
      <x v="1"/>
    </i>
    <i r="3">
      <x v="9"/>
    </i>
    <i>
      <x v="71"/>
      <x v="55"/>
      <x v="1"/>
      <x v="13"/>
    </i>
    <i r="3">
      <x v="27"/>
    </i>
    <i r="3">
      <x v="5"/>
    </i>
    <i r="2">
      <x v="2"/>
      <x v="5"/>
    </i>
    <i r="3">
      <x v="18"/>
    </i>
    <i>
      <x v="72"/>
      <x v="56"/>
      <x v="1"/>
      <x/>
    </i>
    <i r="3">
      <x v="11"/>
    </i>
    <i r="3">
      <x v="15"/>
    </i>
    <i r="3">
      <x v="29"/>
    </i>
    <i r="3">
      <x v="7"/>
    </i>
    <i r="3">
      <x v="19"/>
    </i>
    <i r="2">
      <x/>
      <x v="22"/>
    </i>
    <i r="3">
      <x v="29"/>
    </i>
    <i r="3">
      <x v="25"/>
    </i>
    <i r="3">
      <x v="9"/>
    </i>
    <i r="3">
      <x v="16"/>
    </i>
    <i r="2">
      <x v="3"/>
      <x v="27"/>
    </i>
    <i r="3">
      <x v="28"/>
    </i>
    <i r="3">
      <x v="9"/>
    </i>
    <i>
      <x v="73"/>
      <x v="57"/>
      <x v="1"/>
      <x v="13"/>
    </i>
    <i r="3">
      <x v="27"/>
    </i>
    <i r="3">
      <x v="24"/>
    </i>
    <i r="3">
      <x v="28"/>
    </i>
    <i r="2">
      <x v="2"/>
      <x v="24"/>
    </i>
    <i r="3">
      <x v="26"/>
    </i>
    <i r="3">
      <x v="15"/>
    </i>
    <i>
      <x v="74"/>
      <x v="58"/>
      <x v="1"/>
      <x v="29"/>
    </i>
    <i r="3">
      <x v="3"/>
    </i>
    <i r="3">
      <x v="28"/>
    </i>
    <i>
      <x v="75"/>
      <x v="59"/>
      <x v="2"/>
      <x v="15"/>
    </i>
    <i r="3">
      <x v="18"/>
    </i>
    <i r="3">
      <x v="16"/>
    </i>
    <i r="3">
      <x v="23"/>
    </i>
    <i>
      <x v="76"/>
      <x v="60"/>
      <x/>
      <x v="18"/>
    </i>
    <i r="3">
      <x v="9"/>
    </i>
    <i r="2">
      <x v="2"/>
      <x v="13"/>
    </i>
    <i r="3">
      <x v="7"/>
    </i>
    <i r="2">
      <x v="3"/>
      <x v="28"/>
    </i>
    <i r="3">
      <x v="9"/>
    </i>
    <i>
      <x v="77"/>
      <x v="61"/>
      <x v="1"/>
      <x v="15"/>
    </i>
    <i r="3">
      <x v="7"/>
    </i>
    <i r="2">
      <x/>
      <x v="13"/>
    </i>
    <i r="3">
      <x v="5"/>
    </i>
    <i r="2">
      <x v="2"/>
      <x v="5"/>
    </i>
    <i r="3">
      <x v="12"/>
    </i>
    <i r="3">
      <x v="23"/>
    </i>
    <i>
      <x v="78"/>
      <x v="62"/>
      <x/>
      <x v="5"/>
    </i>
    <i r="3">
      <x v="25"/>
    </i>
    <i r="2">
      <x v="3"/>
      <x v="29"/>
    </i>
    <i>
      <x v="79"/>
      <x v="63"/>
      <x v="1"/>
      <x v="24"/>
    </i>
    <i>
      <x v="80"/>
      <x v="64"/>
      <x v="1"/>
      <x v="24"/>
    </i>
    <i r="3">
      <x v="4"/>
    </i>
    <i>
      <x v="81"/>
      <x v="64"/>
      <x v="1"/>
      <x v="17"/>
    </i>
    <i>
      <x v="82"/>
      <x v="65"/>
      <x v="1"/>
      <x v="5"/>
    </i>
    <i>
      <x v="83"/>
      <x v="66"/>
      <x/>
      <x v="7"/>
    </i>
    <i>
      <x v="84"/>
      <x v="67"/>
      <x/>
      <x v="22"/>
    </i>
    <i>
      <x v="85"/>
      <x v="68"/>
      <x/>
      <x v="8"/>
    </i>
    <i>
      <x v="86"/>
      <x v="69"/>
      <x v="2"/>
      <x v="5"/>
    </i>
    <i r="3">
      <x v="4"/>
    </i>
    <i>
      <x v="87"/>
      <x v="70"/>
      <x v="1"/>
      <x v="10"/>
    </i>
    <i r="3">
      <x v="16"/>
    </i>
    <i>
      <x v="88"/>
      <x v="71"/>
      <x v="2"/>
      <x v="19"/>
    </i>
    <i>
      <x v="89"/>
      <x v="72"/>
      <x v="2"/>
      <x v="20"/>
    </i>
    <i>
      <x v="90"/>
      <x v="73"/>
      <x v="2"/>
      <x v="25"/>
    </i>
    <i r="2">
      <x v="3"/>
      <x v="16"/>
    </i>
    <i>
      <x v="91"/>
      <x v="74"/>
      <x/>
      <x v="27"/>
    </i>
    <i r="3">
      <x v="11"/>
    </i>
    <i r="3">
      <x v="20"/>
    </i>
    <i r="3">
      <x v="12"/>
    </i>
    <i r="3">
      <x v="16"/>
    </i>
    <i>
      <x v="92"/>
      <x v="75"/>
      <x v="3"/>
      <x v="26"/>
    </i>
    <i r="3">
      <x v="9"/>
    </i>
    <i>
      <x v="93"/>
      <x v="76"/>
      <x/>
      <x v="1"/>
    </i>
    <i r="2">
      <x v="3"/>
      <x v="8"/>
    </i>
    <i>
      <x v="94"/>
      <x v="77"/>
      <x v="2"/>
      <x v="9"/>
    </i>
    <i>
      <x v="95"/>
      <x v="78"/>
      <x v="3"/>
      <x v="7"/>
    </i>
    <i>
      <x v="96"/>
      <x v="79"/>
      <x v="3"/>
      <x v="7"/>
    </i>
    <i>
      <x v="97"/>
      <x v="80"/>
      <x v="3"/>
      <x v="7"/>
    </i>
    <i>
      <x v="98"/>
      <x v="81"/>
      <x/>
      <x v="8"/>
    </i>
    <i>
      <x v="99"/>
      <x v="82"/>
      <x v="1"/>
      <x v="23"/>
    </i>
    <i>
      <x v="100"/>
      <x v="83"/>
      <x v="3"/>
      <x v="1"/>
    </i>
    <i r="3">
      <x v="5"/>
    </i>
    <i>
      <x v="101"/>
      <x v="83"/>
      <x v="3"/>
      <x v="8"/>
    </i>
    <i r="3">
      <x v="5"/>
    </i>
    <i>
      <x v="102"/>
      <x v="84"/>
      <x v="2"/>
      <x v="8"/>
    </i>
    <i>
      <x v="103"/>
      <x v="85"/>
      <x v="1"/>
      <x v="21"/>
    </i>
    <i>
      <x v="104"/>
      <x v="86"/>
      <x v="2"/>
      <x v="8"/>
    </i>
    <i>
      <x v="105"/>
      <x v="87"/>
      <x/>
      <x v="16"/>
    </i>
    <i r="2">
      <x v="3"/>
      <x v="7"/>
    </i>
    <i>
      <x v="106"/>
      <x v="88"/>
      <x v="2"/>
      <x v="22"/>
    </i>
    <i>
      <x v="107"/>
      <x v="89"/>
      <x v="2"/>
      <x v="22"/>
    </i>
    <i>
      <x v="108"/>
      <x v="90"/>
      <x v="2"/>
      <x v="8"/>
    </i>
    <i>
      <x v="109"/>
      <x v="91"/>
      <x v="1"/>
      <x v="12"/>
    </i>
    <i r="2">
      <x v="2"/>
      <x v="8"/>
    </i>
    <i>
      <x v="110"/>
      <x v="92"/>
      <x v="2"/>
      <x v="21"/>
    </i>
    <i>
      <x v="111"/>
      <x v="93"/>
      <x v="2"/>
      <x v="2"/>
    </i>
    <i>
      <x v="112"/>
      <x v="94"/>
      <x v="1"/>
      <x v="6"/>
    </i>
    <i>
      <x v="113"/>
      <x v="94"/>
      <x v="3"/>
      <x v="24"/>
    </i>
    <i>
      <x v="114"/>
      <x v="94"/>
      <x v="1"/>
      <x v="6"/>
    </i>
    <i>
      <x v="115"/>
      <x v="95"/>
      <x/>
      <x v="23"/>
    </i>
    <i>
      <x v="116"/>
      <x v="96"/>
      <x v="2"/>
      <x v="2"/>
    </i>
    <i>
      <x v="117"/>
      <x v="97"/>
      <x/>
      <x v="26"/>
    </i>
    <i r="2">
      <x v="2"/>
      <x v="1"/>
    </i>
    <i r="2">
      <x v="3"/>
      <x v="16"/>
    </i>
    <i>
      <x v="118"/>
      <x v="98"/>
      <x v="1"/>
      <x v="18"/>
    </i>
    <i r="2">
      <x v="3"/>
      <x v="9"/>
    </i>
    <i>
      <x v="119"/>
      <x v="99"/>
      <x v="2"/>
      <x v="1"/>
    </i>
    <i>
      <x v="120"/>
      <x v="99"/>
      <x v="2"/>
      <x v="2"/>
    </i>
    <i>
      <x v="121"/>
      <x v="100"/>
      <x v="1"/>
      <x v="6"/>
    </i>
    <i r="3">
      <x v="19"/>
    </i>
    <i r="2">
      <x v="3"/>
      <x v="7"/>
    </i>
    <i>
      <x v="122"/>
      <x v="101"/>
      <x v="2"/>
      <x v="2"/>
    </i>
    <i>
      <x v="123"/>
      <x v="102"/>
      <x v="2"/>
      <x v="15"/>
    </i>
    <i>
      <x v="124"/>
      <x v="103"/>
      <x/>
      <x/>
    </i>
    <i r="3">
      <x v="29"/>
    </i>
    <i r="3">
      <x v="8"/>
    </i>
    <i r="3">
      <x v="16"/>
    </i>
    <i r="2">
      <x v="2"/>
      <x v="17"/>
    </i>
    <i r="3">
      <x v="27"/>
    </i>
    <i r="3">
      <x v="26"/>
    </i>
    <i r="3">
      <x v="1"/>
    </i>
    <i r="2">
      <x v="3"/>
      <x v="26"/>
    </i>
    <i r="3">
      <x v="11"/>
    </i>
    <i r="3">
      <x v="1"/>
    </i>
    <i r="3">
      <x v="7"/>
    </i>
    <i>
      <x v="125"/>
      <x v="103"/>
      <x/>
      <x/>
    </i>
    <i r="3">
      <x v="29"/>
    </i>
    <i r="3">
      <x v="5"/>
    </i>
    <i r="3">
      <x v="20"/>
    </i>
    <i r="2">
      <x v="2"/>
      <x v="3"/>
    </i>
    <i r="2">
      <x v="3"/>
      <x v="22"/>
    </i>
    <i r="3">
      <x v="24"/>
    </i>
    <i r="3">
      <x v="14"/>
    </i>
    <i r="3">
      <x v="26"/>
    </i>
    <i>
      <x v="126"/>
      <x v="104"/>
      <x v="1"/>
      <x v="18"/>
    </i>
    <i>
      <x v="127"/>
      <x v="105"/>
      <x v="1"/>
      <x v="22"/>
    </i>
    <i r="3">
      <x v="11"/>
    </i>
    <i r="3">
      <x v="6"/>
    </i>
    <i r="2">
      <x/>
      <x v="11"/>
    </i>
    <i r="3">
      <x v="15"/>
    </i>
    <i r="3">
      <x v="8"/>
    </i>
    <i r="3">
      <x v="20"/>
    </i>
    <i r="2">
      <x v="2"/>
      <x v="27"/>
    </i>
    <i r="3">
      <x v="26"/>
    </i>
    <i r="3">
      <x v="28"/>
    </i>
    <i>
      <x v="128"/>
      <x v="105"/>
      <x v="1"/>
      <x v="17"/>
    </i>
    <i r="2">
      <x/>
      <x v="11"/>
    </i>
    <i r="3">
      <x v="8"/>
    </i>
    <i r="3">
      <x v="30"/>
    </i>
    <i r="2">
      <x v="2"/>
      <x v="23"/>
    </i>
    <i>
      <x v="129"/>
      <x v="106"/>
      <x v="1"/>
      <x v="3"/>
    </i>
    <i r="2">
      <x v="2"/>
      <x v="2"/>
    </i>
    <i>
      <x v="130"/>
      <x v="107"/>
      <x v="2"/>
      <x v="2"/>
    </i>
    <i>
      <x v="131"/>
      <x v="108"/>
      <x/>
      <x v="25"/>
    </i>
    <i>
      <x v="132"/>
      <x v="109"/>
      <x v="2"/>
      <x v="2"/>
    </i>
    <i>
      <x v="133"/>
      <x v="110"/>
      <x v="1"/>
      <x v="25"/>
    </i>
    <i>
      <x v="134"/>
      <x v="110"/>
      <x v="1"/>
      <x v="1"/>
    </i>
    <i r="3">
      <x v="25"/>
    </i>
    <i>
      <x v="135"/>
      <x v="111"/>
      <x/>
      <x v="21"/>
    </i>
    <i>
      <x v="136"/>
      <x v="112"/>
      <x v="1"/>
      <x v="23"/>
    </i>
    <i>
      <x v="137"/>
      <x v="113"/>
      <x v="2"/>
      <x v="13"/>
    </i>
    <i r="3">
      <x v="15"/>
    </i>
    <i>
      <x v="138"/>
      <x v="113"/>
      <x v="2"/>
      <x v="15"/>
    </i>
    <i>
      <x v="139"/>
      <x v="114"/>
      <x v="1"/>
      <x v="24"/>
    </i>
    <i r="3">
      <x v="6"/>
    </i>
    <i>
      <x v="140"/>
      <x v="115"/>
      <x v="1"/>
      <x v="27"/>
    </i>
    <i>
      <x v="141"/>
      <x v="116"/>
      <x v="1"/>
      <x v="3"/>
    </i>
    <i>
      <x v="142"/>
      <x v="117"/>
      <x v="2"/>
      <x v="1"/>
    </i>
    <i>
      <x v="143"/>
      <x v="118"/>
      <x v="1"/>
      <x v="8"/>
    </i>
    <i r="2">
      <x/>
      <x v="9"/>
    </i>
    <i r="2">
      <x v="2"/>
      <x v="27"/>
    </i>
    <i>
      <x v="144"/>
      <x v="119"/>
      <x v="1"/>
      <x v="1"/>
    </i>
    <i r="2">
      <x v="2"/>
      <x v="4"/>
    </i>
    <i r="3">
      <x v="10"/>
    </i>
    <i r="3">
      <x v="19"/>
    </i>
    <i>
      <x v="145"/>
      <x v="120"/>
      <x v="1"/>
      <x v="13"/>
    </i>
    <i r="3">
      <x v="27"/>
    </i>
    <i r="3">
      <x v="1"/>
    </i>
    <i r="3">
      <x v="18"/>
    </i>
    <i>
      <x v="146"/>
      <x v="120"/>
      <x v="1"/>
      <x v="13"/>
    </i>
    <i r="3">
      <x v="11"/>
    </i>
    <i r="3">
      <x v="4"/>
    </i>
    <i>
      <x v="147"/>
      <x v="120"/>
      <x v="1"/>
      <x v="17"/>
    </i>
    <i r="3">
      <x v="30"/>
    </i>
    <i>
      <x v="148"/>
      <x v="121"/>
      <x v="3"/>
      <x v="9"/>
    </i>
    <i>
      <x v="149"/>
      <x v="122"/>
      <x v="3"/>
      <x v="30"/>
    </i>
    <i>
      <x v="150"/>
      <x v="123"/>
      <x v="2"/>
      <x v="2"/>
    </i>
    <i>
      <x v="151"/>
      <x v="124"/>
      <x v="2"/>
      <x v="2"/>
    </i>
    <i>
      <x v="152"/>
      <x v="125"/>
      <x/>
      <x v="7"/>
    </i>
    <i>
      <x v="153"/>
      <x v="126"/>
      <x/>
      <x v="8"/>
    </i>
    <i>
      <x v="154"/>
      <x v="127"/>
      <x v="2"/>
      <x v="16"/>
    </i>
    <i>
      <x v="155"/>
      <x v="128"/>
      <x v="2"/>
      <x v="18"/>
    </i>
    <i>
      <x v="156"/>
      <x v="129"/>
      <x v="1"/>
      <x v="17"/>
    </i>
    <i r="3">
      <x v="7"/>
    </i>
    <i>
      <x v="157"/>
      <x v="130"/>
      <x v="1"/>
      <x v="13"/>
    </i>
    <i r="3">
      <x v="9"/>
    </i>
    <i r="2">
      <x v="2"/>
      <x v="3"/>
    </i>
    <i r="2">
      <x v="3"/>
      <x v="11"/>
    </i>
    <i>
      <x v="158"/>
      <x v="131"/>
      <x v="1"/>
      <x v="10"/>
    </i>
    <i r="3">
      <x v="9"/>
    </i>
    <i>
      <x v="159"/>
      <x v="132"/>
      <x v="1"/>
      <x v="3"/>
    </i>
    <i r="2">
      <x v="2"/>
      <x v="15"/>
    </i>
    <i>
      <x v="160"/>
      <x v="133"/>
      <x v="1"/>
      <x v="30"/>
    </i>
    <i>
      <x v="161"/>
      <x v="134"/>
      <x v="3"/>
      <x v="26"/>
    </i>
    <i>
      <x v="162"/>
      <x v="135"/>
      <x/>
      <x v="13"/>
    </i>
    <i>
      <x v="163"/>
      <x v="136"/>
      <x v="2"/>
      <x v="12"/>
    </i>
    <i>
      <x v="164"/>
      <x v="137"/>
      <x v="1"/>
      <x v="21"/>
    </i>
    <i r="2">
      <x v="2"/>
      <x v="15"/>
    </i>
    <i r="3">
      <x v="2"/>
    </i>
    <i>
      <x v="165"/>
      <x v="138"/>
      <x v="1"/>
      <x v="8"/>
    </i>
    <i r="3">
      <x v="30"/>
    </i>
    <i>
      <x v="166"/>
      <x v="139"/>
      <x v="1"/>
      <x v="20"/>
    </i>
    <i>
      <x v="167"/>
      <x v="140"/>
      <x v="3"/>
      <x v="7"/>
    </i>
    <i>
      <x v="168"/>
      <x v="141"/>
      <x/>
      <x v="17"/>
    </i>
    <i r="3">
      <x v="29"/>
    </i>
    <i>
      <x v="169"/>
      <x v="142"/>
      <x v="1"/>
      <x v="5"/>
    </i>
    <i>
      <x v="170"/>
      <x v="141"/>
      <x v="1"/>
      <x v="17"/>
    </i>
    <i>
      <x v="171"/>
      <x v="142"/>
      <x v="1"/>
      <x v="11"/>
    </i>
    <i r="2">
      <x v="2"/>
      <x v="15"/>
    </i>
    <i>
      <x v="172"/>
      <x v="143"/>
      <x v="1"/>
      <x v="21"/>
    </i>
    <i>
      <x v="173"/>
      <x v="144"/>
      <x v="1"/>
      <x v="27"/>
    </i>
    <i>
      <x v="174"/>
      <x v="145"/>
      <x v="1"/>
      <x v="15"/>
    </i>
    <i>
      <x v="175"/>
      <x v="146"/>
      <x v="3"/>
      <x v="1"/>
    </i>
    <i>
      <x v="176"/>
      <x v="147"/>
      <x v="1"/>
      <x v="27"/>
    </i>
    <i r="3">
      <x v="24"/>
    </i>
    <i r="2">
      <x v="3"/>
      <x v="16"/>
    </i>
    <i>
      <x v="177"/>
      <x v="148"/>
      <x v="1"/>
      <x v="17"/>
    </i>
    <i>
      <x v="178"/>
      <x v="149"/>
      <x v="1"/>
      <x v="10"/>
    </i>
    <i>
      <x v="179"/>
      <x v="150"/>
      <x v="2"/>
      <x v="26"/>
    </i>
    <i>
      <x v="180"/>
      <x v="151"/>
      <x v="1"/>
      <x v="15"/>
    </i>
    <i>
      <x v="181"/>
      <x v="152"/>
      <x v="2"/>
      <x v="7"/>
    </i>
    <i r="2">
      <x v="3"/>
      <x v="1"/>
    </i>
    <i>
      <x v="182"/>
      <x v="153"/>
      <x v="2"/>
      <x v="17"/>
    </i>
    <i>
      <x v="183"/>
      <x v="154"/>
      <x v="1"/>
      <x v="16"/>
    </i>
    <i>
      <x v="184"/>
      <x v="155"/>
      <x v="2"/>
      <x v="29"/>
    </i>
    <i>
      <x v="185"/>
      <x v="156"/>
      <x v="2"/>
      <x v="26"/>
    </i>
    <i>
      <x v="186"/>
      <x v="157"/>
      <x v="1"/>
      <x v="15"/>
    </i>
    <i r="2">
      <x v="2"/>
      <x v="26"/>
    </i>
    <i>
      <x v="187"/>
      <x v="158"/>
      <x/>
      <x v="12"/>
    </i>
    <i>
      <x v="188"/>
      <x v="159"/>
      <x v="2"/>
      <x v="13"/>
    </i>
    <i>
      <x v="189"/>
      <x v="160"/>
      <x/>
      <x v="10"/>
    </i>
    <i>
      <x v="190"/>
      <x v="161"/>
      <x/>
      <x v="29"/>
    </i>
    <i>
      <x v="191"/>
      <x v="162"/>
      <x/>
      <x v="28"/>
    </i>
    <i>
      <x v="192"/>
      <x v="163"/>
      <x/>
      <x v="28"/>
    </i>
    <i>
      <x v="193"/>
      <x v="164"/>
      <x v="3"/>
      <x v="8"/>
    </i>
    <i>
      <x v="194"/>
      <x v="165"/>
      <x v="3"/>
      <x v="8"/>
    </i>
    <i>
      <x v="195"/>
      <x v="166"/>
      <x v="3"/>
      <x v="8"/>
    </i>
    <i>
      <x v="196"/>
      <x v="167"/>
      <x v="1"/>
      <x v="12"/>
    </i>
    <i r="2">
      <x v="3"/>
      <x v="8"/>
    </i>
    <i>
      <x v="197"/>
      <x v="168"/>
      <x v="1"/>
      <x v="23"/>
    </i>
    <i>
      <x v="198"/>
      <x v="169"/>
      <x v="1"/>
      <x v="8"/>
    </i>
    <i r="3">
      <x v="23"/>
    </i>
    <i>
      <x v="199"/>
      <x v="170"/>
      <x v="1"/>
      <x v="23"/>
    </i>
    <i r="2">
      <x v="2"/>
      <x v="18"/>
    </i>
    <i>
      <x v="200"/>
      <x v="171"/>
      <x v="1"/>
      <x v="1"/>
    </i>
    <i r="3">
      <x v="23"/>
    </i>
    <i r="2">
      <x v="2"/>
      <x v="18"/>
    </i>
    <i>
      <x v="201"/>
      <x v="172"/>
      <x v="1"/>
      <x v="15"/>
    </i>
    <i r="3">
      <x v="1"/>
    </i>
    <i>
      <x v="202"/>
      <x v="173"/>
      <x v="1"/>
      <x v="23"/>
    </i>
    <i>
      <x v="203"/>
      <x v="174"/>
      <x/>
      <x v="25"/>
    </i>
    <i>
      <x v="204"/>
      <x v="175"/>
      <x/>
      <x v="10"/>
    </i>
    <i>
      <x v="205"/>
      <x v="176"/>
      <x/>
      <x v="10"/>
    </i>
    <i>
      <x v="206"/>
      <x v="177"/>
      <x v="1"/>
      <x v="12"/>
    </i>
    <i r="2">
      <x/>
      <x v="10"/>
    </i>
    <i>
      <x v="207"/>
      <x v="178"/>
      <x v="1"/>
      <x v="21"/>
    </i>
    <i>
      <x v="208"/>
      <x v="179"/>
      <x v="1"/>
      <x v="21"/>
    </i>
    <i r="2">
      <x/>
      <x v="22"/>
    </i>
    <i>
      <x v="209"/>
      <x v="180"/>
      <x v="1"/>
      <x v="6"/>
    </i>
    <i>
      <x v="210"/>
      <x v="181"/>
      <x/>
      <x v="7"/>
    </i>
    <i>
      <x v="211"/>
      <x v="182"/>
      <x v="1"/>
      <x v="23"/>
    </i>
    <i>
      <x v="212"/>
      <x v="183"/>
      <x v="1"/>
      <x v="1"/>
    </i>
    <i>
      <x v="213"/>
      <x v="184"/>
      <x/>
      <x v="22"/>
    </i>
    <i>
      <x v="214"/>
      <x v="185"/>
      <x/>
      <x v="22"/>
    </i>
    <i>
      <x v="215"/>
      <x v="186"/>
      <x v="1"/>
      <x v="1"/>
    </i>
    <i>
      <x v="216"/>
      <x v="187"/>
      <x v="1"/>
      <x v="1"/>
    </i>
    <i>
      <x v="217"/>
      <x v="188"/>
      <x v="3"/>
      <x v="19"/>
    </i>
    <i>
      <x v="218"/>
      <x v="189"/>
      <x v="1"/>
      <x v="12"/>
    </i>
    <i>
      <x v="219"/>
      <x v="190"/>
      <x/>
      <x v="1"/>
    </i>
    <i>
      <x v="220"/>
      <x v="191"/>
      <x v="1"/>
      <x v="19"/>
    </i>
    <i r="3">
      <x v="23"/>
    </i>
    <i>
      <x v="221"/>
      <x v="192"/>
      <x/>
      <x v="6"/>
    </i>
    <i>
      <x v="222"/>
      <x v="193"/>
      <x v="2"/>
      <x v="2"/>
    </i>
    <i>
      <x v="223"/>
      <x v="194"/>
      <x v="2"/>
      <x v="27"/>
    </i>
    <i>
      <x v="224"/>
      <x v="195"/>
      <x/>
      <x v="5"/>
    </i>
    <i>
      <x v="225"/>
      <x v="196"/>
      <x v="1"/>
      <x v="8"/>
    </i>
    <i>
      <x v="226"/>
      <x v="197"/>
      <x v="3"/>
      <x v="9"/>
    </i>
    <i>
      <x v="227"/>
      <x v="198"/>
      <x v="3"/>
      <x v="9"/>
    </i>
    <i>
      <x v="228"/>
      <x v="199"/>
      <x v="3"/>
      <x v="9"/>
    </i>
    <i>
      <x v="229"/>
      <x v="200"/>
      <x/>
      <x v="14"/>
    </i>
    <i r="3">
      <x v="2"/>
    </i>
    <i r="3">
      <x v="1"/>
    </i>
    <i r="3">
      <x v="28"/>
    </i>
    <i r="2">
      <x v="3"/>
      <x/>
    </i>
    <i>
      <x v="230"/>
      <x v="201"/>
      <x v="1"/>
      <x v="6"/>
    </i>
    <i>
      <x v="231"/>
      <x v="202"/>
      <x v="2"/>
      <x v="1"/>
    </i>
    <i>
      <x v="232"/>
      <x v="203"/>
      <x v="3"/>
      <x v="1"/>
    </i>
    <i r="3">
      <x v="4"/>
    </i>
    <i r="3">
      <x v="30"/>
    </i>
    <i r="3">
      <x v="10"/>
    </i>
    <i>
      <x v="233"/>
      <x v="204"/>
      <x v="1"/>
      <x v="8"/>
    </i>
    <i>
      <x v="234"/>
      <x v="205"/>
      <x v="3"/>
      <x v="5"/>
    </i>
    <i>
      <x v="235"/>
      <x v="206"/>
      <x v="1"/>
      <x v="30"/>
    </i>
    <i>
      <x v="236"/>
      <x v="207"/>
      <x v="1"/>
      <x v="11"/>
    </i>
    <i>
      <x v="237"/>
      <x v="208"/>
      <x/>
      <x v="29"/>
    </i>
    <i r="3">
      <x v="10"/>
    </i>
    <i>
      <x v="238"/>
      <x v="208"/>
      <x/>
      <x v="10"/>
    </i>
    <i>
      <x v="239"/>
      <x v="209"/>
      <x v="1"/>
      <x v="19"/>
    </i>
    <i>
      <x v="240"/>
      <x v="210"/>
      <x/>
      <x v="10"/>
    </i>
    <i>
      <x v="241"/>
      <x v="211"/>
      <x v="2"/>
      <x v="7"/>
    </i>
    <i r="2">
      <x v="3"/>
      <x v="12"/>
    </i>
    <i>
      <x v="242"/>
      <x v="212"/>
      <x v="2"/>
      <x v="11"/>
    </i>
    <i>
      <x v="243"/>
      <x v="213"/>
      <x v="2"/>
      <x v="18"/>
    </i>
    <i>
      <x v="244"/>
      <x v="213"/>
      <x v="2"/>
      <x v="11"/>
    </i>
    <i>
      <x v="245"/>
      <x v="214"/>
      <x v="3"/>
      <x v="8"/>
    </i>
    <i>
      <x v="246"/>
      <x v="214"/>
      <x v="1"/>
      <x v="24"/>
    </i>
    <i>
      <x v="247"/>
      <x v="215"/>
      <x v="2"/>
      <x v="15"/>
    </i>
    <i>
      <x v="248"/>
      <x v="216"/>
      <x v="1"/>
      <x/>
    </i>
    <i r="3">
      <x v="12"/>
    </i>
    <i r="3">
      <x v="28"/>
    </i>
    <i r="2">
      <x v="2"/>
      <x v="6"/>
    </i>
    <i r="3">
      <x v="2"/>
    </i>
    <i>
      <x v="249"/>
      <x v="217"/>
      <x v="1"/>
      <x/>
    </i>
    <i r="2">
      <x v="2"/>
      <x v="9"/>
    </i>
    <i>
      <x v="250"/>
      <x v="218"/>
      <x v="1"/>
      <x v="6"/>
    </i>
    <i r="3">
      <x v="20"/>
    </i>
    <i>
      <x v="251"/>
      <x v="219"/>
      <x v="2"/>
      <x v="9"/>
    </i>
    <i>
      <x v="252"/>
      <x v="220"/>
      <x v="1"/>
      <x v="5"/>
    </i>
    <i r="3">
      <x v="10"/>
    </i>
    <i r="3">
      <x v="19"/>
    </i>
    <i>
      <x v="253"/>
      <x v="221"/>
      <x v="3"/>
      <x v="8"/>
    </i>
    <i r="3">
      <x v="12"/>
    </i>
    <i>
      <x v="254"/>
      <x v="222"/>
      <x v="1"/>
      <x v="1"/>
    </i>
    <i r="2">
      <x v="2"/>
      <x v="2"/>
    </i>
    <i>
      <x v="255"/>
      <x v="223"/>
      <x v="1"/>
      <x v="3"/>
    </i>
    <i r="3">
      <x v="23"/>
    </i>
    <i>
      <x v="256"/>
      <x v="224"/>
      <x v="2"/>
      <x v="2"/>
    </i>
    <i>
      <x v="257"/>
      <x v="225"/>
      <x v="2"/>
      <x v="2"/>
    </i>
    <i>
      <x v="258"/>
      <x v="226"/>
      <x v="2"/>
      <x v="2"/>
    </i>
    <i>
      <x v="259"/>
      <x v="227"/>
      <x v="2"/>
      <x v="2"/>
    </i>
    <i>
      <x v="260"/>
      <x v="228"/>
      <x v="2"/>
      <x v="2"/>
    </i>
    <i>
      <x v="261"/>
      <x v="229"/>
      <x v="1"/>
      <x v="3"/>
    </i>
    <i>
      <x v="262"/>
      <x v="230"/>
      <x v="1"/>
      <x v="23"/>
    </i>
    <i>
      <x v="263"/>
      <x v="231"/>
      <x v="1"/>
      <x v="13"/>
    </i>
    <i>
      <x v="264"/>
      <x v="232"/>
      <x v="1"/>
      <x v="4"/>
    </i>
    <i r="3">
      <x v="16"/>
    </i>
    <i>
      <x v="265"/>
      <x v="233"/>
      <x v="1"/>
      <x v="8"/>
    </i>
    <i>
      <x v="266"/>
      <x v="234"/>
      <x v="1"/>
      <x v="16"/>
    </i>
    <i>
      <x v="267"/>
      <x v="235"/>
      <x/>
      <x v="17"/>
    </i>
    <i>
      <x v="268"/>
      <x v="236"/>
      <x/>
      <x v="29"/>
    </i>
    <i r="2">
      <x v="2"/>
      <x v="2"/>
    </i>
    <i r="3">
      <x v="1"/>
    </i>
    <i r="2">
      <x v="3"/>
      <x v="7"/>
    </i>
    <i>
      <x v="269"/>
      <x v="237"/>
      <x v="1"/>
      <x v="19"/>
    </i>
    <i r="2">
      <x/>
      <x v="23"/>
    </i>
    <i r="2">
      <x v="2"/>
      <x v="2"/>
    </i>
    <i r="3">
      <x v="1"/>
    </i>
    <i>
      <x v="270"/>
      <x v="238"/>
      <x v="1"/>
      <x v="23"/>
    </i>
    <i r="2">
      <x/>
      <x v="23"/>
    </i>
    <i r="2">
      <x v="2"/>
      <x v="17"/>
    </i>
    <i r="3">
      <x v="2"/>
    </i>
    <i r="2">
      <x v="3"/>
      <x v="8"/>
    </i>
    <i>
      <x v="271"/>
      <x v="239"/>
      <x v="1"/>
      <x v="27"/>
    </i>
    <i r="2">
      <x/>
      <x v="9"/>
    </i>
    <i r="2">
      <x v="2"/>
      <x v="7"/>
    </i>
    <i>
      <x v="272"/>
      <x v="240"/>
      <x/>
      <x v="5"/>
    </i>
    <i>
      <x v="273"/>
      <x v="241"/>
      <x v="1"/>
      <x v="27"/>
    </i>
    <i r="3">
      <x/>
    </i>
    <i r="2">
      <x v="2"/>
      <x v="2"/>
    </i>
    <i r="3">
      <x v="1"/>
    </i>
    <i>
      <x v="274"/>
      <x v="242"/>
      <x/>
      <x v="24"/>
    </i>
    <i>
      <x v="275"/>
      <x v="242"/>
      <x v="1"/>
      <x v="21"/>
    </i>
    <i>
      <x v="276"/>
      <x v="243"/>
      <x v="1"/>
      <x v="5"/>
    </i>
    <i r="3">
      <x v="25"/>
    </i>
    <i r="3">
      <x v="10"/>
    </i>
    <i r="3">
      <x v="9"/>
    </i>
    <i>
      <x v="277"/>
      <x v="244"/>
      <x v="1"/>
      <x v="26"/>
    </i>
    <i r="3">
      <x v="12"/>
    </i>
    <i r="2">
      <x/>
      <x v="20"/>
    </i>
    <i r="2">
      <x v="2"/>
      <x/>
    </i>
    <i>
      <x v="278"/>
      <x v="245"/>
      <x v="1"/>
      <x v="17"/>
    </i>
    <i r="3">
      <x v="5"/>
    </i>
    <i>
      <x v="279"/>
      <x v="246"/>
      <x v="1"/>
      <x v="1"/>
    </i>
    <i>
      <x v="280"/>
      <x v="247"/>
      <x v="1"/>
      <x v="10"/>
    </i>
    <i>
      <x v="281"/>
      <x v="248"/>
      <x/>
      <x v="20"/>
    </i>
    <i>
      <x v="282"/>
      <x v="249"/>
      <x/>
      <x v="20"/>
    </i>
    <i>
      <x v="283"/>
      <x v="250"/>
      <x/>
      <x v="7"/>
    </i>
    <i>
      <x v="284"/>
      <x v="251"/>
      <x/>
      <x v="25"/>
    </i>
    <i>
      <x v="285"/>
      <x v="252"/>
      <x v="2"/>
      <x v="16"/>
    </i>
    <i>
      <x v="286"/>
      <x v="253"/>
      <x v="1"/>
      <x v="5"/>
    </i>
    <i>
      <x v="287"/>
      <x v="254"/>
      <x v="2"/>
      <x v="16"/>
    </i>
    <i>
      <x v="288"/>
      <x v="255"/>
      <x v="2"/>
      <x v="13"/>
    </i>
    <i r="2">
      <x v="3"/>
      <x v="11"/>
    </i>
    <i>
      <x v="289"/>
      <x v="256"/>
      <x v="2"/>
      <x v="25"/>
    </i>
    <i>
      <x v="290"/>
      <x v="257"/>
      <x/>
      <x v="20"/>
    </i>
    <i>
      <x v="291"/>
      <x v="258"/>
      <x/>
      <x v="23"/>
    </i>
    <i>
      <x v="292"/>
      <x v="259"/>
      <x/>
      <x v="23"/>
    </i>
    <i>
      <x v="293"/>
      <x v="260"/>
      <x v="1"/>
      <x v="12"/>
    </i>
    <i>
      <x v="294"/>
      <x v="261"/>
      <x v="1"/>
      <x v="12"/>
    </i>
    <i>
      <x v="295"/>
      <x v="262"/>
      <x v="1"/>
      <x v="24"/>
    </i>
    <i r="3">
      <x v="6"/>
    </i>
    <i>
      <x v="296"/>
      <x v="263"/>
      <x v="2"/>
      <x/>
    </i>
    <i>
      <x v="297"/>
      <x v="264"/>
      <x/>
      <x v="17"/>
    </i>
    <i>
      <x v="298"/>
      <x v="265"/>
      <x v="3"/>
      <x v="17"/>
    </i>
    <i>
      <x v="299"/>
      <x v="266"/>
      <x/>
      <x v="27"/>
    </i>
    <i>
      <x v="300"/>
      <x v="267"/>
      <x v="3"/>
      <x v="14"/>
    </i>
    <i>
      <x v="301"/>
      <x v="268"/>
      <x v="2"/>
      <x v="1"/>
    </i>
    <i>
      <x v="302"/>
      <x v="268"/>
      <x/>
      <x v="19"/>
    </i>
    <i r="2">
      <x v="2"/>
      <x v="8"/>
    </i>
    <i>
      <x v="303"/>
      <x v="269"/>
      <x/>
      <x v="24"/>
    </i>
    <i>
      <x v="304"/>
      <x v="270"/>
      <x/>
      <x v="20"/>
    </i>
    <i>
      <x v="305"/>
      <x v="258"/>
      <x v="1"/>
      <x v="30"/>
    </i>
    <i r="2">
      <x/>
      <x v="27"/>
    </i>
    <i>
      <x v="306"/>
      <x v="271"/>
      <x v="1"/>
      <x v="13"/>
    </i>
    <i r="2">
      <x/>
      <x v="19"/>
    </i>
    <i r="3">
      <x v="23"/>
    </i>
    <i>
      <x v="307"/>
      <x v="272"/>
      <x/>
      <x v="11"/>
    </i>
    <i>
      <x v="308"/>
      <x v="273"/>
      <x/>
      <x v="20"/>
    </i>
    <i>
      <x v="309"/>
      <x v="273"/>
      <x v="1"/>
      <x v="8"/>
    </i>
    <i>
      <x v="310"/>
      <x v="274"/>
      <x v="1"/>
      <x v="9"/>
    </i>
    <i>
      <x v="311"/>
      <x v="275"/>
      <x v="2"/>
      <x v="7"/>
    </i>
    <i r="2">
      <x v="3"/>
      <x v="30"/>
    </i>
    <i>
      <x v="312"/>
      <x v="276"/>
      <x v="1"/>
      <x v="24"/>
    </i>
    <i r="2">
      <x/>
      <x v="4"/>
    </i>
    <i r="2">
      <x v="3"/>
      <x v="23"/>
    </i>
    <i>
      <x v="313"/>
      <x v="277"/>
      <x v="1"/>
      <x v="24"/>
    </i>
    <i r="3">
      <x v="26"/>
    </i>
    <i r="3">
      <x v="10"/>
    </i>
    <i r="2">
      <x v="3"/>
      <x v="21"/>
    </i>
    <i r="3">
      <x v="23"/>
    </i>
    <i>
      <x v="314"/>
      <x v="278"/>
      <x v="1"/>
      <x v="24"/>
    </i>
    <i r="3">
      <x v="23"/>
    </i>
    <i r="2">
      <x/>
      <x v="16"/>
    </i>
    <i r="2">
      <x v="3"/>
      <x v="17"/>
    </i>
    <i r="3">
      <x v="6"/>
    </i>
    <i r="3">
      <x v="30"/>
    </i>
    <i>
      <x v="315"/>
      <x v="279"/>
      <x/>
      <x/>
    </i>
    <i r="3">
      <x v="29"/>
    </i>
    <i r="2">
      <x v="3"/>
      <x v="26"/>
    </i>
    <i r="3">
      <x v="6"/>
    </i>
    <i>
      <x v="316"/>
      <x v="280"/>
      <x v="1"/>
      <x v="23"/>
    </i>
    <i r="2">
      <x v="2"/>
      <x v="29"/>
    </i>
    <i>
      <x v="317"/>
      <x v="281"/>
      <x/>
      <x v="21"/>
    </i>
    <i r="2">
      <x v="2"/>
      <x v="9"/>
    </i>
    <i>
      <x v="318"/>
      <x v="282"/>
      <x v="1"/>
      <x v="18"/>
    </i>
    <i>
      <x v="319"/>
      <x v="283"/>
      <x v="1"/>
      <x v="23"/>
    </i>
    <i>
      <x v="320"/>
      <x v="284"/>
      <x v="1"/>
      <x v="7"/>
    </i>
    <i r="2">
      <x v="2"/>
      <x v="16"/>
    </i>
    <i r="2">
      <x v="3"/>
      <x v="6"/>
    </i>
    <i>
      <x v="321"/>
      <x v="285"/>
      <x v="2"/>
      <x v="2"/>
    </i>
    <i r="3">
      <x v="19"/>
    </i>
    <i r="2">
      <x v="3"/>
      <x v="7"/>
    </i>
    <i>
      <x v="322"/>
      <x v="286"/>
      <x v="2"/>
      <x v="28"/>
    </i>
    <i r="3">
      <x v="16"/>
    </i>
    <i r="2">
      <x v="3"/>
      <x v="13"/>
    </i>
    <i>
      <x v="323"/>
      <x v="287"/>
      <x/>
      <x v="11"/>
    </i>
    <i r="2">
      <x v="3"/>
      <x v="24"/>
    </i>
    <i r="3">
      <x v="7"/>
    </i>
    <i>
      <x v="324"/>
      <x v="288"/>
      <x/>
      <x v="11"/>
    </i>
    <i r="2">
      <x v="3"/>
      <x v="26"/>
    </i>
    <i r="3">
      <x v="19"/>
    </i>
    <i r="3">
      <x v="9"/>
    </i>
    <i>
      <x v="325"/>
      <x v="289"/>
      <x/>
      <x v="7"/>
    </i>
    <i>
      <x v="326"/>
      <x v="290"/>
      <x v="1"/>
      <x v="22"/>
    </i>
    <i r="3">
      <x v="18"/>
    </i>
    <i>
      <x v="327"/>
      <x v="291"/>
      <x v="2"/>
      <x v="11"/>
    </i>
    <i>
      <x v="328"/>
      <x v="292"/>
      <x v="1"/>
      <x v="7"/>
    </i>
    <i>
      <x v="329"/>
      <x v="293"/>
      <x v="1"/>
      <x v="22"/>
    </i>
    <i r="3">
      <x v="5"/>
    </i>
    <i r="3">
      <x v="4"/>
    </i>
    <i>
      <x v="330"/>
      <x v="294"/>
      <x v="1"/>
      <x v="17"/>
    </i>
    <i r="3">
      <x v="22"/>
    </i>
    <i>
      <x v="331"/>
      <x v="295"/>
      <x v="3"/>
      <x v="26"/>
    </i>
    <i>
      <x v="332"/>
      <x v="296"/>
      <x v="1"/>
      <x v="22"/>
    </i>
    <i>
      <x v="333"/>
      <x v="297"/>
      <x v="1"/>
      <x v="8"/>
    </i>
    <i r="2">
      <x v="3"/>
      <x v="13"/>
    </i>
    <i>
      <x v="334"/>
      <x v="298"/>
      <x v="1"/>
      <x v="24"/>
    </i>
    <i r="2">
      <x/>
      <x v="10"/>
    </i>
    <i>
      <x v="335"/>
      <x v="299"/>
      <x v="1"/>
      <x v="8"/>
    </i>
    <i r="2">
      <x/>
      <x v="30"/>
    </i>
    <i>
      <x v="336"/>
      <x v="300"/>
      <x/>
      <x v="4"/>
    </i>
    <i r="3">
      <x v="19"/>
    </i>
    <i>
      <x v="337"/>
      <x v="301"/>
      <x v="1"/>
      <x v="1"/>
    </i>
    <i r="2">
      <x/>
      <x v="30"/>
    </i>
    <i>
      <x v="338"/>
      <x v="302"/>
      <x v="1"/>
      <x v="1"/>
    </i>
    <i r="2">
      <x v="3"/>
      <x v="22"/>
    </i>
    <i>
      <x v="339"/>
      <x v="303"/>
      <x v="1"/>
      <x v="1"/>
    </i>
    <i r="2">
      <x v="3"/>
      <x v="28"/>
    </i>
    <i>
      <x v="340"/>
      <x v="304"/>
      <x v="2"/>
      <x v="12"/>
    </i>
    <i>
      <x v="341"/>
      <x v="305"/>
      <x/>
      <x v="13"/>
    </i>
    <i>
      <x v="342"/>
      <x v="306"/>
      <x v="1"/>
      <x v="24"/>
    </i>
    <i r="2">
      <x/>
      <x v="20"/>
    </i>
    <i>
      <x v="343"/>
      <x v="307"/>
      <x v="3"/>
      <x v="19"/>
    </i>
    <i>
      <x v="344"/>
      <x v="308"/>
      <x/>
      <x v="28"/>
    </i>
    <i r="3">
      <x v="9"/>
    </i>
    <i r="3">
      <x v="16"/>
    </i>
    <i>
      <x v="345"/>
      <x v="309"/>
      <x/>
      <x v="5"/>
    </i>
    <i>
      <x v="346"/>
      <x v="310"/>
      <x v="3"/>
      <x v="1"/>
    </i>
    <i>
      <x v="347"/>
      <x v="311"/>
      <x v="1"/>
      <x v="2"/>
    </i>
    <i r="2">
      <x/>
      <x v="30"/>
    </i>
    <i r="2">
      <x v="3"/>
      <x v="1"/>
    </i>
    <i>
      <x v="348"/>
      <x v="312"/>
      <x v="2"/>
      <x v="3"/>
    </i>
    <i r="3">
      <x v="19"/>
    </i>
    <i>
      <x v="349"/>
      <x v="313"/>
      <x/>
      <x v="27"/>
    </i>
    <i r="3">
      <x v="24"/>
    </i>
    <i r="3">
      <x v="26"/>
    </i>
    <i r="3">
      <x v="1"/>
    </i>
    <i>
      <x v="350"/>
      <x v="314"/>
      <x/>
      <x v="13"/>
    </i>
    <i>
      <x v="351"/>
      <x v="315"/>
      <x v="1"/>
      <x v="29"/>
    </i>
    <i r="3">
      <x v="16"/>
    </i>
    <i r="2">
      <x/>
      <x v="24"/>
    </i>
    <i>
      <x v="352"/>
      <x v="316"/>
      <x v="1"/>
      <x v="29"/>
    </i>
    <i r="3">
      <x v="7"/>
    </i>
    <i r="2">
      <x/>
      <x v="13"/>
    </i>
    <i>
      <x v="353"/>
      <x v="317"/>
      <x/>
      <x v="24"/>
    </i>
    <i r="3">
      <x v="14"/>
    </i>
    <i r="3">
      <x v="6"/>
    </i>
    <i r="3">
      <x v="2"/>
    </i>
    <i r="3">
      <x v="29"/>
    </i>
    <i r="3">
      <x v="3"/>
    </i>
    <i>
      <x v="354"/>
      <x v="318"/>
      <x v="1"/>
      <x v="15"/>
    </i>
    <i>
      <x v="355"/>
      <x v="319"/>
      <x v="1"/>
      <x v="8"/>
    </i>
    <i r="3">
      <x v="23"/>
    </i>
    <i>
      <x v="356"/>
      <x v="320"/>
      <x/>
      <x v="21"/>
    </i>
    <i r="3">
      <x v="5"/>
    </i>
    <i r="3">
      <x v="25"/>
    </i>
    <i r="2">
      <x v="2"/>
      <x v="21"/>
    </i>
    <i r="3">
      <x v="12"/>
    </i>
    <i r="3">
      <x v="23"/>
    </i>
    <i>
      <x v="357"/>
      <x v="321"/>
      <x/>
      <x/>
    </i>
    <i r="2">
      <x v="2"/>
      <x v="29"/>
    </i>
    <i r="3">
      <x v="21"/>
    </i>
    <i r="3">
      <x v="5"/>
    </i>
    <i>
      <x v="358"/>
      <x v="322"/>
      <x/>
      <x v="21"/>
    </i>
    <i r="3">
      <x v="25"/>
    </i>
    <i r="3">
      <x v="20"/>
    </i>
    <i r="2">
      <x v="2"/>
      <x v="6"/>
    </i>
    <i r="3">
      <x v="18"/>
    </i>
    <i r="3">
      <x v="10"/>
    </i>
    <i>
      <x v="359"/>
      <x v="323"/>
      <x v="1"/>
      <x v="25"/>
    </i>
    <i r="2">
      <x/>
      <x v="19"/>
    </i>
    <i r="2">
      <x v="3"/>
      <x v="25"/>
    </i>
    <i r="3">
      <x v="20"/>
    </i>
    <i>
      <x v="360"/>
      <x v="324"/>
      <x/>
      <x v="17"/>
    </i>
    <i r="2">
      <x v="3"/>
      <x v="12"/>
    </i>
    <i>
      <x v="361"/>
      <x v="325"/>
      <x v="3"/>
      <x v="7"/>
    </i>
    <i r="3">
      <x v="9"/>
    </i>
    <i>
      <x v="362"/>
      <x v="326"/>
      <x v="1"/>
      <x v="25"/>
    </i>
    <i r="2">
      <x v="2"/>
      <x v="7"/>
    </i>
    <i>
      <x v="363"/>
      <x v="327"/>
      <x v="3"/>
      <x v="11"/>
    </i>
    <i>
      <x v="364"/>
      <x v="328"/>
      <x v="1"/>
      <x v="13"/>
    </i>
    <i r="3">
      <x v="1"/>
    </i>
    <i r="2">
      <x v="2"/>
      <x v="25"/>
    </i>
    <i r="2">
      <x v="3"/>
      <x v="13"/>
    </i>
    <i r="3">
      <x v="29"/>
    </i>
    <i r="3">
      <x v="9"/>
    </i>
    <i>
      <x v="365"/>
      <x v="329"/>
      <x v="2"/>
      <x/>
    </i>
    <i>
      <x v="366"/>
      <x v="330"/>
      <x v="1"/>
      <x v="1"/>
    </i>
    <i r="2">
      <x v="2"/>
      <x v="24"/>
    </i>
    <i r="3">
      <x v="8"/>
    </i>
    <i r="2">
      <x v="3"/>
      <x v="17"/>
    </i>
    <i r="3">
      <x v="21"/>
    </i>
    <i r="3">
      <x v="20"/>
    </i>
    <i>
      <x v="367"/>
      <x v="331"/>
      <x v="2"/>
      <x v="29"/>
    </i>
    <i r="2">
      <x v="3"/>
      <x v="22"/>
    </i>
    <i>
      <x v="368"/>
      <x v="332"/>
      <x v="1"/>
      <x v="7"/>
    </i>
    <i r="2">
      <x/>
      <x v="4"/>
    </i>
    <i r="2">
      <x v="3"/>
      <x v="4"/>
    </i>
    <i>
      <x v="369"/>
      <x v="333"/>
      <x/>
      <x v="27"/>
    </i>
    <i r="3">
      <x v="12"/>
    </i>
    <i>
      <x v="370"/>
      <x v="334"/>
      <x/>
      <x v="27"/>
    </i>
    <i r="3">
      <x v="9"/>
    </i>
    <i>
      <x v="371"/>
      <x v="335"/>
      <x/>
      <x v="27"/>
    </i>
    <i r="3">
      <x/>
    </i>
    <i>
      <x v="372"/>
      <x v="334"/>
      <x/>
      <x v="9"/>
    </i>
    <i>
      <x v="373"/>
      <x v="336"/>
      <x/>
      <x v="5"/>
    </i>
    <i r="3">
      <x v="10"/>
    </i>
    <i>
      <x v="374"/>
      <x v="337"/>
      <x v="1"/>
      <x v="15"/>
    </i>
    <i>
      <x v="375"/>
      <x v="338"/>
      <x/>
      <x v="12"/>
    </i>
    <i>
      <x v="376"/>
      <x v="339"/>
      <x v="2"/>
      <x v="2"/>
    </i>
    <i>
      <x v="377"/>
      <x v="340"/>
      <x v="2"/>
      <x v="2"/>
    </i>
    <i>
      <x v="378"/>
      <x v="341"/>
      <x v="2"/>
      <x v="14"/>
    </i>
    <i r="3">
      <x v="2"/>
    </i>
    <i>
      <x v="379"/>
      <x v="342"/>
      <x v="2"/>
      <x v="2"/>
    </i>
    <i>
      <x v="380"/>
      <x v="343"/>
      <x v="1"/>
      <x v="9"/>
    </i>
    <i>
      <x v="381"/>
      <x v="344"/>
      <x v="2"/>
      <x v="2"/>
    </i>
    <i>
      <x v="382"/>
      <x v="345"/>
      <x v="2"/>
      <x v="12"/>
    </i>
    <i>
      <x v="383"/>
      <x v="346"/>
      <x/>
      <x v="1"/>
    </i>
    <i r="2">
      <x v="3"/>
      <x v="6"/>
    </i>
    <i>
      <x v="384"/>
      <x v="347"/>
      <x/>
      <x/>
    </i>
    <i r="2">
      <x v="2"/>
      <x v="13"/>
    </i>
    <i>
      <x v="385"/>
      <x v="348"/>
      <x/>
      <x v="20"/>
    </i>
    <i r="2">
      <x v="3"/>
      <x v="19"/>
    </i>
    <i>
      <x v="386"/>
      <x v="349"/>
      <x v="2"/>
      <x v="26"/>
    </i>
    <i>
      <x v="387"/>
      <x v="350"/>
      <x v="1"/>
      <x v="21"/>
    </i>
    <i r="2">
      <x v="3"/>
      <x v="1"/>
    </i>
    <i>
      <x v="388"/>
      <x v="351"/>
      <x v="3"/>
      <x v="14"/>
    </i>
    <i r="3">
      <x v="30"/>
    </i>
    <i>
      <x v="389"/>
      <x v="352"/>
      <x/>
      <x v="15"/>
    </i>
    <i r="2">
      <x v="3"/>
      <x v="14"/>
    </i>
    <i>
      <x v="390"/>
      <x v="348"/>
      <x v="3"/>
      <x v="19"/>
    </i>
    <i>
      <x v="391"/>
      <x v="353"/>
      <x v="1"/>
      <x v="12"/>
    </i>
    <i>
      <x v="392"/>
      <x v="354"/>
      <x v="1"/>
      <x v="6"/>
    </i>
    <i r="2">
      <x/>
      <x v="11"/>
    </i>
    <i>
      <x v="393"/>
      <x v="355"/>
      <x v="1"/>
      <x v="13"/>
    </i>
    <i>
      <x v="394"/>
      <x v="356"/>
      <x v="1"/>
      <x v="14"/>
    </i>
    <i>
      <x v="395"/>
      <x v="355"/>
      <x v="1"/>
      <x v="23"/>
    </i>
    <i r="2">
      <x v="3"/>
      <x v="1"/>
    </i>
    <i r="3">
      <x v="16"/>
    </i>
    <i>
      <x v="396"/>
      <x v="357"/>
      <x v="3"/>
      <x v="16"/>
    </i>
    <i>
      <x v="397"/>
      <x v="358"/>
      <x v="2"/>
      <x v="26"/>
    </i>
    <i>
      <x v="398"/>
      <x v="359"/>
      <x/>
      <x v="22"/>
    </i>
    <i>
      <x v="399"/>
      <x v="360"/>
      <x v="1"/>
      <x v="8"/>
    </i>
    <i>
      <x v="400"/>
      <x v="361"/>
      <x v="1"/>
      <x v="28"/>
    </i>
    <i r="2">
      <x/>
      <x v="7"/>
    </i>
    <i r="2">
      <x v="3"/>
      <x v="1"/>
    </i>
    <i>
      <x v="401"/>
      <x v="359"/>
      <x/>
      <x v="22"/>
    </i>
    <i>
      <x v="402"/>
      <x v="362"/>
      <x v="1"/>
      <x/>
    </i>
    <i>
      <x v="403"/>
      <x v="363"/>
      <x/>
      <x v="11"/>
    </i>
    <i>
      <x v="404"/>
      <x v="364"/>
      <x v="1"/>
      <x v="19"/>
    </i>
    <i>
      <x v="405"/>
      <x v="365"/>
      <x/>
      <x v="22"/>
    </i>
    <i>
      <x v="406"/>
      <x v="366"/>
      <x v="1"/>
      <x v="12"/>
    </i>
    <i r="3">
      <x v="19"/>
    </i>
    <i>
      <x v="407"/>
      <x v="367"/>
      <x v="1"/>
      <x v="6"/>
    </i>
    <i>
      <x v="408"/>
      <x v="368"/>
      <x v="1"/>
      <x v="15"/>
    </i>
    <i r="3">
      <x v="12"/>
    </i>
    <i r="2">
      <x/>
      <x v="25"/>
    </i>
    <i>
      <x v="409"/>
      <x v="368"/>
      <x/>
      <x v="27"/>
    </i>
    <i r="3">
      <x v="1"/>
    </i>
    <i>
      <x v="410"/>
      <x v="369"/>
      <x/>
      <x v="19"/>
    </i>
    <i>
      <x v="411"/>
      <x v="370"/>
      <x/>
      <x v="12"/>
    </i>
    <i>
      <x v="412"/>
      <x v="371"/>
      <x/>
      <x v="12"/>
    </i>
    <i>
      <x v="413"/>
      <x v="372"/>
      <x/>
      <x v="12"/>
    </i>
    <i>
      <x v="414"/>
      <x v="373"/>
      <x v="1"/>
      <x v="15"/>
    </i>
    <i>
      <x v="415"/>
      <x v="374"/>
      <x v="3"/>
      <x v="8"/>
    </i>
    <i>
      <x v="416"/>
      <x v="375"/>
      <x v="3"/>
      <x v="8"/>
    </i>
    <i>
      <x v="417"/>
      <x v="374"/>
      <x v="3"/>
      <x v="8"/>
    </i>
    <i>
      <x v="418"/>
      <x v="375"/>
      <x v="3"/>
      <x v="8"/>
    </i>
    <i>
      <x v="419"/>
      <x v="376"/>
      <x/>
      <x v="12"/>
    </i>
    <i>
      <x v="420"/>
      <x v="377"/>
      <x/>
      <x v="7"/>
    </i>
    <i>
      <x v="421"/>
      <x v="378"/>
      <x/>
      <x v="12"/>
    </i>
    <i>
      <x v="422"/>
      <x v="379"/>
      <x/>
      <x v="13"/>
    </i>
    <i>
      <x v="423"/>
      <x v="380"/>
      <x v="3"/>
      <x v="9"/>
    </i>
    <i>
      <x v="424"/>
      <x v="381"/>
      <x v="1"/>
      <x v="17"/>
    </i>
    <i r="3">
      <x v="27"/>
    </i>
    <i r="3">
      <x v="12"/>
    </i>
    <i r="3">
      <x v="19"/>
    </i>
    <i r="2">
      <x/>
      <x v="14"/>
    </i>
    <i r="3">
      <x/>
    </i>
    <i r="3">
      <x v="25"/>
    </i>
    <i>
      <x v="425"/>
      <x v="382"/>
      <x/>
      <x v="22"/>
    </i>
    <i>
      <x v="426"/>
      <x v="383"/>
      <x/>
      <x v="13"/>
    </i>
    <i>
      <x v="427"/>
      <x v="384"/>
      <x v="1"/>
      <x v="12"/>
    </i>
    <i r="2">
      <x/>
      <x v="30"/>
    </i>
    <i r="3">
      <x v="23"/>
    </i>
    <i r="2">
      <x v="2"/>
      <x v="23"/>
    </i>
    <i>
      <x v="428"/>
      <x v="385"/>
      <x/>
      <x v="7"/>
    </i>
    <i r="2">
      <x v="3"/>
      <x v="15"/>
    </i>
    <i r="3">
      <x v="8"/>
    </i>
    <i r="3">
      <x v="4"/>
    </i>
    <i r="3">
      <x v="9"/>
    </i>
    <i>
      <x v="429"/>
      <x v="386"/>
      <x v="3"/>
      <x v="25"/>
    </i>
    <i>
      <x v="430"/>
      <x v="387"/>
      <x/>
      <x v="1"/>
    </i>
    <i>
      <x v="431"/>
      <x v="388"/>
      <x v="1"/>
      <x v="12"/>
    </i>
    <i r="2">
      <x/>
      <x v="1"/>
    </i>
    <i r="3">
      <x v="9"/>
    </i>
    <i r="2">
      <x v="3"/>
      <x v="26"/>
    </i>
    <i r="3">
      <x v="12"/>
    </i>
    <i r="3">
      <x v="10"/>
    </i>
    <i>
      <x v="432"/>
      <x v="389"/>
      <x v="1"/>
      <x v="7"/>
    </i>
    <i r="3">
      <x v="23"/>
    </i>
    <i r="2">
      <x/>
      <x v="10"/>
    </i>
    <i r="3">
      <x v="9"/>
    </i>
    <i r="2">
      <x v="2"/>
      <x v="27"/>
    </i>
    <i r="2">
      <x v="3"/>
      <x v="13"/>
    </i>
    <i r="3">
      <x v="17"/>
    </i>
    <i r="3">
      <x v="19"/>
    </i>
    <i>
      <x v="433"/>
      <x v="390"/>
      <x/>
      <x v="9"/>
    </i>
    <i r="2">
      <x v="2"/>
      <x v="26"/>
    </i>
    <i r="3">
      <x v="15"/>
    </i>
    <i r="3">
      <x v="1"/>
    </i>
    <i r="2">
      <x v="3"/>
      <x v="7"/>
    </i>
    <i r="3">
      <x v="9"/>
    </i>
    <i>
      <x v="434"/>
      <x v="391"/>
      <x/>
      <x v="14"/>
    </i>
    <i r="2">
      <x v="2"/>
      <x v="13"/>
    </i>
    <i r="3">
      <x v="23"/>
    </i>
    <i r="2">
      <x v="3"/>
      <x v="4"/>
    </i>
    <i r="3">
      <x v="3"/>
    </i>
    <i>
      <x v="435"/>
      <x v="392"/>
      <x/>
      <x v="24"/>
    </i>
    <i r="3">
      <x v="21"/>
    </i>
    <i r="3">
      <x v="5"/>
    </i>
    <i r="2">
      <x v="2"/>
      <x v="1"/>
    </i>
    <i r="2">
      <x v="3"/>
      <x v="19"/>
    </i>
    <i r="3">
      <x v="16"/>
    </i>
    <i>
      <x v="436"/>
      <x v="393"/>
      <x v="1"/>
      <x v="27"/>
    </i>
    <i r="3">
      <x v="28"/>
    </i>
    <i r="2">
      <x/>
      <x/>
    </i>
    <i r="3">
      <x v="19"/>
    </i>
    <i r="2">
      <x v="2"/>
      <x v="27"/>
    </i>
    <i r="3">
      <x v="9"/>
    </i>
    <i r="2">
      <x v="3"/>
      <x v="27"/>
    </i>
    <i r="3">
      <x v="22"/>
    </i>
    <i r="3">
      <x v="23"/>
    </i>
    <i>
      <x v="437"/>
      <x v="394"/>
      <x v="1"/>
      <x v="16"/>
    </i>
    <i>
      <x v="438"/>
      <x v="395"/>
      <x v="2"/>
      <x v="26"/>
    </i>
    <i>
      <x v="439"/>
      <x v="396"/>
      <x v="1"/>
      <x v="9"/>
    </i>
    <i r="2">
      <x v="2"/>
      <x v="2"/>
    </i>
    <i>
      <x v="440"/>
      <x v="397"/>
      <x v="1"/>
      <x v="27"/>
    </i>
    <i r="2">
      <x v="2"/>
      <x v="15"/>
    </i>
    <i r="3">
      <x v="2"/>
    </i>
    <i>
      <x v="441"/>
      <x v="398"/>
      <x/>
      <x v="30"/>
    </i>
    <i r="2">
      <x v="2"/>
      <x v="28"/>
    </i>
    <i>
      <x v="442"/>
      <x v="399"/>
      <x v="1"/>
      <x v="25"/>
    </i>
    <i r="2">
      <x v="2"/>
      <x v="8"/>
    </i>
    <i r="3">
      <x v="20"/>
    </i>
    <i>
      <x v="443"/>
      <x v="400"/>
      <x/>
      <x v="20"/>
    </i>
    <i>
      <x v="444"/>
      <x v="401"/>
      <x v="2"/>
      <x v="26"/>
    </i>
    <i>
      <x v="445"/>
      <x v="402"/>
      <x v="1"/>
      <x v="29"/>
    </i>
    <i>
      <x v="446"/>
      <x v="403"/>
      <x v="1"/>
      <x v="23"/>
    </i>
    <i>
      <x v="447"/>
      <x v="404"/>
      <x/>
      <x v="7"/>
    </i>
    <i>
      <x v="448"/>
      <x v="405"/>
      <x/>
      <x v="18"/>
    </i>
    <i>
      <x v="449"/>
      <x v="406"/>
      <x v="1"/>
      <x v="15"/>
    </i>
    <i r="2">
      <x/>
      <x v="19"/>
    </i>
    <i>
      <x v="450"/>
      <x v="407"/>
      <x v="1"/>
      <x v="11"/>
    </i>
    <i r="2">
      <x/>
      <x v="9"/>
    </i>
    <i>
      <x v="451"/>
      <x v="408"/>
      <x v="1"/>
      <x v="10"/>
    </i>
    <i r="2">
      <x v="2"/>
      <x v="13"/>
    </i>
    <i r="2">
      <x v="3"/>
      <x v="1"/>
    </i>
    <i>
      <x v="452"/>
      <x v="409"/>
      <x/>
      <x v="14"/>
    </i>
    <i r="3">
      <x v="25"/>
    </i>
    <i>
      <x v="453"/>
      <x v="410"/>
      <x/>
      <x v="3"/>
    </i>
    <i r="3">
      <x v="10"/>
    </i>
    <i r="2">
      <x v="2"/>
      <x v="13"/>
    </i>
    <i r="2">
      <x v="3"/>
      <x v="11"/>
    </i>
    <i>
      <x v="454"/>
      <x v="411"/>
      <x/>
      <x v="9"/>
    </i>
    <i>
      <x v="455"/>
      <x v="412"/>
      <x/>
      <x v="10"/>
    </i>
    <i r="2">
      <x v="3"/>
      <x v="1"/>
    </i>
    <i>
      <x v="456"/>
      <x v="413"/>
      <x v="1"/>
      <x v="27"/>
    </i>
    <i r="3">
      <x v="19"/>
    </i>
    <i r="2">
      <x v="2"/>
      <x v="2"/>
    </i>
    <i>
      <x v="457"/>
      <x v="414"/>
      <x/>
      <x v="10"/>
    </i>
    <i r="3">
      <x v="23"/>
    </i>
    <i r="2">
      <x v="3"/>
      <x v="13"/>
    </i>
    <i>
      <x v="458"/>
      <x v="415"/>
      <x v="1"/>
      <x v="27"/>
    </i>
    <i r="2">
      <x/>
      <x v="3"/>
    </i>
    <i>
      <x v="459"/>
      <x v="416"/>
      <x/>
      <x v="9"/>
    </i>
    <i>
      <x v="460"/>
      <x v="417"/>
      <x/>
      <x v="27"/>
    </i>
    <i r="3">
      <x v="24"/>
    </i>
    <i r="3">
      <x v="8"/>
    </i>
    <i r="3">
      <x v="10"/>
    </i>
    <i>
      <x v="461"/>
      <x v="418"/>
      <x v="1"/>
      <x v="27"/>
    </i>
    <i r="3">
      <x v="11"/>
    </i>
    <i r="2">
      <x v="2"/>
      <x v="29"/>
    </i>
    <i r="2">
      <x v="3"/>
      <x v="11"/>
    </i>
    <i r="3">
      <x v="8"/>
    </i>
    <i>
      <x v="462"/>
      <x v="419"/>
      <x/>
      <x v="24"/>
    </i>
    <i r="3">
      <x v="23"/>
    </i>
    <i>
      <x v="463"/>
      <x v="420"/>
      <x v="1"/>
      <x v="7"/>
    </i>
    <i r="2">
      <x/>
      <x v="27"/>
    </i>
    <i r="3">
      <x v="15"/>
    </i>
    <i r="3">
      <x v="10"/>
    </i>
    <i r="2">
      <x v="2"/>
      <x v="9"/>
    </i>
    <i r="2">
      <x v="3"/>
      <x v="1"/>
    </i>
  </rowItems>
  <colFields count="1">
    <field x="-2"/>
  </colFields>
  <colItems count="2">
    <i>
      <x/>
    </i>
    <i i="1">
      <x v="1"/>
    </i>
  </colItems>
  <dataFields count="2">
    <dataField name="Sum of QTY SOLD" fld="4" baseField="0" baseItem="0"/>
    <dataField name="Sum of AMOUNT" fld="5" baseField="0" baseItem="0"/>
  </dataFields>
  <formats count="54">
    <format dxfId="53">
      <pivotArea dataOnly="0" labelOnly="1" outline="0" axis="axisValues" fieldPosition="0"/>
    </format>
    <format dxfId="52">
      <pivotArea dataOnly="0" labelOnly="1" outline="0" axis="axisValues" fieldPosition="0"/>
    </format>
    <format dxfId="51">
      <pivotArea dataOnly="0" labelOnly="1" outline="0" axis="axisValues" fieldPosition="0"/>
    </format>
    <format dxfId="50">
      <pivotArea dataOnly="0" labelOnly="1" outline="0" axis="axisValues" fieldPosition="0"/>
    </format>
    <format dxfId="49">
      <pivotArea dataOnly="0" labelOnly="1" outline="0" axis="axisValues" fieldPosition="0"/>
    </format>
    <format dxfId="48">
      <pivotArea dataOnly="0" labelOnly="1" outline="0" axis="axisValues" fieldPosition="0"/>
    </format>
    <format dxfId="47">
      <pivotArea dataOnly="0" labelOnly="1" outline="0" axis="axisValues" fieldPosition="0"/>
    </format>
    <format dxfId="46">
      <pivotArea dataOnly="0" labelOnly="1" outline="0" axis="axisValues" fieldPosition="0"/>
    </format>
    <format dxfId="45">
      <pivotArea dataOnly="0" labelOnly="1" outline="0" axis="axisValues" fieldPosition="0"/>
    </format>
    <format dxfId="44">
      <pivotArea dataOnly="0" labelOnly="1" outline="0" axis="axisValues" fieldPosition="0"/>
    </format>
    <format dxfId="43">
      <pivotArea dataOnly="0" labelOnly="1" outline="0" axis="axisValues" fieldPosition="0"/>
    </format>
    <format dxfId="42">
      <pivotArea dataOnly="0" labelOnly="1" outline="0" axis="axisValues" fieldPosition="0"/>
    </format>
    <format dxfId="41">
      <pivotArea dataOnly="0" labelOnly="1" outline="0" axis="axisValues" fieldPosition="0"/>
    </format>
    <format dxfId="40">
      <pivotArea dataOnly="0" labelOnly="1" outline="0" axis="axisValues" fieldPosition="0"/>
    </format>
    <format dxfId="39">
      <pivotArea dataOnly="0" labelOnly="1" outline="0" axis="axisValues" fieldPosition="0"/>
    </format>
    <format dxfId="38">
      <pivotArea dataOnly="0" labelOnly="1" outline="0" axis="axisValues" fieldPosition="0"/>
    </format>
    <format dxfId="37">
      <pivotArea dataOnly="0" labelOnly="1" outline="0" axis="axisValues" fieldPosition="0"/>
    </format>
    <format dxfId="36">
      <pivotArea dataOnly="0" labelOnly="1" outline="0" axis="axisValues" fieldPosition="0"/>
    </format>
    <format dxfId="35">
      <pivotArea dataOnly="0" labelOnly="1" outline="0" axis="axisValues" fieldPosition="0"/>
    </format>
    <format dxfId="34">
      <pivotArea dataOnly="0" labelOnly="1" outline="0" axis="axisValues" fieldPosition="0"/>
    </format>
    <format dxfId="33">
      <pivotArea dataOnly="0" labelOnly="1" outline="0" axis="axisValues" fieldPosition="0"/>
    </format>
    <format dxfId="32">
      <pivotArea dataOnly="0" labelOnly="1" outline="0" axis="axisValues" fieldPosition="0"/>
    </format>
    <format dxfId="31">
      <pivotArea dataOnly="0" labelOnly="1" outline="0" axis="axisValues" fieldPosition="0"/>
    </format>
    <format dxfId="30">
      <pivotArea dataOnly="0" labelOnly="1" outline="0" axis="axisValues" fieldPosition="0"/>
    </format>
    <format dxfId="29">
      <pivotArea dataOnly="0" labelOnly="1" outline="0" axis="axisValues" fieldPosition="0"/>
    </format>
    <format dxfId="28">
      <pivotArea dataOnly="0" labelOnly="1" outline="0" axis="axisValues" fieldPosition="0"/>
    </format>
    <format dxfId="27">
      <pivotArea dataOnly="0" labelOnly="1" outline="0" axis="axisValues" fieldPosition="0"/>
    </format>
    <format dxfId="26">
      <pivotArea dataOnly="0" labelOnly="1" outline="0" axis="axisValues" fieldPosition="0"/>
    </format>
    <format dxfId="25">
      <pivotArea dataOnly="0" labelOnly="1" outline="0" axis="axisValues" fieldPosition="0"/>
    </format>
    <format dxfId="24">
      <pivotArea dataOnly="0" labelOnly="1" outline="0" axis="axisValues" fieldPosition="0"/>
    </format>
    <format dxfId="23">
      <pivotArea dataOnly="0" labelOnly="1" outline="0" axis="axisValues" fieldPosition="0"/>
    </format>
    <format dxfId="22">
      <pivotArea dataOnly="0" labelOnly="1" outline="0" axis="axisValues" fieldPosition="0"/>
    </format>
    <format dxfId="21">
      <pivotArea dataOnly="0" labelOnly="1" outline="0" axis="axisValues" fieldPosition="0"/>
    </format>
    <format dxfId="20">
      <pivotArea dataOnly="0" labelOnly="1" outline="0" axis="axisValues" fieldPosition="0"/>
    </format>
    <format dxfId="19">
      <pivotArea field="0" type="button" dataOnly="0" labelOnly="1" outline="0" axis="axisRow" fieldPosition="0"/>
    </format>
    <format dxfId="18">
      <pivotArea field="1" type="button" dataOnly="0" labelOnly="1" outline="0" axis="axisRow" fieldPosition="1"/>
    </format>
    <format dxfId="17">
      <pivotArea field="2" type="button" dataOnly="0" labelOnly="1" outline="0" axis="axisRow" fieldPosition="2"/>
    </format>
    <format dxfId="16">
      <pivotArea field="3" type="button" dataOnly="0" labelOnly="1" outline="0" axis="axisRow" fieldPosition="3"/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field="0" type="button" dataOnly="0" labelOnly="1" outline="0" axis="axisRow" fieldPosition="0"/>
    </format>
    <format dxfId="13">
      <pivotArea field="1" type="button" dataOnly="0" labelOnly="1" outline="0" axis="axisRow" fieldPosition="1"/>
    </format>
    <format dxfId="12">
      <pivotArea field="2" type="button" dataOnly="0" labelOnly="1" outline="0" axis="axisRow" fieldPosition="2"/>
    </format>
    <format dxfId="11">
      <pivotArea field="3" type="button" dataOnly="0" labelOnly="1" outline="0" axis="axisRow" fieldPosition="3"/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field="0" type="button" dataOnly="0" labelOnly="1" outline="0" axis="axisRow" fieldPosition="0"/>
    </format>
    <format dxfId="8">
      <pivotArea field="1" type="button" dataOnly="0" labelOnly="1" outline="0" axis="axisRow" fieldPosition="1"/>
    </format>
    <format dxfId="7">
      <pivotArea field="2" type="button" dataOnly="0" labelOnly="1" outline="0" axis="axisRow" fieldPosition="2"/>
    </format>
    <format dxfId="6">
      <pivotArea field="3" type="button" dataOnly="0" labelOnly="1" outline="0" axis="axisRow" fieldPosition="3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field="0" type="button" dataOnly="0" labelOnly="1" outline="0" axis="axisRow" fieldPosition="0"/>
    </format>
    <format dxfId="3">
      <pivotArea field="1" type="button" dataOnly="0" labelOnly="1" outline="0" axis="axisRow" fieldPosition="1"/>
    </format>
    <format dxfId="2">
      <pivotArea field="2" type="button" dataOnly="0" labelOnly="1" outline="0" axis="axisRow" fieldPosition="2"/>
    </format>
    <format dxfId="1">
      <pivotArea field="3" type="button" dataOnly="0" labelOnly="1" outline="0" axis="axisRow" fieldPosition="3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4">
    <rowHierarchyUsage hierarchyUsage="5"/>
    <rowHierarchyUsage hierarchyUsage="6"/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Data!$A:$I">
        <x15:activeTabTopLevelEntity name="[Rang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b1@nbfi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4"/>
  <sheetViews>
    <sheetView workbookViewId="0">
      <selection activeCell="I13" sqref="I13"/>
    </sheetView>
  </sheetViews>
  <sheetFormatPr defaultRowHeight="15" x14ac:dyDescent="0.25"/>
  <cols>
    <col min="1" max="1" width="16.28515625" bestFit="1" customWidth="1"/>
    <col min="2" max="2" width="34.28515625" style="1" customWidth="1"/>
    <col min="7" max="7" width="16.28515625" bestFit="1" customWidth="1"/>
  </cols>
  <sheetData>
    <row r="1" spans="1:7" x14ac:dyDescent="0.25">
      <c r="A1" t="s">
        <v>0</v>
      </c>
      <c r="B1" s="1" t="s">
        <v>22</v>
      </c>
      <c r="F1" t="s">
        <v>15</v>
      </c>
    </row>
    <row r="2" spans="1:7" x14ac:dyDescent="0.25">
      <c r="A2" t="s">
        <v>1</v>
      </c>
      <c r="B2" s="1" t="s">
        <v>475</v>
      </c>
      <c r="F2" t="s">
        <v>16</v>
      </c>
      <c r="G2" s="3">
        <v>44773</v>
      </c>
    </row>
    <row r="3" spans="1:7" x14ac:dyDescent="0.25">
      <c r="A3" t="s">
        <v>2</v>
      </c>
      <c r="B3" s="1" t="s">
        <v>3</v>
      </c>
      <c r="F3" t="s">
        <v>17</v>
      </c>
    </row>
    <row r="4" spans="1:7" x14ac:dyDescent="0.25">
      <c r="A4" t="s">
        <v>4</v>
      </c>
      <c r="B4" s="2" t="s">
        <v>18</v>
      </c>
    </row>
    <row r="5" spans="1:7" x14ac:dyDescent="0.25">
      <c r="A5" t="s">
        <v>5</v>
      </c>
      <c r="B5" s="1" t="s">
        <v>6</v>
      </c>
    </row>
    <row r="6" spans="1:7" x14ac:dyDescent="0.25">
      <c r="A6" t="s">
        <v>7</v>
      </c>
      <c r="B6" s="1" t="s">
        <v>8</v>
      </c>
    </row>
    <row r="7" spans="1:7" x14ac:dyDescent="0.25">
      <c r="A7" t="s">
        <v>9</v>
      </c>
      <c r="B7" s="1" t="s">
        <v>10</v>
      </c>
    </row>
    <row r="8" spans="1:7" x14ac:dyDescent="0.25">
      <c r="A8" t="s">
        <v>11</v>
      </c>
    </row>
    <row r="9" spans="1:7" x14ac:dyDescent="0.25">
      <c r="A9" t="s">
        <v>12</v>
      </c>
    </row>
    <row r="10" spans="1:7" x14ac:dyDescent="0.25">
      <c r="A10" t="s">
        <v>13</v>
      </c>
    </row>
    <row r="11" spans="1:7" x14ac:dyDescent="0.25">
      <c r="A11" t="s">
        <v>14</v>
      </c>
    </row>
    <row r="12" spans="1:7" x14ac:dyDescent="0.25">
      <c r="A12" t="s">
        <v>21</v>
      </c>
      <c r="B12" s="1" t="b">
        <v>1</v>
      </c>
    </row>
    <row r="13" spans="1:7" x14ac:dyDescent="0.25">
      <c r="A13" t="s">
        <v>19</v>
      </c>
    </row>
    <row r="14" spans="1:7" x14ac:dyDescent="0.25">
      <c r="A14" t="s">
        <v>20</v>
      </c>
    </row>
  </sheetData>
  <hyperlinks>
    <hyperlink ref="B4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52"/>
  <sheetViews>
    <sheetView workbookViewId="0">
      <selection activeCell="E8" sqref="E8"/>
    </sheetView>
  </sheetViews>
  <sheetFormatPr defaultColWidth="10.85546875" defaultRowHeight="15" x14ac:dyDescent="0.25"/>
  <cols>
    <col min="1" max="1" width="34.85546875" bestFit="1" customWidth="1"/>
    <col min="2" max="2" width="12.28515625" customWidth="1"/>
    <col min="3" max="3" width="49.42578125" bestFit="1" customWidth="1"/>
    <col min="4" max="4" width="8.42578125" bestFit="1" customWidth="1"/>
    <col min="5" max="5" width="27.28515625" bestFit="1" customWidth="1"/>
    <col min="6" max="6" width="28.42578125" bestFit="1" customWidth="1"/>
    <col min="7" max="7" width="7.85546875" bestFit="1" customWidth="1"/>
    <col min="8" max="9" width="16.7109375" customWidth="1"/>
    <col min="10" max="10" width="25.7109375" bestFit="1" customWidth="1"/>
  </cols>
  <sheetData>
    <row r="1" spans="1:1" x14ac:dyDescent="0.25">
      <c r="A1" s="4"/>
    </row>
    <row r="2" spans="1:1" x14ac:dyDescent="0.25">
      <c r="A2" s="4"/>
    </row>
    <row r="3" spans="1:1" x14ac:dyDescent="0.25">
      <c r="A3" s="4"/>
    </row>
    <row r="4" spans="1:1" x14ac:dyDescent="0.25">
      <c r="A4" s="5" t="s">
        <v>29</v>
      </c>
    </row>
    <row r="5" spans="1:1" x14ac:dyDescent="0.25">
      <c r="A5" s="6" t="str">
        <f>IF(B5&lt;&gt;"Total",IFERROR(VLOOKUP(VALUE(B5),'SKU Maintenance'!A:D,2,0),"item not found"),"")</f>
        <v>item not found</v>
      </c>
    </row>
    <row r="6" spans="1:1" x14ac:dyDescent="0.25">
      <c r="A6" s="6" t="str">
        <f>IF(B6&lt;&gt;"Total",IFERROR(VLOOKUP(VALUE(B6),'SKU Maintenance'!A:D,2,0),"item not found"),"")</f>
        <v>item not found</v>
      </c>
    </row>
    <row r="7" spans="1:1" x14ac:dyDescent="0.25">
      <c r="A7" s="6" t="str">
        <f>IF(B9&lt;&gt;"Total",IFERROR(VLOOKUP(VALUE(B7),'SKU Maintenance'!A:D,2,0),"item not found"),"")</f>
        <v>item not found</v>
      </c>
    </row>
    <row r="8" spans="1:1" x14ac:dyDescent="0.25">
      <c r="A8" s="6" t="str">
        <f>IF(B8&lt;&gt;"Total",IFERROR(VLOOKUP(VALUE(B8),'SKU Maintenance'!A:D,2,0),"item not found"),"")</f>
        <v>item not found</v>
      </c>
    </row>
    <row r="9" spans="1:1" x14ac:dyDescent="0.25">
      <c r="A9" s="6" t="str">
        <f>IF(B9&lt;&gt;"Total",IFERROR(VLOOKUP(VALUE(B9),'SKU Maintenance'!A:D,2,0),"item not found"),"")</f>
        <v>item not found</v>
      </c>
    </row>
    <row r="10" spans="1:1" x14ac:dyDescent="0.25">
      <c r="A10" s="6" t="str">
        <f>IF(B10&lt;&gt;"Total",IFERROR(VLOOKUP(VALUE(B10),'SKU Maintenance'!A:D,2,0),"item not found"),"")</f>
        <v>item not found</v>
      </c>
    </row>
    <row r="11" spans="1:1" x14ac:dyDescent="0.25">
      <c r="A11" s="6" t="str">
        <f>IF(B11&lt;&gt;"Total",IFERROR(VLOOKUP(VALUE(B11),'SKU Maintenance'!A:D,2,0),"item not found"),"")</f>
        <v>item not found</v>
      </c>
    </row>
    <row r="12" spans="1:1" x14ac:dyDescent="0.25">
      <c r="A12" s="6" t="str">
        <f>IF(B12&lt;&gt;"Total",IFERROR(VLOOKUP(VALUE(B12),'SKU Maintenance'!A:D,2,0),"item not found"),"")</f>
        <v>item not found</v>
      </c>
    </row>
    <row r="13" spans="1:1" x14ac:dyDescent="0.25">
      <c r="A13" s="6" t="str">
        <f>IF(B13&lt;&gt;"Total",IFERROR(VLOOKUP(VALUE(B13),'SKU Maintenance'!A:D,2,0),"item not found"),"")</f>
        <v>item not found</v>
      </c>
    </row>
    <row r="14" spans="1:1" x14ac:dyDescent="0.25">
      <c r="A14" s="6" t="str">
        <f>IF(B14&lt;&gt;"Total",IFERROR(VLOOKUP(VALUE(B14),'SKU Maintenance'!A:D,2,0),"item not found"),"")</f>
        <v>item not found</v>
      </c>
    </row>
    <row r="15" spans="1:1" x14ac:dyDescent="0.25">
      <c r="A15" s="6" t="str">
        <f>IF(B15&lt;&gt;"Total",IFERROR(VLOOKUP(VALUE(B15),'SKU Maintenance'!A:D,2,0),"item not found"),"")</f>
        <v>item not found</v>
      </c>
    </row>
    <row r="16" spans="1:1" x14ac:dyDescent="0.25">
      <c r="A16" s="6" t="str">
        <f>IF(B16&lt;&gt;"Total",IFERROR(VLOOKUP(VALUE(B16),'SKU Maintenance'!A:D,2,0),"item not found"),"")</f>
        <v>item not found</v>
      </c>
    </row>
    <row r="17" spans="1:1" x14ac:dyDescent="0.25">
      <c r="A17" s="6" t="str">
        <f>IF(B17&lt;&gt;"Total",IFERROR(VLOOKUP(VALUE(B17),'SKU Maintenance'!A:D,2,0),"item not found"),"")</f>
        <v>item not found</v>
      </c>
    </row>
    <row r="18" spans="1:1" x14ac:dyDescent="0.25">
      <c r="A18" s="6" t="str">
        <f>IF(B18&lt;&gt;"Total",IFERROR(VLOOKUP(VALUE(B18),'SKU Maintenance'!A:D,2,0),"item not found"),"")</f>
        <v>item not found</v>
      </c>
    </row>
    <row r="19" spans="1:1" x14ac:dyDescent="0.25">
      <c r="A19" s="6" t="str">
        <f>IF(B19&lt;&gt;"Total",IFERROR(VLOOKUP(VALUE(B19),'SKU Maintenance'!A:D,2,0),"item not found"),"")</f>
        <v>item not found</v>
      </c>
    </row>
    <row r="20" spans="1:1" x14ac:dyDescent="0.25">
      <c r="A20" s="6" t="str">
        <f>IF(B20&lt;&gt;"Total",IFERROR(VLOOKUP(VALUE(B20),'SKU Maintenance'!A:D,2,0),"item not found"),"")</f>
        <v>item not found</v>
      </c>
    </row>
    <row r="21" spans="1:1" x14ac:dyDescent="0.25">
      <c r="A21" s="6" t="str">
        <f>IF(B21&lt;&gt;"Total",IFERROR(VLOOKUP(VALUE(B21),'SKU Maintenance'!A:D,2,0),"item not found"),"")</f>
        <v>item not found</v>
      </c>
    </row>
    <row r="22" spans="1:1" x14ac:dyDescent="0.25">
      <c r="A22" s="6" t="str">
        <f>IF(B22&lt;&gt;"Total",IFERROR(VLOOKUP(VALUE(B22),'SKU Maintenance'!A:D,2,0),"item not found"),"")</f>
        <v>item not found</v>
      </c>
    </row>
    <row r="23" spans="1:1" x14ac:dyDescent="0.25">
      <c r="A23" s="6" t="str">
        <f>IF(B23&lt;&gt;"Total",IFERROR(VLOOKUP(VALUE(B23),'SKU Maintenance'!A:D,2,0),"item not found"),"")</f>
        <v>item not found</v>
      </c>
    </row>
    <row r="24" spans="1:1" x14ac:dyDescent="0.25">
      <c r="A24" s="6" t="str">
        <f>IF(B24&lt;&gt;"Total",IFERROR(VLOOKUP(VALUE(B24),'SKU Maintenance'!A:D,2,0),"item not found"),"")</f>
        <v>item not found</v>
      </c>
    </row>
    <row r="25" spans="1:1" x14ac:dyDescent="0.25">
      <c r="A25" s="6" t="str">
        <f>IF(B25&lt;&gt;"Total",IFERROR(VLOOKUP(VALUE(B25),'SKU Maintenance'!A:D,2,0),"item not found"),"")</f>
        <v>item not found</v>
      </c>
    </row>
    <row r="26" spans="1:1" x14ac:dyDescent="0.25">
      <c r="A26" s="6" t="str">
        <f>IF(B26&lt;&gt;"Total",IFERROR(VLOOKUP(VALUE(B26),'SKU Maintenance'!A:D,2,0),"item not found"),"")</f>
        <v>item not found</v>
      </c>
    </row>
    <row r="27" spans="1:1" x14ac:dyDescent="0.25">
      <c r="A27" s="6" t="str">
        <f>IF(B27&lt;&gt;"Total",IFERROR(VLOOKUP(VALUE(B27),'SKU Maintenance'!A:D,2,0),"item not found"),"")</f>
        <v>item not found</v>
      </c>
    </row>
    <row r="28" spans="1:1" x14ac:dyDescent="0.25">
      <c r="A28" s="6" t="str">
        <f>IF(B28&lt;&gt;"Total",IFERROR(VLOOKUP(VALUE(B28),'SKU Maintenance'!A:D,2,0),"item not found"),"")</f>
        <v>item not found</v>
      </c>
    </row>
    <row r="29" spans="1:1" x14ac:dyDescent="0.25">
      <c r="A29" s="6" t="str">
        <f>IF(B29&lt;&gt;"Total",IFERROR(VLOOKUP(VALUE(B29),'SKU Maintenance'!A:D,2,0),"item not found"),"")</f>
        <v>item not found</v>
      </c>
    </row>
    <row r="30" spans="1:1" x14ac:dyDescent="0.25">
      <c r="A30" s="6" t="str">
        <f>IF(B30&lt;&gt;"Total",IFERROR(VLOOKUP(VALUE(B30),'SKU Maintenance'!A:D,2,0),"item not found"),"")</f>
        <v>item not found</v>
      </c>
    </row>
    <row r="31" spans="1:1" x14ac:dyDescent="0.25">
      <c r="A31" s="6" t="str">
        <f>IF(B31&lt;&gt;"Total",IFERROR(VLOOKUP(VALUE(B31),'SKU Maintenance'!A:D,2,0),"item not found"),"")</f>
        <v>item not found</v>
      </c>
    </row>
    <row r="32" spans="1:1" x14ac:dyDescent="0.25">
      <c r="A32" s="6" t="str">
        <f>IF(B32&lt;&gt;"Total",IFERROR(VLOOKUP(VALUE(B32),'SKU Maintenance'!A:D,2,0),"item not found"),"")</f>
        <v>item not found</v>
      </c>
    </row>
    <row r="33" spans="1:1" x14ac:dyDescent="0.25">
      <c r="A33" s="6" t="str">
        <f>IF(B33&lt;&gt;"Total",IFERROR(VLOOKUP(VALUE(B33),'SKU Maintenance'!A:D,2,0),"item not found"),"")</f>
        <v>item not found</v>
      </c>
    </row>
    <row r="34" spans="1:1" x14ac:dyDescent="0.25">
      <c r="A34" s="6" t="str">
        <f>IF(B34&lt;&gt;"Total",IFERROR(VLOOKUP(VALUE(B34),'SKU Maintenance'!A:D,2,0),"item not found"),"")</f>
        <v>item not found</v>
      </c>
    </row>
    <row r="35" spans="1:1" x14ac:dyDescent="0.25">
      <c r="A35" s="6" t="str">
        <f>IF(B35&lt;&gt;"Total",IFERROR(VLOOKUP(VALUE(B35),'SKU Maintenance'!A:D,2,0),"item not found"),"")</f>
        <v>item not found</v>
      </c>
    </row>
    <row r="36" spans="1:1" x14ac:dyDescent="0.25">
      <c r="A36" s="6" t="str">
        <f>IF(B36&lt;&gt;"Total",IFERROR(VLOOKUP(VALUE(B36),'SKU Maintenance'!A:D,2,0),"item not found"),"")</f>
        <v>item not found</v>
      </c>
    </row>
    <row r="37" spans="1:1" x14ac:dyDescent="0.25">
      <c r="A37" s="6" t="str">
        <f>IF(B37&lt;&gt;"Total",IFERROR(VLOOKUP(VALUE(B37),'SKU Maintenance'!A:D,2,0),"item not found"),"")</f>
        <v>item not found</v>
      </c>
    </row>
    <row r="38" spans="1:1" x14ac:dyDescent="0.25">
      <c r="A38" s="6" t="str">
        <f>IF(B38&lt;&gt;"Total",IFERROR(VLOOKUP(VALUE(B38),'SKU Maintenance'!A:D,2,0),"item not found"),"")</f>
        <v>item not found</v>
      </c>
    </row>
    <row r="39" spans="1:1" x14ac:dyDescent="0.25">
      <c r="A39" s="6" t="str">
        <f>IF(B39&lt;&gt;"Total",IFERROR(VLOOKUP(VALUE(B39),'SKU Maintenance'!A:D,2,0),"item not found"),"")</f>
        <v>item not found</v>
      </c>
    </row>
    <row r="40" spans="1:1" x14ac:dyDescent="0.25">
      <c r="A40" s="6" t="str">
        <f>IF(B40&lt;&gt;"Total",IFERROR(VLOOKUP(VALUE(B40),'SKU Maintenance'!A:D,2,0),"item not found"),"")</f>
        <v>item not found</v>
      </c>
    </row>
    <row r="41" spans="1:1" x14ac:dyDescent="0.25">
      <c r="A41" s="6" t="str">
        <f>IF(B41&lt;&gt;"Total",IFERROR(VLOOKUP(VALUE(B41),'SKU Maintenance'!A:D,2,0),"item not found"),"")</f>
        <v>item not found</v>
      </c>
    </row>
    <row r="42" spans="1:1" x14ac:dyDescent="0.25">
      <c r="A42" s="6" t="str">
        <f>IF(B42&lt;&gt;"Total",IFERROR(VLOOKUP(VALUE(B42),'SKU Maintenance'!A:D,2,0),"item not found"),"")</f>
        <v>item not found</v>
      </c>
    </row>
    <row r="43" spans="1:1" x14ac:dyDescent="0.25">
      <c r="A43" s="6" t="str">
        <f>IF(B43&lt;&gt;"Total",IFERROR(VLOOKUP(VALUE(B43),'SKU Maintenance'!A:D,2,0),"item not found"),"")</f>
        <v>item not found</v>
      </c>
    </row>
    <row r="44" spans="1:1" x14ac:dyDescent="0.25">
      <c r="A44" s="6" t="str">
        <f>IF(B44&lt;&gt;"Total",IFERROR(VLOOKUP(VALUE(B44),'SKU Maintenance'!A:D,2,0),"item not found"),"")</f>
        <v>item not found</v>
      </c>
    </row>
    <row r="45" spans="1:1" x14ac:dyDescent="0.25">
      <c r="A45" s="6" t="str">
        <f>IF(B45&lt;&gt;"Total",IFERROR(VLOOKUP(VALUE(B45),'SKU Maintenance'!A:D,2,0),"item not found"),"")</f>
        <v>item not found</v>
      </c>
    </row>
    <row r="46" spans="1:1" x14ac:dyDescent="0.25">
      <c r="A46" s="6" t="str">
        <f>IF(B46&lt;&gt;"Total",IFERROR(VLOOKUP(VALUE(B46),'SKU Maintenance'!A:D,2,0),"item not found"),"")</f>
        <v>item not found</v>
      </c>
    </row>
    <row r="47" spans="1:1" x14ac:dyDescent="0.25">
      <c r="A47" s="6" t="str">
        <f>IF(B47&lt;&gt;"Total",IFERROR(VLOOKUP(VALUE(B47),'SKU Maintenance'!A:D,2,0),"item not found"),"")</f>
        <v>item not found</v>
      </c>
    </row>
    <row r="48" spans="1:1" x14ac:dyDescent="0.25">
      <c r="A48" s="6" t="str">
        <f>IF(B48&lt;&gt;"Total",IFERROR(VLOOKUP(VALUE(B48),'SKU Maintenance'!A:D,2,0),"item not found"),"")</f>
        <v>item not found</v>
      </c>
    </row>
    <row r="49" spans="1:1" x14ac:dyDescent="0.25">
      <c r="A49" s="6" t="str">
        <f>IF(B49&lt;&gt;"Total",IFERROR(VLOOKUP(VALUE(B49),'SKU Maintenance'!A:D,2,0),"item not found"),"")</f>
        <v>item not found</v>
      </c>
    </row>
    <row r="50" spans="1:1" x14ac:dyDescent="0.25">
      <c r="A50" s="6" t="str">
        <f>IF(B50&lt;&gt;"Total",IFERROR(VLOOKUP(VALUE(B50),'SKU Maintenance'!A:D,2,0),"item not found"),"")</f>
        <v>item not found</v>
      </c>
    </row>
    <row r="51" spans="1:1" x14ac:dyDescent="0.25">
      <c r="A51" s="6" t="str">
        <f>IF(B51&lt;&gt;"Total",IFERROR(VLOOKUP(VALUE(B51),'SKU Maintenance'!A:D,2,0),"item not found"),"")</f>
        <v>item not found</v>
      </c>
    </row>
    <row r="52" spans="1:1" x14ac:dyDescent="0.25">
      <c r="A52" s="6" t="str">
        <f>IF(B52&lt;&gt;"Total",IFERROR(VLOOKUP(VALUE(B52),'SKU Maintenance'!A:D,2,0),"item not found"),"")</f>
        <v>item not found</v>
      </c>
    </row>
    <row r="53" spans="1:1" x14ac:dyDescent="0.25">
      <c r="A53" s="6" t="str">
        <f>IF(B53&lt;&gt;"Total",IFERROR(VLOOKUP(VALUE(B53),'SKU Maintenance'!A:D,2,0),"item not found"),"")</f>
        <v>item not found</v>
      </c>
    </row>
    <row r="54" spans="1:1" x14ac:dyDescent="0.25">
      <c r="A54" s="6" t="str">
        <f>IF(B54&lt;&gt;"Total",IFERROR(VLOOKUP(VALUE(B54),'SKU Maintenance'!A:D,2,0),"item not found"),"")</f>
        <v>item not found</v>
      </c>
    </row>
    <row r="55" spans="1:1" x14ac:dyDescent="0.25">
      <c r="A55" s="6" t="str">
        <f>IF(B55&lt;&gt;"Total",IFERROR(VLOOKUP(VALUE(B55),'SKU Maintenance'!A:D,2,0),"item not found"),"")</f>
        <v>item not found</v>
      </c>
    </row>
    <row r="56" spans="1:1" x14ac:dyDescent="0.25">
      <c r="A56" s="6" t="str">
        <f>IF(B56&lt;&gt;"Total",IFERROR(VLOOKUP(VALUE(B56),'SKU Maintenance'!A:D,2,0),"item not found"),"")</f>
        <v>item not found</v>
      </c>
    </row>
    <row r="57" spans="1:1" x14ac:dyDescent="0.25">
      <c r="A57" s="6" t="str">
        <f>IF(B57&lt;&gt;"Total",IFERROR(VLOOKUP(VALUE(B57),'SKU Maintenance'!A:D,2,0),"item not found"),"")</f>
        <v>item not found</v>
      </c>
    </row>
    <row r="58" spans="1:1" x14ac:dyDescent="0.25">
      <c r="A58" s="6" t="str">
        <f>IF(B58&lt;&gt;"Total",IFERROR(VLOOKUP(VALUE(B58),'SKU Maintenance'!A:D,2,0),"item not found"),"")</f>
        <v>item not found</v>
      </c>
    </row>
    <row r="59" spans="1:1" x14ac:dyDescent="0.25">
      <c r="A59" s="6" t="str">
        <f>IF(B59&lt;&gt;"Total",IFERROR(VLOOKUP(VALUE(B59),'SKU Maintenance'!A:D,2,0),"item not found"),"")</f>
        <v>item not found</v>
      </c>
    </row>
    <row r="60" spans="1:1" x14ac:dyDescent="0.25">
      <c r="A60" s="6" t="str">
        <f>IF(B60&lt;&gt;"Total",IFERROR(VLOOKUP(VALUE(B60),'SKU Maintenance'!A:D,2,0),"item not found"),"")</f>
        <v>item not found</v>
      </c>
    </row>
    <row r="61" spans="1:1" x14ac:dyDescent="0.25">
      <c r="A61" s="6" t="str">
        <f>IF(B61&lt;&gt;"Total",IFERROR(VLOOKUP(VALUE(B61),'SKU Maintenance'!A:D,2,0),"item not found"),"")</f>
        <v>item not found</v>
      </c>
    </row>
    <row r="62" spans="1:1" x14ac:dyDescent="0.25">
      <c r="A62" s="6" t="str">
        <f>IF(B62&lt;&gt;"Total",IFERROR(VLOOKUP(VALUE(B62),'SKU Maintenance'!A:D,2,0),"item not found"),"")</f>
        <v>item not found</v>
      </c>
    </row>
    <row r="63" spans="1:1" x14ac:dyDescent="0.25">
      <c r="A63" s="6" t="str">
        <f>IF(B63&lt;&gt;"Total",IFERROR(VLOOKUP(VALUE(B63),'SKU Maintenance'!A:D,2,0),"item not found"),"")</f>
        <v>item not found</v>
      </c>
    </row>
    <row r="64" spans="1:1" x14ac:dyDescent="0.25">
      <c r="A64" s="6" t="str">
        <f>IF(B64&lt;&gt;"Total",IFERROR(VLOOKUP(VALUE(B64),'SKU Maintenance'!A:D,2,0),"item not found"),"")</f>
        <v>item not found</v>
      </c>
    </row>
    <row r="65" spans="1:1" x14ac:dyDescent="0.25">
      <c r="A65" s="6" t="str">
        <f>IF(B65&lt;&gt;"Total",IFERROR(VLOOKUP(VALUE(B65),'SKU Maintenance'!A:D,2,0),"item not found"),"")</f>
        <v>item not found</v>
      </c>
    </row>
    <row r="66" spans="1:1" x14ac:dyDescent="0.25">
      <c r="A66" s="6" t="str">
        <f>IF(B66&lt;&gt;"Total",IFERROR(VLOOKUP(VALUE(B66),'SKU Maintenance'!A:D,2,0),"item not found"),"")</f>
        <v>item not found</v>
      </c>
    </row>
    <row r="67" spans="1:1" x14ac:dyDescent="0.25">
      <c r="A67" s="6" t="str">
        <f>IF(B67&lt;&gt;"Total",IFERROR(VLOOKUP(VALUE(B67),'SKU Maintenance'!A:D,2,0),"item not found"),"")</f>
        <v>item not found</v>
      </c>
    </row>
    <row r="68" spans="1:1" x14ac:dyDescent="0.25">
      <c r="A68" s="6" t="str">
        <f>IF(B68&lt;&gt;"Total",IFERROR(VLOOKUP(VALUE(B68),'SKU Maintenance'!A:D,2,0),"item not found"),"")</f>
        <v>item not found</v>
      </c>
    </row>
    <row r="69" spans="1:1" x14ac:dyDescent="0.25">
      <c r="A69" s="6" t="str">
        <f>IF(B69&lt;&gt;"Total",IFERROR(VLOOKUP(VALUE(B69),'SKU Maintenance'!A:D,2,0),"item not found"),"")</f>
        <v>item not found</v>
      </c>
    </row>
    <row r="70" spans="1:1" x14ac:dyDescent="0.25">
      <c r="A70" s="6" t="str">
        <f>IF(B70&lt;&gt;"Total",IFERROR(VLOOKUP(VALUE(B70),'SKU Maintenance'!A:D,2,0),"item not found"),"")</f>
        <v>item not found</v>
      </c>
    </row>
    <row r="71" spans="1:1" x14ac:dyDescent="0.25">
      <c r="A71" s="6" t="str">
        <f>IF(B71&lt;&gt;"Total",IFERROR(VLOOKUP(VALUE(B71),'SKU Maintenance'!A:D,2,0),"item not found"),"")</f>
        <v>item not found</v>
      </c>
    </row>
    <row r="72" spans="1:1" x14ac:dyDescent="0.25">
      <c r="A72" s="6" t="str">
        <f>IF(B72&lt;&gt;"Total",IFERROR(VLOOKUP(VALUE(B72),'SKU Maintenance'!A:D,2,0),"item not found"),"")</f>
        <v>item not found</v>
      </c>
    </row>
    <row r="73" spans="1:1" x14ac:dyDescent="0.25">
      <c r="A73" s="6" t="str">
        <f>IF(B73&lt;&gt;"Total",IFERROR(VLOOKUP(VALUE(B73),'SKU Maintenance'!A:D,2,0),"item not found"),"")</f>
        <v>item not found</v>
      </c>
    </row>
    <row r="74" spans="1:1" x14ac:dyDescent="0.25">
      <c r="A74" s="6" t="str">
        <f>IF(B74&lt;&gt;"Total",IFERROR(VLOOKUP(VALUE(B74),'SKU Maintenance'!A:D,2,0),"item not found"),"")</f>
        <v>item not found</v>
      </c>
    </row>
    <row r="75" spans="1:1" x14ac:dyDescent="0.25">
      <c r="A75" s="6" t="str">
        <f>IF(B75&lt;&gt;"Total",IFERROR(VLOOKUP(VALUE(B75),'SKU Maintenance'!A:D,2,0),"item not found"),"")</f>
        <v>item not found</v>
      </c>
    </row>
    <row r="76" spans="1:1" x14ac:dyDescent="0.25">
      <c r="A76" s="6" t="str">
        <f>IF(B76&lt;&gt;"Total",IFERROR(VLOOKUP(VALUE(B76),'SKU Maintenance'!A:D,2,0),"item not found"),"")</f>
        <v>item not found</v>
      </c>
    </row>
    <row r="77" spans="1:1" x14ac:dyDescent="0.25">
      <c r="A77" s="6" t="str">
        <f>IF(B77&lt;&gt;"Total",IFERROR(VLOOKUP(VALUE(B77),'SKU Maintenance'!A:D,2,0),"item not found"),"")</f>
        <v>item not found</v>
      </c>
    </row>
    <row r="78" spans="1:1" x14ac:dyDescent="0.25">
      <c r="A78" s="6" t="str">
        <f>IF(B78&lt;&gt;"Total",IFERROR(VLOOKUP(VALUE(B78),'SKU Maintenance'!A:D,2,0),"item not found"),"")</f>
        <v>item not found</v>
      </c>
    </row>
    <row r="79" spans="1:1" x14ac:dyDescent="0.25">
      <c r="A79" s="6" t="str">
        <f>IF(B79&lt;&gt;"Total",IFERROR(VLOOKUP(VALUE(B79),'SKU Maintenance'!A:D,2,0),"item not found"),"")</f>
        <v>item not found</v>
      </c>
    </row>
    <row r="80" spans="1:1" x14ac:dyDescent="0.25">
      <c r="A80" s="6" t="str">
        <f>IF(B80&lt;&gt;"Total",IFERROR(VLOOKUP(VALUE(B80),'SKU Maintenance'!A:D,2,0),"item not found"),"")</f>
        <v>item not found</v>
      </c>
    </row>
    <row r="81" spans="1:1" x14ac:dyDescent="0.25">
      <c r="A81" s="6" t="str">
        <f>IF(B81&lt;&gt;"Total",IFERROR(VLOOKUP(VALUE(B81),'SKU Maintenance'!A:D,2,0),"item not found"),"")</f>
        <v>item not found</v>
      </c>
    </row>
    <row r="82" spans="1:1" x14ac:dyDescent="0.25">
      <c r="A82" s="6" t="str">
        <f>IF(B82&lt;&gt;"Total",IFERROR(VLOOKUP(VALUE(B82),'SKU Maintenance'!A:D,2,0),"item not found"),"")</f>
        <v>item not found</v>
      </c>
    </row>
    <row r="83" spans="1:1" x14ac:dyDescent="0.25">
      <c r="A83" s="6" t="str">
        <f>IF(B83&lt;&gt;"Total",IFERROR(VLOOKUP(VALUE(B83),'SKU Maintenance'!A:D,2,0),"item not found"),"")</f>
        <v>item not found</v>
      </c>
    </row>
    <row r="84" spans="1:1" x14ac:dyDescent="0.25">
      <c r="A84" s="6" t="str">
        <f>IF(B84&lt;&gt;"Total",IFERROR(VLOOKUP(VALUE(B84),'SKU Maintenance'!A:D,2,0),"item not found"),"")</f>
        <v>item not found</v>
      </c>
    </row>
    <row r="85" spans="1:1" x14ac:dyDescent="0.25">
      <c r="A85" s="6" t="str">
        <f>IF(B85&lt;&gt;"Total",IFERROR(VLOOKUP(VALUE(B85),'SKU Maintenance'!A:D,2,0),"item not found"),"")</f>
        <v>item not found</v>
      </c>
    </row>
    <row r="86" spans="1:1" x14ac:dyDescent="0.25">
      <c r="A86" s="6" t="str">
        <f>IF(B86&lt;&gt;"Total",IFERROR(VLOOKUP(VALUE(B86),'SKU Maintenance'!A:D,2,0),"item not found"),"")</f>
        <v>item not found</v>
      </c>
    </row>
    <row r="87" spans="1:1" x14ac:dyDescent="0.25">
      <c r="A87" s="6" t="str">
        <f>IF(B87&lt;&gt;"Total",IFERROR(VLOOKUP(VALUE(B87),'SKU Maintenance'!A:D,2,0),"item not found"),"")</f>
        <v>item not found</v>
      </c>
    </row>
    <row r="88" spans="1:1" x14ac:dyDescent="0.25">
      <c r="A88" s="6" t="str">
        <f>IF(B88&lt;&gt;"Total",IFERROR(VLOOKUP(VALUE(B88),'SKU Maintenance'!A:D,2,0),"item not found"),"")</f>
        <v>item not found</v>
      </c>
    </row>
    <row r="89" spans="1:1" x14ac:dyDescent="0.25">
      <c r="A89" s="6" t="str">
        <f>IF(B89&lt;&gt;"Total",IFERROR(VLOOKUP(VALUE(B89),'SKU Maintenance'!A:D,2,0),"item not found"),"")</f>
        <v>item not found</v>
      </c>
    </row>
    <row r="90" spans="1:1" x14ac:dyDescent="0.25">
      <c r="A90" s="6" t="str">
        <f>IF(B90&lt;&gt;"Total",IFERROR(VLOOKUP(VALUE(B90),'SKU Maintenance'!A:D,2,0),"item not found"),"")</f>
        <v>item not found</v>
      </c>
    </row>
    <row r="91" spans="1:1" x14ac:dyDescent="0.25">
      <c r="A91" s="6" t="str">
        <f>IF(B91&lt;&gt;"Total",IFERROR(VLOOKUP(VALUE(B91),'SKU Maintenance'!A:D,2,0),"item not found"),"")</f>
        <v>item not found</v>
      </c>
    </row>
    <row r="92" spans="1:1" x14ac:dyDescent="0.25">
      <c r="A92" s="6" t="str">
        <f>IF(B92&lt;&gt;"Total",IFERROR(VLOOKUP(VALUE(B92),'SKU Maintenance'!A:D,2,0),"item not found"),"")</f>
        <v>item not found</v>
      </c>
    </row>
    <row r="93" spans="1:1" x14ac:dyDescent="0.25">
      <c r="A93" s="6" t="str">
        <f>IF(B93&lt;&gt;"Total",IFERROR(VLOOKUP(VALUE(B93),'SKU Maintenance'!A:D,2,0),"item not found"),"")</f>
        <v>item not found</v>
      </c>
    </row>
    <row r="94" spans="1:1" x14ac:dyDescent="0.25">
      <c r="A94" s="6" t="str">
        <f>IF(B94&lt;&gt;"Total",IFERROR(VLOOKUP(VALUE(B94),'SKU Maintenance'!A:D,2,0),"item not found"),"")</f>
        <v>item not found</v>
      </c>
    </row>
    <row r="95" spans="1:1" x14ac:dyDescent="0.25">
      <c r="A95" s="6" t="str">
        <f>IF(B95&lt;&gt;"Total",IFERROR(VLOOKUP(VALUE(B95),'SKU Maintenance'!A:D,2,0),"item not found"),"")</f>
        <v>item not found</v>
      </c>
    </row>
    <row r="96" spans="1:1" x14ac:dyDescent="0.25">
      <c r="A96" s="6" t="str">
        <f>IF(B96&lt;&gt;"Total",IFERROR(VLOOKUP(VALUE(B96),'SKU Maintenance'!A:D,2,0),"item not found"),"")</f>
        <v>item not found</v>
      </c>
    </row>
    <row r="97" spans="1:1" x14ac:dyDescent="0.25">
      <c r="A97" s="6" t="str">
        <f>IF(B97&lt;&gt;"Total",IFERROR(VLOOKUP(VALUE(B97),'SKU Maintenance'!A:D,2,0),"item not found"),"")</f>
        <v>item not found</v>
      </c>
    </row>
    <row r="98" spans="1:1" x14ac:dyDescent="0.25">
      <c r="A98" s="6" t="str">
        <f>IF(B98&lt;&gt;"Total",IFERROR(VLOOKUP(VALUE(B98),'SKU Maintenance'!A:D,2,0),"item not found"),"")</f>
        <v>item not found</v>
      </c>
    </row>
    <row r="99" spans="1:1" x14ac:dyDescent="0.25">
      <c r="A99" s="6" t="str">
        <f>IF(B99&lt;&gt;"Total",IFERROR(VLOOKUP(VALUE(B99),'SKU Maintenance'!A:D,2,0),"item not found"),"")</f>
        <v>item not found</v>
      </c>
    </row>
    <row r="100" spans="1:1" x14ac:dyDescent="0.25">
      <c r="A100" s="6" t="str">
        <f>IF(B100&lt;&gt;"Total",IFERROR(VLOOKUP(VALUE(B100),'SKU Maintenance'!A:D,2,0),"item not found"),"")</f>
        <v>item not found</v>
      </c>
    </row>
    <row r="101" spans="1:1" x14ac:dyDescent="0.25">
      <c r="A101" s="6" t="str">
        <f>IF(B101&lt;&gt;"Total",IFERROR(VLOOKUP(VALUE(B101),'SKU Maintenance'!A:D,2,0),"item not found"),"")</f>
        <v>item not found</v>
      </c>
    </row>
    <row r="102" spans="1:1" x14ac:dyDescent="0.25">
      <c r="A102" s="6" t="str">
        <f>IF(B102&lt;&gt;"Total",IFERROR(VLOOKUP(VALUE(B102),'SKU Maintenance'!A:D,2,0),"item not found"),"")</f>
        <v>item not found</v>
      </c>
    </row>
    <row r="103" spans="1:1" x14ac:dyDescent="0.25">
      <c r="A103" s="6" t="str">
        <f>IF(B103&lt;&gt;"Total",IFERROR(VLOOKUP(VALUE(B103),'SKU Maintenance'!A:D,2,0),"item not found"),"")</f>
        <v>item not found</v>
      </c>
    </row>
    <row r="104" spans="1:1" x14ac:dyDescent="0.25">
      <c r="A104" s="6" t="str">
        <f>IF(B104&lt;&gt;"Total",IFERROR(VLOOKUP(VALUE(B104),'SKU Maintenance'!A:D,2,0),"item not found"),"")</f>
        <v>item not found</v>
      </c>
    </row>
    <row r="105" spans="1:1" x14ac:dyDescent="0.25">
      <c r="A105" s="6" t="str">
        <f>IF(B105&lt;&gt;"Total",IFERROR(VLOOKUP(VALUE(B105),'SKU Maintenance'!A:D,2,0),"item not found"),"")</f>
        <v>item not found</v>
      </c>
    </row>
    <row r="106" spans="1:1" x14ac:dyDescent="0.25">
      <c r="A106" s="6" t="str">
        <f>IF(B106&lt;&gt;"Total",IFERROR(VLOOKUP(VALUE(B106),'SKU Maintenance'!A:D,2,0),"item not found"),"")</f>
        <v>item not found</v>
      </c>
    </row>
    <row r="107" spans="1:1" x14ac:dyDescent="0.25">
      <c r="A107" s="6" t="str">
        <f>IF(B107&lt;&gt;"Total",IFERROR(VLOOKUP(VALUE(B107),'SKU Maintenance'!A:D,2,0),"item not found"),"")</f>
        <v>item not found</v>
      </c>
    </row>
    <row r="108" spans="1:1" x14ac:dyDescent="0.25">
      <c r="A108" s="6" t="str">
        <f>IF(B108&lt;&gt;"Total",IFERROR(VLOOKUP(VALUE(B108),'SKU Maintenance'!A:D,2,0),"item not found"),"")</f>
        <v>item not found</v>
      </c>
    </row>
    <row r="109" spans="1:1" x14ac:dyDescent="0.25">
      <c r="A109" s="6" t="str">
        <f>IF(B109&lt;&gt;"Total",IFERROR(VLOOKUP(VALUE(B109),'SKU Maintenance'!A:D,2,0),"item not found"),"")</f>
        <v>item not found</v>
      </c>
    </row>
    <row r="110" spans="1:1" x14ac:dyDescent="0.25">
      <c r="A110" s="6" t="str">
        <f>IF(B110&lt;&gt;"Total",IFERROR(VLOOKUP(VALUE(B110),'SKU Maintenance'!A:D,2,0),"item not found"),"")</f>
        <v>item not found</v>
      </c>
    </row>
    <row r="111" spans="1:1" x14ac:dyDescent="0.25">
      <c r="A111" s="6" t="str">
        <f>IF(B111&lt;&gt;"Total",IFERROR(VLOOKUP(VALUE(B111),'SKU Maintenance'!A:D,2,0),"item not found"),"")</f>
        <v>item not found</v>
      </c>
    </row>
    <row r="112" spans="1:1" x14ac:dyDescent="0.25">
      <c r="A112" s="6" t="str">
        <f>IF(B112&lt;&gt;"Total",IFERROR(VLOOKUP(VALUE(B112),'SKU Maintenance'!A:D,2,0),"item not found"),"")</f>
        <v>item not found</v>
      </c>
    </row>
    <row r="113" spans="1:1" x14ac:dyDescent="0.25">
      <c r="A113" s="6" t="str">
        <f>IF(B113&lt;&gt;"Total",IFERROR(VLOOKUP(VALUE(B113),'SKU Maintenance'!A:D,2,0),"item not found"),"")</f>
        <v>item not found</v>
      </c>
    </row>
    <row r="114" spans="1:1" x14ac:dyDescent="0.25">
      <c r="A114" s="6" t="str">
        <f>IF(B114&lt;&gt;"Total",IFERROR(VLOOKUP(VALUE(B114),'SKU Maintenance'!A:D,2,0),"item not found"),"")</f>
        <v>item not found</v>
      </c>
    </row>
    <row r="115" spans="1:1" x14ac:dyDescent="0.25">
      <c r="A115" s="6" t="str">
        <f>IF(B115&lt;&gt;"Total",IFERROR(VLOOKUP(VALUE(B115),'SKU Maintenance'!A:D,2,0),"item not found"),"")</f>
        <v>item not found</v>
      </c>
    </row>
    <row r="116" spans="1:1" x14ac:dyDescent="0.25">
      <c r="A116" s="6" t="str">
        <f>IF(B116&lt;&gt;"Total",IFERROR(VLOOKUP(VALUE(B116),'SKU Maintenance'!A:D,2,0),"item not found"),"")</f>
        <v>item not found</v>
      </c>
    </row>
    <row r="117" spans="1:1" x14ac:dyDescent="0.25">
      <c r="A117" s="6" t="str">
        <f>IF(B117&lt;&gt;"Total",IFERROR(VLOOKUP(VALUE(B117),'SKU Maintenance'!A:D,2,0),"item not found"),"")</f>
        <v>item not found</v>
      </c>
    </row>
    <row r="118" spans="1:1" x14ac:dyDescent="0.25">
      <c r="A118" s="6" t="str">
        <f>IF(B118&lt;&gt;"Total",IFERROR(VLOOKUP(VALUE(B118),'SKU Maintenance'!A:D,2,0),"item not found"),"")</f>
        <v>item not found</v>
      </c>
    </row>
    <row r="119" spans="1:1" x14ac:dyDescent="0.25">
      <c r="A119" s="6" t="str">
        <f>IF(B119&lt;&gt;"Total",IFERROR(VLOOKUP(VALUE(B119),'SKU Maintenance'!A:D,2,0),"item not found"),"")</f>
        <v>item not found</v>
      </c>
    </row>
    <row r="120" spans="1:1" x14ac:dyDescent="0.25">
      <c r="A120" s="6" t="str">
        <f>IF(B120&lt;&gt;"Total",IFERROR(VLOOKUP(VALUE(B120),'SKU Maintenance'!A:D,2,0),"item not found"),"")</f>
        <v>item not found</v>
      </c>
    </row>
    <row r="121" spans="1:1" x14ac:dyDescent="0.25">
      <c r="A121" s="6" t="str">
        <f>IF(B121&lt;&gt;"Total",IFERROR(VLOOKUP(VALUE(B121),'SKU Maintenance'!A:D,2,0),"item not found"),"")</f>
        <v>item not found</v>
      </c>
    </row>
    <row r="122" spans="1:1" x14ac:dyDescent="0.25">
      <c r="A122" s="6" t="str">
        <f>IF(B122&lt;&gt;"Total",IFERROR(VLOOKUP(VALUE(B122),'SKU Maintenance'!A:D,2,0),"item not found"),"")</f>
        <v>item not found</v>
      </c>
    </row>
    <row r="123" spans="1:1" x14ac:dyDescent="0.25">
      <c r="A123" s="6" t="str">
        <f>IF(B123&lt;&gt;"Total",IFERROR(VLOOKUP(VALUE(B123),'SKU Maintenance'!A:D,2,0),"item not found"),"")</f>
        <v>item not found</v>
      </c>
    </row>
    <row r="124" spans="1:1" x14ac:dyDescent="0.25">
      <c r="A124" s="6" t="str">
        <f>IF(B124&lt;&gt;"Total",IFERROR(VLOOKUP(VALUE(B124),'SKU Maintenance'!A:D,2,0),"item not found"),"")</f>
        <v>item not found</v>
      </c>
    </row>
    <row r="125" spans="1:1" x14ac:dyDescent="0.25">
      <c r="A125" s="6" t="str">
        <f>IF(B125&lt;&gt;"Total",IFERROR(VLOOKUP(VALUE(B125),'SKU Maintenance'!A:D,2,0),"item not found"),"")</f>
        <v>item not found</v>
      </c>
    </row>
    <row r="126" spans="1:1" x14ac:dyDescent="0.25">
      <c r="A126" s="6" t="str">
        <f>IF(B126&lt;&gt;"Total",IFERROR(VLOOKUP(VALUE(B126),'SKU Maintenance'!A:D,2,0),"item not found"),"")</f>
        <v>item not found</v>
      </c>
    </row>
    <row r="127" spans="1:1" x14ac:dyDescent="0.25">
      <c r="A127" s="6" t="str">
        <f>IF(B127&lt;&gt;"Total",IFERROR(VLOOKUP(VALUE(B127),'SKU Maintenance'!A:D,2,0),"item not found"),"")</f>
        <v>item not found</v>
      </c>
    </row>
    <row r="128" spans="1:1" x14ac:dyDescent="0.25">
      <c r="A128" s="6" t="str">
        <f>IF(B128&lt;&gt;"Total",IFERROR(VLOOKUP(VALUE(B128),'SKU Maintenance'!A:D,2,0),"item not found"),"")</f>
        <v>item not found</v>
      </c>
    </row>
    <row r="129" spans="1:1" x14ac:dyDescent="0.25">
      <c r="A129" s="6" t="str">
        <f>IF(B129&lt;&gt;"Total",IFERROR(VLOOKUP(VALUE(B129),'SKU Maintenance'!A:D,2,0),"item not found"),"")</f>
        <v>item not found</v>
      </c>
    </row>
    <row r="130" spans="1:1" x14ac:dyDescent="0.25">
      <c r="A130" s="6" t="str">
        <f>IF(B130&lt;&gt;"Total",IFERROR(VLOOKUP(VALUE(B130),'SKU Maintenance'!A:D,2,0),"item not found"),"")</f>
        <v>item not found</v>
      </c>
    </row>
    <row r="131" spans="1:1" x14ac:dyDescent="0.25">
      <c r="A131" s="6" t="str">
        <f>IF(B131&lt;&gt;"Total",IFERROR(VLOOKUP(VALUE(B131),'SKU Maintenance'!A:D,2,0),"item not found"),"")</f>
        <v>item not found</v>
      </c>
    </row>
    <row r="132" spans="1:1" x14ac:dyDescent="0.25">
      <c r="A132" s="6" t="str">
        <f>IF(B132&lt;&gt;"Total",IFERROR(VLOOKUP(VALUE(B132),'SKU Maintenance'!A:D,2,0),"item not found"),"")</f>
        <v>item not found</v>
      </c>
    </row>
    <row r="133" spans="1:1" x14ac:dyDescent="0.25">
      <c r="A133" s="6" t="str">
        <f>IF(B133&lt;&gt;"Total",IFERROR(VLOOKUP(VALUE(B133),'SKU Maintenance'!A:D,2,0),"item not found"),"")</f>
        <v>item not found</v>
      </c>
    </row>
    <row r="134" spans="1:1" x14ac:dyDescent="0.25">
      <c r="A134" s="6" t="str">
        <f>IF(B134&lt;&gt;"Total",IFERROR(VLOOKUP(VALUE(B134),'SKU Maintenance'!A:D,2,0),"item not found"),"")</f>
        <v>item not found</v>
      </c>
    </row>
    <row r="135" spans="1:1" x14ac:dyDescent="0.25">
      <c r="A135" s="6" t="str">
        <f>IF(B135&lt;&gt;"Total",IFERROR(VLOOKUP(VALUE(B135),'SKU Maintenance'!A:D,2,0),"item not found"),"")</f>
        <v>item not found</v>
      </c>
    </row>
    <row r="136" spans="1:1" x14ac:dyDescent="0.25">
      <c r="A136" s="6" t="str">
        <f>IF(B136&lt;&gt;"Total",IFERROR(VLOOKUP(VALUE(B136),'SKU Maintenance'!A:D,2,0),"item not found"),"")</f>
        <v>item not found</v>
      </c>
    </row>
    <row r="137" spans="1:1" x14ac:dyDescent="0.25">
      <c r="A137" s="6" t="str">
        <f>IF(B137&lt;&gt;"Total",IFERROR(VLOOKUP(VALUE(B137),'SKU Maintenance'!A:D,2,0),"item not found"),"")</f>
        <v>item not found</v>
      </c>
    </row>
    <row r="138" spans="1:1" x14ac:dyDescent="0.25">
      <c r="A138" s="6" t="str">
        <f>IF(B138&lt;&gt;"Total",IFERROR(VLOOKUP(VALUE(B138),'SKU Maintenance'!A:D,2,0),"item not found"),"")</f>
        <v>item not found</v>
      </c>
    </row>
    <row r="139" spans="1:1" x14ac:dyDescent="0.25">
      <c r="A139" s="6" t="str">
        <f>IF(B139&lt;&gt;"Total",IFERROR(VLOOKUP(VALUE(B139),'SKU Maintenance'!A:D,2,0),"item not found"),"")</f>
        <v>item not found</v>
      </c>
    </row>
    <row r="140" spans="1:1" x14ac:dyDescent="0.25">
      <c r="A140" s="6" t="str">
        <f>IF(B140&lt;&gt;"Total",IFERROR(VLOOKUP(VALUE(B140),'SKU Maintenance'!A:D,2,0),"item not found"),"")</f>
        <v>item not found</v>
      </c>
    </row>
    <row r="141" spans="1:1" x14ac:dyDescent="0.25">
      <c r="A141" s="6" t="str">
        <f>IF(B141&lt;&gt;"Total",IFERROR(VLOOKUP(VALUE(B141),'SKU Maintenance'!A:D,2,0),"item not found"),"")</f>
        <v>item not found</v>
      </c>
    </row>
    <row r="142" spans="1:1" x14ac:dyDescent="0.25">
      <c r="A142" s="6" t="str">
        <f>IF(B142&lt;&gt;"Total",IFERROR(VLOOKUP(VALUE(B142),'SKU Maintenance'!A:D,2,0),"item not found"),"")</f>
        <v>item not found</v>
      </c>
    </row>
    <row r="143" spans="1:1" x14ac:dyDescent="0.25">
      <c r="A143" s="6" t="str">
        <f>IF(B143&lt;&gt;"Total",IFERROR(VLOOKUP(VALUE(B143),'SKU Maintenance'!A:D,2,0),"item not found"),"")</f>
        <v>item not found</v>
      </c>
    </row>
    <row r="144" spans="1:1" x14ac:dyDescent="0.25">
      <c r="A144" s="6" t="str">
        <f>IF(B144&lt;&gt;"Total",IFERROR(VLOOKUP(VALUE(B144),'SKU Maintenance'!A:D,2,0),"item not found"),"")</f>
        <v>item not found</v>
      </c>
    </row>
    <row r="145" spans="1:1" x14ac:dyDescent="0.25">
      <c r="A145" s="6" t="str">
        <f>IF(B145&lt;&gt;"Total",IFERROR(VLOOKUP(VALUE(B145),'SKU Maintenance'!A:D,2,0),"item not found"),"")</f>
        <v>item not found</v>
      </c>
    </row>
    <row r="146" spans="1:1" x14ac:dyDescent="0.25">
      <c r="A146" s="6" t="str">
        <f>IF(B146&lt;&gt;"Total",IFERROR(VLOOKUP(VALUE(B146),'SKU Maintenance'!A:D,2,0),"item not found"),"")</f>
        <v>item not found</v>
      </c>
    </row>
    <row r="147" spans="1:1" x14ac:dyDescent="0.25">
      <c r="A147" s="6" t="str">
        <f>IF(B147&lt;&gt;"Total",IFERROR(VLOOKUP(VALUE(B147),'SKU Maintenance'!A:D,2,0),"item not found"),"")</f>
        <v>item not found</v>
      </c>
    </row>
    <row r="148" spans="1:1" x14ac:dyDescent="0.25">
      <c r="A148" s="6" t="str">
        <f>IF(B148&lt;&gt;"Total",IFERROR(VLOOKUP(VALUE(B148),'SKU Maintenance'!A:D,2,0),"item not found"),"")</f>
        <v>item not found</v>
      </c>
    </row>
    <row r="149" spans="1:1" x14ac:dyDescent="0.25">
      <c r="A149" s="6" t="str">
        <f>IF(B149&lt;&gt;"Total",IFERROR(VLOOKUP(VALUE(B149),'SKU Maintenance'!A:D,2,0),"item not found"),"")</f>
        <v>item not found</v>
      </c>
    </row>
    <row r="150" spans="1:1" x14ac:dyDescent="0.25">
      <c r="A150" s="6" t="str">
        <f>IF(B150&lt;&gt;"Total",IFERROR(VLOOKUP(VALUE(B150),'SKU Maintenance'!A:D,2,0),"item not found"),"")</f>
        <v>item not found</v>
      </c>
    </row>
    <row r="151" spans="1:1" x14ac:dyDescent="0.25">
      <c r="A151" s="6" t="str">
        <f>IF(B151&lt;&gt;"Total",IFERROR(VLOOKUP(VALUE(B151),'SKU Maintenance'!A:D,2,0),"item not found"),"")</f>
        <v>item not found</v>
      </c>
    </row>
    <row r="152" spans="1:1" x14ac:dyDescent="0.25">
      <c r="A152" s="6" t="str">
        <f>IF(B152&lt;&gt;"Total",IFERROR(VLOOKUP(VALUE(B152),'SKU Maintenance'!A:D,2,0),"item not found"),"")</f>
        <v>item not found</v>
      </c>
    </row>
    <row r="153" spans="1:1" x14ac:dyDescent="0.25">
      <c r="A153" s="6" t="str">
        <f>IF(B153&lt;&gt;"Total",IFERROR(VLOOKUP(VALUE(B153),'SKU Maintenance'!A:D,2,0),"item not found"),"")</f>
        <v>item not found</v>
      </c>
    </row>
    <row r="154" spans="1:1" x14ac:dyDescent="0.25">
      <c r="A154" s="6" t="str">
        <f>IF(B154&lt;&gt;"Total",IFERROR(VLOOKUP(VALUE(B154),'SKU Maintenance'!A:D,2,0),"item not found"),"")</f>
        <v>item not found</v>
      </c>
    </row>
    <row r="155" spans="1:1" x14ac:dyDescent="0.25">
      <c r="A155" s="6" t="str">
        <f>IF(B155&lt;&gt;"Total",IFERROR(VLOOKUP(VALUE(B155),'SKU Maintenance'!A:D,2,0),"item not found"),"")</f>
        <v>item not found</v>
      </c>
    </row>
    <row r="156" spans="1:1" x14ac:dyDescent="0.25">
      <c r="A156" s="6" t="str">
        <f>IF(B156&lt;&gt;"Total",IFERROR(VLOOKUP(VALUE(B156),'SKU Maintenance'!A:D,2,0),"item not found"),"")</f>
        <v>item not found</v>
      </c>
    </row>
    <row r="157" spans="1:1" x14ac:dyDescent="0.25">
      <c r="A157" s="6" t="str">
        <f>IF(B157&lt;&gt;"Total",IFERROR(VLOOKUP(VALUE(B157),'SKU Maintenance'!A:D,2,0),"item not found"),"")</f>
        <v>item not found</v>
      </c>
    </row>
    <row r="158" spans="1:1" x14ac:dyDescent="0.25">
      <c r="A158" s="6" t="str">
        <f>IF(B158&lt;&gt;"Total",IFERROR(VLOOKUP(VALUE(B158),'SKU Maintenance'!A:D,2,0),"item not found"),"")</f>
        <v>item not found</v>
      </c>
    </row>
    <row r="159" spans="1:1" x14ac:dyDescent="0.25">
      <c r="A159" s="6" t="str">
        <f>IF(B159&lt;&gt;"Total",IFERROR(VLOOKUP(VALUE(B159),'SKU Maintenance'!A:D,2,0),"item not found"),"")</f>
        <v>item not found</v>
      </c>
    </row>
    <row r="160" spans="1:1" x14ac:dyDescent="0.25">
      <c r="A160" s="6" t="str">
        <f>IF(B160&lt;&gt;"Total",IFERROR(VLOOKUP(VALUE(B160),'SKU Maintenance'!A:D,2,0),"item not found"),"")</f>
        <v>item not found</v>
      </c>
    </row>
    <row r="161" spans="1:1" x14ac:dyDescent="0.25">
      <c r="A161" s="6" t="str">
        <f>IF(B161&lt;&gt;"Total",IFERROR(VLOOKUP(VALUE(B161),'SKU Maintenance'!A:D,2,0),"item not found"),"")</f>
        <v>item not found</v>
      </c>
    </row>
    <row r="162" spans="1:1" x14ac:dyDescent="0.25">
      <c r="A162" s="6" t="str">
        <f>IF(B162&lt;&gt;"Total",IFERROR(VLOOKUP(VALUE(B162),'SKU Maintenance'!A:D,2,0),"item not found"),"")</f>
        <v>item not found</v>
      </c>
    </row>
    <row r="163" spans="1:1" x14ac:dyDescent="0.25">
      <c r="A163" s="6" t="str">
        <f>IF(B163&lt;&gt;"Total",IFERROR(VLOOKUP(VALUE(B163),'SKU Maintenance'!A:D,2,0),"item not found"),"")</f>
        <v>item not found</v>
      </c>
    </row>
    <row r="164" spans="1:1" x14ac:dyDescent="0.25">
      <c r="A164" s="6" t="str">
        <f>IF(B164&lt;&gt;"Total",IFERROR(VLOOKUP(VALUE(B164),'SKU Maintenance'!A:D,2,0),"item not found"),"")</f>
        <v>item not found</v>
      </c>
    </row>
    <row r="165" spans="1:1" x14ac:dyDescent="0.25">
      <c r="A165" s="6" t="str">
        <f>IF(B165&lt;&gt;"Total",IFERROR(VLOOKUP(VALUE(B165),'SKU Maintenance'!A:D,2,0),"item not found"),"")</f>
        <v>item not found</v>
      </c>
    </row>
    <row r="166" spans="1:1" x14ac:dyDescent="0.25">
      <c r="A166" s="6" t="str">
        <f>IF(B166&lt;&gt;"Total",IFERROR(VLOOKUP(VALUE(B166),'SKU Maintenance'!A:D,2,0),"item not found"),"")</f>
        <v>item not found</v>
      </c>
    </row>
    <row r="167" spans="1:1" x14ac:dyDescent="0.25">
      <c r="A167" s="6" t="str">
        <f>IF(B167&lt;&gt;"Total",IFERROR(VLOOKUP(VALUE(B167),'SKU Maintenance'!A:D,2,0),"item not found"),"")</f>
        <v>item not found</v>
      </c>
    </row>
    <row r="168" spans="1:1" x14ac:dyDescent="0.25">
      <c r="A168" s="6" t="str">
        <f>IF(B168&lt;&gt;"Total",IFERROR(VLOOKUP(VALUE(B168),'SKU Maintenance'!A:D,2,0),"item not found"),"")</f>
        <v>item not found</v>
      </c>
    </row>
    <row r="169" spans="1:1" x14ac:dyDescent="0.25">
      <c r="A169" s="6" t="str">
        <f>IF(B169&lt;&gt;"Total",IFERROR(VLOOKUP(VALUE(B169),'SKU Maintenance'!A:D,2,0),"item not found"),"")</f>
        <v>item not found</v>
      </c>
    </row>
    <row r="170" spans="1:1" x14ac:dyDescent="0.25">
      <c r="A170" s="6" t="str">
        <f>IF(B170&lt;&gt;"Total",IFERROR(VLOOKUP(VALUE(B170),'SKU Maintenance'!A:D,2,0),"item not found"),"")</f>
        <v>item not found</v>
      </c>
    </row>
    <row r="171" spans="1:1" x14ac:dyDescent="0.25">
      <c r="A171" s="6" t="str">
        <f>IF(B171&lt;&gt;"Total",IFERROR(VLOOKUP(VALUE(B171),'SKU Maintenance'!A:D,2,0),"item not found"),"")</f>
        <v>item not found</v>
      </c>
    </row>
    <row r="172" spans="1:1" x14ac:dyDescent="0.25">
      <c r="A172" s="6" t="str">
        <f>IF(B172&lt;&gt;"Total",IFERROR(VLOOKUP(VALUE(B172),'SKU Maintenance'!A:D,2,0),"item not found"),"")</f>
        <v>item not found</v>
      </c>
    </row>
    <row r="173" spans="1:1" x14ac:dyDescent="0.25">
      <c r="A173" s="6" t="str">
        <f>IF(B173&lt;&gt;"Total",IFERROR(VLOOKUP(VALUE(B173),'SKU Maintenance'!A:D,2,0),"item not found"),"")</f>
        <v>item not found</v>
      </c>
    </row>
    <row r="174" spans="1:1" x14ac:dyDescent="0.25">
      <c r="A174" s="6" t="str">
        <f>IF(B174&lt;&gt;"Total",IFERROR(VLOOKUP(VALUE(B174),'SKU Maintenance'!A:D,2,0),"item not found"),"")</f>
        <v>item not found</v>
      </c>
    </row>
    <row r="175" spans="1:1" x14ac:dyDescent="0.25">
      <c r="A175" s="6" t="str">
        <f>IF(B175&lt;&gt;"Total",IFERROR(VLOOKUP(VALUE(B175),'SKU Maintenance'!A:D,2,0),"item not found"),"")</f>
        <v>item not found</v>
      </c>
    </row>
    <row r="176" spans="1:1" x14ac:dyDescent="0.25">
      <c r="A176" s="6" t="str">
        <f>IF(B176&lt;&gt;"Total",IFERROR(VLOOKUP(VALUE(B176),'SKU Maintenance'!A:D,2,0),"item not found"),"")</f>
        <v>item not found</v>
      </c>
    </row>
    <row r="177" spans="1:1" x14ac:dyDescent="0.25">
      <c r="A177" s="6" t="str">
        <f>IF(B177&lt;&gt;"Total",IFERROR(VLOOKUP(VALUE(B177),'SKU Maintenance'!A:D,2,0),"item not found"),"")</f>
        <v>item not found</v>
      </c>
    </row>
    <row r="178" spans="1:1" x14ac:dyDescent="0.25">
      <c r="A178" s="6" t="str">
        <f>IF(B178&lt;&gt;"Total",IFERROR(VLOOKUP(VALUE(B178),'SKU Maintenance'!A:D,2,0),"item not found"),"")</f>
        <v>item not found</v>
      </c>
    </row>
    <row r="179" spans="1:1" x14ac:dyDescent="0.25">
      <c r="A179" s="6" t="str">
        <f>IF(B179&lt;&gt;"Total",IFERROR(VLOOKUP(VALUE(B179),'SKU Maintenance'!A:D,2,0),"item not found"),"")</f>
        <v>item not found</v>
      </c>
    </row>
    <row r="180" spans="1:1" x14ac:dyDescent="0.25">
      <c r="A180" s="6" t="str">
        <f>IF(B180&lt;&gt;"Total",IFERROR(VLOOKUP(VALUE(B180),'SKU Maintenance'!A:D,2,0),"item not found"),"")</f>
        <v>item not found</v>
      </c>
    </row>
    <row r="181" spans="1:1" x14ac:dyDescent="0.25">
      <c r="A181" s="6" t="str">
        <f>IF(B181&lt;&gt;"Total",IFERROR(VLOOKUP(VALUE(B181),'SKU Maintenance'!A:D,2,0),"item not found"),"")</f>
        <v>item not found</v>
      </c>
    </row>
    <row r="182" spans="1:1" x14ac:dyDescent="0.25">
      <c r="A182" s="6" t="str">
        <f>IF(B182&lt;&gt;"Total",IFERROR(VLOOKUP(VALUE(B182),'SKU Maintenance'!A:D,2,0),"item not found"),"")</f>
        <v>item not found</v>
      </c>
    </row>
    <row r="183" spans="1:1" x14ac:dyDescent="0.25">
      <c r="A183" s="6" t="str">
        <f>IF(B183&lt;&gt;"Total",IFERROR(VLOOKUP(VALUE(B183),'SKU Maintenance'!A:D,2,0),"item not found"),"")</f>
        <v>item not found</v>
      </c>
    </row>
    <row r="184" spans="1:1" x14ac:dyDescent="0.25">
      <c r="A184" s="6" t="str">
        <f>IF(B184&lt;&gt;"Total",IFERROR(VLOOKUP(VALUE(B184),'SKU Maintenance'!A:D,2,0),"item not found"),"")</f>
        <v>item not found</v>
      </c>
    </row>
    <row r="185" spans="1:1" x14ac:dyDescent="0.25">
      <c r="A185" s="6" t="str">
        <f>IF(B185&lt;&gt;"Total",IFERROR(VLOOKUP(VALUE(B185),'SKU Maintenance'!A:D,2,0),"item not found"),"")</f>
        <v>item not found</v>
      </c>
    </row>
    <row r="186" spans="1:1" x14ac:dyDescent="0.25">
      <c r="A186" s="6" t="str">
        <f>IF(B186&lt;&gt;"Total",IFERROR(VLOOKUP(VALUE(B186),'SKU Maintenance'!A:D,2,0),"item not found"),"")</f>
        <v>item not found</v>
      </c>
    </row>
    <row r="187" spans="1:1" x14ac:dyDescent="0.25">
      <c r="A187" s="6" t="str">
        <f>IF(B187&lt;&gt;"Total",IFERROR(VLOOKUP(VALUE(B187),'SKU Maintenance'!A:D,2,0),"item not found"),"")</f>
        <v>item not found</v>
      </c>
    </row>
    <row r="188" spans="1:1" x14ac:dyDescent="0.25">
      <c r="A188" s="6" t="str">
        <f>IF(B188&lt;&gt;"Total",IFERROR(VLOOKUP(VALUE(B188),'SKU Maintenance'!A:D,2,0),"item not found"),"")</f>
        <v>item not found</v>
      </c>
    </row>
    <row r="189" spans="1:1" x14ac:dyDescent="0.25">
      <c r="A189" s="6" t="str">
        <f>IF(B189&lt;&gt;"Total",IFERROR(VLOOKUP(VALUE(B189),'SKU Maintenance'!A:D,2,0),"item not found"),"")</f>
        <v>item not found</v>
      </c>
    </row>
    <row r="190" spans="1:1" x14ac:dyDescent="0.25">
      <c r="A190" s="6" t="str">
        <f>IF(B190&lt;&gt;"Total",IFERROR(VLOOKUP(VALUE(B190),'SKU Maintenance'!A:D,2,0),"item not found"),"")</f>
        <v>item not found</v>
      </c>
    </row>
    <row r="191" spans="1:1" x14ac:dyDescent="0.25">
      <c r="A191" s="6" t="str">
        <f>IF(B191&lt;&gt;"Total",IFERROR(VLOOKUP(VALUE(B191),'SKU Maintenance'!A:D,2,0),"item not found"),"")</f>
        <v>item not found</v>
      </c>
    </row>
    <row r="192" spans="1:1" x14ac:dyDescent="0.25">
      <c r="A192" s="6" t="str">
        <f>IF(B192&lt;&gt;"Total",IFERROR(VLOOKUP(VALUE(B192),'SKU Maintenance'!A:D,2,0),"item not found"),"")</f>
        <v>item not found</v>
      </c>
    </row>
    <row r="193" spans="1:1" x14ac:dyDescent="0.25">
      <c r="A193" s="6" t="str">
        <f>IF(B193&lt;&gt;"Total",IFERROR(VLOOKUP(VALUE(B193),'SKU Maintenance'!A:D,2,0),"item not found"),"")</f>
        <v>item not found</v>
      </c>
    </row>
    <row r="194" spans="1:1" x14ac:dyDescent="0.25">
      <c r="A194" s="6" t="str">
        <f>IF(B194&lt;&gt;"Total",IFERROR(VLOOKUP(VALUE(B194),'SKU Maintenance'!A:D,2,0),"item not found"),"")</f>
        <v>item not found</v>
      </c>
    </row>
    <row r="195" spans="1:1" x14ac:dyDescent="0.25">
      <c r="A195" s="6" t="str">
        <f>IF(B195&lt;&gt;"Total",IFERROR(VLOOKUP(VALUE(B195),'SKU Maintenance'!A:D,2,0),"item not found"),"")</f>
        <v>item not found</v>
      </c>
    </row>
    <row r="196" spans="1:1" x14ac:dyDescent="0.25">
      <c r="A196" s="6" t="str">
        <f>IF(B196&lt;&gt;"Total",IFERROR(VLOOKUP(VALUE(B196),'SKU Maintenance'!A:D,2,0),"item not found"),"")</f>
        <v>item not found</v>
      </c>
    </row>
    <row r="197" spans="1:1" x14ac:dyDescent="0.25">
      <c r="A197" s="6" t="str">
        <f>IF(B197&lt;&gt;"Total",IFERROR(VLOOKUP(VALUE(B197),'SKU Maintenance'!A:D,2,0),"item not found"),"")</f>
        <v>item not found</v>
      </c>
    </row>
    <row r="198" spans="1:1" x14ac:dyDescent="0.25">
      <c r="A198" s="6" t="str">
        <f>IF(B198&lt;&gt;"Total",IFERROR(VLOOKUP(VALUE(B198),'SKU Maintenance'!A:D,2,0),"item not found"),"")</f>
        <v>item not found</v>
      </c>
    </row>
    <row r="199" spans="1:1" x14ac:dyDescent="0.25">
      <c r="A199" s="6" t="str">
        <f>IF(B199&lt;&gt;"Total",IFERROR(VLOOKUP(VALUE(B199),'SKU Maintenance'!A:D,2,0),"item not found"),"")</f>
        <v>item not found</v>
      </c>
    </row>
    <row r="200" spans="1:1" x14ac:dyDescent="0.25">
      <c r="A200" s="6" t="str">
        <f>IF(B200&lt;&gt;"Total",IFERROR(VLOOKUP(VALUE(B200),'SKU Maintenance'!A:D,2,0),"item not found"),"")</f>
        <v>item not found</v>
      </c>
    </row>
    <row r="201" spans="1:1" x14ac:dyDescent="0.25">
      <c r="A201" s="6" t="str">
        <f>IF(B201&lt;&gt;"Total",IFERROR(VLOOKUP(VALUE(B201),'SKU Maintenance'!A:D,2,0),"item not found"),"")</f>
        <v>item not found</v>
      </c>
    </row>
    <row r="202" spans="1:1" x14ac:dyDescent="0.25">
      <c r="A202" s="6" t="str">
        <f>IF(B202&lt;&gt;"Total",IFERROR(VLOOKUP(VALUE(B202),'SKU Maintenance'!A:D,2,0),"item not found"),"")</f>
        <v>item not found</v>
      </c>
    </row>
    <row r="203" spans="1:1" x14ac:dyDescent="0.25">
      <c r="A203" s="6" t="str">
        <f>IF(B203&lt;&gt;"Total",IFERROR(VLOOKUP(VALUE(B203),'SKU Maintenance'!A:D,2,0),"item not found"),"")</f>
        <v>item not found</v>
      </c>
    </row>
    <row r="204" spans="1:1" x14ac:dyDescent="0.25">
      <c r="A204" s="6" t="str">
        <f>IF(B204&lt;&gt;"Total",IFERROR(VLOOKUP(VALUE(B204),'SKU Maintenance'!A:D,2,0),"item not found"),"")</f>
        <v>item not found</v>
      </c>
    </row>
    <row r="205" spans="1:1" x14ac:dyDescent="0.25">
      <c r="A205" s="6" t="str">
        <f>IF(B205&lt;&gt;"Total",IFERROR(VLOOKUP(VALUE(B205),'SKU Maintenance'!A:D,2,0),"item not found"),"")</f>
        <v>item not found</v>
      </c>
    </row>
    <row r="206" spans="1:1" x14ac:dyDescent="0.25">
      <c r="A206" s="6" t="str">
        <f>IF(B206&lt;&gt;"Total",IFERROR(VLOOKUP(VALUE(B206),'SKU Maintenance'!A:D,2,0),"item not found"),"")</f>
        <v>item not found</v>
      </c>
    </row>
    <row r="207" spans="1:1" x14ac:dyDescent="0.25">
      <c r="A207" s="6" t="str">
        <f>IF(B207&lt;&gt;"Total",IFERROR(VLOOKUP(VALUE(B207),'SKU Maintenance'!A:D,2,0),"item not found"),"")</f>
        <v>item not found</v>
      </c>
    </row>
    <row r="208" spans="1:1" x14ac:dyDescent="0.25">
      <c r="A208" s="6" t="str">
        <f>IF(B208&lt;&gt;"Total",IFERROR(VLOOKUP(VALUE(B208),'SKU Maintenance'!A:D,2,0),"item not found"),"")</f>
        <v>item not found</v>
      </c>
    </row>
    <row r="209" spans="1:1" x14ac:dyDescent="0.25">
      <c r="A209" s="6" t="str">
        <f>IF(B209&lt;&gt;"Total",IFERROR(VLOOKUP(VALUE(B209),'SKU Maintenance'!A:D,2,0),"item not found"),"")</f>
        <v>item not found</v>
      </c>
    </row>
    <row r="210" spans="1:1" x14ac:dyDescent="0.25">
      <c r="A210" s="6" t="str">
        <f>IF(B210&lt;&gt;"Total",IFERROR(VLOOKUP(VALUE(B210),'SKU Maintenance'!A:D,2,0),"item not found"),"")</f>
        <v>item not found</v>
      </c>
    </row>
    <row r="211" spans="1:1" x14ac:dyDescent="0.25">
      <c r="A211" s="6" t="str">
        <f>IF(B211&lt;&gt;"Total",IFERROR(VLOOKUP(VALUE(B211),'SKU Maintenance'!A:D,2,0),"item not found"),"")</f>
        <v>item not found</v>
      </c>
    </row>
    <row r="212" spans="1:1" x14ac:dyDescent="0.25">
      <c r="A212" s="6" t="str">
        <f>IF(B212&lt;&gt;"Total",IFERROR(VLOOKUP(VALUE(B212),'SKU Maintenance'!A:D,2,0),"item not found"),"")</f>
        <v>item not found</v>
      </c>
    </row>
    <row r="213" spans="1:1" x14ac:dyDescent="0.25">
      <c r="A213" s="6" t="str">
        <f>IF(B213&lt;&gt;"Total",IFERROR(VLOOKUP(VALUE(B213),'SKU Maintenance'!A:D,2,0),"item not found"),"")</f>
        <v>item not found</v>
      </c>
    </row>
    <row r="214" spans="1:1" x14ac:dyDescent="0.25">
      <c r="A214" s="6" t="str">
        <f>IF(B214&lt;&gt;"Total",IFERROR(VLOOKUP(VALUE(B214),'SKU Maintenance'!A:D,2,0),"item not found"),"")</f>
        <v>item not found</v>
      </c>
    </row>
    <row r="215" spans="1:1" x14ac:dyDescent="0.25">
      <c r="A215" s="6" t="str">
        <f>IF(B215&lt;&gt;"Total",IFERROR(VLOOKUP(VALUE(B215),'SKU Maintenance'!A:D,2,0),"item not found"),"")</f>
        <v>item not found</v>
      </c>
    </row>
    <row r="216" spans="1:1" x14ac:dyDescent="0.25">
      <c r="A216" s="6" t="str">
        <f>IF(B216&lt;&gt;"Total",IFERROR(VLOOKUP(VALUE(B216),'SKU Maintenance'!A:D,2,0),"item not found"),"")</f>
        <v>item not found</v>
      </c>
    </row>
    <row r="217" spans="1:1" x14ac:dyDescent="0.25">
      <c r="A217" s="6" t="str">
        <f>IF(B217&lt;&gt;"Total",IFERROR(VLOOKUP(VALUE(B217),'SKU Maintenance'!A:D,2,0),"item not found"),"")</f>
        <v>item not found</v>
      </c>
    </row>
    <row r="218" spans="1:1" x14ac:dyDescent="0.25">
      <c r="A218" s="6" t="str">
        <f>IF(B218&lt;&gt;"Total",IFERROR(VLOOKUP(VALUE(B218),'SKU Maintenance'!A:D,2,0),"item not found"),"")</f>
        <v>item not found</v>
      </c>
    </row>
    <row r="219" spans="1:1" x14ac:dyDescent="0.25">
      <c r="A219" s="6" t="str">
        <f>IF(B219&lt;&gt;"Total",IFERROR(VLOOKUP(VALUE(B219),'SKU Maintenance'!A:D,2,0),"item not found"),"")</f>
        <v>item not found</v>
      </c>
    </row>
    <row r="220" spans="1:1" x14ac:dyDescent="0.25">
      <c r="A220" s="6" t="str">
        <f>IF(B220&lt;&gt;"Total",IFERROR(VLOOKUP(VALUE(B220),'SKU Maintenance'!A:D,2,0),"item not found"),"")</f>
        <v>item not found</v>
      </c>
    </row>
    <row r="221" spans="1:1" x14ac:dyDescent="0.25">
      <c r="A221" s="6" t="str">
        <f>IF(B221&lt;&gt;"Total",IFERROR(VLOOKUP(VALUE(B221),'SKU Maintenance'!A:D,2,0),"item not found"),"")</f>
        <v>item not found</v>
      </c>
    </row>
    <row r="222" spans="1:1" x14ac:dyDescent="0.25">
      <c r="A222" s="6" t="str">
        <f>IF(B222&lt;&gt;"Total",IFERROR(VLOOKUP(VALUE(B222),'SKU Maintenance'!A:D,2,0),"item not found"),"")</f>
        <v>item not found</v>
      </c>
    </row>
    <row r="223" spans="1:1" x14ac:dyDescent="0.25">
      <c r="A223" s="6" t="str">
        <f>IF(B223&lt;&gt;"Total",IFERROR(VLOOKUP(VALUE(B223),'SKU Maintenance'!A:D,2,0),"item not found"),"")</f>
        <v>item not found</v>
      </c>
    </row>
    <row r="224" spans="1:1" x14ac:dyDescent="0.25">
      <c r="A224" s="6" t="str">
        <f>IF(B224&lt;&gt;"Total",IFERROR(VLOOKUP(VALUE(B224),'SKU Maintenance'!A:D,2,0),"item not found"),"")</f>
        <v>item not found</v>
      </c>
    </row>
    <row r="225" spans="1:1" x14ac:dyDescent="0.25">
      <c r="A225" s="6" t="str">
        <f>IF(B225&lt;&gt;"Total",IFERROR(VLOOKUP(VALUE(B225),'SKU Maintenance'!A:D,2,0),"item not found"),"")</f>
        <v>item not found</v>
      </c>
    </row>
    <row r="226" spans="1:1" x14ac:dyDescent="0.25">
      <c r="A226" s="6" t="str">
        <f>IF(B226&lt;&gt;"Total",IFERROR(VLOOKUP(VALUE(B226),'SKU Maintenance'!A:D,2,0),"item not found"),"")</f>
        <v>item not found</v>
      </c>
    </row>
    <row r="227" spans="1:1" x14ac:dyDescent="0.25">
      <c r="A227" s="6" t="str">
        <f>IF(B227&lt;&gt;"Total",IFERROR(VLOOKUP(VALUE(B227),'SKU Maintenance'!A:D,2,0),"item not found"),"")</f>
        <v>item not found</v>
      </c>
    </row>
    <row r="228" spans="1:1" x14ac:dyDescent="0.25">
      <c r="A228" s="6" t="str">
        <f>IF(B228&lt;&gt;"Total",IFERROR(VLOOKUP(VALUE(B228),'SKU Maintenance'!A:D,2,0),"item not found"),"")</f>
        <v>item not found</v>
      </c>
    </row>
    <row r="229" spans="1:1" x14ac:dyDescent="0.25">
      <c r="A229" s="6" t="str">
        <f>IF(B229&lt;&gt;"Total",IFERROR(VLOOKUP(VALUE(B229),'SKU Maintenance'!A:D,2,0),"item not found"),"")</f>
        <v>item not found</v>
      </c>
    </row>
    <row r="230" spans="1:1" x14ac:dyDescent="0.25">
      <c r="A230" s="6" t="str">
        <f>IF(B230&lt;&gt;"Total",IFERROR(VLOOKUP(VALUE(B230),'SKU Maintenance'!A:D,2,0),"item not found"),"")</f>
        <v>item not found</v>
      </c>
    </row>
    <row r="231" spans="1:1" x14ac:dyDescent="0.25">
      <c r="A231" s="6" t="str">
        <f>IF(B231&lt;&gt;"Total",IFERROR(VLOOKUP(VALUE(B231),'SKU Maintenance'!A:D,2,0),"item not found"),"")</f>
        <v>item not found</v>
      </c>
    </row>
    <row r="232" spans="1:1" x14ac:dyDescent="0.25">
      <c r="A232" s="6" t="str">
        <f>IF(B232&lt;&gt;"Total",IFERROR(VLOOKUP(VALUE(B232),'SKU Maintenance'!A:D,2,0),"item not found"),"")</f>
        <v>item not found</v>
      </c>
    </row>
    <row r="233" spans="1:1" x14ac:dyDescent="0.25">
      <c r="A233" s="6" t="str">
        <f>IF(B233&lt;&gt;"Total",IFERROR(VLOOKUP(VALUE(B233),'SKU Maintenance'!A:D,2,0),"item not found"),"")</f>
        <v>item not found</v>
      </c>
    </row>
    <row r="234" spans="1:1" x14ac:dyDescent="0.25">
      <c r="A234" s="6" t="str">
        <f>IF(B234&lt;&gt;"Total",IFERROR(VLOOKUP(VALUE(B234),'SKU Maintenance'!A:D,2,0),"item not found"),"")</f>
        <v>item not found</v>
      </c>
    </row>
    <row r="235" spans="1:1" x14ac:dyDescent="0.25">
      <c r="A235" s="6" t="str">
        <f>IF(B235&lt;&gt;"Total",IFERROR(VLOOKUP(VALUE(B235),'SKU Maintenance'!A:D,2,0),"item not found"),"")</f>
        <v>item not found</v>
      </c>
    </row>
    <row r="236" spans="1:1" x14ac:dyDescent="0.25">
      <c r="A236" s="6" t="str">
        <f>IF(B236&lt;&gt;"Total",IFERROR(VLOOKUP(VALUE(B236),'SKU Maintenance'!A:D,2,0),"item not found"),"")</f>
        <v>item not found</v>
      </c>
    </row>
    <row r="237" spans="1:1" x14ac:dyDescent="0.25">
      <c r="A237" s="6" t="str">
        <f>IF(B237&lt;&gt;"Total",IFERROR(VLOOKUP(VALUE(B237),'SKU Maintenance'!A:D,2,0),"item not found"),"")</f>
        <v>item not found</v>
      </c>
    </row>
    <row r="238" spans="1:1" x14ac:dyDescent="0.25">
      <c r="A238" s="6" t="str">
        <f>IF(B238&lt;&gt;"Total",IFERROR(VLOOKUP(VALUE(B238),'SKU Maintenance'!A:D,2,0),"item not found"),"")</f>
        <v>item not found</v>
      </c>
    </row>
    <row r="239" spans="1:1" x14ac:dyDescent="0.25">
      <c r="A239" s="6" t="str">
        <f>IF(B239&lt;&gt;"Total",IFERROR(VLOOKUP(VALUE(B239),'SKU Maintenance'!A:D,2,0),"item not found"),"")</f>
        <v>item not found</v>
      </c>
    </row>
    <row r="240" spans="1:1" x14ac:dyDescent="0.25">
      <c r="A240" s="6" t="str">
        <f>IF(B240&lt;&gt;"Total",IFERROR(VLOOKUP(VALUE(B240),'SKU Maintenance'!A:D,2,0),"item not found"),"")</f>
        <v>item not found</v>
      </c>
    </row>
    <row r="241" spans="1:1" x14ac:dyDescent="0.25">
      <c r="A241" s="6" t="str">
        <f>IF(B241&lt;&gt;"Total",IFERROR(VLOOKUP(VALUE(B241),'SKU Maintenance'!A:D,2,0),"item not found"),"")</f>
        <v>item not found</v>
      </c>
    </row>
    <row r="242" spans="1:1" x14ac:dyDescent="0.25">
      <c r="A242" s="6" t="str">
        <f>IF(B242&lt;&gt;"Total",IFERROR(VLOOKUP(VALUE(B242),'SKU Maintenance'!A:D,2,0),"item not found"),"")</f>
        <v>item not found</v>
      </c>
    </row>
    <row r="243" spans="1:1" x14ac:dyDescent="0.25">
      <c r="A243" s="6" t="str">
        <f>IF(B243&lt;&gt;"Total",IFERROR(VLOOKUP(VALUE(B243),'SKU Maintenance'!A:D,2,0),"item not found"),"")</f>
        <v>item not found</v>
      </c>
    </row>
    <row r="244" spans="1:1" x14ac:dyDescent="0.25">
      <c r="A244" s="6" t="str">
        <f>IF(B244&lt;&gt;"Total",IFERROR(VLOOKUP(VALUE(B244),'SKU Maintenance'!A:D,2,0),"item not found"),"")</f>
        <v>item not found</v>
      </c>
    </row>
    <row r="245" spans="1:1" x14ac:dyDescent="0.25">
      <c r="A245" s="6" t="str">
        <f>IF(B245&lt;&gt;"Total",IFERROR(VLOOKUP(VALUE(B245),'SKU Maintenance'!A:D,2,0),"item not found"),"")</f>
        <v>item not found</v>
      </c>
    </row>
    <row r="246" spans="1:1" x14ac:dyDescent="0.25">
      <c r="A246" s="6" t="str">
        <f>IF(B246&lt;&gt;"Total",IFERROR(VLOOKUP(VALUE(B246),'SKU Maintenance'!A:D,2,0),"item not found"),"")</f>
        <v>item not found</v>
      </c>
    </row>
    <row r="247" spans="1:1" x14ac:dyDescent="0.25">
      <c r="A247" s="6" t="str">
        <f>IF(B247&lt;&gt;"Total",IFERROR(VLOOKUP(VALUE(B247),'SKU Maintenance'!A:D,2,0),"item not found"),"")</f>
        <v>item not found</v>
      </c>
    </row>
    <row r="248" spans="1:1" x14ac:dyDescent="0.25">
      <c r="A248" s="6" t="str">
        <f>IF(B248&lt;&gt;"Total",IFERROR(VLOOKUP(VALUE(B248),'SKU Maintenance'!A:D,2,0),"item not found"),"")</f>
        <v>item not found</v>
      </c>
    </row>
    <row r="249" spans="1:1" x14ac:dyDescent="0.25">
      <c r="A249" s="6" t="str">
        <f>IF(B249&lt;&gt;"Total",IFERROR(VLOOKUP(VALUE(B249),'SKU Maintenance'!A:D,2,0),"item not found"),"")</f>
        <v>item not found</v>
      </c>
    </row>
    <row r="250" spans="1:1" x14ac:dyDescent="0.25">
      <c r="A250" s="6" t="str">
        <f>IF(B250&lt;&gt;"Total",IFERROR(VLOOKUP(VALUE(B250),'SKU Maintenance'!A:D,2,0),"item not found"),"")</f>
        <v>item not found</v>
      </c>
    </row>
    <row r="251" spans="1:1" x14ac:dyDescent="0.25">
      <c r="A251" s="6" t="str">
        <f>IF(B251&lt;&gt;"Total",IFERROR(VLOOKUP(VALUE(B251),'SKU Maintenance'!A:D,2,0),"item not found"),"")</f>
        <v>item not found</v>
      </c>
    </row>
    <row r="252" spans="1:1" x14ac:dyDescent="0.25">
      <c r="A252" s="6" t="str">
        <f>IF(B252&lt;&gt;"Total",IFERROR(VLOOKUP(VALUE(B252),'SKU Maintenance'!A:D,2,0),"item not found"),"")</f>
        <v>item not found</v>
      </c>
    </row>
    <row r="253" spans="1:1" x14ac:dyDescent="0.25">
      <c r="A253" s="6" t="str">
        <f>IF(B253&lt;&gt;"Total",IFERROR(VLOOKUP(VALUE(B253),'SKU Maintenance'!A:D,2,0),"item not found"),"")</f>
        <v>item not found</v>
      </c>
    </row>
    <row r="254" spans="1:1" x14ac:dyDescent="0.25">
      <c r="A254" s="6" t="str">
        <f>IF(B254&lt;&gt;"Total",IFERROR(VLOOKUP(VALUE(B254),'SKU Maintenance'!A:D,2,0),"item not found"),"")</f>
        <v>item not found</v>
      </c>
    </row>
    <row r="255" spans="1:1" x14ac:dyDescent="0.25">
      <c r="A255" s="6" t="str">
        <f>IF(B255&lt;&gt;"Total",IFERROR(VLOOKUP(VALUE(B255),'SKU Maintenance'!A:D,2,0),"item not found"),"")</f>
        <v>item not found</v>
      </c>
    </row>
    <row r="256" spans="1:1" x14ac:dyDescent="0.25">
      <c r="A256" s="6" t="str">
        <f>IF(B256&lt;&gt;"Total",IFERROR(VLOOKUP(VALUE(B256),'SKU Maintenance'!A:D,2,0),"item not found"),"")</f>
        <v>item not found</v>
      </c>
    </row>
    <row r="257" spans="1:1" x14ac:dyDescent="0.25">
      <c r="A257" s="6" t="str">
        <f>IF(B257&lt;&gt;"Total",IFERROR(VLOOKUP(VALUE(B257),'SKU Maintenance'!A:D,2,0),"item not found"),"")</f>
        <v>item not found</v>
      </c>
    </row>
    <row r="258" spans="1:1" x14ac:dyDescent="0.25">
      <c r="A258" s="6" t="str">
        <f>IF(B258&lt;&gt;"Total",IFERROR(VLOOKUP(VALUE(B258),'SKU Maintenance'!A:D,2,0),"item not found"),"")</f>
        <v>item not found</v>
      </c>
    </row>
    <row r="259" spans="1:1" x14ac:dyDescent="0.25">
      <c r="A259" s="6" t="str">
        <f>IF(B259&lt;&gt;"Total",IFERROR(VLOOKUP(VALUE(B259),'SKU Maintenance'!A:D,2,0),"item not found"),"")</f>
        <v>item not found</v>
      </c>
    </row>
    <row r="260" spans="1:1" x14ac:dyDescent="0.25">
      <c r="A260" s="6" t="str">
        <f>IF(B260&lt;&gt;"Total",IFERROR(VLOOKUP(VALUE(B260),'SKU Maintenance'!A:D,2,0),"item not found"),"")</f>
        <v>item not found</v>
      </c>
    </row>
    <row r="261" spans="1:1" x14ac:dyDescent="0.25">
      <c r="A261" s="6" t="str">
        <f>IF(B261&lt;&gt;"Total",IFERROR(VLOOKUP(VALUE(B261),'SKU Maintenance'!A:D,2,0),"item not found"),"")</f>
        <v>item not found</v>
      </c>
    </row>
    <row r="262" spans="1:1" x14ac:dyDescent="0.25">
      <c r="A262" s="6" t="str">
        <f>IF(B262&lt;&gt;"Total",IFERROR(VLOOKUP(VALUE(B262),'SKU Maintenance'!A:D,2,0),"item not found"),"")</f>
        <v>item not found</v>
      </c>
    </row>
    <row r="263" spans="1:1" x14ac:dyDescent="0.25">
      <c r="A263" s="6" t="str">
        <f>IF(B263&lt;&gt;"Total",IFERROR(VLOOKUP(VALUE(B263),'SKU Maintenance'!A:D,2,0),"item not found"),"")</f>
        <v>item not found</v>
      </c>
    </row>
    <row r="264" spans="1:1" x14ac:dyDescent="0.25">
      <c r="A264" s="6" t="str">
        <f>IF(B264&lt;&gt;"Total",IFERROR(VLOOKUP(VALUE(B264),'SKU Maintenance'!A:D,2,0),"item not found"),"")</f>
        <v>item not found</v>
      </c>
    </row>
    <row r="265" spans="1:1" x14ac:dyDescent="0.25">
      <c r="A265" s="6" t="str">
        <f>IF(B265&lt;&gt;"Total",IFERROR(VLOOKUP(VALUE(B265),'SKU Maintenance'!A:D,2,0),"item not found"),"")</f>
        <v>item not found</v>
      </c>
    </row>
    <row r="266" spans="1:1" x14ac:dyDescent="0.25">
      <c r="A266" s="6" t="str">
        <f>IF(B266&lt;&gt;"Total",IFERROR(VLOOKUP(VALUE(B266),'SKU Maintenance'!A:D,2,0),"item not found"),"")</f>
        <v>item not found</v>
      </c>
    </row>
    <row r="267" spans="1:1" x14ac:dyDescent="0.25">
      <c r="A267" s="6" t="str">
        <f>IF(B267&lt;&gt;"Total",IFERROR(VLOOKUP(VALUE(B267),'SKU Maintenance'!A:D,2,0),"item not found"),"")</f>
        <v>item not found</v>
      </c>
    </row>
    <row r="268" spans="1:1" x14ac:dyDescent="0.25">
      <c r="A268" s="6" t="str">
        <f>IF(B268&lt;&gt;"Total",IFERROR(VLOOKUP(VALUE(B268),'SKU Maintenance'!A:D,2,0),"item not found"),"")</f>
        <v>item not found</v>
      </c>
    </row>
    <row r="269" spans="1:1" x14ac:dyDescent="0.25">
      <c r="A269" s="6" t="str">
        <f>IF(B269&lt;&gt;"Total",IFERROR(VLOOKUP(VALUE(B269),'SKU Maintenance'!A:D,2,0),"item not found"),"")</f>
        <v>item not found</v>
      </c>
    </row>
    <row r="270" spans="1:1" x14ac:dyDescent="0.25">
      <c r="A270" s="6" t="str">
        <f>IF(B270&lt;&gt;"Total",IFERROR(VLOOKUP(VALUE(B270),'SKU Maintenance'!A:D,2,0),"item not found"),"")</f>
        <v>item not found</v>
      </c>
    </row>
    <row r="271" spans="1:1" x14ac:dyDescent="0.25">
      <c r="A271" s="6" t="str">
        <f>IF(B271&lt;&gt;"Total",IFERROR(VLOOKUP(VALUE(B271),'SKU Maintenance'!A:D,2,0),"item not found"),"")</f>
        <v>item not found</v>
      </c>
    </row>
    <row r="272" spans="1:1" x14ac:dyDescent="0.25">
      <c r="A272" s="6" t="str">
        <f>IF(B272&lt;&gt;"Total",IFERROR(VLOOKUP(VALUE(B272),'SKU Maintenance'!A:D,2,0),"item not found"),"")</f>
        <v>item not found</v>
      </c>
    </row>
    <row r="273" spans="1:1" x14ac:dyDescent="0.25">
      <c r="A273" s="6" t="str">
        <f>IF(B273&lt;&gt;"Total",IFERROR(VLOOKUP(VALUE(B273),'SKU Maintenance'!A:D,2,0),"item not found"),"")</f>
        <v>item not found</v>
      </c>
    </row>
    <row r="274" spans="1:1" x14ac:dyDescent="0.25">
      <c r="A274" s="6" t="str">
        <f>IF(B274&lt;&gt;"Total",IFERROR(VLOOKUP(VALUE(B274),'SKU Maintenance'!A:D,2,0),"item not found"),"")</f>
        <v>item not found</v>
      </c>
    </row>
    <row r="275" spans="1:1" x14ac:dyDescent="0.25">
      <c r="A275" s="6" t="str">
        <f>IF(B275&lt;&gt;"Total",IFERROR(VLOOKUP(VALUE(B275),'SKU Maintenance'!A:D,2,0),"item not found"),"")</f>
        <v>item not found</v>
      </c>
    </row>
    <row r="276" spans="1:1" x14ac:dyDescent="0.25">
      <c r="A276" s="6" t="str">
        <f>IF(B276&lt;&gt;"Total",IFERROR(VLOOKUP(VALUE(B276),'SKU Maintenance'!A:D,2,0),"item not found"),"")</f>
        <v>item not found</v>
      </c>
    </row>
    <row r="277" spans="1:1" x14ac:dyDescent="0.25">
      <c r="A277" s="6" t="str">
        <f>IF(B277&lt;&gt;"Total",IFERROR(VLOOKUP(VALUE(B277),'SKU Maintenance'!A:D,2,0),"item not found"),"")</f>
        <v>item not found</v>
      </c>
    </row>
    <row r="278" spans="1:1" x14ac:dyDescent="0.25">
      <c r="A278" s="6" t="str">
        <f>IF(B278&lt;&gt;"Total",IFERROR(VLOOKUP(VALUE(B278),'SKU Maintenance'!A:D,2,0),"item not found"),"")</f>
        <v>item not found</v>
      </c>
    </row>
    <row r="279" spans="1:1" x14ac:dyDescent="0.25">
      <c r="A279" s="6" t="str">
        <f>IF(B279&lt;&gt;"Total",IFERROR(VLOOKUP(VALUE(B279),'SKU Maintenance'!A:D,2,0),"item not found"),"")</f>
        <v>item not found</v>
      </c>
    </row>
    <row r="280" spans="1:1" x14ac:dyDescent="0.25">
      <c r="A280" s="6" t="str">
        <f>IF(B280&lt;&gt;"Total",IFERROR(VLOOKUP(VALUE(B280),'SKU Maintenance'!A:D,2,0),"item not found"),"")</f>
        <v>item not found</v>
      </c>
    </row>
    <row r="281" spans="1:1" x14ac:dyDescent="0.25">
      <c r="A281" s="6" t="str">
        <f>IF(B281&lt;&gt;"Total",IFERROR(VLOOKUP(VALUE(B281),'SKU Maintenance'!A:D,2,0),"item not found"),"")</f>
        <v>item not found</v>
      </c>
    </row>
    <row r="282" spans="1:1" x14ac:dyDescent="0.25">
      <c r="A282" s="6" t="str">
        <f>IF(B282&lt;&gt;"Total",IFERROR(VLOOKUP(VALUE(B282),'SKU Maintenance'!A:D,2,0),"item not found"),"")</f>
        <v>item not found</v>
      </c>
    </row>
    <row r="283" spans="1:1" x14ac:dyDescent="0.25">
      <c r="A283" s="6" t="str">
        <f>IF(B283&lt;&gt;"Total",IFERROR(VLOOKUP(VALUE(B283),'SKU Maintenance'!A:D,2,0),"item not found"),"")</f>
        <v>item not found</v>
      </c>
    </row>
    <row r="284" spans="1:1" x14ac:dyDescent="0.25">
      <c r="A284" s="6" t="str">
        <f>IF(B284&lt;&gt;"Total",IFERROR(VLOOKUP(VALUE(B284),'SKU Maintenance'!A:D,2,0),"item not found"),"")</f>
        <v>item not found</v>
      </c>
    </row>
    <row r="285" spans="1:1" x14ac:dyDescent="0.25">
      <c r="A285" s="6" t="str">
        <f>IF(B285&lt;&gt;"Total",IFERROR(VLOOKUP(VALUE(B285),'SKU Maintenance'!A:D,2,0),"item not found"),"")</f>
        <v>item not found</v>
      </c>
    </row>
    <row r="286" spans="1:1" x14ac:dyDescent="0.25">
      <c r="A286" s="6" t="str">
        <f>IF(B286&lt;&gt;"Total",IFERROR(VLOOKUP(VALUE(B286),'SKU Maintenance'!A:D,2,0),"item not found"),"")</f>
        <v>item not found</v>
      </c>
    </row>
    <row r="287" spans="1:1" x14ac:dyDescent="0.25">
      <c r="A287" s="6" t="str">
        <f>IF(B287&lt;&gt;"Total",IFERROR(VLOOKUP(VALUE(B287),'SKU Maintenance'!A:D,2,0),"item not found"),"")</f>
        <v>item not found</v>
      </c>
    </row>
    <row r="288" spans="1:1" x14ac:dyDescent="0.25">
      <c r="A288" s="6" t="str">
        <f>IF(B288&lt;&gt;"Total",IFERROR(VLOOKUP(VALUE(B288),'SKU Maintenance'!A:D,2,0),"item not found"),"")</f>
        <v>item not found</v>
      </c>
    </row>
    <row r="289" spans="1:1" x14ac:dyDescent="0.25">
      <c r="A289" s="6" t="str">
        <f>IF(B289&lt;&gt;"Total",IFERROR(VLOOKUP(VALUE(B289),'SKU Maintenance'!A:D,2,0),"item not found"),"")</f>
        <v>item not found</v>
      </c>
    </row>
    <row r="290" spans="1:1" x14ac:dyDescent="0.25">
      <c r="A290" s="6" t="str">
        <f>IF(B290&lt;&gt;"Total",IFERROR(VLOOKUP(VALUE(B290),'SKU Maintenance'!A:D,2,0),"item not found"),"")</f>
        <v>item not found</v>
      </c>
    </row>
    <row r="291" spans="1:1" x14ac:dyDescent="0.25">
      <c r="A291" s="6" t="str">
        <f>IF(B291&lt;&gt;"Total",IFERROR(VLOOKUP(VALUE(B291),'SKU Maintenance'!A:D,2,0),"item not found"),"")</f>
        <v>item not found</v>
      </c>
    </row>
    <row r="292" spans="1:1" x14ac:dyDescent="0.25">
      <c r="A292" s="6" t="str">
        <f>IF(B292&lt;&gt;"Total",IFERROR(VLOOKUP(VALUE(B292),'SKU Maintenance'!A:D,2,0),"item not found"),"")</f>
        <v>item not found</v>
      </c>
    </row>
    <row r="293" spans="1:1" x14ac:dyDescent="0.25">
      <c r="A293" s="6" t="str">
        <f>IF(B293&lt;&gt;"Total",IFERROR(VLOOKUP(VALUE(B293),'SKU Maintenance'!A:D,2,0),"item not found"),"")</f>
        <v>item not found</v>
      </c>
    </row>
    <row r="294" spans="1:1" x14ac:dyDescent="0.25">
      <c r="A294" s="6" t="str">
        <f>IF(B294&lt;&gt;"Total",IFERROR(VLOOKUP(VALUE(B294),'SKU Maintenance'!A:D,2,0),"item not found"),"")</f>
        <v>item not found</v>
      </c>
    </row>
    <row r="295" spans="1:1" x14ac:dyDescent="0.25">
      <c r="A295" s="6" t="str">
        <f>IF(B295&lt;&gt;"Total",IFERROR(VLOOKUP(VALUE(B295),'SKU Maintenance'!A:D,2,0),"item not found"),"")</f>
        <v>item not found</v>
      </c>
    </row>
    <row r="296" spans="1:1" x14ac:dyDescent="0.25">
      <c r="A296" s="6" t="str">
        <f>IF(B296&lt;&gt;"Total",IFERROR(VLOOKUP(VALUE(B296),'SKU Maintenance'!A:D,2,0),"item not found"),"")</f>
        <v>item not found</v>
      </c>
    </row>
    <row r="297" spans="1:1" x14ac:dyDescent="0.25">
      <c r="A297" s="6" t="str">
        <f>IF(B297&lt;&gt;"Total",IFERROR(VLOOKUP(VALUE(B297),'SKU Maintenance'!A:D,2,0),"item not found"),"")</f>
        <v>item not found</v>
      </c>
    </row>
    <row r="298" spans="1:1" x14ac:dyDescent="0.25">
      <c r="A298" s="6" t="str">
        <f>IF(B298&lt;&gt;"Total",IFERROR(VLOOKUP(VALUE(B298),'SKU Maintenance'!A:D,2,0),"item not found"),"")</f>
        <v>item not found</v>
      </c>
    </row>
    <row r="299" spans="1:1" x14ac:dyDescent="0.25">
      <c r="A299" s="6" t="str">
        <f>IF(B299&lt;&gt;"Total",IFERROR(VLOOKUP(VALUE(B299),'SKU Maintenance'!A:D,2,0),"item not found"),"")</f>
        <v>item not found</v>
      </c>
    </row>
    <row r="300" spans="1:1" x14ac:dyDescent="0.25">
      <c r="A300" s="6" t="str">
        <f>IF(B300&lt;&gt;"Total",IFERROR(VLOOKUP(VALUE(B300),'SKU Maintenance'!A:D,2,0),"item not found"),"")</f>
        <v>item not found</v>
      </c>
    </row>
    <row r="301" spans="1:1" x14ac:dyDescent="0.25">
      <c r="A301" s="6" t="str">
        <f>IF(B301&lt;&gt;"Total",IFERROR(VLOOKUP(VALUE(B301),'SKU Maintenance'!A:D,2,0),"item not found"),"")</f>
        <v>item not found</v>
      </c>
    </row>
    <row r="302" spans="1:1" x14ac:dyDescent="0.25">
      <c r="A302" s="6" t="str">
        <f>IF(B302&lt;&gt;"Total",IFERROR(VLOOKUP(VALUE(B302),'SKU Maintenance'!A:D,2,0),"item not found"),"")</f>
        <v>item not found</v>
      </c>
    </row>
    <row r="303" spans="1:1" x14ac:dyDescent="0.25">
      <c r="A303" s="6" t="str">
        <f>IF(B303&lt;&gt;"Total",IFERROR(VLOOKUP(VALUE(B303),'SKU Maintenance'!A:D,2,0),"item not found"),"")</f>
        <v>item not found</v>
      </c>
    </row>
    <row r="304" spans="1:1" x14ac:dyDescent="0.25">
      <c r="A304" s="6" t="str">
        <f>IF(B304&lt;&gt;"Total",IFERROR(VLOOKUP(VALUE(B304),'SKU Maintenance'!A:D,2,0),"item not found"),"")</f>
        <v>item not found</v>
      </c>
    </row>
    <row r="305" spans="1:1" x14ac:dyDescent="0.25">
      <c r="A305" s="6" t="str">
        <f>IF(B305&lt;&gt;"Total",IFERROR(VLOOKUP(VALUE(B305),'SKU Maintenance'!A:D,2,0),"item not found"),"")</f>
        <v>item not found</v>
      </c>
    </row>
    <row r="306" spans="1:1" x14ac:dyDescent="0.25">
      <c r="A306" s="6" t="str">
        <f>IF(B306&lt;&gt;"Total",IFERROR(VLOOKUP(VALUE(B306),'SKU Maintenance'!A:D,2,0),"item not found"),"")</f>
        <v>item not found</v>
      </c>
    </row>
    <row r="307" spans="1:1" x14ac:dyDescent="0.25">
      <c r="A307" s="6" t="str">
        <f>IF(B307&lt;&gt;"Total",IFERROR(VLOOKUP(VALUE(B307),'SKU Maintenance'!A:D,2,0),"item not found"),"")</f>
        <v>item not found</v>
      </c>
    </row>
    <row r="308" spans="1:1" x14ac:dyDescent="0.25">
      <c r="A308" s="6" t="str">
        <f>IF(B308&lt;&gt;"Total",IFERROR(VLOOKUP(VALUE(B308),'SKU Maintenance'!A:D,2,0),"item not found"),"")</f>
        <v>item not found</v>
      </c>
    </row>
    <row r="309" spans="1:1" x14ac:dyDescent="0.25">
      <c r="A309" s="6" t="str">
        <f>IF(B309&lt;&gt;"Total",IFERROR(VLOOKUP(VALUE(B309),'SKU Maintenance'!A:D,2,0),"item not found"),"")</f>
        <v>item not found</v>
      </c>
    </row>
    <row r="310" spans="1:1" x14ac:dyDescent="0.25">
      <c r="A310" s="6" t="str">
        <f>IF(B310&lt;&gt;"Total",IFERROR(VLOOKUP(VALUE(B310),'SKU Maintenance'!A:D,2,0),"item not found"),"")</f>
        <v>item not found</v>
      </c>
    </row>
    <row r="311" spans="1:1" x14ac:dyDescent="0.25">
      <c r="A311" s="6" t="str">
        <f>IF(B311&lt;&gt;"Total",IFERROR(VLOOKUP(VALUE(B311),'SKU Maintenance'!A:D,2,0),"item not found"),"")</f>
        <v>item not found</v>
      </c>
    </row>
    <row r="312" spans="1:1" x14ac:dyDescent="0.25">
      <c r="A312" s="6" t="str">
        <f>IF(B312&lt;&gt;"Total",IFERROR(VLOOKUP(VALUE(B312),'SKU Maintenance'!A:D,2,0),"item not found"),"")</f>
        <v>item not found</v>
      </c>
    </row>
    <row r="313" spans="1:1" x14ac:dyDescent="0.25">
      <c r="A313" s="6" t="str">
        <f>IF(B313&lt;&gt;"Total",IFERROR(VLOOKUP(VALUE(B313),'SKU Maintenance'!A:D,2,0),"item not found"),"")</f>
        <v>item not found</v>
      </c>
    </row>
    <row r="314" spans="1:1" x14ac:dyDescent="0.25">
      <c r="A314" s="6" t="str">
        <f>IF(B314&lt;&gt;"Total",IFERROR(VLOOKUP(VALUE(B314),'SKU Maintenance'!A:D,2,0),"item not found"),"")</f>
        <v>item not found</v>
      </c>
    </row>
    <row r="315" spans="1:1" x14ac:dyDescent="0.25">
      <c r="A315" s="6" t="str">
        <f>IF(B315&lt;&gt;"Total",IFERROR(VLOOKUP(VALUE(B315),'SKU Maintenance'!A:D,2,0),"item not found"),"")</f>
        <v>item not found</v>
      </c>
    </row>
    <row r="316" spans="1:1" x14ac:dyDescent="0.25">
      <c r="A316" s="6" t="str">
        <f>IF(B316&lt;&gt;"Total",IFERROR(VLOOKUP(VALUE(B316),'SKU Maintenance'!A:D,2,0),"item not found"),"")</f>
        <v>item not found</v>
      </c>
    </row>
    <row r="317" spans="1:1" x14ac:dyDescent="0.25">
      <c r="A317" s="6" t="str">
        <f>IF(B317&lt;&gt;"Total",IFERROR(VLOOKUP(VALUE(B317),'SKU Maintenance'!A:D,2,0),"item not found"),"")</f>
        <v>item not found</v>
      </c>
    </row>
    <row r="318" spans="1:1" x14ac:dyDescent="0.25">
      <c r="A318" s="6" t="str">
        <f>IF(B318&lt;&gt;"Total",IFERROR(VLOOKUP(VALUE(B318),'SKU Maintenance'!A:D,2,0),"item not found"),"")</f>
        <v>item not found</v>
      </c>
    </row>
    <row r="319" spans="1:1" x14ac:dyDescent="0.25">
      <c r="A319" s="6" t="str">
        <f>IF(B319&lt;&gt;"Total",IFERROR(VLOOKUP(VALUE(B319),'SKU Maintenance'!A:D,2,0),"item not found"),"")</f>
        <v>item not found</v>
      </c>
    </row>
    <row r="320" spans="1:1" x14ac:dyDescent="0.25">
      <c r="A320" s="6" t="str">
        <f>IF(B320&lt;&gt;"Total",IFERROR(VLOOKUP(VALUE(B320),'SKU Maintenance'!A:D,2,0),"item not found"),"")</f>
        <v>item not found</v>
      </c>
    </row>
    <row r="321" spans="1:1" x14ac:dyDescent="0.25">
      <c r="A321" s="6" t="str">
        <f>IF(B321&lt;&gt;"Total",IFERROR(VLOOKUP(VALUE(B321),'SKU Maintenance'!A:D,2,0),"item not found"),"")</f>
        <v>item not found</v>
      </c>
    </row>
    <row r="322" spans="1:1" x14ac:dyDescent="0.25">
      <c r="A322" s="6" t="str">
        <f>IF(B322&lt;&gt;"Total",IFERROR(VLOOKUP(VALUE(B322),'SKU Maintenance'!A:D,2,0),"item not found"),"")</f>
        <v>item not found</v>
      </c>
    </row>
    <row r="323" spans="1:1" x14ac:dyDescent="0.25">
      <c r="A323" s="6" t="str">
        <f>IF(B323&lt;&gt;"Total",IFERROR(VLOOKUP(VALUE(B323),'SKU Maintenance'!A:D,2,0),"item not found"),"")</f>
        <v>item not found</v>
      </c>
    </row>
    <row r="324" spans="1:1" x14ac:dyDescent="0.25">
      <c r="A324" s="6" t="str">
        <f>IF(B324&lt;&gt;"Total",IFERROR(VLOOKUP(VALUE(B324),'SKU Maintenance'!A:D,2,0),"item not found"),"")</f>
        <v>item not found</v>
      </c>
    </row>
    <row r="325" spans="1:1" x14ac:dyDescent="0.25">
      <c r="A325" s="6" t="str">
        <f>IF(B325&lt;&gt;"Total",IFERROR(VLOOKUP(VALUE(B325),'SKU Maintenance'!A:D,2,0),"item not found"),"")</f>
        <v>item not found</v>
      </c>
    </row>
    <row r="326" spans="1:1" x14ac:dyDescent="0.25">
      <c r="A326" s="6" t="str">
        <f>IF(B326&lt;&gt;"Total",IFERROR(VLOOKUP(VALUE(B326),'SKU Maintenance'!A:D,2,0),"item not found"),"")</f>
        <v>item not found</v>
      </c>
    </row>
    <row r="327" spans="1:1" x14ac:dyDescent="0.25">
      <c r="A327" s="6" t="str">
        <f>IF(B327&lt;&gt;"Total",IFERROR(VLOOKUP(VALUE(B327),'SKU Maintenance'!A:D,2,0),"item not found"),"")</f>
        <v>item not found</v>
      </c>
    </row>
    <row r="328" spans="1:1" x14ac:dyDescent="0.25">
      <c r="A328" s="6" t="str">
        <f>IF(B328&lt;&gt;"Total",IFERROR(VLOOKUP(VALUE(B328),'SKU Maintenance'!A:D,2,0),"item not found"),"")</f>
        <v>item not found</v>
      </c>
    </row>
    <row r="329" spans="1:1" x14ac:dyDescent="0.25">
      <c r="A329" s="6" t="str">
        <f>IF(B329&lt;&gt;"Total",IFERROR(VLOOKUP(VALUE(B329),'SKU Maintenance'!A:D,2,0),"item not found"),"")</f>
        <v>item not found</v>
      </c>
    </row>
    <row r="330" spans="1:1" x14ac:dyDescent="0.25">
      <c r="A330" s="6" t="str">
        <f>IF(B330&lt;&gt;"Total",IFERROR(VLOOKUP(VALUE(B330),'SKU Maintenance'!A:D,2,0),"item not found"),"")</f>
        <v>item not found</v>
      </c>
    </row>
    <row r="331" spans="1:1" x14ac:dyDescent="0.25">
      <c r="A331" s="6" t="str">
        <f>IF(B331&lt;&gt;"Total",IFERROR(VLOOKUP(VALUE(B331),'SKU Maintenance'!A:D,2,0),"item not found"),"")</f>
        <v>item not found</v>
      </c>
    </row>
    <row r="332" spans="1:1" x14ac:dyDescent="0.25">
      <c r="A332" s="6" t="str">
        <f>IF(B332&lt;&gt;"Total",IFERROR(VLOOKUP(VALUE(B332),'SKU Maintenance'!A:D,2,0),"item not found"),"")</f>
        <v>item not found</v>
      </c>
    </row>
    <row r="333" spans="1:1" x14ac:dyDescent="0.25">
      <c r="A333" s="6" t="str">
        <f>IF(B333&lt;&gt;"Total",IFERROR(VLOOKUP(VALUE(B333),'SKU Maintenance'!A:D,2,0),"item not found"),"")</f>
        <v>item not found</v>
      </c>
    </row>
    <row r="334" spans="1:1" x14ac:dyDescent="0.25">
      <c r="A334" s="6" t="str">
        <f>IF(B334&lt;&gt;"Total",IFERROR(VLOOKUP(VALUE(B334),'SKU Maintenance'!A:D,2,0),"item not found"),"")</f>
        <v>item not found</v>
      </c>
    </row>
    <row r="335" spans="1:1" x14ac:dyDescent="0.25">
      <c r="A335" s="6" t="str">
        <f>IF(B335&lt;&gt;"Total",IFERROR(VLOOKUP(VALUE(B335),'SKU Maintenance'!A:D,2,0),"item not found"),"")</f>
        <v>item not found</v>
      </c>
    </row>
    <row r="336" spans="1:1" x14ac:dyDescent="0.25">
      <c r="A336" s="6" t="str">
        <f>IF(B336&lt;&gt;"Total",IFERROR(VLOOKUP(VALUE(B336),'SKU Maintenance'!A:D,2,0),"item not found"),"")</f>
        <v>item not found</v>
      </c>
    </row>
    <row r="337" spans="1:1" x14ac:dyDescent="0.25">
      <c r="A337" s="6" t="str">
        <f>IF(B337&lt;&gt;"Total",IFERROR(VLOOKUP(VALUE(B337),'SKU Maintenance'!A:D,2,0),"item not found"),"")</f>
        <v>item not found</v>
      </c>
    </row>
    <row r="338" spans="1:1" x14ac:dyDescent="0.25">
      <c r="A338" s="6" t="str">
        <f>IF(B338&lt;&gt;"Total",IFERROR(VLOOKUP(VALUE(B338),'SKU Maintenance'!A:D,2,0),"item not found"),"")</f>
        <v>item not found</v>
      </c>
    </row>
    <row r="339" spans="1:1" x14ac:dyDescent="0.25">
      <c r="A339" s="6" t="str">
        <f>IF(B339&lt;&gt;"Total",IFERROR(VLOOKUP(VALUE(B339),'SKU Maintenance'!A:D,2,0),"item not found"),"")</f>
        <v>item not found</v>
      </c>
    </row>
    <row r="340" spans="1:1" x14ac:dyDescent="0.25">
      <c r="A340" s="6" t="str">
        <f>IF(B340&lt;&gt;"Total",IFERROR(VLOOKUP(VALUE(B340),'SKU Maintenance'!A:D,2,0),"item not found"),"")</f>
        <v>item not found</v>
      </c>
    </row>
    <row r="341" spans="1:1" x14ac:dyDescent="0.25">
      <c r="A341" s="6" t="str">
        <f>IF(B341&lt;&gt;"Total",IFERROR(VLOOKUP(VALUE(B341),'SKU Maintenance'!A:D,2,0),"item not found"),"")</f>
        <v>item not found</v>
      </c>
    </row>
    <row r="342" spans="1:1" x14ac:dyDescent="0.25">
      <c r="A342" s="6" t="str">
        <f>IF(B342&lt;&gt;"Total",IFERROR(VLOOKUP(VALUE(B342),'SKU Maintenance'!A:D,2,0),"item not found"),"")</f>
        <v>item not found</v>
      </c>
    </row>
    <row r="343" spans="1:1" x14ac:dyDescent="0.25">
      <c r="A343" s="6" t="str">
        <f>IF(B343&lt;&gt;"Total",IFERROR(VLOOKUP(VALUE(B343),'SKU Maintenance'!A:D,2,0),"item not found"),"")</f>
        <v>item not found</v>
      </c>
    </row>
    <row r="344" spans="1:1" x14ac:dyDescent="0.25">
      <c r="A344" s="6" t="str">
        <f>IF(B344&lt;&gt;"Total",IFERROR(VLOOKUP(VALUE(B344),'SKU Maintenance'!A:D,2,0),"item not found"),"")</f>
        <v>item not found</v>
      </c>
    </row>
    <row r="345" spans="1:1" x14ac:dyDescent="0.25">
      <c r="A345" s="6" t="str">
        <f>IF(B345&lt;&gt;"Total",IFERROR(VLOOKUP(VALUE(B345),'SKU Maintenance'!A:D,2,0),"item not found"),"")</f>
        <v>item not found</v>
      </c>
    </row>
    <row r="346" spans="1:1" x14ac:dyDescent="0.25">
      <c r="A346" s="6" t="str">
        <f>IF(B346&lt;&gt;"Total",IFERROR(VLOOKUP(VALUE(B346),'SKU Maintenance'!A:D,2,0),"item not found"),"")</f>
        <v>item not found</v>
      </c>
    </row>
    <row r="347" spans="1:1" x14ac:dyDescent="0.25">
      <c r="A347" s="6" t="str">
        <f>IF(B347&lt;&gt;"Total",IFERROR(VLOOKUP(VALUE(B347),'SKU Maintenance'!A:D,2,0),"item not found"),"")</f>
        <v>item not found</v>
      </c>
    </row>
    <row r="348" spans="1:1" x14ac:dyDescent="0.25">
      <c r="A348" s="6" t="str">
        <f>IF(B348&lt;&gt;"Total",IFERROR(VLOOKUP(VALUE(B348),'SKU Maintenance'!A:D,2,0),"item not found"),"")</f>
        <v>item not found</v>
      </c>
    </row>
    <row r="349" spans="1:1" x14ac:dyDescent="0.25">
      <c r="A349" s="6" t="str">
        <f>IF(B349&lt;&gt;"Total",IFERROR(VLOOKUP(VALUE(B349),'SKU Maintenance'!A:D,2,0),"item not found"),"")</f>
        <v>item not found</v>
      </c>
    </row>
    <row r="350" spans="1:1" x14ac:dyDescent="0.25">
      <c r="A350" s="6" t="str">
        <f>IF(B350&lt;&gt;"Total",IFERROR(VLOOKUP(VALUE(B350),'SKU Maintenance'!A:D,2,0),"item not found"),"")</f>
        <v>item not found</v>
      </c>
    </row>
    <row r="351" spans="1:1" x14ac:dyDescent="0.25">
      <c r="A351" s="6" t="str">
        <f>IF(B351&lt;&gt;"Total",IFERROR(VLOOKUP(VALUE(B351),'SKU Maintenance'!A:D,2,0),"item not found"),"")</f>
        <v>item not found</v>
      </c>
    </row>
    <row r="352" spans="1:1" x14ac:dyDescent="0.25">
      <c r="A352" s="6" t="str">
        <f>IF(B352&lt;&gt;"Total",IFERROR(VLOOKUP(VALUE(B352),'SKU Maintenance'!A:D,2,0),"item not found"),"")</f>
        <v>item not found</v>
      </c>
    </row>
    <row r="353" spans="1:1" x14ac:dyDescent="0.25">
      <c r="A353" s="6" t="str">
        <f>IF(B353&lt;&gt;"Total",IFERROR(VLOOKUP(VALUE(B353),'SKU Maintenance'!A:D,2,0),"item not found"),"")</f>
        <v>item not found</v>
      </c>
    </row>
    <row r="354" spans="1:1" x14ac:dyDescent="0.25">
      <c r="A354" s="6" t="str">
        <f>IF(B354&lt;&gt;"Total",IFERROR(VLOOKUP(VALUE(B354),'SKU Maintenance'!A:D,2,0),"item not found"),"")</f>
        <v>item not found</v>
      </c>
    </row>
    <row r="355" spans="1:1" x14ac:dyDescent="0.25">
      <c r="A355" s="6" t="str">
        <f>IF(B355&lt;&gt;"Total",IFERROR(VLOOKUP(VALUE(B355),'SKU Maintenance'!A:D,2,0),"item not found"),"")</f>
        <v>item not found</v>
      </c>
    </row>
    <row r="356" spans="1:1" x14ac:dyDescent="0.25">
      <c r="A356" s="6" t="str">
        <f>IF(B356&lt;&gt;"Total",IFERROR(VLOOKUP(VALUE(B356),'SKU Maintenance'!A:D,2,0),"item not found"),"")</f>
        <v>item not found</v>
      </c>
    </row>
    <row r="357" spans="1:1" x14ac:dyDescent="0.25">
      <c r="A357" s="6" t="str">
        <f>IF(B357&lt;&gt;"Total",IFERROR(VLOOKUP(VALUE(B357),'SKU Maintenance'!A:D,2,0),"item not found"),"")</f>
        <v>item not found</v>
      </c>
    </row>
    <row r="358" spans="1:1" x14ac:dyDescent="0.25">
      <c r="A358" s="6" t="str">
        <f>IF(B358&lt;&gt;"Total",IFERROR(VLOOKUP(VALUE(B358),'SKU Maintenance'!A:D,2,0),"item not found"),"")</f>
        <v>item not found</v>
      </c>
    </row>
    <row r="359" spans="1:1" x14ac:dyDescent="0.25">
      <c r="A359" s="6" t="str">
        <f>IF(B359&lt;&gt;"Total",IFERROR(VLOOKUP(VALUE(B359),'SKU Maintenance'!A:D,2,0),"item not found"),"")</f>
        <v>item not found</v>
      </c>
    </row>
    <row r="360" spans="1:1" x14ac:dyDescent="0.25">
      <c r="A360" s="6" t="str">
        <f>IF(B360&lt;&gt;"Total",IFERROR(VLOOKUP(VALUE(B360),'SKU Maintenance'!A:D,2,0),"item not found"),"")</f>
        <v>item not found</v>
      </c>
    </row>
    <row r="361" spans="1:1" x14ac:dyDescent="0.25">
      <c r="A361" s="6" t="str">
        <f>IF(B361&lt;&gt;"Total",IFERROR(VLOOKUP(VALUE(B361),'SKU Maintenance'!A:D,2,0),"item not found"),"")</f>
        <v>item not found</v>
      </c>
    </row>
    <row r="362" spans="1:1" x14ac:dyDescent="0.25">
      <c r="A362" s="6" t="str">
        <f>IF(B362&lt;&gt;"Total",IFERROR(VLOOKUP(VALUE(B362),'SKU Maintenance'!A:D,2,0),"item not found"),"")</f>
        <v>item not found</v>
      </c>
    </row>
    <row r="363" spans="1:1" x14ac:dyDescent="0.25">
      <c r="A363" s="6" t="str">
        <f>IF(B363&lt;&gt;"Total",IFERROR(VLOOKUP(VALUE(B363),'SKU Maintenance'!A:D,2,0),"item not found"),"")</f>
        <v>item not found</v>
      </c>
    </row>
    <row r="364" spans="1:1" x14ac:dyDescent="0.25">
      <c r="A364" s="6" t="str">
        <f>IF(B364&lt;&gt;"Total",IFERROR(VLOOKUP(VALUE(B364),'SKU Maintenance'!A:D,2,0),"item not found"),"")</f>
        <v>item not found</v>
      </c>
    </row>
    <row r="365" spans="1:1" x14ac:dyDescent="0.25">
      <c r="A365" s="6" t="str">
        <f>IF(B365&lt;&gt;"Total",IFERROR(VLOOKUP(VALUE(B365),'SKU Maintenance'!A:D,2,0),"item not found"),"")</f>
        <v>item not found</v>
      </c>
    </row>
    <row r="366" spans="1:1" x14ac:dyDescent="0.25">
      <c r="A366" s="6" t="str">
        <f>IF(B366&lt;&gt;"Total",IFERROR(VLOOKUP(VALUE(B366),'SKU Maintenance'!A:D,2,0),"item not found"),"")</f>
        <v>item not found</v>
      </c>
    </row>
    <row r="367" spans="1:1" x14ac:dyDescent="0.25">
      <c r="A367" s="6" t="str">
        <f>IF(B367&lt;&gt;"Total",IFERROR(VLOOKUP(VALUE(B367),'SKU Maintenance'!A:D,2,0),"item not found"),"")</f>
        <v>item not found</v>
      </c>
    </row>
    <row r="368" spans="1:1" x14ac:dyDescent="0.25">
      <c r="A368" s="6" t="str">
        <f>IF(B368&lt;&gt;"Total",IFERROR(VLOOKUP(VALUE(B368),'SKU Maintenance'!A:D,2,0),"item not found"),"")</f>
        <v>item not found</v>
      </c>
    </row>
    <row r="369" spans="1:1" x14ac:dyDescent="0.25">
      <c r="A369" s="6" t="str">
        <f>IF(B369&lt;&gt;"Total",IFERROR(VLOOKUP(VALUE(B369),'SKU Maintenance'!A:D,2,0),"item not found"),"")</f>
        <v>item not found</v>
      </c>
    </row>
    <row r="370" spans="1:1" x14ac:dyDescent="0.25">
      <c r="A370" s="6" t="str">
        <f>IF(B370&lt;&gt;"Total",IFERROR(VLOOKUP(VALUE(B370),'SKU Maintenance'!A:D,2,0),"item not found"),"")</f>
        <v>item not found</v>
      </c>
    </row>
    <row r="371" spans="1:1" x14ac:dyDescent="0.25">
      <c r="A371" s="6" t="str">
        <f>IF(B371&lt;&gt;"Total",IFERROR(VLOOKUP(VALUE(B371),'SKU Maintenance'!A:D,2,0),"item not found"),"")</f>
        <v>item not found</v>
      </c>
    </row>
    <row r="372" spans="1:1" x14ac:dyDescent="0.25">
      <c r="A372" s="6" t="str">
        <f>IF(B372&lt;&gt;"Total",IFERROR(VLOOKUP(VALUE(B372),'SKU Maintenance'!A:D,2,0),"item not found"),"")</f>
        <v>item not found</v>
      </c>
    </row>
    <row r="373" spans="1:1" x14ac:dyDescent="0.25">
      <c r="A373" s="6" t="str">
        <f>IF(B373&lt;&gt;"Total",IFERROR(VLOOKUP(VALUE(B373),'SKU Maintenance'!A:D,2,0),"item not found"),"")</f>
        <v>item not found</v>
      </c>
    </row>
    <row r="374" spans="1:1" x14ac:dyDescent="0.25">
      <c r="A374" s="6" t="str">
        <f>IF(B374&lt;&gt;"Total",IFERROR(VLOOKUP(VALUE(B374),'SKU Maintenance'!A:D,2,0),"item not found"),"")</f>
        <v>item not found</v>
      </c>
    </row>
    <row r="375" spans="1:1" x14ac:dyDescent="0.25">
      <c r="A375" s="6" t="str">
        <f>IF(B375&lt;&gt;"Total",IFERROR(VLOOKUP(VALUE(B375),'SKU Maintenance'!A:D,2,0),"item not found"),"")</f>
        <v>item not found</v>
      </c>
    </row>
    <row r="376" spans="1:1" x14ac:dyDescent="0.25">
      <c r="A376" s="6" t="str">
        <f>IF(B376&lt;&gt;"Total",IFERROR(VLOOKUP(VALUE(B376),'SKU Maintenance'!A:D,2,0),"item not found"),"")</f>
        <v>item not found</v>
      </c>
    </row>
    <row r="377" spans="1:1" x14ac:dyDescent="0.25">
      <c r="A377" s="6" t="str">
        <f>IF(B377&lt;&gt;"Total",IFERROR(VLOOKUP(VALUE(B377),'SKU Maintenance'!A:D,2,0),"item not found"),"")</f>
        <v>item not found</v>
      </c>
    </row>
    <row r="378" spans="1:1" x14ac:dyDescent="0.25">
      <c r="A378" s="6" t="str">
        <f>IF(B378&lt;&gt;"Total",IFERROR(VLOOKUP(VALUE(B378),'SKU Maintenance'!A:D,2,0),"item not found"),"")</f>
        <v>item not found</v>
      </c>
    </row>
    <row r="379" spans="1:1" x14ac:dyDescent="0.25">
      <c r="A379" s="6" t="str">
        <f>IF(B379&lt;&gt;"Total",IFERROR(VLOOKUP(VALUE(B379),'SKU Maintenance'!A:D,2,0),"item not found"),"")</f>
        <v>item not found</v>
      </c>
    </row>
    <row r="380" spans="1:1" x14ac:dyDescent="0.25">
      <c r="A380" s="6" t="str">
        <f>IF(B380&lt;&gt;"Total",IFERROR(VLOOKUP(VALUE(B380),'SKU Maintenance'!A:D,2,0),"item not found"),"")</f>
        <v>item not found</v>
      </c>
    </row>
    <row r="381" spans="1:1" x14ac:dyDescent="0.25">
      <c r="A381" s="6" t="str">
        <f>IF(B381&lt;&gt;"Total",IFERROR(VLOOKUP(VALUE(B381),'SKU Maintenance'!A:D,2,0),"item not found"),"")</f>
        <v>item not found</v>
      </c>
    </row>
    <row r="382" spans="1:1" x14ac:dyDescent="0.25">
      <c r="A382" s="6" t="str">
        <f>IF(B382&lt;&gt;"Total",IFERROR(VLOOKUP(VALUE(B382),'SKU Maintenance'!A:D,2,0),"item not found"),"")</f>
        <v>item not found</v>
      </c>
    </row>
    <row r="383" spans="1:1" x14ac:dyDescent="0.25">
      <c r="A383" s="6" t="str">
        <f>IF(B383&lt;&gt;"Total",IFERROR(VLOOKUP(VALUE(B383),'SKU Maintenance'!A:D,2,0),"item not found"),"")</f>
        <v>item not found</v>
      </c>
    </row>
    <row r="384" spans="1:1" x14ac:dyDescent="0.25">
      <c r="A384" s="6" t="str">
        <f>IF(B384&lt;&gt;"Total",IFERROR(VLOOKUP(VALUE(B384),'SKU Maintenance'!A:D,2,0),"item not found"),"")</f>
        <v>item not found</v>
      </c>
    </row>
    <row r="385" spans="1:1" x14ac:dyDescent="0.25">
      <c r="A385" s="6" t="str">
        <f>IF(B385&lt;&gt;"Total",IFERROR(VLOOKUP(VALUE(B385),'SKU Maintenance'!A:D,2,0),"item not found"),"")</f>
        <v>item not found</v>
      </c>
    </row>
    <row r="386" spans="1:1" x14ac:dyDescent="0.25">
      <c r="A386" s="6" t="str">
        <f>IF(B386&lt;&gt;"Total",IFERROR(VLOOKUP(VALUE(B386),'SKU Maintenance'!A:D,2,0),"item not found"),"")</f>
        <v>item not found</v>
      </c>
    </row>
    <row r="387" spans="1:1" x14ac:dyDescent="0.25">
      <c r="A387" s="6" t="str">
        <f>IF(B387&lt;&gt;"Total",IFERROR(VLOOKUP(VALUE(B387),'SKU Maintenance'!A:D,2,0),"item not found"),"")</f>
        <v>item not found</v>
      </c>
    </row>
    <row r="388" spans="1:1" x14ac:dyDescent="0.25">
      <c r="A388" s="6" t="str">
        <f>IF(B388&lt;&gt;"Total",IFERROR(VLOOKUP(VALUE(B388),'SKU Maintenance'!A:D,2,0),"item not found"),"")</f>
        <v>item not found</v>
      </c>
    </row>
    <row r="389" spans="1:1" x14ac:dyDescent="0.25">
      <c r="A389" s="6" t="str">
        <f>IF(B389&lt;&gt;"Total",IFERROR(VLOOKUP(VALUE(B389),'SKU Maintenance'!A:D,2,0),"item not found"),"")</f>
        <v>item not found</v>
      </c>
    </row>
    <row r="390" spans="1:1" x14ac:dyDescent="0.25">
      <c r="A390" s="6" t="str">
        <f>IF(B390&lt;&gt;"Total",IFERROR(VLOOKUP(VALUE(B390),'SKU Maintenance'!A:D,2,0),"item not found"),"")</f>
        <v>item not found</v>
      </c>
    </row>
    <row r="391" spans="1:1" x14ac:dyDescent="0.25">
      <c r="A391" s="6" t="str">
        <f>IF(B391&lt;&gt;"Total",IFERROR(VLOOKUP(VALUE(B391),'SKU Maintenance'!A:D,2,0),"item not found"),"")</f>
        <v>item not found</v>
      </c>
    </row>
    <row r="392" spans="1:1" x14ac:dyDescent="0.25">
      <c r="A392" s="6" t="str">
        <f>IF(B392&lt;&gt;"Total",IFERROR(VLOOKUP(VALUE(B392),'SKU Maintenance'!A:D,2,0),"item not found"),"")</f>
        <v>item not found</v>
      </c>
    </row>
    <row r="393" spans="1:1" x14ac:dyDescent="0.25">
      <c r="A393" s="6" t="str">
        <f>IF(B393&lt;&gt;"Total",IFERROR(VLOOKUP(VALUE(B393),'SKU Maintenance'!A:D,2,0),"item not found"),"")</f>
        <v>item not found</v>
      </c>
    </row>
    <row r="394" spans="1:1" x14ac:dyDescent="0.25">
      <c r="A394" s="6" t="str">
        <f>IF(B394&lt;&gt;"Total",IFERROR(VLOOKUP(VALUE(B394),'SKU Maintenance'!A:D,2,0),"item not found"),"")</f>
        <v>item not found</v>
      </c>
    </row>
    <row r="395" spans="1:1" x14ac:dyDescent="0.25">
      <c r="A395" s="6" t="str">
        <f>IF(B395&lt;&gt;"Total",IFERROR(VLOOKUP(VALUE(B395),'SKU Maintenance'!A:D,2,0),"item not found"),"")</f>
        <v>item not found</v>
      </c>
    </row>
    <row r="396" spans="1:1" x14ac:dyDescent="0.25">
      <c r="A396" s="6" t="str">
        <f>IF(B396&lt;&gt;"Total",IFERROR(VLOOKUP(VALUE(B396),'SKU Maintenance'!A:D,2,0),"item not found"),"")</f>
        <v>item not found</v>
      </c>
    </row>
    <row r="397" spans="1:1" x14ac:dyDescent="0.25">
      <c r="A397" s="6" t="str">
        <f>IF(B397&lt;&gt;"Total",IFERROR(VLOOKUP(VALUE(B397),'SKU Maintenance'!A:D,2,0),"item not found"),"")</f>
        <v>item not found</v>
      </c>
    </row>
    <row r="398" spans="1:1" x14ac:dyDescent="0.25">
      <c r="A398" s="6" t="str">
        <f>IF(B398&lt;&gt;"Total",IFERROR(VLOOKUP(VALUE(B398),'SKU Maintenance'!A:D,2,0),"item not found"),"")</f>
        <v>item not found</v>
      </c>
    </row>
    <row r="399" spans="1:1" x14ac:dyDescent="0.25">
      <c r="A399" s="6" t="str">
        <f>IF(B399&lt;&gt;"Total",IFERROR(VLOOKUP(VALUE(B399),'SKU Maintenance'!A:D,2,0),"item not found"),"")</f>
        <v>item not found</v>
      </c>
    </row>
    <row r="400" spans="1:1" x14ac:dyDescent="0.25">
      <c r="A400" s="6" t="str">
        <f>IF(B400&lt;&gt;"Total",IFERROR(VLOOKUP(VALUE(B400),'SKU Maintenance'!A:D,2,0),"item not found"),"")</f>
        <v>item not found</v>
      </c>
    </row>
    <row r="401" spans="1:1" x14ac:dyDescent="0.25">
      <c r="A401" s="6" t="str">
        <f>IF(B401&lt;&gt;"Total",IFERROR(VLOOKUP(VALUE(B401),'SKU Maintenance'!A:D,2,0),"item not found"),"")</f>
        <v>item not found</v>
      </c>
    </row>
    <row r="402" spans="1:1" x14ac:dyDescent="0.25">
      <c r="A402" s="6" t="str">
        <f>IF(B402&lt;&gt;"Total",IFERROR(VLOOKUP(VALUE(B402),'SKU Maintenance'!A:D,2,0),"item not found"),"")</f>
        <v>item not found</v>
      </c>
    </row>
    <row r="403" spans="1:1" x14ac:dyDescent="0.25">
      <c r="A403" s="6" t="str">
        <f>IF(B403&lt;&gt;"Total",IFERROR(VLOOKUP(VALUE(B403),'SKU Maintenance'!A:D,2,0),"item not found"),"")</f>
        <v>item not found</v>
      </c>
    </row>
    <row r="404" spans="1:1" x14ac:dyDescent="0.25">
      <c r="A404" s="6" t="str">
        <f>IF(B404&lt;&gt;"Total",IFERROR(VLOOKUP(VALUE(B404),'SKU Maintenance'!A:D,2,0),"item not found"),"")</f>
        <v>item not found</v>
      </c>
    </row>
    <row r="405" spans="1:1" x14ac:dyDescent="0.25">
      <c r="A405" s="6" t="str">
        <f>IF(B405&lt;&gt;"Total",IFERROR(VLOOKUP(VALUE(B405),'SKU Maintenance'!A:D,2,0),"item not found"),"")</f>
        <v>item not found</v>
      </c>
    </row>
    <row r="406" spans="1:1" x14ac:dyDescent="0.25">
      <c r="A406" s="6" t="str">
        <f>IF(B406&lt;&gt;"Total",IFERROR(VLOOKUP(VALUE(B406),'SKU Maintenance'!A:D,2,0),"item not found"),"")</f>
        <v>item not found</v>
      </c>
    </row>
    <row r="407" spans="1:1" x14ac:dyDescent="0.25">
      <c r="A407" s="6" t="str">
        <f>IF(B407&lt;&gt;"Total",IFERROR(VLOOKUP(VALUE(B407),'SKU Maintenance'!A:D,2,0),"item not found"),"")</f>
        <v>item not found</v>
      </c>
    </row>
    <row r="408" spans="1:1" x14ac:dyDescent="0.25">
      <c r="A408" s="6" t="str">
        <f>IF(B408&lt;&gt;"Total",IFERROR(VLOOKUP(VALUE(B408),'SKU Maintenance'!A:D,2,0),"item not found"),"")</f>
        <v>item not found</v>
      </c>
    </row>
    <row r="409" spans="1:1" x14ac:dyDescent="0.25">
      <c r="A409" s="6" t="str">
        <f>IF(B409&lt;&gt;"Total",IFERROR(VLOOKUP(VALUE(B409),'SKU Maintenance'!A:D,2,0),"item not found"),"")</f>
        <v>item not found</v>
      </c>
    </row>
    <row r="410" spans="1:1" x14ac:dyDescent="0.25">
      <c r="A410" s="6" t="str">
        <f>IF(B410&lt;&gt;"Total",IFERROR(VLOOKUP(VALUE(B410),'SKU Maintenance'!A:D,2,0),"item not found"),"")</f>
        <v>item not found</v>
      </c>
    </row>
    <row r="411" spans="1:1" x14ac:dyDescent="0.25">
      <c r="A411" s="6" t="str">
        <f>IF(B411&lt;&gt;"Total",IFERROR(VLOOKUP(VALUE(B411),'SKU Maintenance'!A:D,2,0),"item not found"),"")</f>
        <v>item not found</v>
      </c>
    </row>
    <row r="412" spans="1:1" x14ac:dyDescent="0.25">
      <c r="A412" s="6" t="str">
        <f>IF(B412&lt;&gt;"Total",IFERROR(VLOOKUP(VALUE(B412),'SKU Maintenance'!A:D,2,0),"item not found"),"")</f>
        <v>item not found</v>
      </c>
    </row>
    <row r="413" spans="1:1" x14ac:dyDescent="0.25">
      <c r="A413" s="6" t="str">
        <f>IF(B413&lt;&gt;"Total",IFERROR(VLOOKUP(VALUE(B413),'SKU Maintenance'!A:D,2,0),"item not found"),"")</f>
        <v>item not found</v>
      </c>
    </row>
    <row r="414" spans="1:1" x14ac:dyDescent="0.25">
      <c r="A414" s="6" t="str">
        <f>IF(B414&lt;&gt;"Total",IFERROR(VLOOKUP(VALUE(B414),'SKU Maintenance'!A:D,2,0),"item not found"),"")</f>
        <v>item not found</v>
      </c>
    </row>
    <row r="415" spans="1:1" x14ac:dyDescent="0.25">
      <c r="A415" s="6" t="str">
        <f>IF(B415&lt;&gt;"Total",IFERROR(VLOOKUP(VALUE(B415),'SKU Maintenance'!A:D,2,0),"item not found"),"")</f>
        <v>item not found</v>
      </c>
    </row>
    <row r="416" spans="1:1" x14ac:dyDescent="0.25">
      <c r="A416" s="6" t="str">
        <f>IF(B416&lt;&gt;"Total",IFERROR(VLOOKUP(VALUE(B416),'SKU Maintenance'!A:D,2,0),"item not found"),"")</f>
        <v>item not found</v>
      </c>
    </row>
    <row r="417" spans="1:1" x14ac:dyDescent="0.25">
      <c r="A417" s="6" t="str">
        <f>IF(B417&lt;&gt;"Total",IFERROR(VLOOKUP(VALUE(B417),'SKU Maintenance'!A:D,2,0),"item not found"),"")</f>
        <v>item not found</v>
      </c>
    </row>
    <row r="418" spans="1:1" x14ac:dyDescent="0.25">
      <c r="A418" s="6" t="str">
        <f>IF(B418&lt;&gt;"Total",IFERROR(VLOOKUP(VALUE(B418),'SKU Maintenance'!A:D,2,0),"item not found"),"")</f>
        <v>item not found</v>
      </c>
    </row>
    <row r="419" spans="1:1" x14ac:dyDescent="0.25">
      <c r="A419" s="6" t="str">
        <f>IF(B419&lt;&gt;"Total",IFERROR(VLOOKUP(VALUE(B419),'SKU Maintenance'!A:D,2,0),"item not found"),"")</f>
        <v>item not found</v>
      </c>
    </row>
    <row r="420" spans="1:1" x14ac:dyDescent="0.25">
      <c r="A420" s="6" t="str">
        <f>IF(B420&lt;&gt;"Total",IFERROR(VLOOKUP(VALUE(B420),'SKU Maintenance'!A:D,2,0),"item not found"),"")</f>
        <v>item not found</v>
      </c>
    </row>
    <row r="421" spans="1:1" x14ac:dyDescent="0.25">
      <c r="A421" s="6" t="str">
        <f>IF(B421&lt;&gt;"Total",IFERROR(VLOOKUP(VALUE(B421),'SKU Maintenance'!A:D,2,0),"item not found"),"")</f>
        <v>item not found</v>
      </c>
    </row>
    <row r="422" spans="1:1" x14ac:dyDescent="0.25">
      <c r="A422" s="6" t="str">
        <f>IF(B422&lt;&gt;"Total",IFERROR(VLOOKUP(VALUE(B422),'SKU Maintenance'!A:D,2,0),"item not found"),"")</f>
        <v>item not found</v>
      </c>
    </row>
    <row r="423" spans="1:1" x14ac:dyDescent="0.25">
      <c r="A423" s="6" t="str">
        <f>IF(B423&lt;&gt;"Total",IFERROR(VLOOKUP(VALUE(B423),'SKU Maintenance'!A:D,2,0),"item not found"),"")</f>
        <v>item not found</v>
      </c>
    </row>
    <row r="424" spans="1:1" x14ac:dyDescent="0.25">
      <c r="A424" s="6" t="str">
        <f>IF(B424&lt;&gt;"Total",IFERROR(VLOOKUP(VALUE(B424),'SKU Maintenance'!A:D,2,0),"item not found"),"")</f>
        <v>item not found</v>
      </c>
    </row>
    <row r="425" spans="1:1" x14ac:dyDescent="0.25">
      <c r="A425" s="6" t="str">
        <f>IF(B425&lt;&gt;"Total",IFERROR(VLOOKUP(VALUE(B425),'SKU Maintenance'!A:D,2,0),"item not found"),"")</f>
        <v>item not found</v>
      </c>
    </row>
    <row r="426" spans="1:1" x14ac:dyDescent="0.25">
      <c r="A426" s="6" t="str">
        <f>IF(B426&lt;&gt;"Total",IFERROR(VLOOKUP(VALUE(B426),'SKU Maintenance'!A:D,2,0),"item not found"),"")</f>
        <v>item not found</v>
      </c>
    </row>
    <row r="427" spans="1:1" x14ac:dyDescent="0.25">
      <c r="A427" s="6" t="str">
        <f>IF(B427&lt;&gt;"Total",IFERROR(VLOOKUP(VALUE(B427),'SKU Maintenance'!A:D,2,0),"item not found"),"")</f>
        <v>item not found</v>
      </c>
    </row>
    <row r="428" spans="1:1" x14ac:dyDescent="0.25">
      <c r="A428" s="6" t="str">
        <f>IF(B428&lt;&gt;"Total",IFERROR(VLOOKUP(VALUE(B428),'SKU Maintenance'!A:D,2,0),"item not found"),"")</f>
        <v>item not found</v>
      </c>
    </row>
    <row r="429" spans="1:1" x14ac:dyDescent="0.25">
      <c r="A429" s="6" t="str">
        <f>IF(B429&lt;&gt;"Total",IFERROR(VLOOKUP(VALUE(B429),'SKU Maintenance'!A:D,2,0),"item not found"),"")</f>
        <v>item not found</v>
      </c>
    </row>
    <row r="430" spans="1:1" x14ac:dyDescent="0.25">
      <c r="A430" s="6" t="str">
        <f>IF(B430&lt;&gt;"Total",IFERROR(VLOOKUP(VALUE(B430),'SKU Maintenance'!A:D,2,0),"item not found"),"")</f>
        <v>item not found</v>
      </c>
    </row>
    <row r="431" spans="1:1" x14ac:dyDescent="0.25">
      <c r="A431" s="6" t="str">
        <f>IF(B431&lt;&gt;"Total",IFERROR(VLOOKUP(VALUE(B431),'SKU Maintenance'!A:D,2,0),"item not found"),"")</f>
        <v>item not found</v>
      </c>
    </row>
    <row r="432" spans="1:1" x14ac:dyDescent="0.25">
      <c r="A432" s="6" t="str">
        <f>IF(B432&lt;&gt;"Total",IFERROR(VLOOKUP(VALUE(B432),'SKU Maintenance'!A:D,2,0),"item not found"),"")</f>
        <v>item not found</v>
      </c>
    </row>
    <row r="433" spans="1:1" x14ac:dyDescent="0.25">
      <c r="A433" s="6" t="str">
        <f>IF(B433&lt;&gt;"Total",IFERROR(VLOOKUP(VALUE(B433),'SKU Maintenance'!A:D,2,0),"item not found"),"")</f>
        <v>item not found</v>
      </c>
    </row>
    <row r="434" spans="1:1" x14ac:dyDescent="0.25">
      <c r="A434" s="6" t="str">
        <f>IF(B434&lt;&gt;"Total",IFERROR(VLOOKUP(VALUE(B434),'SKU Maintenance'!A:D,2,0),"item not found"),"")</f>
        <v>item not found</v>
      </c>
    </row>
    <row r="435" spans="1:1" x14ac:dyDescent="0.25">
      <c r="A435" s="6" t="str">
        <f>IF(B435&lt;&gt;"Total",IFERROR(VLOOKUP(VALUE(B435),'SKU Maintenance'!A:D,2,0),"item not found"),"")</f>
        <v>item not found</v>
      </c>
    </row>
    <row r="436" spans="1:1" x14ac:dyDescent="0.25">
      <c r="A436" s="6" t="str">
        <f>IF(B436&lt;&gt;"Total",IFERROR(VLOOKUP(VALUE(B436),'SKU Maintenance'!A:D,2,0),"item not found"),"")</f>
        <v>item not found</v>
      </c>
    </row>
    <row r="437" spans="1:1" x14ac:dyDescent="0.25">
      <c r="A437" s="6" t="str">
        <f>IF(B437&lt;&gt;"Total",IFERROR(VLOOKUP(VALUE(B437),'SKU Maintenance'!A:D,2,0),"item not found"),"")</f>
        <v>item not found</v>
      </c>
    </row>
    <row r="438" spans="1:1" x14ac:dyDescent="0.25">
      <c r="A438" s="6" t="str">
        <f>IF(B438&lt;&gt;"Total",IFERROR(VLOOKUP(VALUE(B438),'SKU Maintenance'!A:D,2,0),"item not found"),"")</f>
        <v>item not found</v>
      </c>
    </row>
    <row r="439" spans="1:1" x14ac:dyDescent="0.25">
      <c r="A439" s="6" t="str">
        <f>IF(B439&lt;&gt;"Total",IFERROR(VLOOKUP(VALUE(B439),'SKU Maintenance'!A:D,2,0),"item not found"),"")</f>
        <v>item not found</v>
      </c>
    </row>
    <row r="440" spans="1:1" x14ac:dyDescent="0.25">
      <c r="A440" s="6" t="str">
        <f>IF(B440&lt;&gt;"Total",IFERROR(VLOOKUP(VALUE(B440),'SKU Maintenance'!A:D,2,0),"item not found"),"")</f>
        <v>item not found</v>
      </c>
    </row>
    <row r="441" spans="1:1" x14ac:dyDescent="0.25">
      <c r="A441" s="6" t="str">
        <f>IF(B441&lt;&gt;"Total",IFERROR(VLOOKUP(VALUE(B441),'SKU Maintenance'!A:D,2,0),"item not found"),"")</f>
        <v>item not found</v>
      </c>
    </row>
    <row r="442" spans="1:1" x14ac:dyDescent="0.25">
      <c r="A442" s="6" t="str">
        <f>IF(B442&lt;&gt;"Total",IFERROR(VLOOKUP(VALUE(B442),'SKU Maintenance'!A:D,2,0),"item not found"),"")</f>
        <v>item not found</v>
      </c>
    </row>
    <row r="443" spans="1:1" x14ac:dyDescent="0.25">
      <c r="A443" s="6" t="str">
        <f>IF(B443&lt;&gt;"Total",IFERROR(VLOOKUP(VALUE(B443),'SKU Maintenance'!A:D,2,0),"item not found"),"")</f>
        <v>item not found</v>
      </c>
    </row>
    <row r="444" spans="1:1" x14ac:dyDescent="0.25">
      <c r="A444" s="6" t="str">
        <f>IF(B444&lt;&gt;"Total",IFERROR(VLOOKUP(VALUE(B444),'SKU Maintenance'!A:D,2,0),"item not found"),"")</f>
        <v>item not found</v>
      </c>
    </row>
    <row r="445" spans="1:1" x14ac:dyDescent="0.25">
      <c r="A445" s="6" t="str">
        <f>IF(B445&lt;&gt;"Total",IFERROR(VLOOKUP(VALUE(B445),'SKU Maintenance'!A:D,2,0),"item not found"),"")</f>
        <v>item not found</v>
      </c>
    </row>
    <row r="446" spans="1:1" x14ac:dyDescent="0.25">
      <c r="A446" s="6" t="str">
        <f>IF(B446&lt;&gt;"Total",IFERROR(VLOOKUP(VALUE(B446),'SKU Maintenance'!A:D,2,0),"item not found"),"")</f>
        <v>item not found</v>
      </c>
    </row>
    <row r="447" spans="1:1" x14ac:dyDescent="0.25">
      <c r="A447" s="6" t="str">
        <f>IF(B447&lt;&gt;"Total",IFERROR(VLOOKUP(VALUE(B447),'SKU Maintenance'!A:D,2,0),"item not found"),"")</f>
        <v>item not found</v>
      </c>
    </row>
    <row r="448" spans="1:1" x14ac:dyDescent="0.25">
      <c r="A448" s="6" t="str">
        <f>IF(B448&lt;&gt;"Total",IFERROR(VLOOKUP(VALUE(B448),'SKU Maintenance'!A:D,2,0),"item not found"),"")</f>
        <v>item not found</v>
      </c>
    </row>
    <row r="449" spans="1:1" x14ac:dyDescent="0.25">
      <c r="A449" s="6" t="str">
        <f>IF(B449&lt;&gt;"Total",IFERROR(VLOOKUP(VALUE(B449),'SKU Maintenance'!A:D,2,0),"item not found"),"")</f>
        <v>item not found</v>
      </c>
    </row>
    <row r="450" spans="1:1" x14ac:dyDescent="0.25">
      <c r="A450" s="6" t="str">
        <f>IF(B450&lt;&gt;"Total",IFERROR(VLOOKUP(VALUE(B450),'SKU Maintenance'!A:D,2,0),"item not found"),"")</f>
        <v>item not found</v>
      </c>
    </row>
    <row r="451" spans="1:1" x14ac:dyDescent="0.25">
      <c r="A451" s="6" t="str">
        <f>IF(B451&lt;&gt;"Total",IFERROR(VLOOKUP(VALUE(B451),'SKU Maintenance'!A:D,2,0),"item not found"),"")</f>
        <v>item not found</v>
      </c>
    </row>
    <row r="452" spans="1:1" x14ac:dyDescent="0.25">
      <c r="A452" s="6" t="str">
        <f>IF(B452&lt;&gt;"Total",IFERROR(VLOOKUP(VALUE(B452),'SKU Maintenance'!A:D,2,0),"item not found"),"")</f>
        <v>item not found</v>
      </c>
    </row>
    <row r="453" spans="1:1" x14ac:dyDescent="0.25">
      <c r="A453" s="6" t="str">
        <f>IF(B453&lt;&gt;"Total",IFERROR(VLOOKUP(VALUE(B453),'SKU Maintenance'!A:D,2,0),"item not found"),"")</f>
        <v>item not found</v>
      </c>
    </row>
    <row r="454" spans="1:1" x14ac:dyDescent="0.25">
      <c r="A454" s="6" t="str">
        <f>IF(B454&lt;&gt;"Total",IFERROR(VLOOKUP(VALUE(B454),'SKU Maintenance'!A:D,2,0),"item not found"),"")</f>
        <v>item not found</v>
      </c>
    </row>
    <row r="455" spans="1:1" x14ac:dyDescent="0.25">
      <c r="A455" s="6" t="str">
        <f>IF(B455&lt;&gt;"Total",IFERROR(VLOOKUP(VALUE(B455),'SKU Maintenance'!A:D,2,0),"item not found"),"")</f>
        <v>item not found</v>
      </c>
    </row>
    <row r="456" spans="1:1" x14ac:dyDescent="0.25">
      <c r="A456" s="6" t="str">
        <f>IF(B456&lt;&gt;"Total",IFERROR(VLOOKUP(VALUE(B456),'SKU Maintenance'!A:D,2,0),"item not found"),"")</f>
        <v>item not found</v>
      </c>
    </row>
    <row r="457" spans="1:1" x14ac:dyDescent="0.25">
      <c r="A457" s="6" t="str">
        <f>IF(B457&lt;&gt;"Total",IFERROR(VLOOKUP(VALUE(B457),'SKU Maintenance'!A:D,2,0),"item not found"),"")</f>
        <v>item not found</v>
      </c>
    </row>
    <row r="458" spans="1:1" x14ac:dyDescent="0.25">
      <c r="A458" s="6" t="str">
        <f>IF(B458&lt;&gt;"Total",IFERROR(VLOOKUP(VALUE(B458),'SKU Maintenance'!A:D,2,0),"item not found"),"")</f>
        <v>item not found</v>
      </c>
    </row>
    <row r="459" spans="1:1" x14ac:dyDescent="0.25">
      <c r="A459" s="6" t="str">
        <f>IF(B459&lt;&gt;"Total",IFERROR(VLOOKUP(VALUE(B459),'SKU Maintenance'!A:D,2,0),"item not found"),"")</f>
        <v>item not found</v>
      </c>
    </row>
    <row r="460" spans="1:1" x14ac:dyDescent="0.25">
      <c r="A460" s="6" t="str">
        <f>IF(B460&lt;&gt;"Total",IFERROR(VLOOKUP(VALUE(B460),'SKU Maintenance'!A:D,2,0),"item not found"),"")</f>
        <v>item not found</v>
      </c>
    </row>
    <row r="461" spans="1:1" x14ac:dyDescent="0.25">
      <c r="A461" s="6" t="str">
        <f>IF(B461&lt;&gt;"Total",IFERROR(VLOOKUP(VALUE(B461),'SKU Maintenance'!A:D,2,0),"item not found"),"")</f>
        <v>item not found</v>
      </c>
    </row>
    <row r="462" spans="1:1" x14ac:dyDescent="0.25">
      <c r="A462" s="6" t="str">
        <f>IF(B462&lt;&gt;"Total",IFERROR(VLOOKUP(VALUE(B462),'SKU Maintenance'!A:D,2,0),"item not found"),"")</f>
        <v>item not found</v>
      </c>
    </row>
    <row r="463" spans="1:1" x14ac:dyDescent="0.25">
      <c r="A463" s="6" t="str">
        <f>IF(B463&lt;&gt;"Total",IFERROR(VLOOKUP(VALUE(B463),'SKU Maintenance'!A:D,2,0),"item not found"),"")</f>
        <v>item not found</v>
      </c>
    </row>
    <row r="464" spans="1:1" x14ac:dyDescent="0.25">
      <c r="A464" s="6" t="str">
        <f>IF(B464&lt;&gt;"Total",IFERROR(VLOOKUP(VALUE(B464),'SKU Maintenance'!A:D,2,0),"item not found"),"")</f>
        <v>item not found</v>
      </c>
    </row>
    <row r="465" spans="1:1" x14ac:dyDescent="0.25">
      <c r="A465" s="6" t="str">
        <f>IF(B465&lt;&gt;"Total",IFERROR(VLOOKUP(VALUE(B465),'SKU Maintenance'!A:D,2,0),"item not found"),"")</f>
        <v>item not found</v>
      </c>
    </row>
    <row r="466" spans="1:1" x14ac:dyDescent="0.25">
      <c r="A466" s="6" t="str">
        <f>IF(B466&lt;&gt;"Total",IFERROR(VLOOKUP(VALUE(B466),'SKU Maintenance'!A:D,2,0),"item not found"),"")</f>
        <v>item not found</v>
      </c>
    </row>
    <row r="467" spans="1:1" x14ac:dyDescent="0.25">
      <c r="A467" s="6" t="str">
        <f>IF(B467&lt;&gt;"Total",IFERROR(VLOOKUP(VALUE(B467),'SKU Maintenance'!A:D,2,0),"item not found"),"")</f>
        <v>item not found</v>
      </c>
    </row>
    <row r="468" spans="1:1" x14ac:dyDescent="0.25">
      <c r="A468" s="6" t="str">
        <f>IF(B468&lt;&gt;"Total",IFERROR(VLOOKUP(VALUE(B468),'SKU Maintenance'!A:D,2,0),"item not found"),"")</f>
        <v>item not found</v>
      </c>
    </row>
    <row r="469" spans="1:1" x14ac:dyDescent="0.25">
      <c r="A469" s="6" t="str">
        <f>IF(B469&lt;&gt;"Total",IFERROR(VLOOKUP(VALUE(B469),'SKU Maintenance'!A:D,2,0),"item not found"),"")</f>
        <v>item not found</v>
      </c>
    </row>
    <row r="470" spans="1:1" x14ac:dyDescent="0.25">
      <c r="A470" s="6" t="str">
        <f>IF(B470&lt;&gt;"Total",IFERROR(VLOOKUP(VALUE(B470),'SKU Maintenance'!A:D,2,0),"item not found"),"")</f>
        <v>item not found</v>
      </c>
    </row>
    <row r="471" spans="1:1" x14ac:dyDescent="0.25">
      <c r="A471" s="6" t="str">
        <f>IF(B471&lt;&gt;"Total",IFERROR(VLOOKUP(VALUE(B471),'SKU Maintenance'!A:D,2,0),"item not found"),"")</f>
        <v>item not found</v>
      </c>
    </row>
    <row r="472" spans="1:1" x14ac:dyDescent="0.25">
      <c r="A472" s="6" t="str">
        <f>IF(B472&lt;&gt;"Total",IFERROR(VLOOKUP(VALUE(B472),'SKU Maintenance'!A:D,2,0),"item not found"),"")</f>
        <v>item not found</v>
      </c>
    </row>
    <row r="473" spans="1:1" x14ac:dyDescent="0.25">
      <c r="A473" s="6" t="str">
        <f>IF(B473&lt;&gt;"Total",IFERROR(VLOOKUP(VALUE(B473),'SKU Maintenance'!A:D,2,0),"item not found"),"")</f>
        <v>item not found</v>
      </c>
    </row>
    <row r="474" spans="1:1" x14ac:dyDescent="0.25">
      <c r="A474" s="6" t="str">
        <f>IF(B474&lt;&gt;"Total",IFERROR(VLOOKUP(VALUE(B474),'SKU Maintenance'!A:D,2,0),"item not found"),"")</f>
        <v>item not found</v>
      </c>
    </row>
    <row r="475" spans="1:1" x14ac:dyDescent="0.25">
      <c r="A475" s="6" t="str">
        <f>IF(B475&lt;&gt;"Total",IFERROR(VLOOKUP(VALUE(B475),'SKU Maintenance'!A:D,2,0),"item not found"),"")</f>
        <v>item not found</v>
      </c>
    </row>
    <row r="476" spans="1:1" x14ac:dyDescent="0.25">
      <c r="A476" s="6" t="str">
        <f>IF(B476&lt;&gt;"Total",IFERROR(VLOOKUP(VALUE(B476),'SKU Maintenance'!A:D,2,0),"item not found"),"")</f>
        <v>item not found</v>
      </c>
    </row>
    <row r="477" spans="1:1" x14ac:dyDescent="0.25">
      <c r="A477" s="6" t="str">
        <f>IF(B477&lt;&gt;"Total",IFERROR(VLOOKUP(VALUE(B477),'SKU Maintenance'!A:D,2,0),"item not found"),"")</f>
        <v>item not found</v>
      </c>
    </row>
    <row r="478" spans="1:1" x14ac:dyDescent="0.25">
      <c r="A478" s="6" t="str">
        <f>IF(B478&lt;&gt;"Total",IFERROR(VLOOKUP(VALUE(B478),'SKU Maintenance'!A:D,2,0),"item not found"),"")</f>
        <v>item not found</v>
      </c>
    </row>
    <row r="479" spans="1:1" x14ac:dyDescent="0.25">
      <c r="A479" s="6" t="str">
        <f>IF(B479&lt;&gt;"Total",IFERROR(VLOOKUP(VALUE(B479),'SKU Maintenance'!A:D,2,0),"item not found"),"")</f>
        <v>item not found</v>
      </c>
    </row>
    <row r="480" spans="1:1" x14ac:dyDescent="0.25">
      <c r="A480" s="6" t="str">
        <f>IF(B480&lt;&gt;"Total",IFERROR(VLOOKUP(VALUE(B480),'SKU Maintenance'!A:D,2,0),"item not found"),"")</f>
        <v>item not found</v>
      </c>
    </row>
    <row r="481" spans="1:1" x14ac:dyDescent="0.25">
      <c r="A481" s="6" t="str">
        <f>IF(B481&lt;&gt;"Total",IFERROR(VLOOKUP(VALUE(B481),'SKU Maintenance'!A:D,2,0),"item not found"),"")</f>
        <v>item not found</v>
      </c>
    </row>
    <row r="482" spans="1:1" x14ac:dyDescent="0.25">
      <c r="A482" s="6" t="str">
        <f>IF(B482&lt;&gt;"Total",IFERROR(VLOOKUP(VALUE(B482),'SKU Maintenance'!A:D,2,0),"item not found"),"")</f>
        <v>item not found</v>
      </c>
    </row>
    <row r="483" spans="1:1" x14ac:dyDescent="0.25">
      <c r="A483" s="6" t="str">
        <f>IF(B483&lt;&gt;"Total",IFERROR(VLOOKUP(VALUE(B483),'SKU Maintenance'!A:D,2,0),"item not found"),"")</f>
        <v>item not found</v>
      </c>
    </row>
    <row r="484" spans="1:1" x14ac:dyDescent="0.25">
      <c r="A484" s="6" t="str">
        <f>IF(B484&lt;&gt;"Total",IFERROR(VLOOKUP(VALUE(B484),'SKU Maintenance'!A:D,2,0),"item not found"),"")</f>
        <v>item not found</v>
      </c>
    </row>
    <row r="485" spans="1:1" x14ac:dyDescent="0.25">
      <c r="A485" s="6" t="str">
        <f>IF(B485&lt;&gt;"Total",IFERROR(VLOOKUP(VALUE(B485),'SKU Maintenance'!A:D,2,0),"item not found"),"")</f>
        <v>item not found</v>
      </c>
    </row>
    <row r="486" spans="1:1" x14ac:dyDescent="0.25">
      <c r="A486" s="6" t="str">
        <f>IF(B486&lt;&gt;"Total",IFERROR(VLOOKUP(VALUE(B486),'SKU Maintenance'!A:D,2,0),"item not found"),"")</f>
        <v>item not found</v>
      </c>
    </row>
    <row r="487" spans="1:1" x14ac:dyDescent="0.25">
      <c r="A487" s="6" t="str">
        <f>IF(B487&lt;&gt;"Total",IFERROR(VLOOKUP(VALUE(B487),'SKU Maintenance'!A:D,2,0),"item not found"),"")</f>
        <v>item not found</v>
      </c>
    </row>
    <row r="488" spans="1:1" x14ac:dyDescent="0.25">
      <c r="A488" s="6" t="str">
        <f>IF(B488&lt;&gt;"Total",IFERROR(VLOOKUP(VALUE(B488),'SKU Maintenance'!A:D,2,0),"item not found"),"")</f>
        <v>item not found</v>
      </c>
    </row>
    <row r="489" spans="1:1" x14ac:dyDescent="0.25">
      <c r="A489" s="6" t="str">
        <f>IF(B489&lt;&gt;"Total",IFERROR(VLOOKUP(VALUE(B489),'SKU Maintenance'!A:D,2,0),"item not found"),"")</f>
        <v>item not found</v>
      </c>
    </row>
    <row r="490" spans="1:1" x14ac:dyDescent="0.25">
      <c r="A490" s="6" t="str">
        <f>IF(B490&lt;&gt;"Total",IFERROR(VLOOKUP(VALUE(B490),'SKU Maintenance'!A:D,2,0),"item not found"),"")</f>
        <v>item not found</v>
      </c>
    </row>
    <row r="491" spans="1:1" x14ac:dyDescent="0.25">
      <c r="A491" s="6" t="str">
        <f>IF(B491&lt;&gt;"Total",IFERROR(VLOOKUP(VALUE(B491),'SKU Maintenance'!A:D,2,0),"item not found"),"")</f>
        <v>item not found</v>
      </c>
    </row>
    <row r="492" spans="1:1" x14ac:dyDescent="0.25">
      <c r="A492" s="6" t="str">
        <f>IF(B492&lt;&gt;"Total",IFERROR(VLOOKUP(VALUE(B492),'SKU Maintenance'!A:D,2,0),"item not found"),"")</f>
        <v>item not found</v>
      </c>
    </row>
    <row r="493" spans="1:1" x14ac:dyDescent="0.25">
      <c r="A493" s="6" t="str">
        <f>IF(B493&lt;&gt;"Total",IFERROR(VLOOKUP(VALUE(B493),'SKU Maintenance'!A:D,2,0),"item not found"),"")</f>
        <v>item not found</v>
      </c>
    </row>
    <row r="494" spans="1:1" x14ac:dyDescent="0.25">
      <c r="A494" s="6" t="str">
        <f>IF(B494&lt;&gt;"Total",IFERROR(VLOOKUP(VALUE(B494),'SKU Maintenance'!A:D,2,0),"item not found"),"")</f>
        <v>item not found</v>
      </c>
    </row>
    <row r="495" spans="1:1" x14ac:dyDescent="0.25">
      <c r="A495" s="6" t="str">
        <f>IF(B495&lt;&gt;"Total",IFERROR(VLOOKUP(VALUE(B495),'SKU Maintenance'!A:D,2,0),"item not found"),"")</f>
        <v>item not found</v>
      </c>
    </row>
    <row r="496" spans="1:1" x14ac:dyDescent="0.25">
      <c r="A496" s="6" t="str">
        <f>IF(B496&lt;&gt;"Total",IFERROR(VLOOKUP(VALUE(B496),'SKU Maintenance'!A:D,2,0),"item not found"),"")</f>
        <v>item not found</v>
      </c>
    </row>
    <row r="497" spans="1:1" x14ac:dyDescent="0.25">
      <c r="A497" s="6" t="str">
        <f>IF(B497&lt;&gt;"Total",IFERROR(VLOOKUP(VALUE(B497),'SKU Maintenance'!A:D,2,0),"item not found"),"")</f>
        <v>item not found</v>
      </c>
    </row>
    <row r="498" spans="1:1" x14ac:dyDescent="0.25">
      <c r="A498" s="6" t="str">
        <f>IF(B498&lt;&gt;"Total",IFERROR(VLOOKUP(VALUE(B498),'SKU Maintenance'!A:D,2,0),"item not found"),"")</f>
        <v>item not found</v>
      </c>
    </row>
    <row r="499" spans="1:1" x14ac:dyDescent="0.25">
      <c r="A499" s="6" t="str">
        <f>IF(B499&lt;&gt;"Total",IFERROR(VLOOKUP(VALUE(B499),'SKU Maintenance'!A:D,2,0),"item not found"),"")</f>
        <v>item not found</v>
      </c>
    </row>
    <row r="500" spans="1:1" x14ac:dyDescent="0.25">
      <c r="A500" s="6" t="str">
        <f>IF(B500&lt;&gt;"Total",IFERROR(VLOOKUP(VALUE(B500),'SKU Maintenance'!A:D,2,0),"item not found"),"")</f>
        <v>item not found</v>
      </c>
    </row>
    <row r="501" spans="1:1" x14ac:dyDescent="0.25">
      <c r="A501" s="6" t="str">
        <f>IF(B501&lt;&gt;"Total",IFERROR(VLOOKUP(VALUE(B501),'SKU Maintenance'!A:D,2,0),"item not found"),"")</f>
        <v>item not found</v>
      </c>
    </row>
    <row r="502" spans="1:1" x14ac:dyDescent="0.25">
      <c r="A502" s="6" t="str">
        <f>IF(B502&lt;&gt;"Total",IFERROR(VLOOKUP(VALUE(B502),'SKU Maintenance'!A:D,2,0),"item not found"),"")</f>
        <v>item not found</v>
      </c>
    </row>
    <row r="503" spans="1:1" x14ac:dyDescent="0.25">
      <c r="A503" s="6" t="str">
        <f>IF(B503&lt;&gt;"Total",IFERROR(VLOOKUP(VALUE(B503),'SKU Maintenance'!A:D,2,0),"item not found"),"")</f>
        <v>item not found</v>
      </c>
    </row>
    <row r="504" spans="1:1" x14ac:dyDescent="0.25">
      <c r="A504" s="6" t="str">
        <f>IF(B504&lt;&gt;"Total",IFERROR(VLOOKUP(VALUE(B504),'SKU Maintenance'!A:D,2,0),"item not found"),"")</f>
        <v>item not found</v>
      </c>
    </row>
    <row r="505" spans="1:1" x14ac:dyDescent="0.25">
      <c r="A505" s="6" t="str">
        <f>IF(B505&lt;&gt;"Total",IFERROR(VLOOKUP(VALUE(B505),'SKU Maintenance'!A:D,2,0),"item not found"),"")</f>
        <v>item not found</v>
      </c>
    </row>
    <row r="506" spans="1:1" x14ac:dyDescent="0.25">
      <c r="A506" s="6" t="str">
        <f>IF(B506&lt;&gt;"Total",IFERROR(VLOOKUP(VALUE(B506),'SKU Maintenance'!A:D,2,0),"item not found"),"")</f>
        <v>item not found</v>
      </c>
    </row>
    <row r="507" spans="1:1" x14ac:dyDescent="0.25">
      <c r="A507" s="6" t="str">
        <f>IF(B507&lt;&gt;"Total",IFERROR(VLOOKUP(VALUE(B507),'SKU Maintenance'!A:D,2,0),"item not found"),"")</f>
        <v>item not found</v>
      </c>
    </row>
    <row r="508" spans="1:1" x14ac:dyDescent="0.25">
      <c r="A508" s="6" t="str">
        <f>IF(B508&lt;&gt;"Total",IFERROR(VLOOKUP(VALUE(B508),'SKU Maintenance'!A:D,2,0),"item not found"),"")</f>
        <v>item not found</v>
      </c>
    </row>
    <row r="509" spans="1:1" x14ac:dyDescent="0.25">
      <c r="A509" s="6" t="str">
        <f>IF(B509&lt;&gt;"Total",IFERROR(VLOOKUP(VALUE(B509),'SKU Maintenance'!A:D,2,0),"item not found"),"")</f>
        <v>item not found</v>
      </c>
    </row>
    <row r="510" spans="1:1" x14ac:dyDescent="0.25">
      <c r="A510" s="6" t="str">
        <f>IF(B510&lt;&gt;"Total",IFERROR(VLOOKUP(VALUE(B510),'SKU Maintenance'!A:D,2,0),"item not found"),"")</f>
        <v>item not found</v>
      </c>
    </row>
    <row r="511" spans="1:1" x14ac:dyDescent="0.25">
      <c r="A511" s="6" t="str">
        <f>IF(B511&lt;&gt;"Total",IFERROR(VLOOKUP(VALUE(B511),'SKU Maintenance'!A:D,2,0),"item not found"),"")</f>
        <v>item not found</v>
      </c>
    </row>
    <row r="512" spans="1:1" x14ac:dyDescent="0.25">
      <c r="A512" s="6" t="str">
        <f>IF(B512&lt;&gt;"Total",IFERROR(VLOOKUP(VALUE(B512),'SKU Maintenance'!A:D,2,0),"item not found"),"")</f>
        <v>item not found</v>
      </c>
    </row>
    <row r="513" spans="1:1" x14ac:dyDescent="0.25">
      <c r="A513" s="6" t="str">
        <f>IF(B513&lt;&gt;"Total",IFERROR(VLOOKUP(VALUE(B513),'SKU Maintenance'!A:D,2,0),"item not found"),"")</f>
        <v>item not found</v>
      </c>
    </row>
    <row r="514" spans="1:1" x14ac:dyDescent="0.25">
      <c r="A514" s="6" t="str">
        <f>IF(B514&lt;&gt;"Total",IFERROR(VLOOKUP(VALUE(B514),'SKU Maintenance'!A:D,2,0),"item not found"),"")</f>
        <v>item not found</v>
      </c>
    </row>
    <row r="515" spans="1:1" x14ac:dyDescent="0.25">
      <c r="A515" s="6" t="str">
        <f>IF(B515&lt;&gt;"Total",IFERROR(VLOOKUP(VALUE(B515),'SKU Maintenance'!A:D,2,0),"item not found"),"")</f>
        <v>item not found</v>
      </c>
    </row>
    <row r="516" spans="1:1" x14ac:dyDescent="0.25">
      <c r="A516" s="6" t="str">
        <f>IF(B516&lt;&gt;"Total",IFERROR(VLOOKUP(VALUE(B516),'SKU Maintenance'!A:D,2,0),"item not found"),"")</f>
        <v>item not found</v>
      </c>
    </row>
    <row r="517" spans="1:1" x14ac:dyDescent="0.25">
      <c r="A517" s="6" t="str">
        <f>IF(B517&lt;&gt;"Total",IFERROR(VLOOKUP(VALUE(B517),'SKU Maintenance'!A:D,2,0),"item not found"),"")</f>
        <v>item not found</v>
      </c>
    </row>
    <row r="518" spans="1:1" x14ac:dyDescent="0.25">
      <c r="A518" s="6" t="str">
        <f>IF(B518&lt;&gt;"Total",IFERROR(VLOOKUP(VALUE(B518),'SKU Maintenance'!A:D,2,0),"item not found"),"")</f>
        <v>item not found</v>
      </c>
    </row>
    <row r="519" spans="1:1" x14ac:dyDescent="0.25">
      <c r="A519" s="6" t="str">
        <f>IF(B519&lt;&gt;"Total",IFERROR(VLOOKUP(VALUE(B519),'SKU Maintenance'!A:D,2,0),"item not found"),"")</f>
        <v>item not found</v>
      </c>
    </row>
    <row r="520" spans="1:1" x14ac:dyDescent="0.25">
      <c r="A520" s="6" t="str">
        <f>IF(B520&lt;&gt;"Total",IFERROR(VLOOKUP(VALUE(B520),'SKU Maintenance'!A:D,2,0),"item not found"),"")</f>
        <v>item not found</v>
      </c>
    </row>
    <row r="521" spans="1:1" x14ac:dyDescent="0.25">
      <c r="A521" s="6" t="str">
        <f>IF(B521&lt;&gt;"Total",IFERROR(VLOOKUP(VALUE(B521),'SKU Maintenance'!A:D,2,0),"item not found"),"")</f>
        <v>item not found</v>
      </c>
    </row>
    <row r="522" spans="1:1" x14ac:dyDescent="0.25">
      <c r="A522" s="6" t="str">
        <f>IF(B522&lt;&gt;"Total",IFERROR(VLOOKUP(VALUE(B522),'SKU Maintenance'!A:D,2,0),"item not found"),"")</f>
        <v>item not found</v>
      </c>
    </row>
    <row r="523" spans="1:1" x14ac:dyDescent="0.25">
      <c r="A523" s="6" t="str">
        <f>IF(B523&lt;&gt;"Total",IFERROR(VLOOKUP(VALUE(B523),'SKU Maintenance'!A:D,2,0),"item not found"),"")</f>
        <v>item not found</v>
      </c>
    </row>
    <row r="524" spans="1:1" x14ac:dyDescent="0.25">
      <c r="A524" s="6" t="str">
        <f>IF(B524&lt;&gt;"Total",IFERROR(VLOOKUP(VALUE(B524),'SKU Maintenance'!A:D,2,0),"item not found"),"")</f>
        <v>item not found</v>
      </c>
    </row>
    <row r="525" spans="1:1" x14ac:dyDescent="0.25">
      <c r="A525" s="6" t="str">
        <f>IF(B525&lt;&gt;"Total",IFERROR(VLOOKUP(VALUE(B525),'SKU Maintenance'!A:D,2,0),"item not found"),"")</f>
        <v>item not found</v>
      </c>
    </row>
    <row r="526" spans="1:1" x14ac:dyDescent="0.25">
      <c r="A526" s="6" t="str">
        <f>IF(B526&lt;&gt;"Total",IFERROR(VLOOKUP(VALUE(B526),'SKU Maintenance'!A:D,2,0),"item not found"),"")</f>
        <v>item not found</v>
      </c>
    </row>
    <row r="527" spans="1:1" x14ac:dyDescent="0.25">
      <c r="A527" s="6" t="str">
        <f>IF(B527&lt;&gt;"Total",IFERROR(VLOOKUP(VALUE(B527),'SKU Maintenance'!A:D,2,0),"item not found"),"")</f>
        <v>item not found</v>
      </c>
    </row>
    <row r="528" spans="1:1" x14ac:dyDescent="0.25">
      <c r="A528" s="6" t="str">
        <f>IF(B528&lt;&gt;"Total",IFERROR(VLOOKUP(VALUE(B528),'SKU Maintenance'!A:D,2,0),"item not found"),"")</f>
        <v>item not found</v>
      </c>
    </row>
    <row r="529" spans="1:1" x14ac:dyDescent="0.25">
      <c r="A529" s="6" t="str">
        <f>IF(B529&lt;&gt;"Total",IFERROR(VLOOKUP(VALUE(B529),'SKU Maintenance'!A:D,2,0),"item not found"),"")</f>
        <v>item not found</v>
      </c>
    </row>
    <row r="530" spans="1:1" x14ac:dyDescent="0.25">
      <c r="A530" s="6" t="str">
        <f>IF(B530&lt;&gt;"Total",IFERROR(VLOOKUP(VALUE(B530),'SKU Maintenance'!A:D,2,0),"item not found"),"")</f>
        <v>item not found</v>
      </c>
    </row>
    <row r="531" spans="1:1" x14ac:dyDescent="0.25">
      <c r="A531" s="6" t="str">
        <f>IF(B531&lt;&gt;"Total",IFERROR(VLOOKUP(VALUE(B531),'SKU Maintenance'!A:D,2,0),"item not found"),"")</f>
        <v>item not found</v>
      </c>
    </row>
    <row r="532" spans="1:1" x14ac:dyDescent="0.25">
      <c r="A532" s="6" t="str">
        <f>IF(B532&lt;&gt;"Total",IFERROR(VLOOKUP(VALUE(B532),'SKU Maintenance'!A:D,2,0),"item not found"),"")</f>
        <v>item not found</v>
      </c>
    </row>
    <row r="533" spans="1:1" x14ac:dyDescent="0.25">
      <c r="A533" s="6" t="str">
        <f>IF(B533&lt;&gt;"Total",IFERROR(VLOOKUP(VALUE(B533),'SKU Maintenance'!A:D,2,0),"item not found"),"")</f>
        <v>item not found</v>
      </c>
    </row>
    <row r="534" spans="1:1" x14ac:dyDescent="0.25">
      <c r="A534" s="6" t="str">
        <f>IF(B534&lt;&gt;"Total",IFERROR(VLOOKUP(VALUE(B534),'SKU Maintenance'!A:D,2,0),"item not found"),"")</f>
        <v>item not found</v>
      </c>
    </row>
    <row r="535" spans="1:1" x14ac:dyDescent="0.25">
      <c r="A535" s="6" t="str">
        <f>IF(B535&lt;&gt;"Total",IFERROR(VLOOKUP(VALUE(B535),'SKU Maintenance'!A:D,2,0),"item not found"),"")</f>
        <v>item not found</v>
      </c>
    </row>
    <row r="536" spans="1:1" x14ac:dyDescent="0.25">
      <c r="A536" s="6" t="str">
        <f>IF(B536&lt;&gt;"Total",IFERROR(VLOOKUP(VALUE(B536),'SKU Maintenance'!A:D,2,0),"item not found"),"")</f>
        <v>item not found</v>
      </c>
    </row>
    <row r="537" spans="1:1" x14ac:dyDescent="0.25">
      <c r="A537" s="6" t="str">
        <f>IF(B537&lt;&gt;"Total",IFERROR(VLOOKUP(VALUE(B537),'SKU Maintenance'!A:D,2,0),"item not found"),"")</f>
        <v>item not found</v>
      </c>
    </row>
    <row r="538" spans="1:1" x14ac:dyDescent="0.25">
      <c r="A538" s="6" t="str">
        <f>IF(B538&lt;&gt;"Total",IFERROR(VLOOKUP(VALUE(B538),'SKU Maintenance'!A:D,2,0),"item not found"),"")</f>
        <v>item not found</v>
      </c>
    </row>
    <row r="539" spans="1:1" x14ac:dyDescent="0.25">
      <c r="A539" s="6" t="str">
        <f>IF(B539&lt;&gt;"Total",IFERROR(VLOOKUP(VALUE(B539),'SKU Maintenance'!A:D,2,0),"item not found"),"")</f>
        <v>item not found</v>
      </c>
    </row>
    <row r="540" spans="1:1" x14ac:dyDescent="0.25">
      <c r="A540" s="6" t="str">
        <f>IF(B540&lt;&gt;"Total",IFERROR(VLOOKUP(VALUE(B540),'SKU Maintenance'!A:D,2,0),"item not found"),"")</f>
        <v>item not found</v>
      </c>
    </row>
    <row r="541" spans="1:1" x14ac:dyDescent="0.25">
      <c r="A541" s="6" t="str">
        <f>IF(B541&lt;&gt;"Total",IFERROR(VLOOKUP(VALUE(B541),'SKU Maintenance'!A:D,2,0),"item not found"),"")</f>
        <v>item not found</v>
      </c>
    </row>
    <row r="542" spans="1:1" x14ac:dyDescent="0.25">
      <c r="A542" s="6" t="str">
        <f>IF(B542&lt;&gt;"Total",IFERROR(VLOOKUP(VALUE(B542),'SKU Maintenance'!A:D,2,0),"item not found"),"")</f>
        <v>item not found</v>
      </c>
    </row>
    <row r="543" spans="1:1" x14ac:dyDescent="0.25">
      <c r="A543" s="6" t="str">
        <f>IF(B543&lt;&gt;"Total",IFERROR(VLOOKUP(VALUE(B543),'SKU Maintenance'!A:D,2,0),"item not found"),"")</f>
        <v>item not found</v>
      </c>
    </row>
    <row r="544" spans="1:1" x14ac:dyDescent="0.25">
      <c r="A544" s="6" t="str">
        <f>IF(B544&lt;&gt;"Total",IFERROR(VLOOKUP(VALUE(B544),'SKU Maintenance'!A:D,2,0),"item not found"),"")</f>
        <v>item not found</v>
      </c>
    </row>
    <row r="545" spans="1:1" x14ac:dyDescent="0.25">
      <c r="A545" s="6" t="str">
        <f>IF(B545&lt;&gt;"Total",IFERROR(VLOOKUP(VALUE(B545),'SKU Maintenance'!A:D,2,0),"item not found"),"")</f>
        <v>item not found</v>
      </c>
    </row>
    <row r="546" spans="1:1" x14ac:dyDescent="0.25">
      <c r="A546" s="6" t="str">
        <f>IF(B546&lt;&gt;"Total",IFERROR(VLOOKUP(VALUE(B546),'SKU Maintenance'!A:D,2,0),"item not found"),"")</f>
        <v>item not found</v>
      </c>
    </row>
    <row r="547" spans="1:1" x14ac:dyDescent="0.25">
      <c r="A547" s="6" t="str">
        <f>IF(B547&lt;&gt;"Total",IFERROR(VLOOKUP(VALUE(B547),'SKU Maintenance'!A:D,2,0),"item not found"),"")</f>
        <v>item not found</v>
      </c>
    </row>
    <row r="548" spans="1:1" x14ac:dyDescent="0.25">
      <c r="A548" s="6" t="str">
        <f>IF(B548&lt;&gt;"Total",IFERROR(VLOOKUP(VALUE(B548),'SKU Maintenance'!A:D,2,0),"item not found"),"")</f>
        <v>item not found</v>
      </c>
    </row>
    <row r="549" spans="1:1" x14ac:dyDescent="0.25">
      <c r="A549" s="6" t="str">
        <f>IF(B549&lt;&gt;"Total",IFERROR(VLOOKUP(VALUE(B549),'SKU Maintenance'!A:D,2,0),"item not found"),"")</f>
        <v>item not found</v>
      </c>
    </row>
    <row r="550" spans="1:1" x14ac:dyDescent="0.25">
      <c r="A550" s="6" t="str">
        <f>IF(B550&lt;&gt;"Total",IFERROR(VLOOKUP(VALUE(B550),'SKU Maintenance'!A:D,2,0),"item not found"),"")</f>
        <v>item not found</v>
      </c>
    </row>
    <row r="551" spans="1:1" x14ac:dyDescent="0.25">
      <c r="A551" s="6" t="str">
        <f>IF(B551&lt;&gt;"Total",IFERROR(VLOOKUP(VALUE(B551),'SKU Maintenance'!A:D,2,0),"item not found"),"")</f>
        <v>item not found</v>
      </c>
    </row>
    <row r="552" spans="1:1" x14ac:dyDescent="0.25">
      <c r="A552" s="6" t="str">
        <f>IF(B552&lt;&gt;"Total",IFERROR(VLOOKUP(VALUE(B552),'SKU Maintenance'!A:D,2,0),"item not found"),"")</f>
        <v>item not found</v>
      </c>
    </row>
  </sheetData>
  <pageMargins left="0.7" right="0.7" top="0.75" bottom="0.75" header="0.3" footer="0.3"/>
  <pageSetup orientation="portrait" horizontalDpi="360" verticalDpi="36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I931"/>
  <sheetViews>
    <sheetView topLeftCell="A1048541" workbookViewId="0">
      <selection activeCell="E4" sqref="E4:H931"/>
    </sheetView>
  </sheetViews>
  <sheetFormatPr defaultRowHeight="15" x14ac:dyDescent="0.25"/>
  <cols>
    <col min="1" max="1" width="22.5703125" customWidth="1"/>
    <col min="2" max="2" width="12.28515625" customWidth="1"/>
    <col min="3" max="3" width="36.140625" customWidth="1"/>
    <col min="4" max="4" width="12.28515625" customWidth="1"/>
    <col min="5" max="5" width="10.42578125" customWidth="1"/>
    <col min="6" max="6" width="16.28515625" customWidth="1"/>
    <col min="7" max="7" width="16.140625" customWidth="1"/>
    <col min="8" max="8" width="15.85546875" customWidth="1"/>
    <col min="9" max="10" width="10.42578125" customWidth="1"/>
    <col min="11" max="11" width="10.42578125" style="31" customWidth="1"/>
    <col min="12" max="12" width="10.42578125" customWidth="1"/>
    <col min="13" max="35" width="10.42578125" bestFit="1" customWidth="1"/>
  </cols>
  <sheetData>
    <row r="2" spans="1:35" ht="15.75" thickBot="1" x14ac:dyDescent="0.3"/>
    <row r="3" spans="1:35" s="30" customFormat="1" ht="16.5" thickBot="1" x14ac:dyDescent="0.3">
      <c r="A3" s="46" t="s">
        <v>33</v>
      </c>
      <c r="B3" s="50" t="s">
        <v>44</v>
      </c>
      <c r="C3" s="50" t="s">
        <v>45</v>
      </c>
      <c r="D3" s="50" t="s">
        <v>39</v>
      </c>
      <c r="E3" s="50" t="s">
        <v>40</v>
      </c>
      <c r="F3" s="51" t="s">
        <v>6947</v>
      </c>
      <c r="G3" s="52" t="s">
        <v>6948</v>
      </c>
      <c r="H3" s="47" t="s">
        <v>32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A4" t="str">
        <f>IFERROR(VLOOKUP(B4&amp; "*",'SKU Maintenance'!D:H,5,0),"not found")</f>
        <v>2010061298251706</v>
      </c>
      <c r="B4">
        <v>40012853</v>
      </c>
      <c r="C4" t="s">
        <v>269</v>
      </c>
      <c r="D4" t="s">
        <v>233</v>
      </c>
      <c r="E4" s="3">
        <v>44750</v>
      </c>
      <c r="F4" s="49">
        <v>1</v>
      </c>
      <c r="G4" s="49">
        <v>350</v>
      </c>
      <c r="H4" t="str">
        <f>IFERROR(VLOOKUP(D4,'SKU Maintenance'!L:O,3,0),"BP not found")</f>
        <v>C-UTX002</v>
      </c>
      <c r="K4"/>
    </row>
    <row r="5" spans="1:35" x14ac:dyDescent="0.25">
      <c r="A5" t="str">
        <f>IFERROR(VLOOKUP(B5&amp; "*",'SKU Maintenance'!D:H,5,0),"not found")</f>
        <v>2010041098070155</v>
      </c>
      <c r="B5">
        <v>40012990</v>
      </c>
      <c r="C5" t="s">
        <v>147</v>
      </c>
      <c r="D5" t="s">
        <v>48</v>
      </c>
      <c r="E5" s="3">
        <v>44757</v>
      </c>
      <c r="F5" s="49">
        <v>1</v>
      </c>
      <c r="G5" s="49">
        <v>199.75</v>
      </c>
      <c r="H5" t="str">
        <f>IFERROR(VLOOKUP(D5,'SKU Maintenance'!L:O,3,0),"BP not found")</f>
        <v>C-UTX001</v>
      </c>
      <c r="K5"/>
    </row>
    <row r="6" spans="1:35" x14ac:dyDescent="0.25">
      <c r="A6" t="str">
        <f>IFERROR(VLOOKUP(B6&amp; "*",'SKU Maintenance'!D:H,5,0),"not found")</f>
        <v>2010041098070155</v>
      </c>
      <c r="B6">
        <v>40012990</v>
      </c>
      <c r="C6" t="s">
        <v>147</v>
      </c>
      <c r="D6" t="s">
        <v>351</v>
      </c>
      <c r="E6" s="3">
        <v>44754</v>
      </c>
      <c r="F6" s="49">
        <v>1</v>
      </c>
      <c r="G6" s="49">
        <v>199.75</v>
      </c>
      <c r="H6" t="str">
        <f>IFERROR(VLOOKUP(D6,'SKU Maintenance'!L:O,3,0),"BP not found")</f>
        <v>C-UTX003</v>
      </c>
      <c r="K6"/>
    </row>
    <row r="7" spans="1:35" x14ac:dyDescent="0.25">
      <c r="A7" t="str">
        <f>IFERROR(VLOOKUP(B7&amp; "*",'SKU Maintenance'!D:H,5,0),"not found")</f>
        <v>2010041098160155</v>
      </c>
      <c r="B7">
        <v>40012991</v>
      </c>
      <c r="C7" t="s">
        <v>178</v>
      </c>
      <c r="D7" t="s">
        <v>48</v>
      </c>
      <c r="E7" s="3">
        <v>44764</v>
      </c>
      <c r="F7" s="49">
        <v>1</v>
      </c>
      <c r="G7" s="49">
        <v>199.75</v>
      </c>
      <c r="H7" t="str">
        <f>IFERROR(VLOOKUP(D7,'SKU Maintenance'!L:O,3,0),"BP not found")</f>
        <v>C-UTX001</v>
      </c>
      <c r="K7"/>
    </row>
    <row r="8" spans="1:35" x14ac:dyDescent="0.25">
      <c r="A8" t="str">
        <f>IFERROR(VLOOKUP(B8&amp; "*",'SKU Maintenance'!D:H,5,0),"not found")</f>
        <v>2010041098160155</v>
      </c>
      <c r="B8">
        <v>40012991</v>
      </c>
      <c r="C8" t="s">
        <v>178</v>
      </c>
      <c r="D8" t="s">
        <v>351</v>
      </c>
      <c r="E8" s="3">
        <v>44754</v>
      </c>
      <c r="F8" s="49">
        <v>1</v>
      </c>
      <c r="G8" s="49">
        <v>199.75</v>
      </c>
      <c r="H8" t="str">
        <f>IFERROR(VLOOKUP(D8,'SKU Maintenance'!L:O,3,0),"BP not found")</f>
        <v>C-UTX003</v>
      </c>
      <c r="K8"/>
    </row>
    <row r="9" spans="1:35" x14ac:dyDescent="0.25">
      <c r="A9" t="str">
        <f>IFERROR(VLOOKUP(B9&amp; "*",'SKU Maintenance'!D:H,5,0),"not found")</f>
        <v>2010060998160006</v>
      </c>
      <c r="B9">
        <v>40013024</v>
      </c>
      <c r="C9" t="s">
        <v>312</v>
      </c>
      <c r="D9" t="s">
        <v>233</v>
      </c>
      <c r="E9" s="3">
        <v>44762</v>
      </c>
      <c r="F9" s="49">
        <v>1</v>
      </c>
      <c r="G9" s="49">
        <v>1899.75</v>
      </c>
      <c r="H9" t="str">
        <f>IFERROR(VLOOKUP(D9,'SKU Maintenance'!L:O,3,0),"BP not found")</f>
        <v>C-UTX002</v>
      </c>
      <c r="K9"/>
    </row>
    <row r="10" spans="1:35" x14ac:dyDescent="0.25">
      <c r="A10" t="str">
        <f>IFERROR(VLOOKUP(B10&amp; "*",'SKU Maintenance'!D:H,5,0),"not found")</f>
        <v>2010012104162964</v>
      </c>
      <c r="B10">
        <v>40013138</v>
      </c>
      <c r="C10" t="s">
        <v>295</v>
      </c>
      <c r="D10" t="s">
        <v>233</v>
      </c>
      <c r="E10" s="3">
        <v>44759</v>
      </c>
      <c r="F10" s="49">
        <v>1</v>
      </c>
      <c r="G10" s="49">
        <v>115</v>
      </c>
      <c r="H10" t="str">
        <f>IFERROR(VLOOKUP(D10,'SKU Maintenance'!L:O,3,0),"BP not found")</f>
        <v>C-UTX002</v>
      </c>
      <c r="K10"/>
    </row>
    <row r="11" spans="1:35" x14ac:dyDescent="0.25">
      <c r="A11" t="str">
        <f>IFERROR(VLOOKUP(B11&amp; "*",'SKU Maintenance'!D:H,5,0),"not found")</f>
        <v>2010010798987382</v>
      </c>
      <c r="B11">
        <v>40013191</v>
      </c>
      <c r="C11" t="s">
        <v>443</v>
      </c>
      <c r="D11" t="s">
        <v>433</v>
      </c>
      <c r="E11" s="3">
        <v>44753</v>
      </c>
      <c r="F11" s="49">
        <v>1</v>
      </c>
      <c r="G11" s="49">
        <v>999.75</v>
      </c>
      <c r="H11" t="str">
        <f>IFERROR(VLOOKUP(D11,'SKU Maintenance'!L:O,3,0),"BP not found")</f>
        <v>C-UTX004</v>
      </c>
      <c r="K11"/>
    </row>
    <row r="12" spans="1:35" x14ac:dyDescent="0.25">
      <c r="A12" t="str">
        <f>IFERROR(VLOOKUP(B12&amp; "*",'SKU Maintenance'!D:H,5,0),"not found")</f>
        <v>2010010798987382</v>
      </c>
      <c r="B12">
        <v>40013191</v>
      </c>
      <c r="C12" t="s">
        <v>443</v>
      </c>
      <c r="D12" t="s">
        <v>433</v>
      </c>
      <c r="E12" s="3">
        <v>44757</v>
      </c>
      <c r="F12" s="49">
        <v>1</v>
      </c>
      <c r="G12" s="49">
        <v>899.77499999999998</v>
      </c>
      <c r="H12" t="str">
        <f>IFERROR(VLOOKUP(D12,'SKU Maintenance'!L:O,3,0),"BP not found")</f>
        <v>C-UTX004</v>
      </c>
      <c r="K12"/>
    </row>
    <row r="13" spans="1:35" x14ac:dyDescent="0.25">
      <c r="A13" t="str">
        <f>IFERROR(VLOOKUP(B13&amp; "*",'SKU Maintenance'!D:H,5,0),"not found")</f>
        <v>2010011198180056</v>
      </c>
      <c r="B13">
        <v>40013205</v>
      </c>
      <c r="C13" t="s">
        <v>414</v>
      </c>
      <c r="D13" t="s">
        <v>351</v>
      </c>
      <c r="E13" s="3">
        <v>44765</v>
      </c>
      <c r="F13" s="49">
        <v>1</v>
      </c>
      <c r="G13" s="49">
        <v>199.75</v>
      </c>
      <c r="H13" t="str">
        <f>IFERROR(VLOOKUP(D13,'SKU Maintenance'!L:O,3,0),"BP not found")</f>
        <v>C-UTX003</v>
      </c>
      <c r="K13"/>
    </row>
    <row r="14" spans="1:35" x14ac:dyDescent="0.25">
      <c r="A14" t="str">
        <f>IFERROR(VLOOKUP(B14&amp; "*",'SKU Maintenance'!D:H,5,0),"not found")</f>
        <v>2010011198190057</v>
      </c>
      <c r="B14">
        <v>40013206</v>
      </c>
      <c r="C14" t="s">
        <v>413</v>
      </c>
      <c r="D14" t="s">
        <v>351</v>
      </c>
      <c r="E14" s="3">
        <v>44765</v>
      </c>
      <c r="F14" s="49">
        <v>2</v>
      </c>
      <c r="G14" s="49">
        <v>499.5</v>
      </c>
      <c r="H14" t="str">
        <f>IFERROR(VLOOKUP(D14,'SKU Maintenance'!L:O,3,0),"BP not found")</f>
        <v>C-UTX003</v>
      </c>
      <c r="K14"/>
    </row>
    <row r="15" spans="1:35" x14ac:dyDescent="0.25">
      <c r="A15" t="str">
        <f>IFERROR(VLOOKUP(B15&amp; "*",'SKU Maintenance'!D:H,5,0),"not found")</f>
        <v>2010011198180058</v>
      </c>
      <c r="B15">
        <v>40013207</v>
      </c>
      <c r="C15" t="s">
        <v>453</v>
      </c>
      <c r="D15" t="s">
        <v>433</v>
      </c>
      <c r="E15" s="3">
        <v>44758</v>
      </c>
      <c r="F15" s="49">
        <v>2</v>
      </c>
      <c r="G15" s="49">
        <v>449.55</v>
      </c>
      <c r="H15" t="str">
        <f>IFERROR(VLOOKUP(D15,'SKU Maintenance'!L:O,3,0),"BP not found")</f>
        <v>C-UTX004</v>
      </c>
      <c r="K15"/>
    </row>
    <row r="16" spans="1:35" x14ac:dyDescent="0.25">
      <c r="A16" t="str">
        <f>IFERROR(VLOOKUP(B16&amp; "*",'SKU Maintenance'!D:H,5,0),"not found")</f>
        <v>2010011198180058</v>
      </c>
      <c r="B16">
        <v>40013207</v>
      </c>
      <c r="C16" t="s">
        <v>453</v>
      </c>
      <c r="D16" t="s">
        <v>433</v>
      </c>
      <c r="E16" s="3">
        <v>44762</v>
      </c>
      <c r="F16" s="49">
        <v>5</v>
      </c>
      <c r="G16" s="49">
        <v>1123.9000000000001</v>
      </c>
      <c r="H16" t="str">
        <f>IFERROR(VLOOKUP(D16,'SKU Maintenance'!L:O,3,0),"BP not found")</f>
        <v>C-UTX004</v>
      </c>
      <c r="K16"/>
    </row>
    <row r="17" spans="1:11" x14ac:dyDescent="0.25">
      <c r="A17" t="str">
        <f>IFERROR(VLOOKUP(B17&amp; "*",'SKU Maintenance'!D:H,5,0),"not found")</f>
        <v>2010020198167039</v>
      </c>
      <c r="B17">
        <v>40013231</v>
      </c>
      <c r="C17" t="s">
        <v>218</v>
      </c>
      <c r="D17" t="s">
        <v>48</v>
      </c>
      <c r="E17" s="3">
        <v>44771</v>
      </c>
      <c r="F17" s="49">
        <v>1</v>
      </c>
      <c r="G17" s="49">
        <v>799.75</v>
      </c>
      <c r="H17" t="str">
        <f>IFERROR(VLOOKUP(D17,'SKU Maintenance'!L:O,3,0),"BP not found")</f>
        <v>C-UTX001</v>
      </c>
      <c r="K17"/>
    </row>
    <row r="18" spans="1:11" x14ac:dyDescent="0.25">
      <c r="A18" t="str">
        <f>IFERROR(VLOOKUP(B18&amp; "*",'SKU Maintenance'!D:H,5,0),"not found")</f>
        <v>2010050201225370</v>
      </c>
      <c r="B18">
        <v>40013298</v>
      </c>
      <c r="C18" t="s">
        <v>103</v>
      </c>
      <c r="D18" t="s">
        <v>233</v>
      </c>
      <c r="E18" s="3">
        <v>44768</v>
      </c>
      <c r="F18" s="49">
        <v>1</v>
      </c>
      <c r="G18" s="49">
        <v>129.75</v>
      </c>
      <c r="H18" t="str">
        <f>IFERROR(VLOOKUP(D18,'SKU Maintenance'!L:O,3,0),"BP not found")</f>
        <v>C-UTX002</v>
      </c>
      <c r="K18"/>
    </row>
    <row r="19" spans="1:11" x14ac:dyDescent="0.25">
      <c r="A19" t="str">
        <f>IFERROR(VLOOKUP(B19&amp; "*",'SKU Maintenance'!D:H,5,0),"not found")</f>
        <v>2010050201225370</v>
      </c>
      <c r="B19">
        <v>40013298</v>
      </c>
      <c r="C19" t="s">
        <v>103</v>
      </c>
      <c r="D19" t="s">
        <v>433</v>
      </c>
      <c r="E19" s="3">
        <v>44757</v>
      </c>
      <c r="F19" s="49">
        <v>1</v>
      </c>
      <c r="G19" s="49">
        <v>129.75</v>
      </c>
      <c r="H19" t="str">
        <f>IFERROR(VLOOKUP(D19,'SKU Maintenance'!L:O,3,0),"BP not found")</f>
        <v>C-UTX004</v>
      </c>
      <c r="K19"/>
    </row>
    <row r="20" spans="1:11" x14ac:dyDescent="0.25">
      <c r="A20" t="str">
        <f>IFERROR(VLOOKUP(B20&amp; "*",'SKU Maintenance'!D:H,5,0),"not found")</f>
        <v>2010050202225370</v>
      </c>
      <c r="B20">
        <v>40013299</v>
      </c>
      <c r="C20" t="s">
        <v>103</v>
      </c>
      <c r="D20" t="s">
        <v>48</v>
      </c>
      <c r="E20" s="3">
        <v>44751</v>
      </c>
      <c r="F20" s="49">
        <v>1</v>
      </c>
      <c r="G20" s="49">
        <v>149.75</v>
      </c>
      <c r="H20" t="str">
        <f>IFERROR(VLOOKUP(D20,'SKU Maintenance'!L:O,3,0),"BP not found")</f>
        <v>C-UTX001</v>
      </c>
      <c r="K20"/>
    </row>
    <row r="21" spans="1:11" x14ac:dyDescent="0.25">
      <c r="A21" t="str">
        <f>IFERROR(VLOOKUP(B21&amp; "*",'SKU Maintenance'!D:H,5,0),"not found")</f>
        <v>2010050202225370</v>
      </c>
      <c r="B21">
        <v>40013299</v>
      </c>
      <c r="C21" t="s">
        <v>103</v>
      </c>
      <c r="D21" t="s">
        <v>233</v>
      </c>
      <c r="E21" s="3">
        <v>44758</v>
      </c>
      <c r="F21" s="49">
        <v>1</v>
      </c>
      <c r="G21" s="49">
        <v>149.75</v>
      </c>
      <c r="H21" t="str">
        <f>IFERROR(VLOOKUP(D21,'SKU Maintenance'!L:O,3,0),"BP not found")</f>
        <v>C-UTX002</v>
      </c>
      <c r="K21"/>
    </row>
    <row r="22" spans="1:11" x14ac:dyDescent="0.25">
      <c r="A22" t="str">
        <f>IFERROR(VLOOKUP(B22&amp; "*",'SKU Maintenance'!D:H,5,0),"not found")</f>
        <v>2010050204225370</v>
      </c>
      <c r="B22">
        <v>40013300</v>
      </c>
      <c r="C22" t="s">
        <v>103</v>
      </c>
      <c r="D22" t="s">
        <v>48</v>
      </c>
      <c r="E22" s="3">
        <v>44762</v>
      </c>
      <c r="F22" s="49">
        <v>1</v>
      </c>
      <c r="G22" s="49">
        <v>229.75</v>
      </c>
      <c r="H22" t="str">
        <f>IFERROR(VLOOKUP(D22,'SKU Maintenance'!L:O,3,0),"BP not found")</f>
        <v>C-UTX001</v>
      </c>
      <c r="K22"/>
    </row>
    <row r="23" spans="1:11" x14ac:dyDescent="0.25">
      <c r="A23" t="str">
        <f>IFERROR(VLOOKUP(B23&amp; "*",'SKU Maintenance'!D:H,5,0),"not found")</f>
        <v>2010050204225370</v>
      </c>
      <c r="B23">
        <v>40013300</v>
      </c>
      <c r="C23" t="s">
        <v>103</v>
      </c>
      <c r="D23" t="s">
        <v>233</v>
      </c>
      <c r="E23" s="3">
        <v>44764</v>
      </c>
      <c r="F23" s="49">
        <v>1</v>
      </c>
      <c r="G23" s="49">
        <v>229.75</v>
      </c>
      <c r="H23" t="str">
        <f>IFERROR(VLOOKUP(D23,'SKU Maintenance'!L:O,3,0),"BP not found")</f>
        <v>C-UTX002</v>
      </c>
      <c r="K23"/>
    </row>
    <row r="24" spans="1:11" x14ac:dyDescent="0.25">
      <c r="A24" t="str">
        <f>IFERROR(VLOOKUP(B24&amp; "*",'SKU Maintenance'!D:H,5,0),"not found")</f>
        <v>2010050201195370</v>
      </c>
      <c r="B24">
        <v>40013301</v>
      </c>
      <c r="C24" t="s">
        <v>174</v>
      </c>
      <c r="D24" t="s">
        <v>233</v>
      </c>
      <c r="E24" s="3">
        <v>44768</v>
      </c>
      <c r="F24" s="49">
        <v>1</v>
      </c>
      <c r="G24" s="49">
        <v>129.75</v>
      </c>
      <c r="H24" t="str">
        <f>IFERROR(VLOOKUP(D24,'SKU Maintenance'!L:O,3,0),"BP not found")</f>
        <v>C-UTX002</v>
      </c>
      <c r="K24"/>
    </row>
    <row r="25" spans="1:11" x14ac:dyDescent="0.25">
      <c r="A25" t="str">
        <f>IFERROR(VLOOKUP(B25&amp; "*",'SKU Maintenance'!D:H,5,0),"not found")</f>
        <v>2010050201195370</v>
      </c>
      <c r="B25">
        <v>40013301</v>
      </c>
      <c r="C25" t="s">
        <v>174</v>
      </c>
      <c r="D25" t="s">
        <v>351</v>
      </c>
      <c r="E25" s="3">
        <v>44758</v>
      </c>
      <c r="F25" s="49">
        <v>1</v>
      </c>
      <c r="G25" s="49">
        <v>129.75</v>
      </c>
      <c r="H25" t="str">
        <f>IFERROR(VLOOKUP(D25,'SKU Maintenance'!L:O,3,0),"BP not found")</f>
        <v>C-UTX003</v>
      </c>
      <c r="K25"/>
    </row>
    <row r="26" spans="1:11" x14ac:dyDescent="0.25">
      <c r="A26" t="str">
        <f>IFERROR(VLOOKUP(B26&amp; "*",'SKU Maintenance'!D:H,5,0),"not found")</f>
        <v>2010050201195370</v>
      </c>
      <c r="B26">
        <v>40013301</v>
      </c>
      <c r="C26" t="s">
        <v>174</v>
      </c>
      <c r="D26" t="s">
        <v>351</v>
      </c>
      <c r="E26" s="3">
        <v>44766</v>
      </c>
      <c r="F26" s="49">
        <v>2</v>
      </c>
      <c r="G26" s="49">
        <v>259.5</v>
      </c>
      <c r="H26" t="str">
        <f>IFERROR(VLOOKUP(D26,'SKU Maintenance'!L:O,3,0),"BP not found")</f>
        <v>C-UTX003</v>
      </c>
      <c r="K26"/>
    </row>
    <row r="27" spans="1:11" x14ac:dyDescent="0.25">
      <c r="A27" t="str">
        <f>IFERROR(VLOOKUP(B27&amp; "*",'SKU Maintenance'!D:H,5,0),"not found")</f>
        <v>2010050201195370</v>
      </c>
      <c r="B27">
        <v>40013301</v>
      </c>
      <c r="C27" t="s">
        <v>174</v>
      </c>
      <c r="D27" t="s">
        <v>433</v>
      </c>
      <c r="E27" s="3">
        <v>44743</v>
      </c>
      <c r="F27" s="49">
        <v>1</v>
      </c>
      <c r="G27" s="49">
        <v>129.75</v>
      </c>
      <c r="H27" t="str">
        <f>IFERROR(VLOOKUP(D27,'SKU Maintenance'!L:O,3,0),"BP not found")</f>
        <v>C-UTX004</v>
      </c>
      <c r="K27"/>
    </row>
    <row r="28" spans="1:11" x14ac:dyDescent="0.25">
      <c r="A28" t="str">
        <f>IFERROR(VLOOKUP(B28&amp; "*",'SKU Maintenance'!D:H,5,0),"not found")</f>
        <v>2010050201195370</v>
      </c>
      <c r="B28">
        <v>40013301</v>
      </c>
      <c r="C28" t="s">
        <v>174</v>
      </c>
      <c r="D28" t="s">
        <v>433</v>
      </c>
      <c r="E28" s="3">
        <v>44757</v>
      </c>
      <c r="F28" s="49">
        <v>1</v>
      </c>
      <c r="G28" s="49">
        <v>129.75</v>
      </c>
      <c r="H28" t="str">
        <f>IFERROR(VLOOKUP(D28,'SKU Maintenance'!L:O,3,0),"BP not found")</f>
        <v>C-UTX004</v>
      </c>
      <c r="K28"/>
    </row>
    <row r="29" spans="1:11" x14ac:dyDescent="0.25">
      <c r="A29" t="str">
        <f>IFERROR(VLOOKUP(B29&amp; "*",'SKU Maintenance'!D:H,5,0),"not found")</f>
        <v>2010050202195370</v>
      </c>
      <c r="B29">
        <v>40013302</v>
      </c>
      <c r="C29" t="s">
        <v>174</v>
      </c>
      <c r="D29" t="s">
        <v>233</v>
      </c>
      <c r="E29" s="3">
        <v>44771</v>
      </c>
      <c r="F29" s="49">
        <v>1</v>
      </c>
      <c r="G29" s="49">
        <v>149.75</v>
      </c>
      <c r="H29" t="str">
        <f>IFERROR(VLOOKUP(D29,'SKU Maintenance'!L:O,3,0),"BP not found")</f>
        <v>C-UTX002</v>
      </c>
      <c r="K29"/>
    </row>
    <row r="30" spans="1:11" x14ac:dyDescent="0.25">
      <c r="A30" t="str">
        <f>IFERROR(VLOOKUP(B30&amp; "*",'SKU Maintenance'!D:H,5,0),"not found")</f>
        <v>2010050204195370</v>
      </c>
      <c r="B30">
        <v>40013303</v>
      </c>
      <c r="C30" t="s">
        <v>174</v>
      </c>
      <c r="D30" t="s">
        <v>48</v>
      </c>
      <c r="E30" s="3">
        <v>44762</v>
      </c>
      <c r="F30" s="49">
        <v>1</v>
      </c>
      <c r="G30" s="49">
        <v>229.75</v>
      </c>
      <c r="H30" t="str">
        <f>IFERROR(VLOOKUP(D30,'SKU Maintenance'!L:O,3,0),"BP not found")</f>
        <v>C-UTX001</v>
      </c>
      <c r="K30"/>
    </row>
    <row r="31" spans="1:11" x14ac:dyDescent="0.25">
      <c r="A31" t="str">
        <f>IFERROR(VLOOKUP(B31&amp; "*",'SKU Maintenance'!D:H,5,0),"not found")</f>
        <v>2010050201165370</v>
      </c>
      <c r="B31">
        <v>40013304</v>
      </c>
      <c r="C31" t="s">
        <v>189</v>
      </c>
      <c r="D31" t="s">
        <v>233</v>
      </c>
      <c r="E31" s="3">
        <v>44764</v>
      </c>
      <c r="F31" s="49">
        <v>1</v>
      </c>
      <c r="G31" s="49">
        <v>129.75</v>
      </c>
      <c r="H31" t="str">
        <f>IFERROR(VLOOKUP(D31,'SKU Maintenance'!L:O,3,0),"BP not found")</f>
        <v>C-UTX002</v>
      </c>
      <c r="K31"/>
    </row>
    <row r="32" spans="1:11" x14ac:dyDescent="0.25">
      <c r="A32" t="str">
        <f>IFERROR(VLOOKUP(B32&amp; "*",'SKU Maintenance'!D:H,5,0),"not found")</f>
        <v>2010050201165370</v>
      </c>
      <c r="B32">
        <v>40013304</v>
      </c>
      <c r="C32" t="s">
        <v>189</v>
      </c>
      <c r="D32" t="s">
        <v>433</v>
      </c>
      <c r="E32" s="3">
        <v>44757</v>
      </c>
      <c r="F32" s="49">
        <v>1</v>
      </c>
      <c r="G32" s="49">
        <v>129.75</v>
      </c>
      <c r="H32" t="str">
        <f>IFERROR(VLOOKUP(D32,'SKU Maintenance'!L:O,3,0),"BP not found")</f>
        <v>C-UTX004</v>
      </c>
      <c r="K32"/>
    </row>
    <row r="33" spans="1:11" x14ac:dyDescent="0.25">
      <c r="A33" t="str">
        <f>IFERROR(VLOOKUP(B33&amp; "*",'SKU Maintenance'!D:H,5,0),"not found")</f>
        <v>2010050202165370</v>
      </c>
      <c r="B33">
        <v>40013305</v>
      </c>
      <c r="C33" t="s">
        <v>189</v>
      </c>
      <c r="D33" t="s">
        <v>48</v>
      </c>
      <c r="E33" s="3">
        <v>44765</v>
      </c>
      <c r="F33" s="49">
        <v>1</v>
      </c>
      <c r="G33" s="49">
        <v>149.75</v>
      </c>
      <c r="H33" t="str">
        <f>IFERROR(VLOOKUP(D33,'SKU Maintenance'!L:O,3,0),"BP not found")</f>
        <v>C-UTX001</v>
      </c>
      <c r="K33"/>
    </row>
    <row r="34" spans="1:11" x14ac:dyDescent="0.25">
      <c r="A34" t="str">
        <f>IFERROR(VLOOKUP(B34&amp; "*",'SKU Maintenance'!D:H,5,0),"not found")</f>
        <v>2010050202165370</v>
      </c>
      <c r="B34">
        <v>40013305</v>
      </c>
      <c r="C34" t="s">
        <v>189</v>
      </c>
      <c r="D34" t="s">
        <v>233</v>
      </c>
      <c r="E34" s="3">
        <v>44754</v>
      </c>
      <c r="F34" s="49">
        <v>1</v>
      </c>
      <c r="G34" s="49">
        <v>149.75</v>
      </c>
      <c r="H34" t="str">
        <f>IFERROR(VLOOKUP(D34,'SKU Maintenance'!L:O,3,0),"BP not found")</f>
        <v>C-UTX002</v>
      </c>
      <c r="K34"/>
    </row>
    <row r="35" spans="1:11" x14ac:dyDescent="0.25">
      <c r="A35" t="str">
        <f>IFERROR(VLOOKUP(B35&amp; "*",'SKU Maintenance'!D:H,5,0),"not found")</f>
        <v>2010050204165370</v>
      </c>
      <c r="B35">
        <v>40013306</v>
      </c>
      <c r="C35" t="s">
        <v>189</v>
      </c>
      <c r="D35" t="s">
        <v>233</v>
      </c>
      <c r="E35" s="3">
        <v>44748</v>
      </c>
      <c r="F35" s="49">
        <v>2</v>
      </c>
      <c r="G35" s="49">
        <v>459.5</v>
      </c>
      <c r="H35" t="str">
        <f>IFERROR(VLOOKUP(D35,'SKU Maintenance'!L:O,3,0),"BP not found")</f>
        <v>C-UTX002</v>
      </c>
      <c r="K35"/>
    </row>
    <row r="36" spans="1:11" x14ac:dyDescent="0.25">
      <c r="A36" t="str">
        <f>IFERROR(VLOOKUP(B36&amp; "*",'SKU Maintenance'!D:H,5,0),"not found")</f>
        <v>2010050204135372</v>
      </c>
      <c r="B36">
        <v>40013318</v>
      </c>
      <c r="C36" t="s">
        <v>111</v>
      </c>
      <c r="D36" t="s">
        <v>48</v>
      </c>
      <c r="E36" s="3">
        <v>44752</v>
      </c>
      <c r="F36" s="49">
        <v>1</v>
      </c>
      <c r="G36" s="49">
        <v>229.75</v>
      </c>
      <c r="H36" t="str">
        <f>IFERROR(VLOOKUP(D36,'SKU Maintenance'!L:O,3,0),"BP not found")</f>
        <v>C-UTX001</v>
      </c>
      <c r="K36"/>
    </row>
    <row r="37" spans="1:11" x14ac:dyDescent="0.25">
      <c r="A37" t="str">
        <f>IFERROR(VLOOKUP(B37&amp; "*",'SKU Maintenance'!D:H,5,0),"not found")</f>
        <v>2010050201045372</v>
      </c>
      <c r="B37">
        <v>40013319</v>
      </c>
      <c r="C37" t="s">
        <v>446</v>
      </c>
      <c r="D37" t="s">
        <v>433</v>
      </c>
      <c r="E37" s="3">
        <v>44757</v>
      </c>
      <c r="F37" s="49">
        <v>1</v>
      </c>
      <c r="G37" s="49">
        <v>129.75</v>
      </c>
      <c r="H37" t="str">
        <f>IFERROR(VLOOKUP(D37,'SKU Maintenance'!L:O,3,0),"BP not found")</f>
        <v>C-UTX004</v>
      </c>
      <c r="K37"/>
    </row>
    <row r="38" spans="1:11" x14ac:dyDescent="0.25">
      <c r="A38" t="str">
        <f>IFERROR(VLOOKUP(B38&amp; "*",'SKU Maintenance'!D:H,5,0),"not found")</f>
        <v>2010050201105372</v>
      </c>
      <c r="B38">
        <v>40013322</v>
      </c>
      <c r="C38" t="s">
        <v>95</v>
      </c>
      <c r="D38" t="s">
        <v>48</v>
      </c>
      <c r="E38" s="3">
        <v>44768</v>
      </c>
      <c r="F38" s="49">
        <v>1</v>
      </c>
      <c r="G38" s="49">
        <v>129.75</v>
      </c>
      <c r="H38" t="str">
        <f>IFERROR(VLOOKUP(D38,'SKU Maintenance'!L:O,3,0),"BP not found")</f>
        <v>C-UTX001</v>
      </c>
      <c r="K38"/>
    </row>
    <row r="39" spans="1:11" x14ac:dyDescent="0.25">
      <c r="A39" t="str">
        <f>IFERROR(VLOOKUP(B39&amp; "*",'SKU Maintenance'!D:H,5,0),"not found")</f>
        <v>2010050202105372</v>
      </c>
      <c r="B39">
        <v>40013323</v>
      </c>
      <c r="C39" t="s">
        <v>95</v>
      </c>
      <c r="D39" t="s">
        <v>48</v>
      </c>
      <c r="E39" s="3">
        <v>44748</v>
      </c>
      <c r="F39" s="49">
        <v>1</v>
      </c>
      <c r="G39" s="49">
        <v>134.78</v>
      </c>
      <c r="H39" t="str">
        <f>IFERROR(VLOOKUP(D39,'SKU Maintenance'!L:O,3,0),"BP not found")</f>
        <v>C-UTX001</v>
      </c>
      <c r="K39"/>
    </row>
    <row r="40" spans="1:11" x14ac:dyDescent="0.25">
      <c r="A40" t="str">
        <f>IFERROR(VLOOKUP(B40&amp; "*",'SKU Maintenance'!D:H,5,0),"not found")</f>
        <v>2010050202105372</v>
      </c>
      <c r="B40">
        <v>40013323</v>
      </c>
      <c r="C40" t="s">
        <v>95</v>
      </c>
      <c r="D40" t="s">
        <v>48</v>
      </c>
      <c r="E40" s="3">
        <v>44764</v>
      </c>
      <c r="F40" s="49">
        <v>3</v>
      </c>
      <c r="G40" s="49">
        <v>449.25</v>
      </c>
      <c r="H40" t="str">
        <f>IFERROR(VLOOKUP(D40,'SKU Maintenance'!L:O,3,0),"BP not found")</f>
        <v>C-UTX001</v>
      </c>
      <c r="K40"/>
    </row>
    <row r="41" spans="1:11" x14ac:dyDescent="0.25">
      <c r="A41" t="str">
        <f>IFERROR(VLOOKUP(B41&amp; "*",'SKU Maintenance'!D:H,5,0),"not found")</f>
        <v>2010050201135374</v>
      </c>
      <c r="B41">
        <v>40013334</v>
      </c>
      <c r="C41" t="s">
        <v>64</v>
      </c>
      <c r="D41" t="s">
        <v>48</v>
      </c>
      <c r="E41" s="3">
        <v>44772</v>
      </c>
      <c r="F41" s="49">
        <v>2</v>
      </c>
      <c r="G41" s="49">
        <v>199.5</v>
      </c>
      <c r="H41" t="str">
        <f>IFERROR(VLOOKUP(D41,'SKU Maintenance'!L:O,3,0),"BP not found")</f>
        <v>C-UTX001</v>
      </c>
      <c r="K41"/>
    </row>
    <row r="42" spans="1:11" x14ac:dyDescent="0.25">
      <c r="A42" t="str">
        <f>IFERROR(VLOOKUP(B42&amp; "*",'SKU Maintenance'!D:H,5,0),"not found")</f>
        <v>2010050201135374</v>
      </c>
      <c r="B42">
        <v>40013334</v>
      </c>
      <c r="C42" t="s">
        <v>64</v>
      </c>
      <c r="D42" t="s">
        <v>433</v>
      </c>
      <c r="E42" s="3">
        <v>44771</v>
      </c>
      <c r="F42" s="49">
        <v>1</v>
      </c>
      <c r="G42" s="49">
        <v>99.75</v>
      </c>
      <c r="H42" t="str">
        <f>IFERROR(VLOOKUP(D42,'SKU Maintenance'!L:O,3,0),"BP not found")</f>
        <v>C-UTX004</v>
      </c>
      <c r="K42"/>
    </row>
    <row r="43" spans="1:11" x14ac:dyDescent="0.25">
      <c r="A43" t="str">
        <f>IFERROR(VLOOKUP(B43&amp; "*",'SKU Maintenance'!D:H,5,0),"not found")</f>
        <v>2010050202105374</v>
      </c>
      <c r="B43">
        <v>40013341</v>
      </c>
      <c r="C43" t="s">
        <v>64</v>
      </c>
      <c r="D43" t="s">
        <v>48</v>
      </c>
      <c r="E43" s="3">
        <v>44744</v>
      </c>
      <c r="F43" s="49">
        <v>1</v>
      </c>
      <c r="G43" s="49">
        <v>129.75</v>
      </c>
      <c r="H43" t="str">
        <f>IFERROR(VLOOKUP(D43,'SKU Maintenance'!L:O,3,0),"BP not found")</f>
        <v>C-UTX001</v>
      </c>
      <c r="K43"/>
    </row>
    <row r="44" spans="1:11" x14ac:dyDescent="0.25">
      <c r="A44" t="str">
        <f>IFERROR(VLOOKUP(B44&amp; "*",'SKU Maintenance'!D:H,5,0),"not found")</f>
        <v>2010050202105374</v>
      </c>
      <c r="B44">
        <v>40013341</v>
      </c>
      <c r="C44" t="s">
        <v>64</v>
      </c>
      <c r="D44" t="s">
        <v>48</v>
      </c>
      <c r="E44" s="3">
        <v>44768</v>
      </c>
      <c r="F44" s="49">
        <v>1</v>
      </c>
      <c r="G44" s="49">
        <v>129.75</v>
      </c>
      <c r="H44" t="str">
        <f>IFERROR(VLOOKUP(D44,'SKU Maintenance'!L:O,3,0),"BP not found")</f>
        <v>C-UTX001</v>
      </c>
      <c r="K44"/>
    </row>
    <row r="45" spans="1:11" x14ac:dyDescent="0.25">
      <c r="A45" t="str">
        <f>IFERROR(VLOOKUP(B45&amp; "*",'SKU Maintenance'!D:H,5,0),"not found")</f>
        <v>2010050205045379</v>
      </c>
      <c r="B45">
        <v>40013380</v>
      </c>
      <c r="C45" t="s">
        <v>442</v>
      </c>
      <c r="D45" t="s">
        <v>433</v>
      </c>
      <c r="E45" s="3">
        <v>44751</v>
      </c>
      <c r="F45" s="49">
        <v>1</v>
      </c>
      <c r="G45" s="49">
        <v>249.75</v>
      </c>
      <c r="H45" t="str">
        <f>IFERROR(VLOOKUP(D45,'SKU Maintenance'!L:O,3,0),"BP not found")</f>
        <v>C-UTX004</v>
      </c>
      <c r="K45"/>
    </row>
    <row r="46" spans="1:11" x14ac:dyDescent="0.25">
      <c r="A46" t="str">
        <f>IFERROR(VLOOKUP(B46&amp; "*",'SKU Maintenance'!D:H,5,0),"not found")</f>
        <v>2010050204035379</v>
      </c>
      <c r="B46">
        <v>40013382</v>
      </c>
      <c r="C46" t="s">
        <v>423</v>
      </c>
      <c r="D46" t="s">
        <v>351</v>
      </c>
      <c r="E46" s="3">
        <v>44767</v>
      </c>
      <c r="F46" s="49">
        <v>1</v>
      </c>
      <c r="G46" s="49">
        <v>199.75</v>
      </c>
      <c r="H46" t="str">
        <f>IFERROR(VLOOKUP(D46,'SKU Maintenance'!L:O,3,0),"BP not found")</f>
        <v>C-UTX003</v>
      </c>
      <c r="K46"/>
    </row>
    <row r="47" spans="1:11" x14ac:dyDescent="0.25">
      <c r="A47" t="str">
        <f>IFERROR(VLOOKUP(B47&amp; "*",'SKU Maintenance'!D:H,5,0),"not found")</f>
        <v>2010050205035379</v>
      </c>
      <c r="B47">
        <v>40013383</v>
      </c>
      <c r="C47" t="s">
        <v>424</v>
      </c>
      <c r="D47" t="s">
        <v>351</v>
      </c>
      <c r="E47" s="3">
        <v>44767</v>
      </c>
      <c r="F47" s="49">
        <v>1</v>
      </c>
      <c r="G47" s="49">
        <v>249.75</v>
      </c>
      <c r="H47" t="str">
        <f>IFERROR(VLOOKUP(D47,'SKU Maintenance'!L:O,3,0),"BP not found")</f>
        <v>C-UTX003</v>
      </c>
      <c r="K47"/>
    </row>
    <row r="48" spans="1:11" x14ac:dyDescent="0.25">
      <c r="A48" t="str">
        <f>IFERROR(VLOOKUP(B48&amp; "*",'SKU Maintenance'!D:H,5,0),"not found")</f>
        <v>2010050206035379</v>
      </c>
      <c r="B48">
        <v>40013385</v>
      </c>
      <c r="C48" t="s">
        <v>422</v>
      </c>
      <c r="D48" t="s">
        <v>351</v>
      </c>
      <c r="E48" s="3">
        <v>44767</v>
      </c>
      <c r="F48" s="49">
        <v>1</v>
      </c>
      <c r="G48" s="49">
        <v>399.75</v>
      </c>
      <c r="H48" t="str">
        <f>IFERROR(VLOOKUP(D48,'SKU Maintenance'!L:O,3,0),"BP not found")</f>
        <v>C-UTX003</v>
      </c>
      <c r="K48"/>
    </row>
    <row r="49" spans="1:11" x14ac:dyDescent="0.25">
      <c r="A49" t="str">
        <f>IFERROR(VLOOKUP(B49&amp; "*",'SKU Maintenance'!D:H,5,0),"not found")</f>
        <v>2010050201025380</v>
      </c>
      <c r="B49">
        <v>40013391</v>
      </c>
      <c r="C49" t="s">
        <v>448</v>
      </c>
      <c r="D49" t="s">
        <v>433</v>
      </c>
      <c r="E49" s="3">
        <v>44757</v>
      </c>
      <c r="F49" s="49">
        <v>1</v>
      </c>
      <c r="G49" s="49">
        <v>99.75</v>
      </c>
      <c r="H49" t="str">
        <f>IFERROR(VLOOKUP(D49,'SKU Maintenance'!L:O,3,0),"BP not found")</f>
        <v>C-UTX004</v>
      </c>
      <c r="K49"/>
    </row>
    <row r="50" spans="1:11" x14ac:dyDescent="0.25">
      <c r="A50" t="s">
        <v>6959</v>
      </c>
      <c r="B50">
        <v>40013539</v>
      </c>
      <c r="C50" t="s">
        <v>211</v>
      </c>
      <c r="D50" t="s">
        <v>48</v>
      </c>
      <c r="E50" s="3">
        <v>44769</v>
      </c>
      <c r="F50" s="49">
        <v>1</v>
      </c>
      <c r="G50" s="49">
        <v>229.75</v>
      </c>
      <c r="H50" t="str">
        <f>IFERROR(VLOOKUP(D50,'SKU Maintenance'!L:O,3,0),"BP not found")</f>
        <v>C-UTX001</v>
      </c>
      <c r="K50"/>
    </row>
    <row r="51" spans="1:11" x14ac:dyDescent="0.25">
      <c r="A51" t="s">
        <v>6959</v>
      </c>
      <c r="B51">
        <v>40013539</v>
      </c>
      <c r="C51" t="s">
        <v>211</v>
      </c>
      <c r="D51" t="s">
        <v>233</v>
      </c>
      <c r="E51" s="3">
        <v>44768</v>
      </c>
      <c r="F51" s="49">
        <v>1</v>
      </c>
      <c r="G51" s="49">
        <v>229.75</v>
      </c>
      <c r="H51" t="str">
        <f>IFERROR(VLOOKUP(D51,'SKU Maintenance'!L:O,3,0),"BP not found")</f>
        <v>C-UTX002</v>
      </c>
      <c r="K51"/>
    </row>
    <row r="52" spans="1:11" x14ac:dyDescent="0.25">
      <c r="A52" t="str">
        <f>IFERROR(VLOOKUP(B52&amp; "*",'SKU Maintenance'!D:H,5,0),"not found")</f>
        <v>2020021198180038</v>
      </c>
      <c r="B52">
        <v>40013570</v>
      </c>
      <c r="C52" t="s">
        <v>234</v>
      </c>
      <c r="D52" t="s">
        <v>233</v>
      </c>
      <c r="E52" s="3">
        <v>44743</v>
      </c>
      <c r="F52" s="49">
        <v>2</v>
      </c>
      <c r="G52" s="49">
        <v>3500</v>
      </c>
      <c r="H52" t="str">
        <f>IFERROR(VLOOKUP(D52,'SKU Maintenance'!L:O,3,0),"BP not found")</f>
        <v>C-UTX002</v>
      </c>
      <c r="K52"/>
    </row>
    <row r="53" spans="1:11" x14ac:dyDescent="0.25">
      <c r="A53" t="str">
        <f>IFERROR(VLOOKUP(B53&amp; "*",'SKU Maintenance'!D:H,5,0),"not found")</f>
        <v>2010030198291174</v>
      </c>
      <c r="B53">
        <v>40013728</v>
      </c>
      <c r="C53" t="s">
        <v>459</v>
      </c>
      <c r="D53" t="s">
        <v>433</v>
      </c>
      <c r="E53" s="3">
        <v>44761</v>
      </c>
      <c r="F53" s="49">
        <v>1</v>
      </c>
      <c r="G53" s="49">
        <v>399.75</v>
      </c>
      <c r="H53" t="str">
        <f>IFERROR(VLOOKUP(D53,'SKU Maintenance'!L:O,3,0),"BP not found")</f>
        <v>C-UTX004</v>
      </c>
      <c r="K53"/>
    </row>
    <row r="54" spans="1:11" x14ac:dyDescent="0.25">
      <c r="A54" t="str">
        <f>IFERROR(VLOOKUP(B54&amp; "*",'SKU Maintenance'!D:H,5,0),"not found")</f>
        <v>2010030198181175</v>
      </c>
      <c r="B54">
        <v>40013730</v>
      </c>
      <c r="C54" t="s">
        <v>172</v>
      </c>
      <c r="D54" t="s">
        <v>48</v>
      </c>
      <c r="E54" s="3">
        <v>44761</v>
      </c>
      <c r="F54" s="49">
        <v>1</v>
      </c>
      <c r="G54" s="49">
        <v>399.75</v>
      </c>
      <c r="H54" t="str">
        <f>IFERROR(VLOOKUP(D54,'SKU Maintenance'!L:O,3,0),"BP not found")</f>
        <v>C-UTX001</v>
      </c>
      <c r="K54"/>
    </row>
    <row r="55" spans="1:11" x14ac:dyDescent="0.25">
      <c r="A55" t="str">
        <f>IFERROR(VLOOKUP(B55&amp; "*",'SKU Maintenance'!D:H,5,0),"not found")</f>
        <v>2010030198181175</v>
      </c>
      <c r="B55">
        <v>40013730</v>
      </c>
      <c r="C55" t="s">
        <v>172</v>
      </c>
      <c r="D55" t="s">
        <v>351</v>
      </c>
      <c r="E55" s="3">
        <v>44771</v>
      </c>
      <c r="F55" s="49">
        <v>1</v>
      </c>
      <c r="G55" s="49">
        <v>399.75</v>
      </c>
      <c r="H55" t="str">
        <f>IFERROR(VLOOKUP(D55,'SKU Maintenance'!L:O,3,0),"BP not found")</f>
        <v>C-UTX003</v>
      </c>
      <c r="K55"/>
    </row>
    <row r="56" spans="1:11" x14ac:dyDescent="0.25">
      <c r="A56" t="str">
        <f>IFERROR(VLOOKUP(B56&amp; "*",'SKU Maintenance'!D:H,5,0),"not found")</f>
        <v>2010030198161175</v>
      </c>
      <c r="B56">
        <v>40013731</v>
      </c>
      <c r="C56" t="s">
        <v>172</v>
      </c>
      <c r="D56" t="s">
        <v>233</v>
      </c>
      <c r="E56" s="3">
        <v>44744</v>
      </c>
      <c r="F56" s="49">
        <v>1</v>
      </c>
      <c r="G56" s="49">
        <v>399.75</v>
      </c>
      <c r="H56" t="str">
        <f>IFERROR(VLOOKUP(D56,'SKU Maintenance'!L:O,3,0),"BP not found")</f>
        <v>C-UTX002</v>
      </c>
      <c r="K56"/>
    </row>
    <row r="57" spans="1:11" x14ac:dyDescent="0.25">
      <c r="A57" t="str">
        <f>IFERROR(VLOOKUP(B57&amp; "*",'SKU Maintenance'!D:H,5,0),"not found")</f>
        <v>2010030198161175</v>
      </c>
      <c r="B57">
        <v>40013731</v>
      </c>
      <c r="C57" t="s">
        <v>172</v>
      </c>
      <c r="D57" t="s">
        <v>233</v>
      </c>
      <c r="E57" s="3">
        <v>44765</v>
      </c>
      <c r="F57" s="49">
        <v>1</v>
      </c>
      <c r="G57" s="49">
        <v>399.75</v>
      </c>
      <c r="H57" t="str">
        <f>IFERROR(VLOOKUP(D57,'SKU Maintenance'!L:O,3,0),"BP not found")</f>
        <v>C-UTX002</v>
      </c>
      <c r="K57"/>
    </row>
    <row r="58" spans="1:11" x14ac:dyDescent="0.25">
      <c r="A58" t="str">
        <f>IFERROR(VLOOKUP(B58&amp; "*",'SKU Maintenance'!D:H,5,0),"not found")</f>
        <v>2010030198161175</v>
      </c>
      <c r="B58">
        <v>40013731</v>
      </c>
      <c r="C58" t="s">
        <v>172</v>
      </c>
      <c r="D58" t="s">
        <v>351</v>
      </c>
      <c r="E58" s="3">
        <v>44756</v>
      </c>
      <c r="F58" s="49">
        <v>1</v>
      </c>
      <c r="G58" s="49">
        <v>399.75</v>
      </c>
      <c r="H58" t="str">
        <f>IFERROR(VLOOKUP(D58,'SKU Maintenance'!L:O,3,0),"BP not found")</f>
        <v>C-UTX003</v>
      </c>
      <c r="K58"/>
    </row>
    <row r="59" spans="1:11" x14ac:dyDescent="0.25">
      <c r="A59" t="str">
        <f>IFERROR(VLOOKUP(B59&amp; "*",'SKU Maintenance'!D:H,5,0),"not found")</f>
        <v>2010030198221175</v>
      </c>
      <c r="B59">
        <v>40013732</v>
      </c>
      <c r="C59" t="s">
        <v>172</v>
      </c>
      <c r="D59" t="s">
        <v>233</v>
      </c>
      <c r="E59" s="3">
        <v>44746</v>
      </c>
      <c r="F59" s="49">
        <v>1</v>
      </c>
      <c r="G59" s="49">
        <v>399.75</v>
      </c>
      <c r="H59" t="str">
        <f>IFERROR(VLOOKUP(D59,'SKU Maintenance'!L:O,3,0),"BP not found")</f>
        <v>C-UTX002</v>
      </c>
      <c r="K59"/>
    </row>
    <row r="60" spans="1:11" x14ac:dyDescent="0.25">
      <c r="A60" t="str">
        <f>IFERROR(VLOOKUP(B60&amp; "*",'SKU Maintenance'!D:H,5,0),"not found")</f>
        <v>2010030198221175</v>
      </c>
      <c r="B60">
        <v>40013732</v>
      </c>
      <c r="C60" t="s">
        <v>172</v>
      </c>
      <c r="D60" t="s">
        <v>233</v>
      </c>
      <c r="E60" s="3">
        <v>44757</v>
      </c>
      <c r="F60" s="49">
        <v>1</v>
      </c>
      <c r="G60" s="49">
        <v>399.75</v>
      </c>
      <c r="H60" t="str">
        <f>IFERROR(VLOOKUP(D60,'SKU Maintenance'!L:O,3,0),"BP not found")</f>
        <v>C-UTX002</v>
      </c>
      <c r="K60"/>
    </row>
    <row r="61" spans="1:11" x14ac:dyDescent="0.25">
      <c r="A61" t="str">
        <f>IFERROR(VLOOKUP(B61&amp; "*",'SKU Maintenance'!D:H,5,0),"not found")</f>
        <v>2010030198221175</v>
      </c>
      <c r="B61">
        <v>40013732</v>
      </c>
      <c r="C61" t="s">
        <v>172</v>
      </c>
      <c r="D61" t="s">
        <v>233</v>
      </c>
      <c r="E61" s="3">
        <v>44773</v>
      </c>
      <c r="F61" s="49">
        <v>1</v>
      </c>
      <c r="G61" s="49">
        <v>399.75</v>
      </c>
      <c r="H61" t="str">
        <f>IFERROR(VLOOKUP(D61,'SKU Maintenance'!L:O,3,0),"BP not found")</f>
        <v>C-UTX002</v>
      </c>
      <c r="K61"/>
    </row>
    <row r="62" spans="1:11" x14ac:dyDescent="0.25">
      <c r="A62" t="str">
        <f>IFERROR(VLOOKUP(B62&amp; "*",'SKU Maintenance'!D:H,5,0),"not found")</f>
        <v>2010030498183412</v>
      </c>
      <c r="B62">
        <v>40013745</v>
      </c>
      <c r="C62" t="s">
        <v>263</v>
      </c>
      <c r="D62" t="s">
        <v>233</v>
      </c>
      <c r="E62" s="3">
        <v>44747</v>
      </c>
      <c r="F62" s="49">
        <v>1</v>
      </c>
      <c r="G62" s="49">
        <v>449.75</v>
      </c>
      <c r="H62" t="str">
        <f>IFERROR(VLOOKUP(D62,'SKU Maintenance'!L:O,3,0),"BP not found")</f>
        <v>C-UTX002</v>
      </c>
      <c r="K62"/>
    </row>
    <row r="63" spans="1:11" x14ac:dyDescent="0.25">
      <c r="A63" t="str">
        <f>IFERROR(VLOOKUP(B63&amp; "*",'SKU Maintenance'!D:H,5,0),"not found")</f>
        <v>2010040902177138</v>
      </c>
      <c r="B63">
        <v>40013759</v>
      </c>
      <c r="C63" t="s">
        <v>135</v>
      </c>
      <c r="D63" t="s">
        <v>48</v>
      </c>
      <c r="E63" s="3">
        <v>44756</v>
      </c>
      <c r="F63" s="49">
        <v>1</v>
      </c>
      <c r="G63" s="49">
        <v>150</v>
      </c>
      <c r="H63" t="str">
        <f>IFERROR(VLOOKUP(D63,'SKU Maintenance'!L:O,3,0),"BP not found")</f>
        <v>C-UTX001</v>
      </c>
      <c r="K63"/>
    </row>
    <row r="64" spans="1:11" x14ac:dyDescent="0.25">
      <c r="A64" t="str">
        <f>IFERROR(VLOOKUP(B64&amp; "*",'SKU Maintenance'!D:H,5,0),"X9998")</f>
        <v>X9998</v>
      </c>
      <c r="B64">
        <v>40013787</v>
      </c>
      <c r="C64" t="s">
        <v>315</v>
      </c>
      <c r="D64" t="s">
        <v>233</v>
      </c>
      <c r="E64" s="3">
        <v>44764</v>
      </c>
      <c r="F64" s="49">
        <v>1</v>
      </c>
      <c r="G64" s="49">
        <v>249.75</v>
      </c>
      <c r="H64" t="str">
        <f>IFERROR(VLOOKUP(D64,'SKU Maintenance'!L:O,3,0),"BP not found")</f>
        <v>C-UTX002</v>
      </c>
      <c r="K64"/>
    </row>
    <row r="65" spans="1:11" x14ac:dyDescent="0.25">
      <c r="A65" t="str">
        <f>IFERROR(VLOOKUP(B65&amp; "*",'SKU Maintenance'!D:H,5,0),"X9998")</f>
        <v>X9998</v>
      </c>
      <c r="B65">
        <v>40013792</v>
      </c>
      <c r="C65" t="s">
        <v>283</v>
      </c>
      <c r="D65" t="s">
        <v>233</v>
      </c>
      <c r="E65" s="3">
        <v>44756</v>
      </c>
      <c r="F65" s="49">
        <v>1</v>
      </c>
      <c r="G65" s="49">
        <v>149.75</v>
      </c>
      <c r="H65" t="str">
        <f>IFERROR(VLOOKUP(D65,'SKU Maintenance'!L:O,3,0),"BP not found")</f>
        <v>C-UTX002</v>
      </c>
      <c r="K65"/>
    </row>
    <row r="66" spans="1:11" x14ac:dyDescent="0.25">
      <c r="A66" t="str">
        <f>IFERROR(VLOOKUP(B66&amp; "*",'SKU Maintenance'!D:H,5,0),"X9998")</f>
        <v>X9998</v>
      </c>
      <c r="B66">
        <v>40013797</v>
      </c>
      <c r="C66" t="s">
        <v>466</v>
      </c>
      <c r="D66" t="s">
        <v>433</v>
      </c>
      <c r="E66" s="3">
        <v>44767</v>
      </c>
      <c r="F66" s="49">
        <v>2</v>
      </c>
      <c r="G66" s="49">
        <v>179.5</v>
      </c>
      <c r="H66" t="str">
        <f>IFERROR(VLOOKUP(D66,'SKU Maintenance'!L:O,3,0),"BP not found")</f>
        <v>C-UTX004</v>
      </c>
      <c r="K66"/>
    </row>
    <row r="67" spans="1:11" x14ac:dyDescent="0.25">
      <c r="A67" t="str">
        <f>IFERROR(VLOOKUP(B67&amp; "*",'SKU Maintenance'!D:H,5,0),"not found")</f>
        <v>2010050498048014</v>
      </c>
      <c r="B67">
        <v>40013799</v>
      </c>
      <c r="C67" t="s">
        <v>142</v>
      </c>
      <c r="D67" t="s">
        <v>48</v>
      </c>
      <c r="E67" s="3">
        <v>44757</v>
      </c>
      <c r="F67" s="49">
        <v>1</v>
      </c>
      <c r="G67" s="49">
        <v>79.75</v>
      </c>
      <c r="H67" t="str">
        <f>IFERROR(VLOOKUP(D67,'SKU Maintenance'!L:O,3,0),"BP not found")</f>
        <v>C-UTX001</v>
      </c>
      <c r="K67"/>
    </row>
    <row r="68" spans="1:11" x14ac:dyDescent="0.25">
      <c r="A68" t="str">
        <f>IFERROR(VLOOKUP(B68&amp; "*",'SKU Maintenance'!D:H,5,0),"not found")</f>
        <v>2010050498048014</v>
      </c>
      <c r="B68">
        <v>40013799</v>
      </c>
      <c r="C68" t="s">
        <v>142</v>
      </c>
      <c r="D68" t="s">
        <v>233</v>
      </c>
      <c r="E68" s="3">
        <v>44766</v>
      </c>
      <c r="F68" s="49">
        <v>1</v>
      </c>
      <c r="G68" s="49">
        <v>79.75</v>
      </c>
      <c r="H68" t="str">
        <f>IFERROR(VLOOKUP(D68,'SKU Maintenance'!L:O,3,0),"BP not found")</f>
        <v>C-UTX002</v>
      </c>
      <c r="K68"/>
    </row>
    <row r="69" spans="1:11" x14ac:dyDescent="0.25">
      <c r="A69" t="str">
        <f>IFERROR(VLOOKUP(B69&amp; "*",'SKU Maintenance'!D:H,5,0),"not found")</f>
        <v>2010050498048014</v>
      </c>
      <c r="B69">
        <v>40013799</v>
      </c>
      <c r="C69" t="s">
        <v>142</v>
      </c>
      <c r="D69" t="s">
        <v>233</v>
      </c>
      <c r="E69" s="3">
        <v>44769</v>
      </c>
      <c r="F69" s="49">
        <v>2</v>
      </c>
      <c r="G69" s="49">
        <v>159.5</v>
      </c>
      <c r="H69" t="str">
        <f>IFERROR(VLOOKUP(D69,'SKU Maintenance'!L:O,3,0),"BP not found")</f>
        <v>C-UTX002</v>
      </c>
      <c r="K69"/>
    </row>
    <row r="70" spans="1:11" x14ac:dyDescent="0.25">
      <c r="A70" t="str">
        <f>IFERROR(VLOOKUP(B70&amp; "*",'SKU Maintenance'!D:H,5,0),"not found")</f>
        <v>2010050498048014</v>
      </c>
      <c r="B70">
        <v>40013799</v>
      </c>
      <c r="C70" t="s">
        <v>142</v>
      </c>
      <c r="D70" t="s">
        <v>433</v>
      </c>
      <c r="E70" s="3">
        <v>44754</v>
      </c>
      <c r="F70" s="49">
        <v>3</v>
      </c>
      <c r="G70" s="49">
        <v>239.25</v>
      </c>
      <c r="H70" t="str">
        <f>IFERROR(VLOOKUP(D70,'SKU Maintenance'!L:O,3,0),"BP not found")</f>
        <v>C-UTX004</v>
      </c>
      <c r="K70"/>
    </row>
    <row r="71" spans="1:11" x14ac:dyDescent="0.25">
      <c r="A71" t="str">
        <f>IFERROR(VLOOKUP(B71&amp; "*",'SKU Maintenance'!D:H,5,0),"not found")</f>
        <v>2010050498138014</v>
      </c>
      <c r="B71">
        <v>40013800</v>
      </c>
      <c r="C71" t="s">
        <v>144</v>
      </c>
      <c r="D71" t="s">
        <v>48</v>
      </c>
      <c r="E71" s="3">
        <v>44757</v>
      </c>
      <c r="F71" s="49">
        <v>1</v>
      </c>
      <c r="G71" s="49">
        <v>79.75</v>
      </c>
      <c r="H71" t="str">
        <f>IFERROR(VLOOKUP(D71,'SKU Maintenance'!L:O,3,0),"BP not found")</f>
        <v>C-UTX001</v>
      </c>
      <c r="K71"/>
    </row>
    <row r="72" spans="1:11" x14ac:dyDescent="0.25">
      <c r="A72" t="str">
        <f>IFERROR(VLOOKUP(B72&amp; "*",'SKU Maintenance'!D:H,5,0),"not found")</f>
        <v>2010050498038014</v>
      </c>
      <c r="B72">
        <v>40013803</v>
      </c>
      <c r="C72" t="s">
        <v>143</v>
      </c>
      <c r="D72" t="s">
        <v>48</v>
      </c>
      <c r="E72" s="3">
        <v>44757</v>
      </c>
      <c r="F72" s="49">
        <v>1</v>
      </c>
      <c r="G72" s="49">
        <v>79.75</v>
      </c>
      <c r="H72" t="str">
        <f>IFERROR(VLOOKUP(D72,'SKU Maintenance'!L:O,3,0),"BP not found")</f>
        <v>C-UTX001</v>
      </c>
      <c r="K72"/>
    </row>
    <row r="73" spans="1:11" x14ac:dyDescent="0.25">
      <c r="A73" t="str">
        <f>IFERROR(VLOOKUP(B73&amp; "*",'SKU Maintenance'!D:H,5,0),"not found")</f>
        <v>2010050398042016</v>
      </c>
      <c r="B73">
        <v>40013804</v>
      </c>
      <c r="C73" t="s">
        <v>300</v>
      </c>
      <c r="D73" t="s">
        <v>233</v>
      </c>
      <c r="E73" s="3">
        <v>44759</v>
      </c>
      <c r="F73" s="49">
        <v>2</v>
      </c>
      <c r="G73" s="49">
        <v>99.5</v>
      </c>
      <c r="H73" t="str">
        <f>IFERROR(VLOOKUP(D73,'SKU Maintenance'!L:O,3,0),"BP not found")</f>
        <v>C-UTX002</v>
      </c>
      <c r="K73"/>
    </row>
    <row r="74" spans="1:11" x14ac:dyDescent="0.25">
      <c r="A74" t="str">
        <f>IFERROR(VLOOKUP(B74&amp; "*",'SKU Maintenance'!D:H,5,0),"not found")</f>
        <v>2010050398042016</v>
      </c>
      <c r="B74">
        <v>40013804</v>
      </c>
      <c r="C74" t="s">
        <v>300</v>
      </c>
      <c r="D74" t="s">
        <v>233</v>
      </c>
      <c r="E74" s="3">
        <v>44760</v>
      </c>
      <c r="F74" s="49">
        <v>3</v>
      </c>
      <c r="G74" s="49">
        <v>149.25</v>
      </c>
      <c r="H74" t="str">
        <f>IFERROR(VLOOKUP(D74,'SKU Maintenance'!L:O,3,0),"BP not found")</f>
        <v>C-UTX002</v>
      </c>
      <c r="K74"/>
    </row>
    <row r="75" spans="1:11" x14ac:dyDescent="0.25">
      <c r="A75" t="str">
        <f>IFERROR(VLOOKUP(B75&amp; "*",'SKU Maintenance'!D:H,5,0),"not found")</f>
        <v>2010050398042016</v>
      </c>
      <c r="B75">
        <v>40013804</v>
      </c>
      <c r="C75" t="s">
        <v>300</v>
      </c>
      <c r="D75" t="s">
        <v>351</v>
      </c>
      <c r="E75" s="3">
        <v>44749</v>
      </c>
      <c r="F75" s="49">
        <v>2</v>
      </c>
      <c r="G75" s="49">
        <v>99.5</v>
      </c>
      <c r="H75" t="str">
        <f>IFERROR(VLOOKUP(D75,'SKU Maintenance'!L:O,3,0),"BP not found")</f>
        <v>C-UTX003</v>
      </c>
      <c r="K75"/>
    </row>
    <row r="76" spans="1:11" x14ac:dyDescent="0.25">
      <c r="A76" t="str">
        <f>IFERROR(VLOOKUP(B76&amp; "*",'SKU Maintenance'!D:H,5,0),"not found")</f>
        <v>2010050398042016</v>
      </c>
      <c r="B76">
        <v>40013804</v>
      </c>
      <c r="C76" t="s">
        <v>300</v>
      </c>
      <c r="D76" t="s">
        <v>433</v>
      </c>
      <c r="E76" s="3">
        <v>44754</v>
      </c>
      <c r="F76" s="49">
        <v>2</v>
      </c>
      <c r="G76" s="49">
        <v>99.5</v>
      </c>
      <c r="H76" t="str">
        <f>IFERROR(VLOOKUP(D76,'SKU Maintenance'!L:O,3,0),"BP not found")</f>
        <v>C-UTX004</v>
      </c>
      <c r="K76"/>
    </row>
    <row r="77" spans="1:11" x14ac:dyDescent="0.25">
      <c r="A77" t="str">
        <f>IFERROR(VLOOKUP(B77&amp; "*",'SKU Maintenance'!D:H,5,0),"not found")</f>
        <v>2010050398132016</v>
      </c>
      <c r="B77">
        <v>40013805</v>
      </c>
      <c r="C77" t="s">
        <v>73</v>
      </c>
      <c r="D77" t="s">
        <v>48</v>
      </c>
      <c r="E77" s="3">
        <v>44745</v>
      </c>
      <c r="F77" s="49">
        <v>1</v>
      </c>
      <c r="G77" s="49">
        <v>49.75</v>
      </c>
      <c r="H77" t="str">
        <f>IFERROR(VLOOKUP(D77,'SKU Maintenance'!L:O,3,0),"BP not found")</f>
        <v>C-UTX001</v>
      </c>
      <c r="K77"/>
    </row>
    <row r="78" spans="1:11" x14ac:dyDescent="0.25">
      <c r="A78" t="str">
        <f>IFERROR(VLOOKUP(B78&amp; "*",'SKU Maintenance'!D:H,5,0),"not found")</f>
        <v>2010050398132016</v>
      </c>
      <c r="B78">
        <v>40013805</v>
      </c>
      <c r="C78" t="s">
        <v>73</v>
      </c>
      <c r="D78" t="s">
        <v>48</v>
      </c>
      <c r="E78" s="3">
        <v>44773</v>
      </c>
      <c r="F78" s="49">
        <v>2</v>
      </c>
      <c r="G78" s="49">
        <v>99.5</v>
      </c>
      <c r="H78" t="str">
        <f>IFERROR(VLOOKUP(D78,'SKU Maintenance'!L:O,3,0),"BP not found")</f>
        <v>C-UTX001</v>
      </c>
      <c r="K78"/>
    </row>
    <row r="79" spans="1:11" x14ac:dyDescent="0.25">
      <c r="A79" t="str">
        <f>IFERROR(VLOOKUP(B79&amp; "*",'SKU Maintenance'!D:H,5,0),"not found")</f>
        <v>2010050398132016</v>
      </c>
      <c r="B79">
        <v>40013805</v>
      </c>
      <c r="C79" t="s">
        <v>73</v>
      </c>
      <c r="D79" t="s">
        <v>233</v>
      </c>
      <c r="E79" s="3">
        <v>44744</v>
      </c>
      <c r="F79" s="49">
        <v>1</v>
      </c>
      <c r="G79" s="49">
        <v>49.75</v>
      </c>
      <c r="H79" t="str">
        <f>IFERROR(VLOOKUP(D79,'SKU Maintenance'!L:O,3,0),"BP not found")</f>
        <v>C-UTX002</v>
      </c>
      <c r="K79"/>
    </row>
    <row r="80" spans="1:11" x14ac:dyDescent="0.25">
      <c r="A80" t="str">
        <f>IFERROR(VLOOKUP(B80&amp; "*",'SKU Maintenance'!D:H,5,0),"not found")</f>
        <v>2010050398132016</v>
      </c>
      <c r="B80">
        <v>40013805</v>
      </c>
      <c r="C80" t="s">
        <v>73</v>
      </c>
      <c r="D80" t="s">
        <v>233</v>
      </c>
      <c r="E80" s="3">
        <v>44759</v>
      </c>
      <c r="F80" s="49">
        <v>1</v>
      </c>
      <c r="G80" s="49">
        <v>49.75</v>
      </c>
      <c r="H80" t="str">
        <f>IFERROR(VLOOKUP(D80,'SKU Maintenance'!L:O,3,0),"BP not found")</f>
        <v>C-UTX002</v>
      </c>
      <c r="K80"/>
    </row>
    <row r="81" spans="1:11" x14ac:dyDescent="0.25">
      <c r="A81" t="str">
        <f>IFERROR(VLOOKUP(B81&amp; "*",'SKU Maintenance'!D:H,5,0),"not found")</f>
        <v>2010050398132016</v>
      </c>
      <c r="B81">
        <v>40013805</v>
      </c>
      <c r="C81" t="s">
        <v>73</v>
      </c>
      <c r="D81" t="s">
        <v>233</v>
      </c>
      <c r="E81" s="3">
        <v>44762</v>
      </c>
      <c r="F81" s="49">
        <v>2</v>
      </c>
      <c r="G81" s="49">
        <v>99.5</v>
      </c>
      <c r="H81" t="str">
        <f>IFERROR(VLOOKUP(D81,'SKU Maintenance'!L:O,3,0),"BP not found")</f>
        <v>C-UTX002</v>
      </c>
      <c r="K81"/>
    </row>
    <row r="82" spans="1:11" x14ac:dyDescent="0.25">
      <c r="A82" t="str">
        <f>IFERROR(VLOOKUP(B82&amp; "*",'SKU Maintenance'!D:H,5,0),"not found")</f>
        <v>2010050398132016</v>
      </c>
      <c r="B82">
        <v>40013805</v>
      </c>
      <c r="C82" t="s">
        <v>73</v>
      </c>
      <c r="D82" t="s">
        <v>233</v>
      </c>
      <c r="E82" s="3">
        <v>44773</v>
      </c>
      <c r="F82" s="49">
        <v>1</v>
      </c>
      <c r="G82" s="49">
        <v>49.75</v>
      </c>
      <c r="H82" t="str">
        <f>IFERROR(VLOOKUP(D82,'SKU Maintenance'!L:O,3,0),"BP not found")</f>
        <v>C-UTX002</v>
      </c>
      <c r="K82"/>
    </row>
    <row r="83" spans="1:11" x14ac:dyDescent="0.25">
      <c r="A83" t="str">
        <f>IFERROR(VLOOKUP(B83&amp; "*",'SKU Maintenance'!D:H,5,0),"not found")</f>
        <v>2010050398132016</v>
      </c>
      <c r="B83">
        <v>40013805</v>
      </c>
      <c r="C83" t="s">
        <v>73</v>
      </c>
      <c r="D83" t="s">
        <v>433</v>
      </c>
      <c r="E83" s="3">
        <v>44770</v>
      </c>
      <c r="F83" s="49">
        <v>1</v>
      </c>
      <c r="G83" s="49">
        <v>49.75</v>
      </c>
      <c r="H83" t="str">
        <f>IFERROR(VLOOKUP(D83,'SKU Maintenance'!L:O,3,0),"BP not found")</f>
        <v>C-UTX004</v>
      </c>
      <c r="K83"/>
    </row>
    <row r="84" spans="1:11" x14ac:dyDescent="0.25">
      <c r="A84" t="str">
        <f>IFERROR(VLOOKUP(B84&amp; "*",'SKU Maintenance'!D:H,5,0),"not found")</f>
        <v>2010050398102016</v>
      </c>
      <c r="B84">
        <v>40013806</v>
      </c>
      <c r="C84" t="s">
        <v>67</v>
      </c>
      <c r="D84" t="s">
        <v>48</v>
      </c>
      <c r="E84" s="3">
        <v>44744</v>
      </c>
      <c r="F84" s="49">
        <v>1</v>
      </c>
      <c r="G84" s="49">
        <v>49.75</v>
      </c>
      <c r="H84" t="str">
        <f>IFERROR(VLOOKUP(D84,'SKU Maintenance'!L:O,3,0),"BP not found")</f>
        <v>C-UTX001</v>
      </c>
      <c r="K84"/>
    </row>
    <row r="85" spans="1:11" x14ac:dyDescent="0.25">
      <c r="A85" t="str">
        <f>IFERROR(VLOOKUP(B85&amp; "*",'SKU Maintenance'!D:H,5,0),"not found")</f>
        <v>2010050398102016</v>
      </c>
      <c r="B85">
        <v>40013806</v>
      </c>
      <c r="C85" t="s">
        <v>67</v>
      </c>
      <c r="D85" t="s">
        <v>48</v>
      </c>
      <c r="E85" s="3">
        <v>44745</v>
      </c>
      <c r="F85" s="49">
        <v>1</v>
      </c>
      <c r="G85" s="49">
        <v>49.75</v>
      </c>
      <c r="H85" t="str">
        <f>IFERROR(VLOOKUP(D85,'SKU Maintenance'!L:O,3,0),"BP not found")</f>
        <v>C-UTX001</v>
      </c>
      <c r="K85"/>
    </row>
    <row r="86" spans="1:11" x14ac:dyDescent="0.25">
      <c r="A86" t="str">
        <f>IFERROR(VLOOKUP(B86&amp; "*",'SKU Maintenance'!D:H,5,0),"not found")</f>
        <v>2010050398102016</v>
      </c>
      <c r="B86">
        <v>40013806</v>
      </c>
      <c r="C86" t="s">
        <v>67</v>
      </c>
      <c r="D86" t="s">
        <v>48</v>
      </c>
      <c r="E86" s="3">
        <v>44750</v>
      </c>
      <c r="F86" s="49">
        <v>1</v>
      </c>
      <c r="G86" s="49">
        <v>49.75</v>
      </c>
      <c r="H86" t="str">
        <f>IFERROR(VLOOKUP(D86,'SKU Maintenance'!L:O,3,0),"BP not found")</f>
        <v>C-UTX001</v>
      </c>
      <c r="K86"/>
    </row>
    <row r="87" spans="1:11" x14ac:dyDescent="0.25">
      <c r="A87" t="str">
        <f>IFERROR(VLOOKUP(B87&amp; "*",'SKU Maintenance'!D:H,5,0),"not found")</f>
        <v>2010050398102016</v>
      </c>
      <c r="B87">
        <v>40013806</v>
      </c>
      <c r="C87" t="s">
        <v>67</v>
      </c>
      <c r="D87" t="s">
        <v>48</v>
      </c>
      <c r="E87" s="3">
        <v>44773</v>
      </c>
      <c r="F87" s="49">
        <v>1</v>
      </c>
      <c r="G87" s="49">
        <v>49.75</v>
      </c>
      <c r="H87" t="str">
        <f>IFERROR(VLOOKUP(D87,'SKU Maintenance'!L:O,3,0),"BP not found")</f>
        <v>C-UTX001</v>
      </c>
      <c r="K87"/>
    </row>
    <row r="88" spans="1:11" x14ac:dyDescent="0.25">
      <c r="A88" t="str">
        <f>IFERROR(VLOOKUP(B88&amp; "*",'SKU Maintenance'!D:H,5,0),"not found")</f>
        <v>2010050398102016</v>
      </c>
      <c r="B88">
        <v>40013806</v>
      </c>
      <c r="C88" t="s">
        <v>67</v>
      </c>
      <c r="D88" t="s">
        <v>351</v>
      </c>
      <c r="E88" s="3">
        <v>44749</v>
      </c>
      <c r="F88" s="49">
        <v>2</v>
      </c>
      <c r="G88" s="49">
        <v>99.5</v>
      </c>
      <c r="H88" t="str">
        <f>IFERROR(VLOOKUP(D88,'SKU Maintenance'!L:O,3,0),"BP not found")</f>
        <v>C-UTX003</v>
      </c>
      <c r="K88"/>
    </row>
    <row r="89" spans="1:11" x14ac:dyDescent="0.25">
      <c r="A89" t="str">
        <f>IFERROR(VLOOKUP(B89&amp; "*",'SKU Maintenance'!D:H,5,0),"not found")</f>
        <v>2010050398102016</v>
      </c>
      <c r="B89">
        <v>40013806</v>
      </c>
      <c r="C89" t="s">
        <v>67</v>
      </c>
      <c r="D89" t="s">
        <v>351</v>
      </c>
      <c r="E89" s="3">
        <v>44760</v>
      </c>
      <c r="F89" s="49">
        <v>2</v>
      </c>
      <c r="G89" s="49">
        <v>99.5</v>
      </c>
      <c r="H89" t="str">
        <f>IFERROR(VLOOKUP(D89,'SKU Maintenance'!L:O,3,0),"BP not found")</f>
        <v>C-UTX003</v>
      </c>
      <c r="K89"/>
    </row>
    <row r="90" spans="1:11" x14ac:dyDescent="0.25">
      <c r="A90" t="str">
        <f>IFERROR(VLOOKUP(B90&amp; "*",'SKU Maintenance'!D:H,5,0),"not found")</f>
        <v>2010050398102016</v>
      </c>
      <c r="B90">
        <v>40013806</v>
      </c>
      <c r="C90" t="s">
        <v>67</v>
      </c>
      <c r="D90" t="s">
        <v>351</v>
      </c>
      <c r="E90" s="3">
        <v>44764</v>
      </c>
      <c r="F90" s="49">
        <v>2</v>
      </c>
      <c r="G90" s="49">
        <v>99.5</v>
      </c>
      <c r="H90" t="str">
        <f>IFERROR(VLOOKUP(D90,'SKU Maintenance'!L:O,3,0),"BP not found")</f>
        <v>C-UTX003</v>
      </c>
      <c r="K90"/>
    </row>
    <row r="91" spans="1:11" x14ac:dyDescent="0.25">
      <c r="A91" t="str">
        <f>IFERROR(VLOOKUP(B91&amp; "*",'SKU Maintenance'!D:H,5,0),"not found")</f>
        <v>2010050398102016</v>
      </c>
      <c r="B91">
        <v>40013806</v>
      </c>
      <c r="C91" t="s">
        <v>67</v>
      </c>
      <c r="D91" t="s">
        <v>433</v>
      </c>
      <c r="E91" s="3">
        <v>44750</v>
      </c>
      <c r="F91" s="49">
        <v>1</v>
      </c>
      <c r="G91" s="49">
        <v>49.75</v>
      </c>
      <c r="H91" t="str">
        <f>IFERROR(VLOOKUP(D91,'SKU Maintenance'!L:O,3,0),"BP not found")</f>
        <v>C-UTX004</v>
      </c>
      <c r="K91"/>
    </row>
    <row r="92" spans="1:11" x14ac:dyDescent="0.25">
      <c r="A92" t="str">
        <f>IFERROR(VLOOKUP(B92&amp; "*",'SKU Maintenance'!D:H,5,0),"not found")</f>
        <v>2010050398102016</v>
      </c>
      <c r="B92">
        <v>40013806</v>
      </c>
      <c r="C92" t="s">
        <v>67</v>
      </c>
      <c r="D92" t="s">
        <v>433</v>
      </c>
      <c r="E92" s="3">
        <v>44770</v>
      </c>
      <c r="F92" s="49">
        <v>1</v>
      </c>
      <c r="G92" s="49">
        <v>49.75</v>
      </c>
      <c r="H92" t="str">
        <f>IFERROR(VLOOKUP(D92,'SKU Maintenance'!L:O,3,0),"BP not found")</f>
        <v>C-UTX004</v>
      </c>
      <c r="K92"/>
    </row>
    <row r="93" spans="1:11" x14ac:dyDescent="0.25">
      <c r="A93" t="str">
        <f>IFERROR(VLOOKUP(B93&amp; "*",'SKU Maintenance'!D:H,5,0),"not found")</f>
        <v>2010050398162016</v>
      </c>
      <c r="B93">
        <v>40013807</v>
      </c>
      <c r="C93" t="s">
        <v>301</v>
      </c>
      <c r="D93" t="s">
        <v>233</v>
      </c>
      <c r="E93" s="3">
        <v>44759</v>
      </c>
      <c r="F93" s="49">
        <v>1</v>
      </c>
      <c r="G93" s="49">
        <v>39.75</v>
      </c>
      <c r="H93" t="str">
        <f>IFERROR(VLOOKUP(D93,'SKU Maintenance'!L:O,3,0),"BP not found")</f>
        <v>C-UTX002</v>
      </c>
      <c r="K93"/>
    </row>
    <row r="94" spans="1:11" x14ac:dyDescent="0.25">
      <c r="A94" t="str">
        <f>IFERROR(VLOOKUP(B94&amp; "*",'SKU Maintenance'!D:H,5,0),"not found")</f>
        <v>2010050398032016</v>
      </c>
      <c r="B94">
        <v>40013808</v>
      </c>
      <c r="C94" t="s">
        <v>362</v>
      </c>
      <c r="D94" t="s">
        <v>351</v>
      </c>
      <c r="E94" s="3">
        <v>44749</v>
      </c>
      <c r="F94" s="49">
        <v>2</v>
      </c>
      <c r="G94" s="49">
        <v>99.5</v>
      </c>
      <c r="H94" t="str">
        <f>IFERROR(VLOOKUP(D94,'SKU Maintenance'!L:O,3,0),"BP not found")</f>
        <v>C-UTX003</v>
      </c>
      <c r="K94"/>
    </row>
    <row r="95" spans="1:11" x14ac:dyDescent="0.25">
      <c r="A95" t="str">
        <f>IFERROR(VLOOKUP(B95&amp; "*",'SKU Maintenance'!D:H,5,0),"not found")</f>
        <v>2010050198042523</v>
      </c>
      <c r="B95">
        <v>40013809</v>
      </c>
      <c r="C95" t="s">
        <v>371</v>
      </c>
      <c r="D95" t="s">
        <v>351</v>
      </c>
      <c r="E95" s="3">
        <v>44751</v>
      </c>
      <c r="F95" s="49">
        <v>1</v>
      </c>
      <c r="G95" s="49">
        <v>99.75</v>
      </c>
      <c r="H95" t="str">
        <f>IFERROR(VLOOKUP(D95,'SKU Maintenance'!L:O,3,0),"BP not found")</f>
        <v>C-UTX003</v>
      </c>
      <c r="K95"/>
    </row>
    <row r="96" spans="1:11" x14ac:dyDescent="0.25">
      <c r="A96" t="str">
        <f>IFERROR(VLOOKUP(B96&amp; "*",'SKU Maintenance'!D:H,5,0),"not found")</f>
        <v>2010050198042523</v>
      </c>
      <c r="B96">
        <v>40013809</v>
      </c>
      <c r="C96" t="s">
        <v>371</v>
      </c>
      <c r="D96" t="s">
        <v>433</v>
      </c>
      <c r="E96" s="3">
        <v>44755</v>
      </c>
      <c r="F96" s="49">
        <v>1</v>
      </c>
      <c r="G96" s="49">
        <v>99.75</v>
      </c>
      <c r="H96" t="str">
        <f>IFERROR(VLOOKUP(D96,'SKU Maintenance'!L:O,3,0),"BP not found")</f>
        <v>C-UTX004</v>
      </c>
      <c r="K96"/>
    </row>
    <row r="97" spans="1:11" x14ac:dyDescent="0.25">
      <c r="A97" t="str">
        <f>IFERROR(VLOOKUP(B97&amp; "*",'SKU Maintenance'!D:H,5,0),"not found")</f>
        <v>2010050198042523</v>
      </c>
      <c r="B97">
        <v>40013809</v>
      </c>
      <c r="C97" t="s">
        <v>371</v>
      </c>
      <c r="D97" t="s">
        <v>433</v>
      </c>
      <c r="E97" s="3">
        <v>44758</v>
      </c>
      <c r="F97" s="49">
        <v>4</v>
      </c>
      <c r="G97" s="49">
        <v>399</v>
      </c>
      <c r="H97" t="str">
        <f>IFERROR(VLOOKUP(D97,'SKU Maintenance'!L:O,3,0),"BP not found")</f>
        <v>C-UTX004</v>
      </c>
      <c r="K97"/>
    </row>
    <row r="98" spans="1:11" x14ac:dyDescent="0.25">
      <c r="A98" t="str">
        <f>IFERROR(VLOOKUP(B98&amp; "*",'SKU Maintenance'!D:H,5,0),"not found")</f>
        <v>2010050198022523</v>
      </c>
      <c r="B98">
        <v>40013810</v>
      </c>
      <c r="C98" t="s">
        <v>426</v>
      </c>
      <c r="D98" t="s">
        <v>351</v>
      </c>
      <c r="E98" s="3">
        <v>44769</v>
      </c>
      <c r="F98" s="49">
        <v>1</v>
      </c>
      <c r="G98" s="49">
        <v>99.75</v>
      </c>
      <c r="H98" t="str">
        <f>IFERROR(VLOOKUP(D98,'SKU Maintenance'!L:O,3,0),"BP not found")</f>
        <v>C-UTX003</v>
      </c>
      <c r="K98"/>
    </row>
    <row r="99" spans="1:11" x14ac:dyDescent="0.25">
      <c r="A99" t="str">
        <f>IFERROR(VLOOKUP(B99&amp; "*",'SKU Maintenance'!D:H,5,0),"not found")</f>
        <v>2010050198022523</v>
      </c>
      <c r="B99">
        <v>40013810</v>
      </c>
      <c r="C99" t="s">
        <v>426</v>
      </c>
      <c r="D99" t="s">
        <v>433</v>
      </c>
      <c r="E99" s="3">
        <v>44758</v>
      </c>
      <c r="F99" s="49">
        <v>1</v>
      </c>
      <c r="G99" s="49">
        <v>99.75</v>
      </c>
      <c r="H99" t="str">
        <f>IFERROR(VLOOKUP(D99,'SKU Maintenance'!L:O,3,0),"BP not found")</f>
        <v>C-UTX004</v>
      </c>
      <c r="K99"/>
    </row>
    <row r="100" spans="1:11" x14ac:dyDescent="0.25">
      <c r="A100" t="str">
        <f>IFERROR(VLOOKUP(B100&amp; "*",'SKU Maintenance'!D:H,5,0),"not found")</f>
        <v>2010050198132523</v>
      </c>
      <c r="B100">
        <v>40013811</v>
      </c>
      <c r="C100" t="s">
        <v>363</v>
      </c>
      <c r="D100" t="s">
        <v>351</v>
      </c>
      <c r="E100" s="3">
        <v>44749</v>
      </c>
      <c r="F100" s="49">
        <v>1</v>
      </c>
      <c r="G100" s="49">
        <v>99.75</v>
      </c>
      <c r="H100" t="str">
        <f>IFERROR(VLOOKUP(D100,'SKU Maintenance'!L:O,3,0),"BP not found")</f>
        <v>C-UTX003</v>
      </c>
      <c r="K100"/>
    </row>
    <row r="101" spans="1:11" x14ac:dyDescent="0.25">
      <c r="A101" t="str">
        <f>IFERROR(VLOOKUP(B101&amp; "*",'SKU Maintenance'!D:H,5,0),"not found")</f>
        <v>2010050198102523</v>
      </c>
      <c r="B101">
        <v>40013812</v>
      </c>
      <c r="C101" t="s">
        <v>401</v>
      </c>
      <c r="D101" t="s">
        <v>351</v>
      </c>
      <c r="E101" s="3">
        <v>44756</v>
      </c>
      <c r="F101" s="49">
        <v>1</v>
      </c>
      <c r="G101" s="49">
        <v>99.75</v>
      </c>
      <c r="H101" t="str">
        <f>IFERROR(VLOOKUP(D101,'SKU Maintenance'!L:O,3,0),"BP not found")</f>
        <v>C-UTX003</v>
      </c>
      <c r="K101"/>
    </row>
    <row r="102" spans="1:11" x14ac:dyDescent="0.25">
      <c r="A102" t="str">
        <f>IFERROR(VLOOKUP(B102&amp; "*",'SKU Maintenance'!D:H,5,0),"not found")</f>
        <v>2010050198162523</v>
      </c>
      <c r="B102">
        <v>40013813</v>
      </c>
      <c r="C102" t="s">
        <v>56</v>
      </c>
      <c r="D102" t="s">
        <v>48</v>
      </c>
      <c r="E102" s="3">
        <v>44743</v>
      </c>
      <c r="F102" s="49">
        <v>1</v>
      </c>
      <c r="G102" s="49">
        <v>79.75</v>
      </c>
      <c r="H102" t="str">
        <f>IFERROR(VLOOKUP(D102,'SKU Maintenance'!L:O,3,0),"BP not found")</f>
        <v>C-UTX001</v>
      </c>
      <c r="K102"/>
    </row>
    <row r="103" spans="1:11" x14ac:dyDescent="0.25">
      <c r="A103" t="str">
        <f>IFERROR(VLOOKUP(B103&amp; "*",'SKU Maintenance'!D:H,5,0),"not found")</f>
        <v>2010050198162523</v>
      </c>
      <c r="B103">
        <v>40013813</v>
      </c>
      <c r="C103" t="s">
        <v>56</v>
      </c>
      <c r="D103" t="s">
        <v>48</v>
      </c>
      <c r="E103" s="3">
        <v>44744</v>
      </c>
      <c r="F103" s="49">
        <v>1</v>
      </c>
      <c r="G103" s="49">
        <v>79.75</v>
      </c>
      <c r="H103" t="str">
        <f>IFERROR(VLOOKUP(D103,'SKU Maintenance'!L:O,3,0),"BP not found")</f>
        <v>C-UTX001</v>
      </c>
      <c r="K103"/>
    </row>
    <row r="104" spans="1:11" x14ac:dyDescent="0.25">
      <c r="A104" t="str">
        <f>IFERROR(VLOOKUP(B104&amp; "*",'SKU Maintenance'!D:H,5,0),"not found")</f>
        <v>2010050198162523</v>
      </c>
      <c r="B104">
        <v>40013813</v>
      </c>
      <c r="C104" t="s">
        <v>56</v>
      </c>
      <c r="D104" t="s">
        <v>433</v>
      </c>
      <c r="E104" s="3">
        <v>44758</v>
      </c>
      <c r="F104" s="49">
        <v>2</v>
      </c>
      <c r="G104" s="49">
        <v>159.5</v>
      </c>
      <c r="H104" t="str">
        <f>IFERROR(VLOOKUP(D104,'SKU Maintenance'!L:O,3,0),"BP not found")</f>
        <v>C-UTX004</v>
      </c>
      <c r="K104"/>
    </row>
    <row r="105" spans="1:11" x14ac:dyDescent="0.25">
      <c r="A105" t="str">
        <f>IFERROR(VLOOKUP(B105&amp; "*",'SKU Maintenance'!D:H,5,0),"not found")</f>
        <v>2010050198162523</v>
      </c>
      <c r="B105">
        <v>40013813</v>
      </c>
      <c r="C105" t="s">
        <v>56</v>
      </c>
      <c r="D105" t="s">
        <v>433</v>
      </c>
      <c r="E105" s="3">
        <v>44759</v>
      </c>
      <c r="F105" s="49">
        <v>1</v>
      </c>
      <c r="G105" s="49">
        <v>79.75</v>
      </c>
      <c r="H105" t="str">
        <f>IFERROR(VLOOKUP(D105,'SKU Maintenance'!L:O,3,0),"BP not found")</f>
        <v>C-UTX004</v>
      </c>
      <c r="K105"/>
    </row>
    <row r="106" spans="1:11" x14ac:dyDescent="0.25">
      <c r="A106" t="str">
        <f>IFERROR(VLOOKUP(B106&amp; "*",'SKU Maintenance'!D:H,5,0),"not found")</f>
        <v>2010050198162523</v>
      </c>
      <c r="B106">
        <v>40013813</v>
      </c>
      <c r="C106" t="s">
        <v>56</v>
      </c>
      <c r="D106" t="s">
        <v>433</v>
      </c>
      <c r="E106" s="3">
        <v>44771</v>
      </c>
      <c r="F106" s="49">
        <v>1</v>
      </c>
      <c r="G106" s="49">
        <v>79.75</v>
      </c>
      <c r="H106" t="str">
        <f>IFERROR(VLOOKUP(D106,'SKU Maintenance'!L:O,3,0),"BP not found")</f>
        <v>C-UTX004</v>
      </c>
      <c r="K106"/>
    </row>
    <row r="107" spans="1:11" x14ac:dyDescent="0.25">
      <c r="A107" t="str">
        <f>IFERROR(VLOOKUP(B107&amp; "*",'SKU Maintenance'!D:H,5,0),"not found")</f>
        <v>2010050198032523</v>
      </c>
      <c r="B107">
        <v>40013814</v>
      </c>
      <c r="C107" t="s">
        <v>398</v>
      </c>
      <c r="D107" t="s">
        <v>351</v>
      </c>
      <c r="E107" s="3">
        <v>44755</v>
      </c>
      <c r="F107" s="49">
        <v>1</v>
      </c>
      <c r="G107" s="49">
        <v>99.75</v>
      </c>
      <c r="H107" t="str">
        <f>IFERROR(VLOOKUP(D107,'SKU Maintenance'!L:O,3,0),"BP not found")</f>
        <v>C-UTX003</v>
      </c>
      <c r="K107"/>
    </row>
    <row r="108" spans="1:11" x14ac:dyDescent="0.25">
      <c r="A108" t="str">
        <f>IFERROR(VLOOKUP(B108&amp; "*",'SKU Maintenance'!D:H,5,0),"not found")</f>
        <v>2010050198032523</v>
      </c>
      <c r="B108">
        <v>40013814</v>
      </c>
      <c r="C108" t="s">
        <v>398</v>
      </c>
      <c r="D108" t="s">
        <v>351</v>
      </c>
      <c r="E108" s="3">
        <v>44763</v>
      </c>
      <c r="F108" s="49">
        <v>1</v>
      </c>
      <c r="G108" s="49">
        <v>99.75</v>
      </c>
      <c r="H108" t="str">
        <f>IFERROR(VLOOKUP(D108,'SKU Maintenance'!L:O,3,0),"BP not found")</f>
        <v>C-UTX003</v>
      </c>
      <c r="K108"/>
    </row>
    <row r="109" spans="1:11" x14ac:dyDescent="0.25">
      <c r="A109" t="str">
        <f>IFERROR(VLOOKUP(B109&amp; "*",'SKU Maintenance'!D:H,5,0),"not found")</f>
        <v>2010050198032523</v>
      </c>
      <c r="B109">
        <v>40013814</v>
      </c>
      <c r="C109" t="s">
        <v>398</v>
      </c>
      <c r="D109" t="s">
        <v>351</v>
      </c>
      <c r="E109" s="3">
        <v>44766</v>
      </c>
      <c r="F109" s="49">
        <v>1</v>
      </c>
      <c r="G109" s="49">
        <v>99.75</v>
      </c>
      <c r="H109" t="str">
        <f>IFERROR(VLOOKUP(D109,'SKU Maintenance'!L:O,3,0),"BP not found")</f>
        <v>C-UTX003</v>
      </c>
      <c r="K109"/>
    </row>
    <row r="110" spans="1:11" x14ac:dyDescent="0.25">
      <c r="A110" t="str">
        <f>IFERROR(VLOOKUP(B110&amp; "*",'SKU Maintenance'!D:H,5,0),"not found")</f>
        <v>2010050198032523</v>
      </c>
      <c r="B110">
        <v>40013814</v>
      </c>
      <c r="C110" t="s">
        <v>398</v>
      </c>
      <c r="D110" t="s">
        <v>351</v>
      </c>
      <c r="E110" s="3">
        <v>44769</v>
      </c>
      <c r="F110" s="49">
        <v>1</v>
      </c>
      <c r="G110" s="49">
        <v>99.75</v>
      </c>
      <c r="H110" t="str">
        <f>IFERROR(VLOOKUP(D110,'SKU Maintenance'!L:O,3,0),"BP not found")</f>
        <v>C-UTX003</v>
      </c>
      <c r="K110"/>
    </row>
    <row r="111" spans="1:11" x14ac:dyDescent="0.25">
      <c r="A111" t="str">
        <f>IFERROR(VLOOKUP(B111&amp; "*",'SKU Maintenance'!D:H,5,0),"not found")</f>
        <v>2010050198022524</v>
      </c>
      <c r="B111">
        <v>40013816</v>
      </c>
      <c r="C111" t="s">
        <v>81</v>
      </c>
      <c r="D111" t="s">
        <v>48</v>
      </c>
      <c r="E111" s="3">
        <v>44746</v>
      </c>
      <c r="F111" s="49">
        <v>1</v>
      </c>
      <c r="G111" s="49">
        <v>299.75</v>
      </c>
      <c r="H111" t="str">
        <f>IFERROR(VLOOKUP(D111,'SKU Maintenance'!L:O,3,0),"BP not found")</f>
        <v>C-UTX001</v>
      </c>
      <c r="K111"/>
    </row>
    <row r="112" spans="1:11" x14ac:dyDescent="0.25">
      <c r="A112" t="str">
        <f>IFERROR(VLOOKUP(B112&amp; "*",'SKU Maintenance'!D:H,5,0),"not found")</f>
        <v>2010050198022524</v>
      </c>
      <c r="B112">
        <v>40013816</v>
      </c>
      <c r="C112" t="s">
        <v>81</v>
      </c>
      <c r="D112" t="s">
        <v>48</v>
      </c>
      <c r="E112" s="3">
        <v>44762</v>
      </c>
      <c r="F112" s="49">
        <v>1</v>
      </c>
      <c r="G112" s="49">
        <v>299.75</v>
      </c>
      <c r="H112" t="str">
        <f>IFERROR(VLOOKUP(D112,'SKU Maintenance'!L:O,3,0),"BP not found")</f>
        <v>C-UTX001</v>
      </c>
      <c r="K112"/>
    </row>
    <row r="113" spans="1:11" x14ac:dyDescent="0.25">
      <c r="A113" t="str">
        <f>IFERROR(VLOOKUP(B113&amp; "*",'SKU Maintenance'!D:H,5,0),"not found")</f>
        <v>2010050198022524</v>
      </c>
      <c r="B113">
        <v>40013816</v>
      </c>
      <c r="C113" t="s">
        <v>81</v>
      </c>
      <c r="D113" t="s">
        <v>48</v>
      </c>
      <c r="E113" s="3">
        <v>44770</v>
      </c>
      <c r="F113" s="49">
        <v>1</v>
      </c>
      <c r="G113" s="49">
        <v>299.75</v>
      </c>
      <c r="H113" t="str">
        <f>IFERROR(VLOOKUP(D113,'SKU Maintenance'!L:O,3,0),"BP not found")</f>
        <v>C-UTX001</v>
      </c>
      <c r="K113"/>
    </row>
    <row r="114" spans="1:11" x14ac:dyDescent="0.25">
      <c r="A114" t="str">
        <f>IFERROR(VLOOKUP(B114&amp; "*",'SKU Maintenance'!D:H,5,0),"not found")</f>
        <v>2010050198132524</v>
      </c>
      <c r="B114">
        <v>40013817</v>
      </c>
      <c r="C114" t="s">
        <v>125</v>
      </c>
      <c r="D114" t="s">
        <v>48</v>
      </c>
      <c r="E114" s="3">
        <v>44755</v>
      </c>
      <c r="F114" s="49">
        <v>1</v>
      </c>
      <c r="G114" s="49">
        <v>299.75</v>
      </c>
      <c r="H114" t="str">
        <f>IFERROR(VLOOKUP(D114,'SKU Maintenance'!L:O,3,0),"BP not found")</f>
        <v>C-UTX001</v>
      </c>
      <c r="K114"/>
    </row>
    <row r="115" spans="1:11" x14ac:dyDescent="0.25">
      <c r="A115" t="str">
        <f>IFERROR(VLOOKUP(B115&amp; "*",'SKU Maintenance'!D:H,5,0),"not found")</f>
        <v>2010050198132524</v>
      </c>
      <c r="B115">
        <v>40013817</v>
      </c>
      <c r="C115" t="s">
        <v>125</v>
      </c>
      <c r="D115" t="s">
        <v>351</v>
      </c>
      <c r="E115" s="3">
        <v>44754</v>
      </c>
      <c r="F115" s="49">
        <v>1</v>
      </c>
      <c r="G115" s="49">
        <v>299.75</v>
      </c>
      <c r="H115" t="str">
        <f>IFERROR(VLOOKUP(D115,'SKU Maintenance'!L:O,3,0),"BP not found")</f>
        <v>C-UTX003</v>
      </c>
      <c r="K115"/>
    </row>
    <row r="116" spans="1:11" x14ac:dyDescent="0.25">
      <c r="A116" t="str">
        <f>IFERROR(VLOOKUP(B116&amp; "*",'SKU Maintenance'!D:H,5,0),"not found")</f>
        <v>2010050198132524</v>
      </c>
      <c r="B116">
        <v>40013817</v>
      </c>
      <c r="C116" t="s">
        <v>125</v>
      </c>
      <c r="D116" t="s">
        <v>351</v>
      </c>
      <c r="E116" s="3">
        <v>44765</v>
      </c>
      <c r="F116" s="49">
        <v>1</v>
      </c>
      <c r="G116" s="49">
        <v>299.75</v>
      </c>
      <c r="H116" t="str">
        <f>IFERROR(VLOOKUP(D116,'SKU Maintenance'!L:O,3,0),"BP not found")</f>
        <v>C-UTX003</v>
      </c>
      <c r="K116"/>
    </row>
    <row r="117" spans="1:11" x14ac:dyDescent="0.25">
      <c r="A117" t="str">
        <f>IFERROR(VLOOKUP(B117&amp; "*",'SKU Maintenance'!D:H,5,0),"not found")</f>
        <v>2010050198132524</v>
      </c>
      <c r="B117">
        <v>40013817</v>
      </c>
      <c r="C117" t="s">
        <v>125</v>
      </c>
      <c r="D117" t="s">
        <v>351</v>
      </c>
      <c r="E117" s="3">
        <v>44768</v>
      </c>
      <c r="F117" s="49">
        <v>1</v>
      </c>
      <c r="G117" s="49">
        <v>299.75</v>
      </c>
      <c r="H117" t="str">
        <f>IFERROR(VLOOKUP(D117,'SKU Maintenance'!L:O,3,0),"BP not found")</f>
        <v>C-UTX003</v>
      </c>
      <c r="K117"/>
    </row>
    <row r="118" spans="1:11" x14ac:dyDescent="0.25">
      <c r="A118" t="str">
        <f>IFERROR(VLOOKUP(B118&amp; "*",'SKU Maintenance'!D:H,5,0),"not found")</f>
        <v>2010050198132524</v>
      </c>
      <c r="B118">
        <v>40013817</v>
      </c>
      <c r="C118" t="s">
        <v>125</v>
      </c>
      <c r="D118" t="s">
        <v>433</v>
      </c>
      <c r="E118" s="3">
        <v>44750</v>
      </c>
      <c r="F118" s="49">
        <v>1</v>
      </c>
      <c r="G118" s="49">
        <v>299.75</v>
      </c>
      <c r="H118" t="str">
        <f>IFERROR(VLOOKUP(D118,'SKU Maintenance'!L:O,3,0),"BP not found")</f>
        <v>C-UTX004</v>
      </c>
      <c r="K118"/>
    </row>
    <row r="119" spans="1:11" x14ac:dyDescent="0.25">
      <c r="A119" t="str">
        <f>IFERROR(VLOOKUP(B119&amp; "*",'SKU Maintenance'!D:H,5,0),"not found")</f>
        <v>2010050198132524</v>
      </c>
      <c r="B119">
        <v>40013817</v>
      </c>
      <c r="C119" t="s">
        <v>125</v>
      </c>
      <c r="D119" t="s">
        <v>433</v>
      </c>
      <c r="E119" s="3">
        <v>44752</v>
      </c>
      <c r="F119" s="49">
        <v>1</v>
      </c>
      <c r="G119" s="49">
        <v>299.75</v>
      </c>
      <c r="H119" t="str">
        <f>IFERROR(VLOOKUP(D119,'SKU Maintenance'!L:O,3,0),"BP not found")</f>
        <v>C-UTX004</v>
      </c>
      <c r="K119"/>
    </row>
    <row r="120" spans="1:11" x14ac:dyDescent="0.25">
      <c r="A120" t="str">
        <f>IFERROR(VLOOKUP(B120&amp; "*",'SKU Maintenance'!D:H,5,0),"not found")</f>
        <v>2010050198132524</v>
      </c>
      <c r="B120">
        <v>40013817</v>
      </c>
      <c r="C120" t="s">
        <v>125</v>
      </c>
      <c r="D120" t="s">
        <v>433</v>
      </c>
      <c r="E120" s="3">
        <v>44763</v>
      </c>
      <c r="F120" s="49">
        <v>1</v>
      </c>
      <c r="G120" s="49">
        <v>299.75</v>
      </c>
      <c r="H120" t="str">
        <f>IFERROR(VLOOKUP(D120,'SKU Maintenance'!L:O,3,0),"BP not found")</f>
        <v>C-UTX004</v>
      </c>
      <c r="K120"/>
    </row>
    <row r="121" spans="1:11" x14ac:dyDescent="0.25">
      <c r="A121" t="str">
        <f>IFERROR(VLOOKUP(B121&amp; "*",'SKU Maintenance'!D:H,5,0),"not found")</f>
        <v>2010050198102524</v>
      </c>
      <c r="B121">
        <v>40013818</v>
      </c>
      <c r="C121" t="s">
        <v>372</v>
      </c>
      <c r="D121" t="s">
        <v>351</v>
      </c>
      <c r="E121" s="3">
        <v>44751</v>
      </c>
      <c r="F121" s="49">
        <v>1</v>
      </c>
      <c r="G121" s="49">
        <v>299.75</v>
      </c>
      <c r="H121" t="str">
        <f>IFERROR(VLOOKUP(D121,'SKU Maintenance'!L:O,3,0),"BP not found")</f>
        <v>C-UTX003</v>
      </c>
      <c r="K121"/>
    </row>
    <row r="122" spans="1:11" x14ac:dyDescent="0.25">
      <c r="A122" t="str">
        <f>IFERROR(VLOOKUP(B122&amp; "*",'SKU Maintenance'!D:H,5,0),"not found")</f>
        <v>2010050198102524</v>
      </c>
      <c r="B122">
        <v>40013818</v>
      </c>
      <c r="C122" t="s">
        <v>372</v>
      </c>
      <c r="D122" t="s">
        <v>433</v>
      </c>
      <c r="E122" s="3">
        <v>44744</v>
      </c>
      <c r="F122" s="49">
        <v>1</v>
      </c>
      <c r="G122" s="49">
        <v>299.75</v>
      </c>
      <c r="H122" t="str">
        <f>IFERROR(VLOOKUP(D122,'SKU Maintenance'!L:O,3,0),"BP not found")</f>
        <v>C-UTX004</v>
      </c>
      <c r="K122"/>
    </row>
    <row r="123" spans="1:11" x14ac:dyDescent="0.25">
      <c r="A123" t="str">
        <f>IFERROR(VLOOKUP(B123&amp; "*",'SKU Maintenance'!D:H,5,0),"not found")</f>
        <v>2010050198102524</v>
      </c>
      <c r="B123">
        <v>40013818</v>
      </c>
      <c r="C123" t="s">
        <v>372</v>
      </c>
      <c r="D123" t="s">
        <v>433</v>
      </c>
      <c r="E123" s="3">
        <v>44762</v>
      </c>
      <c r="F123" s="49">
        <v>1</v>
      </c>
      <c r="G123" s="49">
        <v>299.75</v>
      </c>
      <c r="H123" t="str">
        <f>IFERROR(VLOOKUP(D123,'SKU Maintenance'!L:O,3,0),"BP not found")</f>
        <v>C-UTX004</v>
      </c>
      <c r="K123"/>
    </row>
    <row r="124" spans="1:11" x14ac:dyDescent="0.25">
      <c r="A124" t="str">
        <f>IFERROR(VLOOKUP(B124&amp; "*",'SKU Maintenance'!D:H,5,0),"not found")</f>
        <v>2010050198102524</v>
      </c>
      <c r="B124">
        <v>40013818</v>
      </c>
      <c r="C124" t="s">
        <v>372</v>
      </c>
      <c r="D124" t="s">
        <v>433</v>
      </c>
      <c r="E124" s="3">
        <v>44765</v>
      </c>
      <c r="F124" s="49">
        <v>1</v>
      </c>
      <c r="G124" s="49">
        <v>299.75</v>
      </c>
      <c r="H124" t="str">
        <f>IFERROR(VLOOKUP(D124,'SKU Maintenance'!L:O,3,0),"BP not found")</f>
        <v>C-UTX004</v>
      </c>
      <c r="K124"/>
    </row>
    <row r="125" spans="1:11" x14ac:dyDescent="0.25">
      <c r="A125" t="str">
        <f>IFERROR(VLOOKUP(B125&amp; "*",'SKU Maintenance'!D:H,5,0),"not found")</f>
        <v>2010050198032524</v>
      </c>
      <c r="B125">
        <v>40013820</v>
      </c>
      <c r="C125" t="s">
        <v>355</v>
      </c>
      <c r="D125" t="s">
        <v>351</v>
      </c>
      <c r="E125" s="3">
        <v>44744</v>
      </c>
      <c r="F125" s="49">
        <v>1</v>
      </c>
      <c r="G125" s="49">
        <v>299.75</v>
      </c>
      <c r="H125" t="str">
        <f>IFERROR(VLOOKUP(D125,'SKU Maintenance'!L:O,3,0),"BP not found")</f>
        <v>C-UTX003</v>
      </c>
      <c r="K125"/>
    </row>
    <row r="126" spans="1:11" x14ac:dyDescent="0.25">
      <c r="A126" t="str">
        <f>IFERROR(VLOOKUP(B126&amp; "*",'SKU Maintenance'!D:H,5,0),"not found")</f>
        <v>2010050198032524</v>
      </c>
      <c r="B126">
        <v>40013820</v>
      </c>
      <c r="C126" t="s">
        <v>355</v>
      </c>
      <c r="D126" t="s">
        <v>351</v>
      </c>
      <c r="E126" s="3">
        <v>44755</v>
      </c>
      <c r="F126" s="49">
        <v>1</v>
      </c>
      <c r="G126" s="49">
        <v>299.75</v>
      </c>
      <c r="H126" t="str">
        <f>IFERROR(VLOOKUP(D126,'SKU Maintenance'!L:O,3,0),"BP not found")</f>
        <v>C-UTX003</v>
      </c>
      <c r="K126"/>
    </row>
    <row r="127" spans="1:11" x14ac:dyDescent="0.25">
      <c r="A127" t="str">
        <f>IFERROR(VLOOKUP(B127&amp; "*",'SKU Maintenance'!D:H,5,0),"not found")</f>
        <v>2010040603302529</v>
      </c>
      <c r="B127">
        <v>40013837</v>
      </c>
      <c r="C127" t="s">
        <v>435</v>
      </c>
      <c r="D127" t="s">
        <v>433</v>
      </c>
      <c r="E127" s="3">
        <v>44747</v>
      </c>
      <c r="F127" s="49">
        <v>1</v>
      </c>
      <c r="G127" s="49">
        <v>599.75</v>
      </c>
      <c r="H127" t="str">
        <f>IFERROR(VLOOKUP(D127,'SKU Maintenance'!L:O,3,0),"BP not found")</f>
        <v>C-UTX004</v>
      </c>
      <c r="K127"/>
    </row>
    <row r="128" spans="1:11" x14ac:dyDescent="0.25">
      <c r="A128" t="str">
        <f>IFERROR(VLOOKUP(B128&amp; "*",'SKU Maintenance'!D:H,5,0),"not found")</f>
        <v>2010060198105021</v>
      </c>
      <c r="B128">
        <v>40013846</v>
      </c>
      <c r="C128" t="s">
        <v>212</v>
      </c>
      <c r="D128" t="s">
        <v>433</v>
      </c>
      <c r="E128" s="3">
        <v>44762</v>
      </c>
      <c r="F128" s="49">
        <v>1</v>
      </c>
      <c r="G128" s="49">
        <v>129.75</v>
      </c>
      <c r="H128" t="str">
        <f>IFERROR(VLOOKUP(D128,'SKU Maintenance'!L:O,3,0),"BP not found")</f>
        <v>C-UTX004</v>
      </c>
      <c r="K128"/>
    </row>
    <row r="129" spans="1:11" x14ac:dyDescent="0.25">
      <c r="A129" t="str">
        <f>IFERROR(VLOOKUP(B129&amp; "*",'SKU Maintenance'!D:H,5,0),"not found")</f>
        <v>2010060198135022</v>
      </c>
      <c r="B129">
        <v>40013847</v>
      </c>
      <c r="C129" t="s">
        <v>212</v>
      </c>
      <c r="D129" t="s">
        <v>48</v>
      </c>
      <c r="E129" s="3">
        <v>44769</v>
      </c>
      <c r="F129" s="49">
        <v>1</v>
      </c>
      <c r="G129" s="49">
        <v>129.75</v>
      </c>
      <c r="H129" t="str">
        <f>IFERROR(VLOOKUP(D129,'SKU Maintenance'!L:O,3,0),"BP not found")</f>
        <v>C-UTX001</v>
      </c>
      <c r="K129"/>
    </row>
    <row r="130" spans="1:11" x14ac:dyDescent="0.25">
      <c r="A130" t="str">
        <f>IFERROR(VLOOKUP(B130&amp; "*",'SKU Maintenance'!D:H,5,0),"not found")</f>
        <v>2010060198135022</v>
      </c>
      <c r="B130">
        <v>40013847</v>
      </c>
      <c r="C130" t="s">
        <v>212</v>
      </c>
      <c r="D130" t="s">
        <v>48</v>
      </c>
      <c r="E130" s="3">
        <v>44771</v>
      </c>
      <c r="F130" s="49">
        <v>1</v>
      </c>
      <c r="G130" s="49">
        <v>129.75</v>
      </c>
      <c r="H130" t="str">
        <f>IFERROR(VLOOKUP(D130,'SKU Maintenance'!L:O,3,0),"BP not found")</f>
        <v>C-UTX001</v>
      </c>
      <c r="K130"/>
    </row>
    <row r="131" spans="1:11" x14ac:dyDescent="0.25">
      <c r="A131" t="str">
        <f>IFERROR(VLOOKUP(B131&amp; "*",'SKU Maintenance'!D:H,5,0),"not found")</f>
        <v>2010060198135022</v>
      </c>
      <c r="B131">
        <v>40013847</v>
      </c>
      <c r="C131" t="s">
        <v>212</v>
      </c>
      <c r="D131" t="s">
        <v>233</v>
      </c>
      <c r="E131" s="3">
        <v>44769</v>
      </c>
      <c r="F131" s="49">
        <v>1</v>
      </c>
      <c r="G131" s="49">
        <v>129.75</v>
      </c>
      <c r="H131" t="str">
        <f>IFERROR(VLOOKUP(D131,'SKU Maintenance'!L:O,3,0),"BP not found")</f>
        <v>C-UTX002</v>
      </c>
      <c r="K131"/>
    </row>
    <row r="132" spans="1:11" x14ac:dyDescent="0.25">
      <c r="A132" t="str">
        <f>IFERROR(VLOOKUP(B132&amp; "*",'SKU Maintenance'!D:H,5,0),"not found")</f>
        <v>2010060198135022</v>
      </c>
      <c r="B132">
        <v>40013847</v>
      </c>
      <c r="C132" t="s">
        <v>212</v>
      </c>
      <c r="D132" t="s">
        <v>433</v>
      </c>
      <c r="E132" s="3">
        <v>44773</v>
      </c>
      <c r="F132" s="49">
        <v>1</v>
      </c>
      <c r="G132" s="49">
        <v>129.75</v>
      </c>
      <c r="H132" t="str">
        <f>IFERROR(VLOOKUP(D132,'SKU Maintenance'!L:O,3,0),"BP not found")</f>
        <v>C-UTX004</v>
      </c>
      <c r="K132"/>
    </row>
    <row r="133" spans="1:11" x14ac:dyDescent="0.25">
      <c r="A133" t="str">
        <f>IFERROR(VLOOKUP(B133&amp; "*",'SKU Maintenance'!D:H,5,0),"not found")</f>
        <v>2010060198175021</v>
      </c>
      <c r="B133">
        <v>40013848</v>
      </c>
      <c r="C133" t="s">
        <v>212</v>
      </c>
      <c r="D133" t="s">
        <v>48</v>
      </c>
      <c r="E133" s="3">
        <v>44773</v>
      </c>
      <c r="F133" s="49">
        <v>1</v>
      </c>
      <c r="G133" s="49">
        <v>129.75</v>
      </c>
      <c r="H133" t="str">
        <f>IFERROR(VLOOKUP(D133,'SKU Maintenance'!L:O,3,0),"BP not found")</f>
        <v>C-UTX001</v>
      </c>
      <c r="K133"/>
    </row>
    <row r="134" spans="1:11" x14ac:dyDescent="0.25">
      <c r="A134" t="str">
        <f>IFERROR(VLOOKUP(B134&amp; "*",'SKU Maintenance'!D:H,5,0),"not found")</f>
        <v>2010060198175021</v>
      </c>
      <c r="B134">
        <v>40013848</v>
      </c>
      <c r="C134" t="s">
        <v>212</v>
      </c>
      <c r="D134" t="s">
        <v>433</v>
      </c>
      <c r="E134" s="3">
        <v>44755</v>
      </c>
      <c r="F134" s="49">
        <v>1</v>
      </c>
      <c r="G134" s="49">
        <v>129.75</v>
      </c>
      <c r="H134" t="str">
        <f>IFERROR(VLOOKUP(D134,'SKU Maintenance'!L:O,3,0),"BP not found")</f>
        <v>C-UTX004</v>
      </c>
      <c r="K134"/>
    </row>
    <row r="135" spans="1:11" x14ac:dyDescent="0.25">
      <c r="A135" t="str">
        <f>IFERROR(VLOOKUP(B135&amp; "*",'SKU Maintenance'!D:H,5,0),"not found")</f>
        <v>2010060198035021</v>
      </c>
      <c r="B135">
        <v>40013850</v>
      </c>
      <c r="C135" t="s">
        <v>212</v>
      </c>
      <c r="D135" t="s">
        <v>351</v>
      </c>
      <c r="E135" s="3">
        <v>44749</v>
      </c>
      <c r="F135" s="49">
        <v>1</v>
      </c>
      <c r="G135" s="49">
        <v>129.75</v>
      </c>
      <c r="H135" t="str">
        <f>IFERROR(VLOOKUP(D135,'SKU Maintenance'!L:O,3,0),"BP not found")</f>
        <v>C-UTX003</v>
      </c>
      <c r="K135"/>
    </row>
    <row r="136" spans="1:11" x14ac:dyDescent="0.25">
      <c r="A136" t="str">
        <f>IFERROR(VLOOKUP(B136&amp; "*",'SKU Maintenance'!D:H,5,0),"not found")</f>
        <v>2010060198035021</v>
      </c>
      <c r="B136">
        <v>40013850</v>
      </c>
      <c r="C136" t="s">
        <v>212</v>
      </c>
      <c r="D136" t="s">
        <v>351</v>
      </c>
      <c r="E136" s="3">
        <v>44754</v>
      </c>
      <c r="F136" s="49">
        <v>2</v>
      </c>
      <c r="G136" s="49">
        <v>259.5</v>
      </c>
      <c r="H136" t="str">
        <f>IFERROR(VLOOKUP(D136,'SKU Maintenance'!L:O,3,0),"BP not found")</f>
        <v>C-UTX003</v>
      </c>
      <c r="K136"/>
    </row>
    <row r="137" spans="1:11" x14ac:dyDescent="0.25">
      <c r="A137" t="str">
        <f>IFERROR(VLOOKUP(B137&amp; "*",'SKU Maintenance'!D:H,5,0),"not found")</f>
        <v>2010060198035021</v>
      </c>
      <c r="B137">
        <v>40013850</v>
      </c>
      <c r="C137" t="s">
        <v>212</v>
      </c>
      <c r="D137" t="s">
        <v>433</v>
      </c>
      <c r="E137" s="3">
        <v>44759</v>
      </c>
      <c r="F137" s="49">
        <v>1</v>
      </c>
      <c r="G137" s="49">
        <v>129.75</v>
      </c>
      <c r="H137" t="str">
        <f>IFERROR(VLOOKUP(D137,'SKU Maintenance'!L:O,3,0),"BP not found")</f>
        <v>C-UTX004</v>
      </c>
      <c r="K137"/>
    </row>
    <row r="138" spans="1:11" x14ac:dyDescent="0.25">
      <c r="A138" t="str">
        <f>IFERROR(VLOOKUP(B138&amp; "*",'SKU Maintenance'!D:H,5,0),"not found")</f>
        <v>2010060198165021</v>
      </c>
      <c r="B138">
        <v>40013852</v>
      </c>
      <c r="C138" t="s">
        <v>212</v>
      </c>
      <c r="D138" t="s">
        <v>48</v>
      </c>
      <c r="E138" s="3">
        <v>44771</v>
      </c>
      <c r="F138" s="49">
        <v>1</v>
      </c>
      <c r="G138" s="49">
        <v>129.75</v>
      </c>
      <c r="H138" t="str">
        <f>IFERROR(VLOOKUP(D138,'SKU Maintenance'!L:O,3,0),"BP not found")</f>
        <v>C-UTX001</v>
      </c>
      <c r="K138"/>
    </row>
    <row r="139" spans="1:11" x14ac:dyDescent="0.25">
      <c r="A139" t="str">
        <f>IFERROR(VLOOKUP(B139&amp; "*",'SKU Maintenance'!D:H,5,0),"not found")</f>
        <v>2010060198165021</v>
      </c>
      <c r="B139">
        <v>40013852</v>
      </c>
      <c r="C139" t="s">
        <v>212</v>
      </c>
      <c r="D139" t="s">
        <v>351</v>
      </c>
      <c r="E139" s="3">
        <v>44758</v>
      </c>
      <c r="F139" s="49">
        <v>1</v>
      </c>
      <c r="G139" s="49">
        <v>129.75</v>
      </c>
      <c r="H139" t="str">
        <f>IFERROR(VLOOKUP(D139,'SKU Maintenance'!L:O,3,0),"BP not found")</f>
        <v>C-UTX003</v>
      </c>
      <c r="K139"/>
    </row>
    <row r="140" spans="1:11" x14ac:dyDescent="0.25">
      <c r="A140" t="str">
        <f>IFERROR(VLOOKUP(B140&amp; "*",'SKU Maintenance'!D:H,5,0),"not found")</f>
        <v>2010060198165021</v>
      </c>
      <c r="B140">
        <v>40013852</v>
      </c>
      <c r="C140" t="s">
        <v>212</v>
      </c>
      <c r="D140" t="s">
        <v>433</v>
      </c>
      <c r="E140" s="3">
        <v>44743</v>
      </c>
      <c r="F140" s="49">
        <v>1</v>
      </c>
      <c r="G140" s="49">
        <v>129.75</v>
      </c>
      <c r="H140" t="str">
        <f>IFERROR(VLOOKUP(D140,'SKU Maintenance'!L:O,3,0),"BP not found")</f>
        <v>C-UTX004</v>
      </c>
      <c r="K140"/>
    </row>
    <row r="141" spans="1:11" x14ac:dyDescent="0.25">
      <c r="A141" t="str">
        <f>IFERROR(VLOOKUP(B141&amp; "*",'SKU Maintenance'!D:H,5,0),"not found")</f>
        <v>2010060198075021</v>
      </c>
      <c r="B141">
        <v>40013854</v>
      </c>
      <c r="C141" t="s">
        <v>212</v>
      </c>
      <c r="D141" t="s">
        <v>48</v>
      </c>
      <c r="E141" s="3">
        <v>44771</v>
      </c>
      <c r="F141" s="49">
        <v>1</v>
      </c>
      <c r="G141" s="49">
        <v>129.75</v>
      </c>
      <c r="H141" t="str">
        <f>IFERROR(VLOOKUP(D141,'SKU Maintenance'!L:O,3,0),"BP not found")</f>
        <v>C-UTX001</v>
      </c>
      <c r="K141"/>
    </row>
    <row r="142" spans="1:11" x14ac:dyDescent="0.25">
      <c r="A142" t="str">
        <f>IFERROR(VLOOKUP(B142&amp; "*",'SKU Maintenance'!D:H,5,0),"not found")</f>
        <v>2010060198075021</v>
      </c>
      <c r="B142">
        <v>40013854</v>
      </c>
      <c r="C142" t="s">
        <v>212</v>
      </c>
      <c r="D142" t="s">
        <v>433</v>
      </c>
      <c r="E142" s="3">
        <v>44755</v>
      </c>
      <c r="F142" s="49">
        <v>1</v>
      </c>
      <c r="G142" s="49">
        <v>129.75</v>
      </c>
      <c r="H142" t="str">
        <f>IFERROR(VLOOKUP(D142,'SKU Maintenance'!L:O,3,0),"BP not found")</f>
        <v>C-UTX004</v>
      </c>
      <c r="K142"/>
    </row>
    <row r="143" spans="1:11" x14ac:dyDescent="0.25">
      <c r="A143" t="str">
        <f>IFERROR(VLOOKUP(B143&amp; "*",'SKU Maintenance'!D:H,5,0),"not found")</f>
        <v>2010060198045022</v>
      </c>
      <c r="B143">
        <v>40013855</v>
      </c>
      <c r="C143" t="s">
        <v>212</v>
      </c>
      <c r="D143" t="s">
        <v>233</v>
      </c>
      <c r="E143" s="3">
        <v>44769</v>
      </c>
      <c r="F143" s="49">
        <v>1</v>
      </c>
      <c r="G143" s="49">
        <v>129.75</v>
      </c>
      <c r="H143" t="str">
        <f>IFERROR(VLOOKUP(D143,'SKU Maintenance'!L:O,3,0),"BP not found")</f>
        <v>C-UTX002</v>
      </c>
      <c r="K143"/>
    </row>
    <row r="144" spans="1:11" x14ac:dyDescent="0.25">
      <c r="A144" t="str">
        <f>IFERROR(VLOOKUP(B144&amp; "*",'SKU Maintenance'!D:H,5,0),"not found")</f>
        <v>2010060198045022</v>
      </c>
      <c r="B144">
        <v>40013855</v>
      </c>
      <c r="C144" t="s">
        <v>212</v>
      </c>
      <c r="D144" t="s">
        <v>433</v>
      </c>
      <c r="E144" s="3">
        <v>44771</v>
      </c>
      <c r="F144" s="49">
        <v>1</v>
      </c>
      <c r="G144" s="49">
        <v>129.75</v>
      </c>
      <c r="H144" t="str">
        <f>IFERROR(VLOOKUP(D144,'SKU Maintenance'!L:O,3,0),"BP not found")</f>
        <v>C-UTX004</v>
      </c>
      <c r="K144"/>
    </row>
    <row r="145" spans="1:11" x14ac:dyDescent="0.25">
      <c r="A145" t="str">
        <f>IFERROR(VLOOKUP(B145&amp; "*",'SKU Maintenance'!D:H,5,0),"not found")</f>
        <v>2010060106022106</v>
      </c>
      <c r="B145">
        <v>40013867</v>
      </c>
      <c r="C145" t="s">
        <v>236</v>
      </c>
      <c r="D145" t="s">
        <v>233</v>
      </c>
      <c r="E145" s="3">
        <v>44743</v>
      </c>
      <c r="F145" s="49">
        <v>1</v>
      </c>
      <c r="G145" s="49">
        <v>99.75</v>
      </c>
      <c r="H145" t="str">
        <f>IFERROR(VLOOKUP(D145,'SKU Maintenance'!L:O,3,0),"BP not found")</f>
        <v>C-UTX002</v>
      </c>
      <c r="K145"/>
    </row>
    <row r="146" spans="1:11" x14ac:dyDescent="0.25">
      <c r="A146" t="str">
        <f>IFERROR(VLOOKUP(B146&amp; "*",'SKU Maintenance'!D:H,5,0),"not found")</f>
        <v>2010060106022106</v>
      </c>
      <c r="B146">
        <v>40013867</v>
      </c>
      <c r="C146" t="s">
        <v>236</v>
      </c>
      <c r="D146" t="s">
        <v>233</v>
      </c>
      <c r="E146" s="3">
        <v>44759</v>
      </c>
      <c r="F146" s="49">
        <v>1</v>
      </c>
      <c r="G146" s="49">
        <v>99.75</v>
      </c>
      <c r="H146" t="str">
        <f>IFERROR(VLOOKUP(D146,'SKU Maintenance'!L:O,3,0),"BP not found")</f>
        <v>C-UTX002</v>
      </c>
      <c r="K146"/>
    </row>
    <row r="147" spans="1:11" x14ac:dyDescent="0.25">
      <c r="A147" t="str">
        <f>IFERROR(VLOOKUP(B147&amp; "*",'SKU Maintenance'!D:H,5,0),"not found")</f>
        <v>2010060106022106</v>
      </c>
      <c r="B147">
        <v>40013867</v>
      </c>
      <c r="C147" t="s">
        <v>236</v>
      </c>
      <c r="D147" t="s">
        <v>233</v>
      </c>
      <c r="E147" s="3">
        <v>44761</v>
      </c>
      <c r="F147" s="49">
        <v>1</v>
      </c>
      <c r="G147" s="49">
        <v>99.75</v>
      </c>
      <c r="H147" t="str">
        <f>IFERROR(VLOOKUP(D147,'SKU Maintenance'!L:O,3,0),"BP not found")</f>
        <v>C-UTX002</v>
      </c>
      <c r="K147"/>
    </row>
    <row r="148" spans="1:11" x14ac:dyDescent="0.25">
      <c r="A148" t="str">
        <f>IFERROR(VLOOKUP(B148&amp; "*",'SKU Maintenance'!D:H,5,0),"not found")</f>
        <v>2010060106022106</v>
      </c>
      <c r="B148">
        <v>40013867</v>
      </c>
      <c r="C148" t="s">
        <v>236</v>
      </c>
      <c r="D148" t="s">
        <v>351</v>
      </c>
      <c r="E148" s="3">
        <v>44752</v>
      </c>
      <c r="F148" s="49">
        <v>1</v>
      </c>
      <c r="G148" s="49">
        <v>99.75</v>
      </c>
      <c r="H148" t="str">
        <f>IFERROR(VLOOKUP(D148,'SKU Maintenance'!L:O,3,0),"BP not found")</f>
        <v>C-UTX003</v>
      </c>
      <c r="K148"/>
    </row>
    <row r="149" spans="1:11" x14ac:dyDescent="0.25">
      <c r="A149" t="str">
        <f>IFERROR(VLOOKUP(B149&amp; "*",'SKU Maintenance'!D:H,5,0),"not found")</f>
        <v>2010060106022106</v>
      </c>
      <c r="B149">
        <v>40013867</v>
      </c>
      <c r="C149" t="s">
        <v>236</v>
      </c>
      <c r="D149" t="s">
        <v>351</v>
      </c>
      <c r="E149" s="3">
        <v>44766</v>
      </c>
      <c r="F149" s="49">
        <v>1</v>
      </c>
      <c r="G149" s="49">
        <v>99.75</v>
      </c>
      <c r="H149" t="str">
        <f>IFERROR(VLOOKUP(D149,'SKU Maintenance'!L:O,3,0),"BP not found")</f>
        <v>C-UTX003</v>
      </c>
      <c r="K149"/>
    </row>
    <row r="150" spans="1:11" x14ac:dyDescent="0.25">
      <c r="A150" t="str">
        <f>IFERROR(VLOOKUP(B150&amp; "*",'SKU Maintenance'!D:H,5,0),"not found")</f>
        <v>2010060106022106</v>
      </c>
      <c r="B150">
        <v>40013867</v>
      </c>
      <c r="C150" t="s">
        <v>236</v>
      </c>
      <c r="D150" t="s">
        <v>351</v>
      </c>
      <c r="E150" s="3">
        <v>44772</v>
      </c>
      <c r="F150" s="49">
        <v>1</v>
      </c>
      <c r="G150" s="49">
        <v>99.75</v>
      </c>
      <c r="H150" t="str">
        <f>IFERROR(VLOOKUP(D150,'SKU Maintenance'!L:O,3,0),"BP not found")</f>
        <v>C-UTX003</v>
      </c>
      <c r="K150"/>
    </row>
    <row r="151" spans="1:11" x14ac:dyDescent="0.25">
      <c r="A151" t="str">
        <f>IFERROR(VLOOKUP(B151&amp; "*",'SKU Maintenance'!D:H,5,0),"not found")</f>
        <v>2010060106022106</v>
      </c>
      <c r="B151">
        <v>40013867</v>
      </c>
      <c r="C151" t="s">
        <v>236</v>
      </c>
      <c r="D151" t="s">
        <v>433</v>
      </c>
      <c r="E151" s="3">
        <v>44751</v>
      </c>
      <c r="F151" s="49">
        <v>1</v>
      </c>
      <c r="G151" s="49">
        <v>99.75</v>
      </c>
      <c r="H151" t="str">
        <f>IFERROR(VLOOKUP(D151,'SKU Maintenance'!L:O,3,0),"BP not found")</f>
        <v>C-UTX004</v>
      </c>
      <c r="K151"/>
    </row>
    <row r="152" spans="1:11" x14ac:dyDescent="0.25">
      <c r="A152" t="str">
        <f>IFERROR(VLOOKUP(B152&amp; "*",'SKU Maintenance'!D:H,5,0),"not found")</f>
        <v>2010060106022106</v>
      </c>
      <c r="B152">
        <v>40013867</v>
      </c>
      <c r="C152" t="s">
        <v>236</v>
      </c>
      <c r="D152" t="s">
        <v>433</v>
      </c>
      <c r="E152" s="3">
        <v>44755</v>
      </c>
      <c r="F152" s="49">
        <v>1</v>
      </c>
      <c r="G152" s="49">
        <v>99.75</v>
      </c>
      <c r="H152" t="str">
        <f>IFERROR(VLOOKUP(D152,'SKU Maintenance'!L:O,3,0),"BP not found")</f>
        <v>C-UTX004</v>
      </c>
      <c r="K152"/>
    </row>
    <row r="153" spans="1:11" x14ac:dyDescent="0.25">
      <c r="A153" t="str">
        <f>IFERROR(VLOOKUP(B153&amp; "*",'SKU Maintenance'!D:H,5,0),"not found")</f>
        <v>2010060106072107</v>
      </c>
      <c r="B153">
        <v>40013868</v>
      </c>
      <c r="C153" t="s">
        <v>235</v>
      </c>
      <c r="D153" t="s">
        <v>233</v>
      </c>
      <c r="E153" s="3">
        <v>44743</v>
      </c>
      <c r="F153" s="49">
        <v>1</v>
      </c>
      <c r="G153" s="49">
        <v>99.75</v>
      </c>
      <c r="H153" t="str">
        <f>IFERROR(VLOOKUP(D153,'SKU Maintenance'!L:O,3,0),"BP not found")</f>
        <v>C-UTX002</v>
      </c>
      <c r="K153"/>
    </row>
    <row r="154" spans="1:11" x14ac:dyDescent="0.25">
      <c r="A154" t="str">
        <f>IFERROR(VLOOKUP(B154&amp; "*",'SKU Maintenance'!D:H,5,0),"not found")</f>
        <v>2010060106072107</v>
      </c>
      <c r="B154">
        <v>40013868</v>
      </c>
      <c r="C154" t="s">
        <v>235</v>
      </c>
      <c r="D154" t="s">
        <v>233</v>
      </c>
      <c r="E154" s="3">
        <v>44755</v>
      </c>
      <c r="F154" s="49">
        <v>2</v>
      </c>
      <c r="G154" s="49">
        <v>199.5</v>
      </c>
      <c r="H154" t="str">
        <f>IFERROR(VLOOKUP(D154,'SKU Maintenance'!L:O,3,0),"BP not found")</f>
        <v>C-UTX002</v>
      </c>
      <c r="K154"/>
    </row>
    <row r="155" spans="1:11" x14ac:dyDescent="0.25">
      <c r="A155" t="str">
        <f>IFERROR(VLOOKUP(B155&amp; "*",'SKU Maintenance'!D:H,5,0),"not found")</f>
        <v>2010060106072107</v>
      </c>
      <c r="B155">
        <v>40013868</v>
      </c>
      <c r="C155" t="s">
        <v>235</v>
      </c>
      <c r="D155" t="s">
        <v>233</v>
      </c>
      <c r="E155" s="3">
        <v>44760</v>
      </c>
      <c r="F155" s="49">
        <v>1</v>
      </c>
      <c r="G155" s="49">
        <v>99.75</v>
      </c>
      <c r="H155" t="str">
        <f>IFERROR(VLOOKUP(D155,'SKU Maintenance'!L:O,3,0),"BP not found")</f>
        <v>C-UTX002</v>
      </c>
      <c r="K155"/>
    </row>
    <row r="156" spans="1:11" x14ac:dyDescent="0.25">
      <c r="A156" t="str">
        <f>IFERROR(VLOOKUP(B156&amp; "*",'SKU Maintenance'!D:H,5,0),"not found")</f>
        <v>2010060106072107</v>
      </c>
      <c r="B156">
        <v>40013868</v>
      </c>
      <c r="C156" t="s">
        <v>235</v>
      </c>
      <c r="D156" t="s">
        <v>233</v>
      </c>
      <c r="E156" s="3">
        <v>44766</v>
      </c>
      <c r="F156" s="49">
        <v>1</v>
      </c>
      <c r="G156" s="49">
        <v>99.75</v>
      </c>
      <c r="H156" t="str">
        <f>IFERROR(VLOOKUP(D156,'SKU Maintenance'!L:O,3,0),"BP not found")</f>
        <v>C-UTX002</v>
      </c>
      <c r="K156"/>
    </row>
    <row r="157" spans="1:11" x14ac:dyDescent="0.25">
      <c r="A157" t="str">
        <f>IFERROR(VLOOKUP(B157&amp; "*",'SKU Maintenance'!D:H,5,0),"not found")</f>
        <v>2010060106072107</v>
      </c>
      <c r="B157">
        <v>40013868</v>
      </c>
      <c r="C157" t="s">
        <v>235</v>
      </c>
      <c r="D157" t="s">
        <v>233</v>
      </c>
      <c r="E157" s="3">
        <v>44767</v>
      </c>
      <c r="F157" s="49">
        <v>1</v>
      </c>
      <c r="G157" s="49">
        <v>99.75</v>
      </c>
      <c r="H157" t="str">
        <f>IFERROR(VLOOKUP(D157,'SKU Maintenance'!L:O,3,0),"BP not found")</f>
        <v>C-UTX002</v>
      </c>
      <c r="K157"/>
    </row>
    <row r="158" spans="1:11" x14ac:dyDescent="0.25">
      <c r="A158" t="str">
        <f>IFERROR(VLOOKUP(B158&amp; "*",'SKU Maintenance'!D:H,5,0),"not found")</f>
        <v>2010060106072107</v>
      </c>
      <c r="B158">
        <v>40013868</v>
      </c>
      <c r="C158" t="s">
        <v>235</v>
      </c>
      <c r="D158" t="s">
        <v>351</v>
      </c>
      <c r="E158" s="3">
        <v>44752</v>
      </c>
      <c r="F158" s="49">
        <v>1</v>
      </c>
      <c r="G158" s="49">
        <v>99.75</v>
      </c>
      <c r="H158" t="str">
        <f>IFERROR(VLOOKUP(D158,'SKU Maintenance'!L:O,3,0),"BP not found")</f>
        <v>C-UTX003</v>
      </c>
      <c r="K158"/>
    </row>
    <row r="159" spans="1:11" x14ac:dyDescent="0.25">
      <c r="A159" t="str">
        <f>IFERROR(VLOOKUP(B159&amp; "*",'SKU Maintenance'!D:H,5,0),"not found")</f>
        <v>2010060106132106</v>
      </c>
      <c r="B159">
        <v>40013870</v>
      </c>
      <c r="C159" t="s">
        <v>282</v>
      </c>
      <c r="D159" t="s">
        <v>233</v>
      </c>
      <c r="E159" s="3">
        <v>44755</v>
      </c>
      <c r="F159" s="49">
        <v>1</v>
      </c>
      <c r="G159" s="49">
        <v>99.75</v>
      </c>
      <c r="H159" t="str">
        <f>IFERROR(VLOOKUP(D159,'SKU Maintenance'!L:O,3,0),"BP not found")</f>
        <v>C-UTX002</v>
      </c>
      <c r="K159"/>
    </row>
    <row r="160" spans="1:11" x14ac:dyDescent="0.25">
      <c r="A160" t="str">
        <f>IFERROR(VLOOKUP(B160&amp; "*",'SKU Maintenance'!D:H,5,0),"not found")</f>
        <v>2010060106052106</v>
      </c>
      <c r="B160">
        <v>40013871</v>
      </c>
      <c r="C160" t="s">
        <v>254</v>
      </c>
      <c r="D160" t="s">
        <v>233</v>
      </c>
      <c r="E160" s="3">
        <v>44746</v>
      </c>
      <c r="F160" s="49">
        <v>1</v>
      </c>
      <c r="G160" s="49">
        <v>99.75</v>
      </c>
      <c r="H160" t="str">
        <f>IFERROR(VLOOKUP(D160,'SKU Maintenance'!L:O,3,0),"BP not found")</f>
        <v>C-UTX002</v>
      </c>
      <c r="K160"/>
    </row>
    <row r="161" spans="1:11" x14ac:dyDescent="0.25">
      <c r="A161" t="str">
        <f>IFERROR(VLOOKUP(B161&amp; "*",'SKU Maintenance'!D:H,5,0),"not found")</f>
        <v>2010060106052106</v>
      </c>
      <c r="B161">
        <v>40013871</v>
      </c>
      <c r="C161" t="s">
        <v>254</v>
      </c>
      <c r="D161" t="s">
        <v>233</v>
      </c>
      <c r="E161" s="3">
        <v>44752</v>
      </c>
      <c r="F161" s="49">
        <v>1</v>
      </c>
      <c r="G161" s="49">
        <v>99.75</v>
      </c>
      <c r="H161" t="str">
        <f>IFERROR(VLOOKUP(D161,'SKU Maintenance'!L:O,3,0),"BP not found")</f>
        <v>C-UTX002</v>
      </c>
      <c r="K161"/>
    </row>
    <row r="162" spans="1:11" x14ac:dyDescent="0.25">
      <c r="A162" t="str">
        <f>IFERROR(VLOOKUP(B162&amp; "*",'SKU Maintenance'!D:H,5,0),"not found")</f>
        <v>2010060106052106</v>
      </c>
      <c r="B162">
        <v>40013871</v>
      </c>
      <c r="C162" t="s">
        <v>254</v>
      </c>
      <c r="D162" t="s">
        <v>233</v>
      </c>
      <c r="E162" s="3">
        <v>44755</v>
      </c>
      <c r="F162" s="49">
        <v>2</v>
      </c>
      <c r="G162" s="49">
        <v>199.5</v>
      </c>
      <c r="H162" t="str">
        <f>IFERROR(VLOOKUP(D162,'SKU Maintenance'!L:O,3,0),"BP not found")</f>
        <v>C-UTX002</v>
      </c>
      <c r="K162"/>
    </row>
    <row r="163" spans="1:11" x14ac:dyDescent="0.25">
      <c r="A163" t="str">
        <f>IFERROR(VLOOKUP(B163&amp; "*",'SKU Maintenance'!D:H,5,0),"not found")</f>
        <v>2010060106052106</v>
      </c>
      <c r="B163">
        <v>40013871</v>
      </c>
      <c r="C163" t="s">
        <v>254</v>
      </c>
      <c r="D163" t="s">
        <v>233</v>
      </c>
      <c r="E163" s="3">
        <v>44763</v>
      </c>
      <c r="F163" s="49">
        <v>2</v>
      </c>
      <c r="G163" s="49">
        <v>199.5</v>
      </c>
      <c r="H163" t="str">
        <f>IFERROR(VLOOKUP(D163,'SKU Maintenance'!L:O,3,0),"BP not found")</f>
        <v>C-UTX002</v>
      </c>
      <c r="K163"/>
    </row>
    <row r="164" spans="1:11" x14ac:dyDescent="0.25">
      <c r="A164" t="str">
        <f>IFERROR(VLOOKUP(B164&amp; "*",'SKU Maintenance'!D:H,5,0),"not found")</f>
        <v>2010060106052106</v>
      </c>
      <c r="B164">
        <v>40013871</v>
      </c>
      <c r="C164" t="s">
        <v>254</v>
      </c>
      <c r="D164" t="s">
        <v>233</v>
      </c>
      <c r="E164" s="3">
        <v>44766</v>
      </c>
      <c r="F164" s="49">
        <v>1</v>
      </c>
      <c r="G164" s="49">
        <v>99.75</v>
      </c>
      <c r="H164" t="str">
        <f>IFERROR(VLOOKUP(D164,'SKU Maintenance'!L:O,3,0),"BP not found")</f>
        <v>C-UTX002</v>
      </c>
      <c r="K164"/>
    </row>
    <row r="165" spans="1:11" x14ac:dyDescent="0.25">
      <c r="A165" t="str">
        <f>IFERROR(VLOOKUP(B165&amp; "*",'SKU Maintenance'!D:H,5,0),"not found")</f>
        <v>2010060106052106</v>
      </c>
      <c r="B165">
        <v>40013871</v>
      </c>
      <c r="C165" t="s">
        <v>254</v>
      </c>
      <c r="D165" t="s">
        <v>351</v>
      </c>
      <c r="E165" s="3">
        <v>44747</v>
      </c>
      <c r="F165" s="49">
        <v>1</v>
      </c>
      <c r="G165" s="49">
        <v>99.75</v>
      </c>
      <c r="H165" t="str">
        <f>IFERROR(VLOOKUP(D165,'SKU Maintenance'!L:O,3,0),"BP not found")</f>
        <v>C-UTX003</v>
      </c>
      <c r="K165"/>
    </row>
    <row r="166" spans="1:11" x14ac:dyDescent="0.25">
      <c r="A166" t="str">
        <f>IFERROR(VLOOKUP(B166&amp; "*",'SKU Maintenance'!D:H,5,0),"not found")</f>
        <v>2010060106052106</v>
      </c>
      <c r="B166">
        <v>40013871</v>
      </c>
      <c r="C166" t="s">
        <v>254</v>
      </c>
      <c r="D166" t="s">
        <v>351</v>
      </c>
      <c r="E166" s="3">
        <v>44767</v>
      </c>
      <c r="F166" s="49">
        <v>1</v>
      </c>
      <c r="G166" s="49">
        <v>99.75</v>
      </c>
      <c r="H166" t="str">
        <f>IFERROR(VLOOKUP(D166,'SKU Maintenance'!L:O,3,0),"BP not found")</f>
        <v>C-UTX003</v>
      </c>
      <c r="K166"/>
    </row>
    <row r="167" spans="1:11" x14ac:dyDescent="0.25">
      <c r="A167" t="str">
        <f>IFERROR(VLOOKUP(B167&amp; "*",'SKU Maintenance'!D:H,5,0),"not found")</f>
        <v>2010060106052106</v>
      </c>
      <c r="B167">
        <v>40013871</v>
      </c>
      <c r="C167" t="s">
        <v>254</v>
      </c>
      <c r="D167" t="s">
        <v>433</v>
      </c>
      <c r="E167" s="3">
        <v>44757</v>
      </c>
      <c r="F167" s="49">
        <v>1</v>
      </c>
      <c r="G167" s="49">
        <v>99.75</v>
      </c>
      <c r="H167" t="str">
        <f>IFERROR(VLOOKUP(D167,'SKU Maintenance'!L:O,3,0),"BP not found")</f>
        <v>C-UTX004</v>
      </c>
      <c r="K167"/>
    </row>
    <row r="168" spans="1:11" x14ac:dyDescent="0.25">
      <c r="A168" t="str">
        <f>IFERROR(VLOOKUP(B168&amp; "*",'SKU Maintenance'!D:H,5,0),"not found")</f>
        <v>2010060106052106</v>
      </c>
      <c r="B168">
        <v>40013871</v>
      </c>
      <c r="C168" t="s">
        <v>254</v>
      </c>
      <c r="D168" t="s">
        <v>433</v>
      </c>
      <c r="E168" s="3">
        <v>44771</v>
      </c>
      <c r="F168" s="49">
        <v>1</v>
      </c>
      <c r="G168" s="49">
        <v>99.75</v>
      </c>
      <c r="H168" t="str">
        <f>IFERROR(VLOOKUP(D168,'SKU Maintenance'!L:O,3,0),"BP not found")</f>
        <v>C-UTX004</v>
      </c>
      <c r="K168"/>
    </row>
    <row r="169" spans="1:11" x14ac:dyDescent="0.25">
      <c r="A169" t="str">
        <f>IFERROR(VLOOKUP(B169&amp; "*",'SKU Maintenance'!D:H,5,0),"not found")</f>
        <v>2010060106192106</v>
      </c>
      <c r="B169">
        <v>40013872</v>
      </c>
      <c r="C169" t="s">
        <v>57</v>
      </c>
      <c r="D169" t="s">
        <v>48</v>
      </c>
      <c r="E169" s="3">
        <v>44743</v>
      </c>
      <c r="F169" s="49">
        <v>1</v>
      </c>
      <c r="G169" s="49">
        <v>99.75</v>
      </c>
      <c r="H169" t="str">
        <f>IFERROR(VLOOKUP(D169,'SKU Maintenance'!L:O,3,0),"BP not found")</f>
        <v>C-UTX001</v>
      </c>
      <c r="K169"/>
    </row>
    <row r="170" spans="1:11" x14ac:dyDescent="0.25">
      <c r="A170" t="str">
        <f>IFERROR(VLOOKUP(B170&amp; "*",'SKU Maintenance'!D:H,5,0),"not found")</f>
        <v>2010060106192106</v>
      </c>
      <c r="B170">
        <v>40013872</v>
      </c>
      <c r="C170" t="s">
        <v>57</v>
      </c>
      <c r="D170" t="s">
        <v>48</v>
      </c>
      <c r="E170" s="3">
        <v>44745</v>
      </c>
      <c r="F170" s="49">
        <v>1</v>
      </c>
      <c r="G170" s="49">
        <v>99.75</v>
      </c>
      <c r="H170" t="str">
        <f>IFERROR(VLOOKUP(D170,'SKU Maintenance'!L:O,3,0),"BP not found")</f>
        <v>C-UTX001</v>
      </c>
      <c r="K170"/>
    </row>
    <row r="171" spans="1:11" x14ac:dyDescent="0.25">
      <c r="A171" t="str">
        <f>IFERROR(VLOOKUP(B171&amp; "*",'SKU Maintenance'!D:H,5,0),"not found")</f>
        <v>2010060106192106</v>
      </c>
      <c r="B171">
        <v>40013872</v>
      </c>
      <c r="C171" t="s">
        <v>57</v>
      </c>
      <c r="D171" t="s">
        <v>48</v>
      </c>
      <c r="E171" s="3">
        <v>44759</v>
      </c>
      <c r="F171" s="49">
        <v>1</v>
      </c>
      <c r="G171" s="49">
        <v>99.75</v>
      </c>
      <c r="H171" t="str">
        <f>IFERROR(VLOOKUP(D171,'SKU Maintenance'!L:O,3,0),"BP not found")</f>
        <v>C-UTX001</v>
      </c>
      <c r="K171"/>
    </row>
    <row r="172" spans="1:11" x14ac:dyDescent="0.25">
      <c r="A172" t="str">
        <f>IFERROR(VLOOKUP(B172&amp; "*",'SKU Maintenance'!D:H,5,0),"not found")</f>
        <v>2010060106192106</v>
      </c>
      <c r="B172">
        <v>40013872</v>
      </c>
      <c r="C172" t="s">
        <v>57</v>
      </c>
      <c r="D172" t="s">
        <v>351</v>
      </c>
      <c r="E172" s="3">
        <v>44759</v>
      </c>
      <c r="F172" s="49">
        <v>1</v>
      </c>
      <c r="G172" s="49">
        <v>99.75</v>
      </c>
      <c r="H172" t="str">
        <f>IFERROR(VLOOKUP(D172,'SKU Maintenance'!L:O,3,0),"BP not found")</f>
        <v>C-UTX003</v>
      </c>
      <c r="K172"/>
    </row>
    <row r="173" spans="1:11" x14ac:dyDescent="0.25">
      <c r="A173" t="str">
        <f>IFERROR(VLOOKUP(B173&amp; "*",'SKU Maintenance'!D:H,5,0),"not found")</f>
        <v>2010060106192106</v>
      </c>
      <c r="B173">
        <v>40013872</v>
      </c>
      <c r="C173" t="s">
        <v>57</v>
      </c>
      <c r="D173" t="s">
        <v>351</v>
      </c>
      <c r="E173" s="3">
        <v>44767</v>
      </c>
      <c r="F173" s="49">
        <v>1</v>
      </c>
      <c r="G173" s="49">
        <v>99.75</v>
      </c>
      <c r="H173" t="str">
        <f>IFERROR(VLOOKUP(D173,'SKU Maintenance'!L:O,3,0),"BP not found")</f>
        <v>C-UTX003</v>
      </c>
      <c r="K173"/>
    </row>
    <row r="174" spans="1:11" x14ac:dyDescent="0.25">
      <c r="A174" t="str">
        <f>IFERROR(VLOOKUP(B174&amp; "*",'SKU Maintenance'!D:H,5,0),"not found")</f>
        <v>2010060106142106</v>
      </c>
      <c r="B174">
        <v>40013873</v>
      </c>
      <c r="C174" t="s">
        <v>98</v>
      </c>
      <c r="D174" t="s">
        <v>48</v>
      </c>
      <c r="E174" s="3">
        <v>44750</v>
      </c>
      <c r="F174" s="49">
        <v>1</v>
      </c>
      <c r="G174" s="49">
        <v>99.75</v>
      </c>
      <c r="H174" t="str">
        <f>IFERROR(VLOOKUP(D174,'SKU Maintenance'!L:O,3,0),"BP not found")</f>
        <v>C-UTX001</v>
      </c>
      <c r="K174"/>
    </row>
    <row r="175" spans="1:11" x14ac:dyDescent="0.25">
      <c r="A175" t="str">
        <f>IFERROR(VLOOKUP(B175&amp; "*",'SKU Maintenance'!D:H,5,0),"not found")</f>
        <v>2010060106142106</v>
      </c>
      <c r="B175">
        <v>40013873</v>
      </c>
      <c r="C175" t="s">
        <v>98</v>
      </c>
      <c r="D175" t="s">
        <v>48</v>
      </c>
      <c r="E175" s="3">
        <v>44751</v>
      </c>
      <c r="F175" s="49">
        <v>1</v>
      </c>
      <c r="G175" s="49">
        <v>99.75</v>
      </c>
      <c r="H175" t="str">
        <f>IFERROR(VLOOKUP(D175,'SKU Maintenance'!L:O,3,0),"BP not found")</f>
        <v>C-UTX001</v>
      </c>
      <c r="K175"/>
    </row>
    <row r="176" spans="1:11" x14ac:dyDescent="0.25">
      <c r="A176" t="str">
        <f>IFERROR(VLOOKUP(B176&amp; "*",'SKU Maintenance'!D:H,5,0),"not found")</f>
        <v>2010060106142106</v>
      </c>
      <c r="B176">
        <v>40013873</v>
      </c>
      <c r="C176" t="s">
        <v>98</v>
      </c>
      <c r="D176" t="s">
        <v>48</v>
      </c>
      <c r="E176" s="3">
        <v>44752</v>
      </c>
      <c r="F176" s="49">
        <v>1</v>
      </c>
      <c r="G176" s="49">
        <v>99.75</v>
      </c>
      <c r="H176" t="str">
        <f>IFERROR(VLOOKUP(D176,'SKU Maintenance'!L:O,3,0),"BP not found")</f>
        <v>C-UTX001</v>
      </c>
      <c r="K176"/>
    </row>
    <row r="177" spans="1:11" x14ac:dyDescent="0.25">
      <c r="A177" t="str">
        <f>IFERROR(VLOOKUP(B177&amp; "*",'SKU Maintenance'!D:H,5,0),"not found")</f>
        <v>2010060106142106</v>
      </c>
      <c r="B177">
        <v>40013873</v>
      </c>
      <c r="C177" t="s">
        <v>98</v>
      </c>
      <c r="D177" t="s">
        <v>48</v>
      </c>
      <c r="E177" s="3">
        <v>44755</v>
      </c>
      <c r="F177" s="49">
        <v>1</v>
      </c>
      <c r="G177" s="49">
        <v>99.75</v>
      </c>
      <c r="H177" t="str">
        <f>IFERROR(VLOOKUP(D177,'SKU Maintenance'!L:O,3,0),"BP not found")</f>
        <v>C-UTX001</v>
      </c>
      <c r="K177"/>
    </row>
    <row r="178" spans="1:11" x14ac:dyDescent="0.25">
      <c r="A178" t="str">
        <f>IFERROR(VLOOKUP(B178&amp; "*",'SKU Maintenance'!D:H,5,0),"not found")</f>
        <v>2010060106142106</v>
      </c>
      <c r="B178">
        <v>40013873</v>
      </c>
      <c r="C178" t="s">
        <v>98</v>
      </c>
      <c r="D178" t="s">
        <v>48</v>
      </c>
      <c r="E178" s="3">
        <v>44765</v>
      </c>
      <c r="F178" s="49">
        <v>1</v>
      </c>
      <c r="G178" s="49">
        <v>99.75</v>
      </c>
      <c r="H178" t="str">
        <f>IFERROR(VLOOKUP(D178,'SKU Maintenance'!L:O,3,0),"BP not found")</f>
        <v>C-UTX001</v>
      </c>
      <c r="K178"/>
    </row>
    <row r="179" spans="1:11" x14ac:dyDescent="0.25">
      <c r="A179" t="str">
        <f>IFERROR(VLOOKUP(B179&amp; "*",'SKU Maintenance'!D:H,5,0),"not found")</f>
        <v>2010060106142106</v>
      </c>
      <c r="B179">
        <v>40013873</v>
      </c>
      <c r="C179" t="s">
        <v>98</v>
      </c>
      <c r="D179" t="s">
        <v>48</v>
      </c>
      <c r="E179" s="3">
        <v>44769</v>
      </c>
      <c r="F179" s="49">
        <v>1</v>
      </c>
      <c r="G179" s="49">
        <v>99.75</v>
      </c>
      <c r="H179" t="str">
        <f>IFERROR(VLOOKUP(D179,'SKU Maintenance'!L:O,3,0),"BP not found")</f>
        <v>C-UTX001</v>
      </c>
      <c r="K179"/>
    </row>
    <row r="180" spans="1:11" x14ac:dyDescent="0.25">
      <c r="A180" t="str">
        <f>IFERROR(VLOOKUP(B180&amp; "*",'SKU Maintenance'!D:H,5,0),"not found")</f>
        <v>2010060106142106</v>
      </c>
      <c r="B180">
        <v>40013873</v>
      </c>
      <c r="C180" t="s">
        <v>98</v>
      </c>
      <c r="D180" t="s">
        <v>233</v>
      </c>
      <c r="E180" s="3">
        <v>44746</v>
      </c>
      <c r="F180" s="49">
        <v>1</v>
      </c>
      <c r="G180" s="49">
        <v>99.75</v>
      </c>
      <c r="H180" t="str">
        <f>IFERROR(VLOOKUP(D180,'SKU Maintenance'!L:O,3,0),"BP not found")</f>
        <v>C-UTX002</v>
      </c>
      <c r="K180"/>
    </row>
    <row r="181" spans="1:11" x14ac:dyDescent="0.25">
      <c r="A181" t="str">
        <f>IFERROR(VLOOKUP(B181&amp; "*",'SKU Maintenance'!D:H,5,0),"not found")</f>
        <v>2010060106142106</v>
      </c>
      <c r="B181">
        <v>40013873</v>
      </c>
      <c r="C181" t="s">
        <v>98</v>
      </c>
      <c r="D181" t="s">
        <v>233</v>
      </c>
      <c r="E181" s="3">
        <v>44755</v>
      </c>
      <c r="F181" s="49">
        <v>1</v>
      </c>
      <c r="G181" s="49">
        <v>99.75</v>
      </c>
      <c r="H181" t="str">
        <f>IFERROR(VLOOKUP(D181,'SKU Maintenance'!L:O,3,0),"BP not found")</f>
        <v>C-UTX002</v>
      </c>
      <c r="K181"/>
    </row>
    <row r="182" spans="1:11" x14ac:dyDescent="0.25">
      <c r="A182" t="str">
        <f>IFERROR(VLOOKUP(B182&amp; "*",'SKU Maintenance'!D:H,5,0),"not found")</f>
        <v>2010060106142106</v>
      </c>
      <c r="B182">
        <v>40013873</v>
      </c>
      <c r="C182" t="s">
        <v>98</v>
      </c>
      <c r="D182" t="s">
        <v>233</v>
      </c>
      <c r="E182" s="3">
        <v>44760</v>
      </c>
      <c r="F182" s="49">
        <v>1</v>
      </c>
      <c r="G182" s="49">
        <v>99.75</v>
      </c>
      <c r="H182" t="str">
        <f>IFERROR(VLOOKUP(D182,'SKU Maintenance'!L:O,3,0),"BP not found")</f>
        <v>C-UTX002</v>
      </c>
      <c r="K182"/>
    </row>
    <row r="183" spans="1:11" x14ac:dyDescent="0.25">
      <c r="A183" t="str">
        <f>IFERROR(VLOOKUP(B183&amp; "*",'SKU Maintenance'!D:H,5,0),"not found")</f>
        <v>2010060106142106</v>
      </c>
      <c r="B183">
        <v>40013873</v>
      </c>
      <c r="C183" t="s">
        <v>98</v>
      </c>
      <c r="D183" t="s">
        <v>233</v>
      </c>
      <c r="E183" s="3">
        <v>44771</v>
      </c>
      <c r="F183" s="49">
        <v>1</v>
      </c>
      <c r="G183" s="49">
        <v>99.75</v>
      </c>
      <c r="H183" t="str">
        <f>IFERROR(VLOOKUP(D183,'SKU Maintenance'!L:O,3,0),"BP not found")</f>
        <v>C-UTX002</v>
      </c>
      <c r="K183"/>
    </row>
    <row r="184" spans="1:11" x14ac:dyDescent="0.25">
      <c r="A184" t="str">
        <f>IFERROR(VLOOKUP(B184&amp; "*",'SKU Maintenance'!D:H,5,0),"not found")</f>
        <v>2010060106142106</v>
      </c>
      <c r="B184">
        <v>40013873</v>
      </c>
      <c r="C184" t="s">
        <v>98</v>
      </c>
      <c r="D184" t="s">
        <v>233</v>
      </c>
      <c r="E184" s="3">
        <v>44772</v>
      </c>
      <c r="F184" s="49">
        <v>2</v>
      </c>
      <c r="G184" s="49">
        <v>199.5</v>
      </c>
      <c r="H184" t="str">
        <f>IFERROR(VLOOKUP(D184,'SKU Maintenance'!L:O,3,0),"BP not found")</f>
        <v>C-UTX002</v>
      </c>
      <c r="K184"/>
    </row>
    <row r="185" spans="1:11" x14ac:dyDescent="0.25">
      <c r="A185" t="str">
        <f>IFERROR(VLOOKUP(B185&amp; "*",'SKU Maintenance'!D:H,5,0),"not found")</f>
        <v>2010060106142106</v>
      </c>
      <c r="B185">
        <v>40013873</v>
      </c>
      <c r="C185" t="s">
        <v>98</v>
      </c>
      <c r="D185" t="s">
        <v>433</v>
      </c>
      <c r="E185" s="3">
        <v>44745</v>
      </c>
      <c r="F185" s="49">
        <v>1</v>
      </c>
      <c r="G185" s="49">
        <v>99.75</v>
      </c>
      <c r="H185" t="str">
        <f>IFERROR(VLOOKUP(D185,'SKU Maintenance'!L:O,3,0),"BP not found")</f>
        <v>C-UTX004</v>
      </c>
      <c r="K185"/>
    </row>
    <row r="186" spans="1:11" x14ac:dyDescent="0.25">
      <c r="A186" t="str">
        <f>IFERROR(VLOOKUP(B186&amp; "*",'SKU Maintenance'!D:H,5,0),"not found")</f>
        <v>2010060106142106</v>
      </c>
      <c r="B186">
        <v>40013873</v>
      </c>
      <c r="C186" t="s">
        <v>98</v>
      </c>
      <c r="D186" t="s">
        <v>433</v>
      </c>
      <c r="E186" s="3">
        <v>44770</v>
      </c>
      <c r="F186" s="49">
        <v>2</v>
      </c>
      <c r="G186" s="49">
        <v>199.5</v>
      </c>
      <c r="H186" t="str">
        <f>IFERROR(VLOOKUP(D186,'SKU Maintenance'!L:O,3,0),"BP not found")</f>
        <v>C-UTX004</v>
      </c>
      <c r="K186"/>
    </row>
    <row r="187" spans="1:11" x14ac:dyDescent="0.25">
      <c r="A187" t="str">
        <f>IFERROR(VLOOKUP(B187&amp; "*",'SKU Maintenance'!D:H,5,0),"not found")</f>
        <v>2010060106142106</v>
      </c>
      <c r="B187">
        <v>40013873</v>
      </c>
      <c r="C187" t="s">
        <v>98</v>
      </c>
      <c r="D187" t="s">
        <v>433</v>
      </c>
      <c r="E187" s="3">
        <v>44771</v>
      </c>
      <c r="F187" s="49">
        <v>1</v>
      </c>
      <c r="G187" s="49">
        <v>99.75</v>
      </c>
      <c r="H187" t="str">
        <f>IFERROR(VLOOKUP(D187,'SKU Maintenance'!L:O,3,0),"BP not found")</f>
        <v>C-UTX004</v>
      </c>
      <c r="K187"/>
    </row>
    <row r="188" spans="1:11" x14ac:dyDescent="0.25">
      <c r="A188" t="str">
        <f>IFERROR(VLOOKUP(B188&amp; "*",'SKU Maintenance'!D:H,5,0),"not found")</f>
        <v>2010060106132107</v>
      </c>
      <c r="B188">
        <v>40013874</v>
      </c>
      <c r="C188" t="s">
        <v>51</v>
      </c>
      <c r="D188" t="s">
        <v>48</v>
      </c>
      <c r="E188" s="3">
        <v>44743</v>
      </c>
      <c r="F188" s="49">
        <v>1</v>
      </c>
      <c r="G188" s="49">
        <v>99.75</v>
      </c>
      <c r="H188" t="str">
        <f>IFERROR(VLOOKUP(D188,'SKU Maintenance'!L:O,3,0),"BP not found")</f>
        <v>C-UTX001</v>
      </c>
      <c r="K188"/>
    </row>
    <row r="189" spans="1:11" x14ac:dyDescent="0.25">
      <c r="A189" t="str">
        <f>IFERROR(VLOOKUP(B189&amp; "*",'SKU Maintenance'!D:H,5,0),"not found")</f>
        <v>2010060106132107</v>
      </c>
      <c r="B189">
        <v>40013874</v>
      </c>
      <c r="C189" t="s">
        <v>51</v>
      </c>
      <c r="D189" t="s">
        <v>48</v>
      </c>
      <c r="E189" s="3">
        <v>44745</v>
      </c>
      <c r="F189" s="49">
        <v>1</v>
      </c>
      <c r="G189" s="49">
        <v>99.75</v>
      </c>
      <c r="H189" t="str">
        <f>IFERROR(VLOOKUP(D189,'SKU Maintenance'!L:O,3,0),"BP not found")</f>
        <v>C-UTX001</v>
      </c>
      <c r="K189"/>
    </row>
    <row r="190" spans="1:11" x14ac:dyDescent="0.25">
      <c r="A190" t="str">
        <f>IFERROR(VLOOKUP(B190&amp; "*",'SKU Maintenance'!D:H,5,0),"not found")</f>
        <v>2010060106132107</v>
      </c>
      <c r="B190">
        <v>40013874</v>
      </c>
      <c r="C190" t="s">
        <v>51</v>
      </c>
      <c r="D190" t="s">
        <v>48</v>
      </c>
      <c r="E190" s="3">
        <v>44747</v>
      </c>
      <c r="F190" s="49">
        <v>1</v>
      </c>
      <c r="G190" s="49">
        <v>99.75</v>
      </c>
      <c r="H190" t="str">
        <f>IFERROR(VLOOKUP(D190,'SKU Maintenance'!L:O,3,0),"BP not found")</f>
        <v>C-UTX001</v>
      </c>
      <c r="K190"/>
    </row>
    <row r="191" spans="1:11" x14ac:dyDescent="0.25">
      <c r="A191" t="str">
        <f>IFERROR(VLOOKUP(B191&amp; "*",'SKU Maintenance'!D:H,5,0),"not found")</f>
        <v>2010060106132107</v>
      </c>
      <c r="B191">
        <v>40013874</v>
      </c>
      <c r="C191" t="s">
        <v>51</v>
      </c>
      <c r="D191" t="s">
        <v>48</v>
      </c>
      <c r="E191" s="3">
        <v>44770</v>
      </c>
      <c r="F191" s="49">
        <v>1</v>
      </c>
      <c r="G191" s="49">
        <v>99.75</v>
      </c>
      <c r="H191" t="str">
        <f>IFERROR(VLOOKUP(D191,'SKU Maintenance'!L:O,3,0),"BP not found")</f>
        <v>C-UTX001</v>
      </c>
      <c r="K191"/>
    </row>
    <row r="192" spans="1:11" x14ac:dyDescent="0.25">
      <c r="A192" t="str">
        <f>IFERROR(VLOOKUP(B192&amp; "*",'SKU Maintenance'!D:H,5,0),"not found")</f>
        <v>2010060106132107</v>
      </c>
      <c r="B192">
        <v>40013874</v>
      </c>
      <c r="C192" t="s">
        <v>51</v>
      </c>
      <c r="D192" t="s">
        <v>351</v>
      </c>
      <c r="E192" s="3">
        <v>44747</v>
      </c>
      <c r="F192" s="49">
        <v>1</v>
      </c>
      <c r="G192" s="49">
        <v>99.75</v>
      </c>
      <c r="H192" t="str">
        <f>IFERROR(VLOOKUP(D192,'SKU Maintenance'!L:O,3,0),"BP not found")</f>
        <v>C-UTX003</v>
      </c>
      <c r="K192"/>
    </row>
    <row r="193" spans="1:11" x14ac:dyDescent="0.25">
      <c r="A193" t="str">
        <f>IFERROR(VLOOKUP(B193&amp; "*",'SKU Maintenance'!D:H,5,0),"not found")</f>
        <v>2010060106132107</v>
      </c>
      <c r="B193">
        <v>40013874</v>
      </c>
      <c r="C193" t="s">
        <v>51</v>
      </c>
      <c r="D193" t="s">
        <v>351</v>
      </c>
      <c r="E193" s="3">
        <v>44749</v>
      </c>
      <c r="F193" s="49">
        <v>1</v>
      </c>
      <c r="G193" s="49">
        <v>99.75</v>
      </c>
      <c r="H193" t="str">
        <f>IFERROR(VLOOKUP(D193,'SKU Maintenance'!L:O,3,0),"BP not found")</f>
        <v>C-UTX003</v>
      </c>
      <c r="K193"/>
    </row>
    <row r="194" spans="1:11" x14ac:dyDescent="0.25">
      <c r="A194" t="str">
        <f>IFERROR(VLOOKUP(B194&amp; "*",'SKU Maintenance'!D:H,5,0),"not found")</f>
        <v>2010060106132107</v>
      </c>
      <c r="B194">
        <v>40013874</v>
      </c>
      <c r="C194" t="s">
        <v>51</v>
      </c>
      <c r="D194" t="s">
        <v>351</v>
      </c>
      <c r="E194" s="3">
        <v>44752</v>
      </c>
      <c r="F194" s="49">
        <v>1</v>
      </c>
      <c r="G194" s="49">
        <v>99.75</v>
      </c>
      <c r="H194" t="str">
        <f>IFERROR(VLOOKUP(D194,'SKU Maintenance'!L:O,3,0),"BP not found")</f>
        <v>C-UTX003</v>
      </c>
      <c r="K194"/>
    </row>
    <row r="195" spans="1:11" x14ac:dyDescent="0.25">
      <c r="A195" t="str">
        <f>IFERROR(VLOOKUP(B195&amp; "*",'SKU Maintenance'!D:H,5,0),"not found")</f>
        <v>2010060106222106</v>
      </c>
      <c r="B195">
        <v>40013875</v>
      </c>
      <c r="C195" t="s">
        <v>126</v>
      </c>
      <c r="D195" t="s">
        <v>48</v>
      </c>
      <c r="E195" s="3">
        <v>44755</v>
      </c>
      <c r="F195" s="49">
        <v>1</v>
      </c>
      <c r="G195" s="49">
        <v>99.75</v>
      </c>
      <c r="H195" t="str">
        <f>IFERROR(VLOOKUP(D195,'SKU Maintenance'!L:O,3,0),"BP not found")</f>
        <v>C-UTX001</v>
      </c>
      <c r="K195"/>
    </row>
    <row r="196" spans="1:11" x14ac:dyDescent="0.25">
      <c r="A196" t="str">
        <f>IFERROR(VLOOKUP(B196&amp; "*",'SKU Maintenance'!D:H,5,0),"not found")</f>
        <v>2010060106222106</v>
      </c>
      <c r="B196">
        <v>40013875</v>
      </c>
      <c r="C196" t="s">
        <v>126</v>
      </c>
      <c r="D196" t="s">
        <v>48</v>
      </c>
      <c r="E196" s="3">
        <v>44764</v>
      </c>
      <c r="F196" s="49">
        <v>1</v>
      </c>
      <c r="G196" s="49">
        <v>99.75</v>
      </c>
      <c r="H196" t="str">
        <f>IFERROR(VLOOKUP(D196,'SKU Maintenance'!L:O,3,0),"BP not found")</f>
        <v>C-UTX001</v>
      </c>
      <c r="K196"/>
    </row>
    <row r="197" spans="1:11" x14ac:dyDescent="0.25">
      <c r="A197" t="str">
        <f>IFERROR(VLOOKUP(B197&amp; "*",'SKU Maintenance'!D:H,5,0),"not found")</f>
        <v>2010060106222106</v>
      </c>
      <c r="B197">
        <v>40013875</v>
      </c>
      <c r="C197" t="s">
        <v>126</v>
      </c>
      <c r="D197" t="s">
        <v>48</v>
      </c>
      <c r="E197" s="3">
        <v>44770</v>
      </c>
      <c r="F197" s="49">
        <v>1</v>
      </c>
      <c r="G197" s="49">
        <v>99.75</v>
      </c>
      <c r="H197" t="str">
        <f>IFERROR(VLOOKUP(D197,'SKU Maintenance'!L:O,3,0),"BP not found")</f>
        <v>C-UTX001</v>
      </c>
      <c r="K197"/>
    </row>
    <row r="198" spans="1:11" x14ac:dyDescent="0.25">
      <c r="A198" t="str">
        <f>IFERROR(VLOOKUP(B198&amp; "*",'SKU Maintenance'!D:H,5,0),"not found")</f>
        <v>2010060106042107</v>
      </c>
      <c r="B198">
        <v>40013876</v>
      </c>
      <c r="C198" t="s">
        <v>377</v>
      </c>
      <c r="D198" t="s">
        <v>351</v>
      </c>
      <c r="E198" s="3">
        <v>44752</v>
      </c>
      <c r="F198" s="49">
        <v>1</v>
      </c>
      <c r="G198" s="49">
        <v>99.75</v>
      </c>
      <c r="H198" t="str">
        <f>IFERROR(VLOOKUP(D198,'SKU Maintenance'!L:O,3,0),"BP not found")</f>
        <v>C-UTX003</v>
      </c>
      <c r="K198"/>
    </row>
    <row r="199" spans="1:11" x14ac:dyDescent="0.25">
      <c r="A199" t="str">
        <f>IFERROR(VLOOKUP(B199&amp; "*",'SKU Maintenance'!D:H,5,0),"not found")</f>
        <v>2010060106042107</v>
      </c>
      <c r="B199">
        <v>40013876</v>
      </c>
      <c r="C199" t="s">
        <v>377</v>
      </c>
      <c r="D199" t="s">
        <v>351</v>
      </c>
      <c r="E199" s="3">
        <v>44767</v>
      </c>
      <c r="F199" s="49">
        <v>1</v>
      </c>
      <c r="G199" s="49">
        <v>99.75</v>
      </c>
      <c r="H199" t="str">
        <f>IFERROR(VLOOKUP(D199,'SKU Maintenance'!L:O,3,0),"BP not found")</f>
        <v>C-UTX003</v>
      </c>
      <c r="K199"/>
    </row>
    <row r="200" spans="1:11" x14ac:dyDescent="0.25">
      <c r="A200" t="str">
        <f>IFERROR(VLOOKUP(B200&amp; "*",'SKU Maintenance'!D:H,5,0),"not found")</f>
        <v>2010060106042107</v>
      </c>
      <c r="B200">
        <v>40013876</v>
      </c>
      <c r="C200" t="s">
        <v>377</v>
      </c>
      <c r="D200" t="s">
        <v>351</v>
      </c>
      <c r="E200" s="3">
        <v>44772</v>
      </c>
      <c r="F200" s="49">
        <v>1</v>
      </c>
      <c r="G200" s="49">
        <v>99.75</v>
      </c>
      <c r="H200" t="str">
        <f>IFERROR(VLOOKUP(D200,'SKU Maintenance'!L:O,3,0),"BP not found")</f>
        <v>C-UTX003</v>
      </c>
      <c r="K200"/>
    </row>
    <row r="201" spans="1:11" x14ac:dyDescent="0.25">
      <c r="A201" t="str">
        <f>IFERROR(VLOOKUP(B201&amp; "*",'SKU Maintenance'!D:H,5,0),"not found")</f>
        <v>2010060106042107</v>
      </c>
      <c r="B201">
        <v>40013876</v>
      </c>
      <c r="C201" t="s">
        <v>377</v>
      </c>
      <c r="D201" t="s">
        <v>351</v>
      </c>
      <c r="E201" s="3">
        <v>44773</v>
      </c>
      <c r="F201" s="49">
        <v>1</v>
      </c>
      <c r="G201" s="49">
        <v>99.75</v>
      </c>
      <c r="H201" t="str">
        <f>IFERROR(VLOOKUP(D201,'SKU Maintenance'!L:O,3,0),"BP not found")</f>
        <v>C-UTX003</v>
      </c>
      <c r="K201"/>
    </row>
    <row r="202" spans="1:11" x14ac:dyDescent="0.25">
      <c r="A202" t="str">
        <f>IFERROR(VLOOKUP(B202&amp; "*",'SKU Maintenance'!D:H,5,0),"not found")</f>
        <v>2010060106172106</v>
      </c>
      <c r="B202">
        <v>40013877</v>
      </c>
      <c r="C202" t="s">
        <v>332</v>
      </c>
      <c r="D202" t="s">
        <v>233</v>
      </c>
      <c r="E202" s="3">
        <v>44767</v>
      </c>
      <c r="F202" s="49">
        <v>1</v>
      </c>
      <c r="G202" s="49">
        <v>99.75</v>
      </c>
      <c r="H202" t="str">
        <f>IFERROR(VLOOKUP(D202,'SKU Maintenance'!L:O,3,0),"BP not found")</f>
        <v>C-UTX002</v>
      </c>
      <c r="K202"/>
    </row>
    <row r="203" spans="1:11" x14ac:dyDescent="0.25">
      <c r="A203" t="str">
        <f>IFERROR(VLOOKUP(B203&amp; "*",'SKU Maintenance'!D:H,5,0),"not found")</f>
        <v>2010060106172106</v>
      </c>
      <c r="B203">
        <v>40013877</v>
      </c>
      <c r="C203" t="s">
        <v>332</v>
      </c>
      <c r="D203" t="s">
        <v>233</v>
      </c>
      <c r="E203" s="3">
        <v>44771</v>
      </c>
      <c r="F203" s="49">
        <v>1</v>
      </c>
      <c r="G203" s="49">
        <v>99.75</v>
      </c>
      <c r="H203" t="str">
        <f>IFERROR(VLOOKUP(D203,'SKU Maintenance'!L:O,3,0),"BP not found")</f>
        <v>C-UTX002</v>
      </c>
      <c r="K203"/>
    </row>
    <row r="204" spans="1:11" x14ac:dyDescent="0.25">
      <c r="A204" t="str">
        <f>IFERROR(VLOOKUP(B204&amp; "*",'SKU Maintenance'!D:H,5,0),"not found")</f>
        <v>2010060106172106</v>
      </c>
      <c r="B204">
        <v>40013877</v>
      </c>
      <c r="C204" t="s">
        <v>332</v>
      </c>
      <c r="D204" t="s">
        <v>351</v>
      </c>
      <c r="E204" s="3">
        <v>44743</v>
      </c>
      <c r="F204" s="49">
        <v>1</v>
      </c>
      <c r="G204" s="49">
        <v>99.75</v>
      </c>
      <c r="H204" t="str">
        <f>IFERROR(VLOOKUP(D204,'SKU Maintenance'!L:O,3,0),"BP not found")</f>
        <v>C-UTX003</v>
      </c>
      <c r="K204"/>
    </row>
    <row r="205" spans="1:11" x14ac:dyDescent="0.25">
      <c r="A205" t="str">
        <f>IFERROR(VLOOKUP(B205&amp; "*",'SKU Maintenance'!D:H,5,0),"not found")</f>
        <v>2010060106172106</v>
      </c>
      <c r="B205">
        <v>40013877</v>
      </c>
      <c r="C205" t="s">
        <v>332</v>
      </c>
      <c r="D205" t="s">
        <v>351</v>
      </c>
      <c r="E205" s="3">
        <v>44765</v>
      </c>
      <c r="F205" s="49">
        <v>1</v>
      </c>
      <c r="G205" s="49">
        <v>99.75</v>
      </c>
      <c r="H205" t="str">
        <f>IFERROR(VLOOKUP(D205,'SKU Maintenance'!L:O,3,0),"BP not found")</f>
        <v>C-UTX003</v>
      </c>
      <c r="K205"/>
    </row>
    <row r="206" spans="1:11" x14ac:dyDescent="0.25">
      <c r="A206" t="str">
        <f>IFERROR(VLOOKUP(B206&amp; "*",'SKU Maintenance'!D:H,5,0),"not found")</f>
        <v>2010060106172106</v>
      </c>
      <c r="B206">
        <v>40013877</v>
      </c>
      <c r="C206" t="s">
        <v>332</v>
      </c>
      <c r="D206" t="s">
        <v>433</v>
      </c>
      <c r="E206" s="3">
        <v>44770</v>
      </c>
      <c r="F206" s="49">
        <v>2</v>
      </c>
      <c r="G206" s="49">
        <v>199.5</v>
      </c>
      <c r="H206" t="str">
        <f>IFERROR(VLOOKUP(D206,'SKU Maintenance'!L:O,3,0),"BP not found")</f>
        <v>C-UTX004</v>
      </c>
      <c r="K206"/>
    </row>
    <row r="207" spans="1:11" x14ac:dyDescent="0.25">
      <c r="A207" t="str">
        <f>IFERROR(VLOOKUP(B207&amp; "*",'SKU Maintenance'!D:H,5,0),"not found")</f>
        <v>2010060106172106</v>
      </c>
      <c r="B207">
        <v>40013877</v>
      </c>
      <c r="C207" t="s">
        <v>332</v>
      </c>
      <c r="D207" t="s">
        <v>433</v>
      </c>
      <c r="E207" s="3">
        <v>44771</v>
      </c>
      <c r="F207" s="49">
        <v>1</v>
      </c>
      <c r="G207" s="49">
        <v>99.75</v>
      </c>
      <c r="H207" t="str">
        <f>IFERROR(VLOOKUP(D207,'SKU Maintenance'!L:O,3,0),"BP not found")</f>
        <v>C-UTX004</v>
      </c>
      <c r="K207"/>
    </row>
    <row r="208" spans="1:11" x14ac:dyDescent="0.25">
      <c r="A208" t="str">
        <f>IFERROR(VLOOKUP(B208&amp; "*",'SKU Maintenance'!D:H,5,0),"not found")</f>
        <v>2010060106012106</v>
      </c>
      <c r="B208">
        <v>40013878</v>
      </c>
      <c r="C208" t="s">
        <v>114</v>
      </c>
      <c r="D208" t="s">
        <v>48</v>
      </c>
      <c r="E208" s="3">
        <v>44752</v>
      </c>
      <c r="F208" s="49">
        <v>1</v>
      </c>
      <c r="G208" s="49">
        <v>99.75</v>
      </c>
      <c r="H208" t="str">
        <f>IFERROR(VLOOKUP(D208,'SKU Maintenance'!L:O,3,0),"BP not found")</f>
        <v>C-UTX001</v>
      </c>
      <c r="K208"/>
    </row>
    <row r="209" spans="1:11" x14ac:dyDescent="0.25">
      <c r="A209" t="str">
        <f>IFERROR(VLOOKUP(B209&amp; "*",'SKU Maintenance'!D:H,5,0),"not found")</f>
        <v>2010060106012106</v>
      </c>
      <c r="B209">
        <v>40013878</v>
      </c>
      <c r="C209" t="s">
        <v>114</v>
      </c>
      <c r="D209" t="s">
        <v>48</v>
      </c>
      <c r="E209" s="3">
        <v>44765</v>
      </c>
      <c r="F209" s="49">
        <v>1</v>
      </c>
      <c r="G209" s="49">
        <v>99.75</v>
      </c>
      <c r="H209" t="str">
        <f>IFERROR(VLOOKUP(D209,'SKU Maintenance'!L:O,3,0),"BP not found")</f>
        <v>C-UTX001</v>
      </c>
      <c r="K209"/>
    </row>
    <row r="210" spans="1:11" x14ac:dyDescent="0.25">
      <c r="A210" t="str">
        <f>IFERROR(VLOOKUP(B210&amp; "*",'SKU Maintenance'!D:H,5,0),"not found")</f>
        <v>2010060106012106</v>
      </c>
      <c r="B210">
        <v>40013878</v>
      </c>
      <c r="C210" t="s">
        <v>114</v>
      </c>
      <c r="D210" t="s">
        <v>233</v>
      </c>
      <c r="E210" s="3">
        <v>44743</v>
      </c>
      <c r="F210" s="49">
        <v>1</v>
      </c>
      <c r="G210" s="49">
        <v>99.75</v>
      </c>
      <c r="H210" t="str">
        <f>IFERROR(VLOOKUP(D210,'SKU Maintenance'!L:O,3,0),"BP not found")</f>
        <v>C-UTX002</v>
      </c>
      <c r="K210"/>
    </row>
    <row r="211" spans="1:11" x14ac:dyDescent="0.25">
      <c r="A211" t="str">
        <f>IFERROR(VLOOKUP(B211&amp; "*",'SKU Maintenance'!D:H,5,0),"not found")</f>
        <v>2010060106012106</v>
      </c>
      <c r="B211">
        <v>40013878</v>
      </c>
      <c r="C211" t="s">
        <v>114</v>
      </c>
      <c r="D211" t="s">
        <v>233</v>
      </c>
      <c r="E211" s="3">
        <v>44759</v>
      </c>
      <c r="F211" s="49">
        <v>1</v>
      </c>
      <c r="G211" s="49">
        <v>99.75</v>
      </c>
      <c r="H211" t="str">
        <f>IFERROR(VLOOKUP(D211,'SKU Maintenance'!L:O,3,0),"BP not found")</f>
        <v>C-UTX002</v>
      </c>
      <c r="K211"/>
    </row>
    <row r="212" spans="1:11" x14ac:dyDescent="0.25">
      <c r="A212" t="str">
        <f>IFERROR(VLOOKUP(B212&amp; "*",'SKU Maintenance'!D:H,5,0),"not found")</f>
        <v>2010060106012106</v>
      </c>
      <c r="B212">
        <v>40013878</v>
      </c>
      <c r="C212" t="s">
        <v>114</v>
      </c>
      <c r="D212" t="s">
        <v>351</v>
      </c>
      <c r="E212" s="3">
        <v>44759</v>
      </c>
      <c r="F212" s="49">
        <v>1</v>
      </c>
      <c r="G212" s="49">
        <v>99.75</v>
      </c>
      <c r="H212" t="str">
        <f>IFERROR(VLOOKUP(D212,'SKU Maintenance'!L:O,3,0),"BP not found")</f>
        <v>C-UTX003</v>
      </c>
      <c r="K212"/>
    </row>
    <row r="213" spans="1:11" x14ac:dyDescent="0.25">
      <c r="A213" t="str">
        <f>IFERROR(VLOOKUP(B213&amp; "*",'SKU Maintenance'!D:H,5,0),"not found")</f>
        <v>2010060106012106</v>
      </c>
      <c r="B213">
        <v>40013878</v>
      </c>
      <c r="C213" t="s">
        <v>114</v>
      </c>
      <c r="D213" t="s">
        <v>351</v>
      </c>
      <c r="E213" s="3">
        <v>44766</v>
      </c>
      <c r="F213" s="49">
        <v>1</v>
      </c>
      <c r="G213" s="49">
        <v>99.75</v>
      </c>
      <c r="H213" t="str">
        <f>IFERROR(VLOOKUP(D213,'SKU Maintenance'!L:O,3,0),"BP not found")</f>
        <v>C-UTX003</v>
      </c>
      <c r="K213"/>
    </row>
    <row r="214" spans="1:11" x14ac:dyDescent="0.25">
      <c r="A214" t="str">
        <f>IFERROR(VLOOKUP(B214&amp; "*",'SKU Maintenance'!D:H,5,0),"not found")</f>
        <v>2010060106012106</v>
      </c>
      <c r="B214">
        <v>40013878</v>
      </c>
      <c r="C214" t="s">
        <v>114</v>
      </c>
      <c r="D214" t="s">
        <v>351</v>
      </c>
      <c r="E214" s="3">
        <v>44773</v>
      </c>
      <c r="F214" s="49">
        <v>1</v>
      </c>
      <c r="G214" s="49">
        <v>99.75</v>
      </c>
      <c r="H214" t="str">
        <f>IFERROR(VLOOKUP(D214,'SKU Maintenance'!L:O,3,0),"BP not found")</f>
        <v>C-UTX003</v>
      </c>
      <c r="K214"/>
    </row>
    <row r="215" spans="1:11" x14ac:dyDescent="0.25">
      <c r="A215" t="str">
        <f>IFERROR(VLOOKUP(B215&amp; "*",'SKU Maintenance'!D:H,5,0),"not found")</f>
        <v>2010060106032106</v>
      </c>
      <c r="B215">
        <v>40013879</v>
      </c>
      <c r="C215" t="s">
        <v>298</v>
      </c>
      <c r="D215" t="s">
        <v>233</v>
      </c>
      <c r="E215" s="3">
        <v>44759</v>
      </c>
      <c r="F215" s="49">
        <v>1</v>
      </c>
      <c r="G215" s="49">
        <v>349.75</v>
      </c>
      <c r="H215" t="str">
        <f>IFERROR(VLOOKUP(D215,'SKU Maintenance'!L:O,3,0),"BP not found")</f>
        <v>C-UTX002</v>
      </c>
      <c r="K215"/>
    </row>
    <row r="216" spans="1:11" x14ac:dyDescent="0.25">
      <c r="A216" t="str">
        <f>IFERROR(VLOOKUP(B216&amp; "*",'SKU Maintenance'!D:H,5,0),"not found")</f>
        <v>2010060106032106</v>
      </c>
      <c r="B216">
        <v>40013879</v>
      </c>
      <c r="C216" t="s">
        <v>298</v>
      </c>
      <c r="D216" t="s">
        <v>233</v>
      </c>
      <c r="E216" s="3">
        <v>44760</v>
      </c>
      <c r="F216" s="49">
        <v>1</v>
      </c>
      <c r="G216" s="49">
        <v>349.75</v>
      </c>
      <c r="H216" t="str">
        <f>IFERROR(VLOOKUP(D216,'SKU Maintenance'!L:O,3,0),"BP not found")</f>
        <v>C-UTX002</v>
      </c>
      <c r="K216"/>
    </row>
    <row r="217" spans="1:11" x14ac:dyDescent="0.25">
      <c r="A217" t="str">
        <f>IFERROR(VLOOKUP(B217&amp; "*",'SKU Maintenance'!D:H,5,0),"not found")</f>
        <v>2010060106032106</v>
      </c>
      <c r="B217">
        <v>40013879</v>
      </c>
      <c r="C217" t="s">
        <v>298</v>
      </c>
      <c r="D217" t="s">
        <v>433</v>
      </c>
      <c r="E217" s="3">
        <v>44755</v>
      </c>
      <c r="F217" s="49">
        <v>1</v>
      </c>
      <c r="G217" s="49">
        <v>349.75</v>
      </c>
      <c r="H217" t="str">
        <f>IFERROR(VLOOKUP(D217,'SKU Maintenance'!L:O,3,0),"BP not found")</f>
        <v>C-UTX004</v>
      </c>
      <c r="K217"/>
    </row>
    <row r="218" spans="1:11" x14ac:dyDescent="0.25">
      <c r="A218" t="str">
        <f>IFERROR(VLOOKUP(B218&amp; "*",'SKU Maintenance'!D:H,5,0),"not found")</f>
        <v>2010040701185053</v>
      </c>
      <c r="B218">
        <v>40013889</v>
      </c>
      <c r="C218" t="s">
        <v>93</v>
      </c>
      <c r="D218" t="s">
        <v>48</v>
      </c>
      <c r="E218" s="3">
        <v>44747</v>
      </c>
      <c r="F218" s="49">
        <v>1</v>
      </c>
      <c r="G218" s="49">
        <v>99.75</v>
      </c>
      <c r="H218" t="str">
        <f>IFERROR(VLOOKUP(D218,'SKU Maintenance'!L:O,3,0),"BP not found")</f>
        <v>C-UTX001</v>
      </c>
      <c r="K218"/>
    </row>
    <row r="219" spans="1:11" x14ac:dyDescent="0.25">
      <c r="A219" t="str">
        <f>IFERROR(VLOOKUP(B219&amp; "*",'SKU Maintenance'!D:H,5,0),"not found")</f>
        <v>2010040701185055</v>
      </c>
      <c r="B219">
        <v>40013895</v>
      </c>
      <c r="C219" t="s">
        <v>65</v>
      </c>
      <c r="D219" t="s">
        <v>48</v>
      </c>
      <c r="E219" s="3">
        <v>44747</v>
      </c>
      <c r="F219" s="49">
        <v>4</v>
      </c>
      <c r="G219" s="49">
        <v>519</v>
      </c>
      <c r="H219" t="str">
        <f>IFERROR(VLOOKUP(D219,'SKU Maintenance'!L:O,3,0),"BP not found")</f>
        <v>C-UTX001</v>
      </c>
      <c r="K219"/>
    </row>
    <row r="220" spans="1:11" x14ac:dyDescent="0.25">
      <c r="A220" t="str">
        <f>IFERROR(VLOOKUP(B220&amp; "*",'SKU Maintenance'!D:H,5,0),"not found")</f>
        <v>2010040701185055</v>
      </c>
      <c r="B220">
        <v>40013895</v>
      </c>
      <c r="C220" t="s">
        <v>65</v>
      </c>
      <c r="D220" t="s">
        <v>48</v>
      </c>
      <c r="E220" s="3">
        <v>44762</v>
      </c>
      <c r="F220" s="49">
        <v>1</v>
      </c>
      <c r="G220" s="49">
        <v>129.75</v>
      </c>
      <c r="H220" t="str">
        <f>IFERROR(VLOOKUP(D220,'SKU Maintenance'!L:O,3,0),"BP not found")</f>
        <v>C-UTX001</v>
      </c>
      <c r="K220"/>
    </row>
    <row r="221" spans="1:11" x14ac:dyDescent="0.25">
      <c r="A221" t="str">
        <f>IFERROR(VLOOKUP(B221&amp; "*",'SKU Maintenance'!D:H,5,0),"not found")</f>
        <v>2010040701195055</v>
      </c>
      <c r="B221">
        <v>40013897</v>
      </c>
      <c r="C221" t="s">
        <v>65</v>
      </c>
      <c r="D221" t="s">
        <v>48</v>
      </c>
      <c r="E221" s="3">
        <v>44744</v>
      </c>
      <c r="F221" s="49">
        <v>1</v>
      </c>
      <c r="G221" s="49">
        <v>129.75</v>
      </c>
      <c r="H221" t="str">
        <f>IFERROR(VLOOKUP(D221,'SKU Maintenance'!L:O,3,0),"BP not found")</f>
        <v>C-UTX001</v>
      </c>
      <c r="K221"/>
    </row>
    <row r="222" spans="1:11" x14ac:dyDescent="0.25">
      <c r="A222" t="str">
        <f>IFERROR(VLOOKUP(B222&amp; "*",'SKU Maintenance'!D:H,5,0),"not found")</f>
        <v>2010012104163245</v>
      </c>
      <c r="B222">
        <v>40013971</v>
      </c>
      <c r="C222" t="s">
        <v>167</v>
      </c>
      <c r="D222" t="s">
        <v>48</v>
      </c>
      <c r="E222" s="3">
        <v>44759</v>
      </c>
      <c r="F222" s="49">
        <v>1</v>
      </c>
      <c r="G222" s="49">
        <v>150</v>
      </c>
      <c r="H222" t="str">
        <f>IFERROR(VLOOKUP(D222,'SKU Maintenance'!L:O,3,0),"BP not found")</f>
        <v>C-UTX001</v>
      </c>
      <c r="K222"/>
    </row>
    <row r="223" spans="1:11" x14ac:dyDescent="0.25">
      <c r="A223" t="str">
        <f>IFERROR(VLOOKUP(B223&amp; "*",'SKU Maintenance'!D:H,5,0),"not found")</f>
        <v>2010012103223246</v>
      </c>
      <c r="B223">
        <v>40013972</v>
      </c>
      <c r="C223" t="s">
        <v>321</v>
      </c>
      <c r="D223" t="s">
        <v>233</v>
      </c>
      <c r="E223" s="3">
        <v>44765</v>
      </c>
      <c r="F223" s="49">
        <v>1</v>
      </c>
      <c r="G223" s="49">
        <v>100</v>
      </c>
      <c r="H223" t="str">
        <f>IFERROR(VLOOKUP(D223,'SKU Maintenance'!L:O,3,0),"BP not found")</f>
        <v>C-UTX002</v>
      </c>
      <c r="K223"/>
    </row>
    <row r="224" spans="1:11" x14ac:dyDescent="0.25">
      <c r="A224" t="str">
        <f>IFERROR(VLOOKUP(B224&amp; "*",'SKU Maintenance'!D:H,5,0),"not found")</f>
        <v>2010012103223249</v>
      </c>
      <c r="B224">
        <v>40013986</v>
      </c>
      <c r="C224" t="s">
        <v>256</v>
      </c>
      <c r="D224" t="s">
        <v>233</v>
      </c>
      <c r="E224" s="3">
        <v>44746</v>
      </c>
      <c r="F224" s="49">
        <v>1</v>
      </c>
      <c r="G224" s="49">
        <v>199</v>
      </c>
      <c r="H224" t="str">
        <f>IFERROR(VLOOKUP(D224,'SKU Maintenance'!L:O,3,0),"BP not found")</f>
        <v>C-UTX002</v>
      </c>
      <c r="K224"/>
    </row>
    <row r="225" spans="1:11" x14ac:dyDescent="0.25">
      <c r="A225" t="str">
        <f>IFERROR(VLOOKUP(B225&amp; "*",'SKU Maintenance'!D:H,5,0),"not found")</f>
        <v>2010012104210002</v>
      </c>
      <c r="B225">
        <v>40013998</v>
      </c>
      <c r="C225" t="s">
        <v>292</v>
      </c>
      <c r="D225" t="s">
        <v>233</v>
      </c>
      <c r="E225" s="3">
        <v>44758</v>
      </c>
      <c r="F225" s="49">
        <v>1</v>
      </c>
      <c r="G225" s="49">
        <v>224.77500000000001</v>
      </c>
      <c r="H225" t="str">
        <f>IFERROR(VLOOKUP(D225,'SKU Maintenance'!L:O,3,0),"BP not found")</f>
        <v>C-UTX002</v>
      </c>
      <c r="K225"/>
    </row>
    <row r="226" spans="1:11" x14ac:dyDescent="0.25">
      <c r="A226" t="str">
        <f>IFERROR(VLOOKUP(B226&amp; "*",'SKU Maintenance'!D:H,5,0),"not found")</f>
        <v>2010010601180002</v>
      </c>
      <c r="B226">
        <v>40013999</v>
      </c>
      <c r="C226" t="s">
        <v>408</v>
      </c>
      <c r="D226" t="s">
        <v>351</v>
      </c>
      <c r="E226" s="3">
        <v>44759</v>
      </c>
      <c r="F226" s="49">
        <v>1</v>
      </c>
      <c r="G226" s="49">
        <v>224.77500000000001</v>
      </c>
      <c r="H226" t="str">
        <f>IFERROR(VLOOKUP(D226,'SKU Maintenance'!L:O,3,0),"BP not found")</f>
        <v>C-UTX003</v>
      </c>
      <c r="K226"/>
    </row>
    <row r="227" spans="1:11" x14ac:dyDescent="0.25">
      <c r="A227" t="str">
        <f>IFERROR(VLOOKUP(B227&amp; "*",'SKU Maintenance'!D:H,5,0),"not found")</f>
        <v>2010010601180002</v>
      </c>
      <c r="B227">
        <v>40013999</v>
      </c>
      <c r="C227" t="s">
        <v>408</v>
      </c>
      <c r="D227" t="s">
        <v>351</v>
      </c>
      <c r="E227" s="3">
        <v>44762</v>
      </c>
      <c r="F227" s="49">
        <v>1</v>
      </c>
      <c r="G227" s="49">
        <v>249.75</v>
      </c>
      <c r="H227" t="str">
        <f>IFERROR(VLOOKUP(D227,'SKU Maintenance'!L:O,3,0),"BP not found")</f>
        <v>C-UTX003</v>
      </c>
      <c r="K227"/>
    </row>
    <row r="228" spans="1:11" x14ac:dyDescent="0.25">
      <c r="A228" t="str">
        <f>IFERROR(VLOOKUP(B228&amp; "*",'SKU Maintenance'!D:H,5,0),"not found")</f>
        <v>2010010699200002</v>
      </c>
      <c r="B228">
        <v>40014000</v>
      </c>
      <c r="C228" t="s">
        <v>203</v>
      </c>
      <c r="D228" t="s">
        <v>48</v>
      </c>
      <c r="E228" s="3">
        <v>44768</v>
      </c>
      <c r="F228" s="49">
        <v>1</v>
      </c>
      <c r="G228" s="49">
        <v>549.75</v>
      </c>
      <c r="H228" t="str">
        <f>IFERROR(VLOOKUP(D228,'SKU Maintenance'!L:O,3,0),"BP not found")</f>
        <v>C-UTX001</v>
      </c>
      <c r="K228"/>
    </row>
    <row r="229" spans="1:11" x14ac:dyDescent="0.25">
      <c r="A229" t="str">
        <f>IFERROR(VLOOKUP(B229&amp; "*",'SKU Maintenance'!D:H,5,0),"not found")</f>
        <v>2010010699200002</v>
      </c>
      <c r="B229">
        <v>40014000</v>
      </c>
      <c r="C229" t="s">
        <v>203</v>
      </c>
      <c r="D229" t="s">
        <v>48</v>
      </c>
      <c r="E229" s="3">
        <v>44772</v>
      </c>
      <c r="F229" s="49">
        <v>1</v>
      </c>
      <c r="G229" s="49">
        <v>494.77500000000003</v>
      </c>
      <c r="H229" t="str">
        <f>IFERROR(VLOOKUP(D229,'SKU Maintenance'!L:O,3,0),"BP not found")</f>
        <v>C-UTX001</v>
      </c>
      <c r="K229"/>
    </row>
    <row r="230" spans="1:11" x14ac:dyDescent="0.25">
      <c r="A230" t="str">
        <f>IFERROR(VLOOKUP(B230&amp; "*",'SKU Maintenance'!D:H,5,0),"not found")</f>
        <v>2010010698190001</v>
      </c>
      <c r="B230">
        <v>40014006</v>
      </c>
      <c r="C230" t="s">
        <v>425</v>
      </c>
      <c r="D230" t="s">
        <v>351</v>
      </c>
      <c r="E230" s="3">
        <v>44769</v>
      </c>
      <c r="F230" s="49">
        <v>1</v>
      </c>
      <c r="G230" s="49">
        <v>2499.75</v>
      </c>
      <c r="H230" t="str">
        <f>IFERROR(VLOOKUP(D230,'SKU Maintenance'!L:O,3,0),"BP not found")</f>
        <v>C-UTX003</v>
      </c>
      <c r="K230"/>
    </row>
    <row r="231" spans="1:11" x14ac:dyDescent="0.25">
      <c r="A231" t="str">
        <f>IFERROR(VLOOKUP(B231&amp; "*",'SKU Maintenance'!D:H,5,0),"not found")</f>
        <v>2010010698180001</v>
      </c>
      <c r="B231">
        <v>40014007</v>
      </c>
      <c r="C231" t="s">
        <v>411</v>
      </c>
      <c r="D231" t="s">
        <v>351</v>
      </c>
      <c r="E231" s="3">
        <v>44761</v>
      </c>
      <c r="F231" s="49">
        <v>1</v>
      </c>
      <c r="G231" s="49">
        <v>2499.75</v>
      </c>
      <c r="H231" t="str">
        <f>IFERROR(VLOOKUP(D231,'SKU Maintenance'!L:O,3,0),"BP not found")</f>
        <v>C-UTX003</v>
      </c>
      <c r="K231"/>
    </row>
    <row r="232" spans="1:11" x14ac:dyDescent="0.25">
      <c r="A232" t="str">
        <f>IFERROR(VLOOKUP(B232&amp; "*",'SKU Maintenance'!D:H,5,0),"not found")</f>
        <v>2010010698190005</v>
      </c>
      <c r="B232">
        <v>40014008</v>
      </c>
      <c r="C232" t="s">
        <v>409</v>
      </c>
      <c r="D232" t="s">
        <v>351</v>
      </c>
      <c r="E232" s="3">
        <v>44760</v>
      </c>
      <c r="F232" s="49">
        <v>1</v>
      </c>
      <c r="G232" s="49">
        <v>2999.75</v>
      </c>
      <c r="H232" t="str">
        <f>IFERROR(VLOOKUP(D232,'SKU Maintenance'!L:O,3,0),"BP not found")</f>
        <v>C-UTX003</v>
      </c>
      <c r="K232"/>
    </row>
    <row r="233" spans="1:11" x14ac:dyDescent="0.25">
      <c r="A233" t="str">
        <f>IFERROR(VLOOKUP(B233&amp; "*",'SKU Maintenance'!D:H,5,0),"not found")</f>
        <v>2010010698190005</v>
      </c>
      <c r="B233">
        <v>40014008</v>
      </c>
      <c r="C233" t="s">
        <v>409</v>
      </c>
      <c r="D233" t="s">
        <v>433</v>
      </c>
      <c r="E233" s="3">
        <v>44772</v>
      </c>
      <c r="F233" s="49">
        <v>1</v>
      </c>
      <c r="G233" s="49">
        <v>2699.7750000000001</v>
      </c>
      <c r="H233" t="str">
        <f>IFERROR(VLOOKUP(D233,'SKU Maintenance'!L:O,3,0),"BP not found")</f>
        <v>C-UTX004</v>
      </c>
      <c r="K233"/>
    </row>
    <row r="234" spans="1:11" x14ac:dyDescent="0.25">
      <c r="A234" t="str">
        <f>IFERROR(VLOOKUP(B234&amp; "*",'SKU Maintenance'!D:H,5,0),"not found")</f>
        <v>2010010698160006</v>
      </c>
      <c r="B234">
        <v>40014010</v>
      </c>
      <c r="C234" t="s">
        <v>245</v>
      </c>
      <c r="D234" t="s">
        <v>233</v>
      </c>
      <c r="E234" s="3">
        <v>44745</v>
      </c>
      <c r="F234" s="49">
        <v>1</v>
      </c>
      <c r="G234" s="49">
        <v>2699.7750000000001</v>
      </c>
      <c r="H234" t="str">
        <f>IFERROR(VLOOKUP(D234,'SKU Maintenance'!L:O,3,0),"BP not found")</f>
        <v>C-UTX002</v>
      </c>
      <c r="K234"/>
    </row>
    <row r="235" spans="1:11" x14ac:dyDescent="0.25">
      <c r="A235" t="str">
        <f>IFERROR(VLOOKUP(B235&amp; "*",'SKU Maintenance'!D:H,5,0),"not found")</f>
        <v>2010010698160006</v>
      </c>
      <c r="B235">
        <v>40014010</v>
      </c>
      <c r="C235" t="s">
        <v>245</v>
      </c>
      <c r="D235" t="s">
        <v>233</v>
      </c>
      <c r="E235" s="3">
        <v>44751</v>
      </c>
      <c r="F235" s="49">
        <v>1</v>
      </c>
      <c r="G235" s="49">
        <v>2999.75</v>
      </c>
      <c r="H235" t="str">
        <f>IFERROR(VLOOKUP(D235,'SKU Maintenance'!L:O,3,0),"BP not found")</f>
        <v>C-UTX002</v>
      </c>
      <c r="K235"/>
    </row>
    <row r="236" spans="1:11" x14ac:dyDescent="0.25">
      <c r="A236" t="str">
        <f>IFERROR(VLOOKUP(B236&amp; "*",'SKU Maintenance'!D:H,5,0),"not found")</f>
        <v>2010010698160006</v>
      </c>
      <c r="B236">
        <v>40014010</v>
      </c>
      <c r="C236" t="s">
        <v>245</v>
      </c>
      <c r="D236" t="s">
        <v>233</v>
      </c>
      <c r="E236" s="3">
        <v>44761</v>
      </c>
      <c r="F236" s="49">
        <v>1</v>
      </c>
      <c r="G236" s="49">
        <v>2999.75</v>
      </c>
      <c r="H236" t="str">
        <f>IFERROR(VLOOKUP(D236,'SKU Maintenance'!L:O,3,0),"BP not found")</f>
        <v>C-UTX002</v>
      </c>
      <c r="K236"/>
    </row>
    <row r="237" spans="1:11" x14ac:dyDescent="0.25">
      <c r="A237" t="str">
        <f>IFERROR(VLOOKUP(B237&amp; "*",'SKU Maintenance'!D:H,5,0),"not found")</f>
        <v>2010010698160006</v>
      </c>
      <c r="B237">
        <v>40014010</v>
      </c>
      <c r="C237" t="s">
        <v>245</v>
      </c>
      <c r="D237" t="s">
        <v>233</v>
      </c>
      <c r="E237" s="3">
        <v>44766</v>
      </c>
      <c r="F237" s="49">
        <v>1</v>
      </c>
      <c r="G237" s="49">
        <v>2999.75</v>
      </c>
      <c r="H237" t="str">
        <f>IFERROR(VLOOKUP(D237,'SKU Maintenance'!L:O,3,0),"BP not found")</f>
        <v>C-UTX002</v>
      </c>
      <c r="K237"/>
    </row>
    <row r="238" spans="1:11" x14ac:dyDescent="0.25">
      <c r="A238" t="str">
        <f>IFERROR(VLOOKUP(B238&amp; "*",'SKU Maintenance'!D:H,5,0),"not found")</f>
        <v>2010010698160006</v>
      </c>
      <c r="B238">
        <v>40014010</v>
      </c>
      <c r="C238" t="s">
        <v>245</v>
      </c>
      <c r="D238" t="s">
        <v>233</v>
      </c>
      <c r="E238" s="3">
        <v>44772</v>
      </c>
      <c r="F238" s="49">
        <v>1</v>
      </c>
      <c r="G238" s="49">
        <v>2699.7750000000001</v>
      </c>
      <c r="H238" t="str">
        <f>IFERROR(VLOOKUP(D238,'SKU Maintenance'!L:O,3,0),"BP not found")</f>
        <v>C-UTX002</v>
      </c>
      <c r="K238"/>
    </row>
    <row r="239" spans="1:11" x14ac:dyDescent="0.25">
      <c r="A239" t="str">
        <f>IFERROR(VLOOKUP(B239&amp; "*",'SKU Maintenance'!D:H,5,0),"not found")</f>
        <v>2010020298167040</v>
      </c>
      <c r="B239">
        <v>40014012</v>
      </c>
      <c r="C239" t="s">
        <v>438</v>
      </c>
      <c r="D239" t="s">
        <v>433</v>
      </c>
      <c r="E239" s="3">
        <v>44749</v>
      </c>
      <c r="F239" s="49">
        <v>1</v>
      </c>
      <c r="G239" s="49">
        <v>299.75</v>
      </c>
      <c r="H239" t="str">
        <f>IFERROR(VLOOKUP(D239,'SKU Maintenance'!L:O,3,0),"BP not found")</f>
        <v>C-UTX004</v>
      </c>
      <c r="K239"/>
    </row>
    <row r="240" spans="1:11" x14ac:dyDescent="0.25">
      <c r="A240" t="str">
        <f>IFERROR(VLOOKUP(B240&amp; "*",'SKU Maintenance'!D:H,5,0),"not found")</f>
        <v>2010020298167040</v>
      </c>
      <c r="B240">
        <v>40014012</v>
      </c>
      <c r="C240" t="s">
        <v>438</v>
      </c>
      <c r="D240" t="s">
        <v>433</v>
      </c>
      <c r="E240" s="3">
        <v>44771</v>
      </c>
      <c r="F240" s="49">
        <v>1</v>
      </c>
      <c r="G240" s="49">
        <v>299.75</v>
      </c>
      <c r="H240" t="str">
        <f>IFERROR(VLOOKUP(D240,'SKU Maintenance'!L:O,3,0),"BP not found")</f>
        <v>C-UTX004</v>
      </c>
      <c r="K240"/>
    </row>
    <row r="241" spans="1:11" x14ac:dyDescent="0.25">
      <c r="A241" t="str">
        <f>IFERROR(VLOOKUP(B241&amp; "*",'SKU Maintenance'!D:H,5,0),"not found")</f>
        <v>2010020298227041</v>
      </c>
      <c r="B241">
        <v>40014015</v>
      </c>
      <c r="C241" t="s">
        <v>289</v>
      </c>
      <c r="D241" t="s">
        <v>233</v>
      </c>
      <c r="E241" s="3">
        <v>44757</v>
      </c>
      <c r="F241" s="49">
        <v>1</v>
      </c>
      <c r="G241" s="49">
        <v>599.75</v>
      </c>
      <c r="H241" t="str">
        <f>IFERROR(VLOOKUP(D241,'SKU Maintenance'!L:O,3,0),"BP not found")</f>
        <v>C-UTX002</v>
      </c>
      <c r="K241"/>
    </row>
    <row r="242" spans="1:11" x14ac:dyDescent="0.25">
      <c r="A242" t="str">
        <f>IFERROR(VLOOKUP(B242&amp; "*",'SKU Maintenance'!D:H,5,0),"not found")</f>
        <v>2010020298227041</v>
      </c>
      <c r="B242">
        <v>40014015</v>
      </c>
      <c r="C242" t="s">
        <v>289</v>
      </c>
      <c r="D242" t="s">
        <v>433</v>
      </c>
      <c r="E242" s="3">
        <v>44758</v>
      </c>
      <c r="F242" s="49">
        <v>1</v>
      </c>
      <c r="G242" s="49">
        <v>599.75</v>
      </c>
      <c r="H242" t="str">
        <f>IFERROR(VLOOKUP(D242,'SKU Maintenance'!L:O,3,0),"BP not found")</f>
        <v>C-UTX004</v>
      </c>
      <c r="K242"/>
    </row>
    <row r="243" spans="1:11" x14ac:dyDescent="0.25">
      <c r="A243" t="str">
        <f>IFERROR(VLOOKUP(B243&amp; "*",'SKU Maintenance'!D:H,5,0),"not found")</f>
        <v>2010070198130045</v>
      </c>
      <c r="B243">
        <v>40014050</v>
      </c>
      <c r="C243" t="s">
        <v>429</v>
      </c>
      <c r="D243" t="s">
        <v>351</v>
      </c>
      <c r="E243" s="3">
        <v>44771</v>
      </c>
      <c r="F243" s="49">
        <v>1</v>
      </c>
      <c r="G243" s="49">
        <v>125</v>
      </c>
      <c r="H243" t="str">
        <f>IFERROR(VLOOKUP(D243,'SKU Maintenance'!L:O,3,0),"BP not found")</f>
        <v>C-UTX003</v>
      </c>
      <c r="K243"/>
    </row>
    <row r="244" spans="1:11" x14ac:dyDescent="0.25">
      <c r="A244" t="str">
        <f>IFERROR(VLOOKUP(B244&amp; "*",'SKU Maintenance'!D:H,5,0),"not found")</f>
        <v>2010070198300005</v>
      </c>
      <c r="B244">
        <v>40014064</v>
      </c>
      <c r="C244" t="s">
        <v>465</v>
      </c>
      <c r="D244" t="s">
        <v>433</v>
      </c>
      <c r="E244" s="3">
        <v>44765</v>
      </c>
      <c r="F244" s="49">
        <v>1</v>
      </c>
      <c r="G244" s="49">
        <v>299.85000000000002</v>
      </c>
      <c r="H244" t="str">
        <f>IFERROR(VLOOKUP(D244,'SKU Maintenance'!L:O,3,0),"BP not found")</f>
        <v>C-UTX004</v>
      </c>
      <c r="K244"/>
    </row>
    <row r="245" spans="1:11" x14ac:dyDescent="0.25">
      <c r="A245" t="str">
        <f>IFERROR(VLOOKUP(B245&amp; "*",'SKU Maintenance'!D:H,5,0),"not found")</f>
        <v>2010070198180011</v>
      </c>
      <c r="B245">
        <v>40014070</v>
      </c>
      <c r="C245" t="s">
        <v>463</v>
      </c>
      <c r="D245" t="s">
        <v>433</v>
      </c>
      <c r="E245" s="3">
        <v>44765</v>
      </c>
      <c r="F245" s="49">
        <v>1</v>
      </c>
      <c r="G245" s="49">
        <v>150</v>
      </c>
      <c r="H245" t="str">
        <f>IFERROR(VLOOKUP(D245,'SKU Maintenance'!L:O,3,0),"BP not found")</f>
        <v>C-UTX004</v>
      </c>
      <c r="K245"/>
    </row>
    <row r="246" spans="1:11" x14ac:dyDescent="0.25">
      <c r="A246" t="str">
        <f>IFERROR(VLOOKUP(B246&amp; "*",'SKU Maintenance'!D:H,5,0),"not found")</f>
        <v>2010070198180012</v>
      </c>
      <c r="B246">
        <v>40014071</v>
      </c>
      <c r="C246" t="s">
        <v>464</v>
      </c>
      <c r="D246" t="s">
        <v>433</v>
      </c>
      <c r="E246" s="3">
        <v>44765</v>
      </c>
      <c r="F246" s="49">
        <v>1</v>
      </c>
      <c r="G246" s="49">
        <v>150</v>
      </c>
      <c r="H246" t="str">
        <f>IFERROR(VLOOKUP(D246,'SKU Maintenance'!L:O,3,0),"BP not found")</f>
        <v>C-UTX004</v>
      </c>
      <c r="K246"/>
    </row>
    <row r="247" spans="1:11" x14ac:dyDescent="0.25">
      <c r="A247" t="str">
        <f>IFERROR(VLOOKUP(B247&amp; "*",'SKU Maintenance'!D:H,5,0),"not found")</f>
        <v>2020070103180015</v>
      </c>
      <c r="B247">
        <v>40014074</v>
      </c>
      <c r="C247" t="s">
        <v>294</v>
      </c>
      <c r="D247" t="s">
        <v>233</v>
      </c>
      <c r="E247" s="3">
        <v>44758</v>
      </c>
      <c r="F247" s="49">
        <v>1</v>
      </c>
      <c r="G247" s="49">
        <v>699.75</v>
      </c>
      <c r="H247" t="str">
        <f>IFERROR(VLOOKUP(D247,'SKU Maintenance'!L:O,3,0),"BP not found")</f>
        <v>C-UTX002</v>
      </c>
      <c r="K247"/>
    </row>
    <row r="248" spans="1:11" x14ac:dyDescent="0.25">
      <c r="A248" t="str">
        <f>IFERROR(VLOOKUP(B248&amp; "*",'SKU Maintenance'!D:H,5,0),"not found")</f>
        <v>2010070198180018</v>
      </c>
      <c r="B248">
        <v>40014080</v>
      </c>
      <c r="C248" t="s">
        <v>232</v>
      </c>
      <c r="D248" t="s">
        <v>48</v>
      </c>
      <c r="E248" s="3">
        <v>44773</v>
      </c>
      <c r="F248" s="49">
        <v>1</v>
      </c>
      <c r="G248" s="49">
        <v>200</v>
      </c>
      <c r="H248" t="str">
        <f>IFERROR(VLOOKUP(D248,'SKU Maintenance'!L:O,3,0),"BP not found")</f>
        <v>C-UTX001</v>
      </c>
      <c r="K248"/>
    </row>
    <row r="249" spans="1:11" x14ac:dyDescent="0.25">
      <c r="A249" t="str">
        <f>IFERROR(VLOOKUP(B249&amp; "*",'SKU Maintenance'!D:H,5,0),"not found")</f>
        <v>2010040598163159</v>
      </c>
      <c r="B249">
        <v>40014088</v>
      </c>
      <c r="C249" t="s">
        <v>447</v>
      </c>
      <c r="D249" t="s">
        <v>433</v>
      </c>
      <c r="E249" s="3">
        <v>44757</v>
      </c>
      <c r="F249" s="49">
        <v>1</v>
      </c>
      <c r="G249" s="49">
        <v>89.75</v>
      </c>
      <c r="H249" t="str">
        <f>IFERROR(VLOOKUP(D249,'SKU Maintenance'!L:O,3,0),"BP not found")</f>
        <v>C-UTX004</v>
      </c>
      <c r="K249"/>
    </row>
    <row r="250" spans="1:11" x14ac:dyDescent="0.25">
      <c r="A250" t="str">
        <f>IFERROR(VLOOKUP(B250&amp; "*",'SKU Maintenance'!D:H,5,0),"not found")</f>
        <v>2010040598163159</v>
      </c>
      <c r="B250">
        <v>40014088</v>
      </c>
      <c r="C250" t="s">
        <v>447</v>
      </c>
      <c r="D250" t="s">
        <v>433</v>
      </c>
      <c r="E250" s="3">
        <v>44759</v>
      </c>
      <c r="F250" s="49">
        <v>1</v>
      </c>
      <c r="G250" s="49">
        <v>89.75</v>
      </c>
      <c r="H250" t="str">
        <f>IFERROR(VLOOKUP(D250,'SKU Maintenance'!L:O,3,0),"BP not found")</f>
        <v>C-UTX004</v>
      </c>
      <c r="K250"/>
    </row>
    <row r="251" spans="1:11" x14ac:dyDescent="0.25">
      <c r="A251" t="str">
        <f>IFERROR(VLOOKUP(B251&amp; "*",'SKU Maintenance'!D:H,5,0),"not found")</f>
        <v>2010040598173159</v>
      </c>
      <c r="B251">
        <v>40014090</v>
      </c>
      <c r="C251" t="s">
        <v>447</v>
      </c>
      <c r="D251" t="s">
        <v>433</v>
      </c>
      <c r="E251" s="3">
        <v>44758</v>
      </c>
      <c r="F251" s="49">
        <v>1</v>
      </c>
      <c r="G251" s="49">
        <v>89.75</v>
      </c>
      <c r="H251" t="str">
        <f>IFERROR(VLOOKUP(D251,'SKU Maintenance'!L:O,3,0),"BP not found")</f>
        <v>C-UTX004</v>
      </c>
      <c r="K251"/>
    </row>
    <row r="252" spans="1:11" x14ac:dyDescent="0.25">
      <c r="A252" t="str">
        <f>IFERROR(VLOOKUP(B252&amp; "*",'SKU Maintenance'!D:H,5,0),"not found")</f>
        <v>2010040598173159</v>
      </c>
      <c r="B252">
        <v>40014090</v>
      </c>
      <c r="C252" t="s">
        <v>447</v>
      </c>
      <c r="D252" t="s">
        <v>433</v>
      </c>
      <c r="E252" s="3">
        <v>44759</v>
      </c>
      <c r="F252" s="49">
        <v>1</v>
      </c>
      <c r="G252" s="49">
        <v>89.75</v>
      </c>
      <c r="H252" t="str">
        <f>IFERROR(VLOOKUP(D252,'SKU Maintenance'!L:O,3,0),"BP not found")</f>
        <v>C-UTX004</v>
      </c>
      <c r="K252"/>
    </row>
    <row r="253" spans="1:11" x14ac:dyDescent="0.25">
      <c r="A253" t="str">
        <f>IFERROR(VLOOKUP(B253&amp; "*",'SKU Maintenance'!D:H,5,0),"not found")</f>
        <v>2010010102200001</v>
      </c>
      <c r="B253">
        <v>40014506</v>
      </c>
      <c r="C253" t="s">
        <v>406</v>
      </c>
      <c r="D253" t="s">
        <v>351</v>
      </c>
      <c r="E253" s="3">
        <v>44758</v>
      </c>
      <c r="F253" s="49">
        <v>1</v>
      </c>
      <c r="G253" s="49">
        <v>100</v>
      </c>
      <c r="H253" t="str">
        <f>IFERROR(VLOOKUP(D253,'SKU Maintenance'!L:O,3,0),"BP not found")</f>
        <v>C-UTX003</v>
      </c>
      <c r="K253"/>
    </row>
    <row r="254" spans="1:11" x14ac:dyDescent="0.25">
      <c r="A254" t="str">
        <f>IFERROR(VLOOKUP(B254&amp; "*",'SKU Maintenance'!D:H,5,0),"not found")</f>
        <v>2010010103200001</v>
      </c>
      <c r="B254">
        <v>40014507</v>
      </c>
      <c r="C254" t="s">
        <v>136</v>
      </c>
      <c r="D254" t="s">
        <v>48</v>
      </c>
      <c r="E254" s="3">
        <v>44756</v>
      </c>
      <c r="F254" s="49">
        <v>2</v>
      </c>
      <c r="G254" s="49">
        <v>250</v>
      </c>
      <c r="H254" t="str">
        <f>IFERROR(VLOOKUP(D254,'SKU Maintenance'!L:O,3,0),"BP not found")</f>
        <v>C-UTX001</v>
      </c>
      <c r="K254"/>
    </row>
    <row r="255" spans="1:11" x14ac:dyDescent="0.25">
      <c r="A255" t="str">
        <f>IFERROR(VLOOKUP(B255&amp; "*",'SKU Maintenance'!D:H,5,0),"not found")</f>
        <v>2010010102180001</v>
      </c>
      <c r="B255">
        <v>40014509</v>
      </c>
      <c r="C255" t="s">
        <v>405</v>
      </c>
      <c r="D255" t="s">
        <v>351</v>
      </c>
      <c r="E255" s="3">
        <v>44758</v>
      </c>
      <c r="F255" s="49">
        <v>1</v>
      </c>
      <c r="G255" s="49">
        <v>100</v>
      </c>
      <c r="H255" t="str">
        <f>IFERROR(VLOOKUP(D255,'SKU Maintenance'!L:O,3,0),"BP not found")</f>
        <v>C-UTX003</v>
      </c>
      <c r="K255"/>
    </row>
    <row r="256" spans="1:11" x14ac:dyDescent="0.25">
      <c r="A256" t="str">
        <f>IFERROR(VLOOKUP(B256&amp; "*",'SKU Maintenance'!D:H,5,0),"not found")</f>
        <v>2010010104180001</v>
      </c>
      <c r="B256">
        <v>40014511</v>
      </c>
      <c r="C256" t="s">
        <v>348</v>
      </c>
      <c r="D256" t="s">
        <v>233</v>
      </c>
      <c r="E256" s="3">
        <v>44772</v>
      </c>
      <c r="F256" s="49">
        <v>1</v>
      </c>
      <c r="G256" s="49">
        <v>175</v>
      </c>
      <c r="H256" t="str">
        <f>IFERROR(VLOOKUP(D256,'SKU Maintenance'!L:O,3,0),"BP not found")</f>
        <v>C-UTX002</v>
      </c>
      <c r="K256"/>
    </row>
    <row r="257" spans="1:11" x14ac:dyDescent="0.25">
      <c r="A257" t="str">
        <f>IFERROR(VLOOKUP(B257&amp; "*",'SKU Maintenance'!D:H,5,0),"not found")</f>
        <v>2010010104180001</v>
      </c>
      <c r="B257">
        <v>40014511</v>
      </c>
      <c r="C257" t="s">
        <v>348</v>
      </c>
      <c r="D257" t="s">
        <v>433</v>
      </c>
      <c r="E257" s="3">
        <v>44765</v>
      </c>
      <c r="F257" s="49">
        <v>1</v>
      </c>
      <c r="G257" s="49">
        <v>175</v>
      </c>
      <c r="H257" t="str">
        <f>IFERROR(VLOOKUP(D257,'SKU Maintenance'!L:O,3,0),"BP not found")</f>
        <v>C-UTX004</v>
      </c>
      <c r="K257"/>
    </row>
    <row r="258" spans="1:11" x14ac:dyDescent="0.25">
      <c r="A258" t="str">
        <f>IFERROR(VLOOKUP(B258&amp; "*",'SKU Maintenance'!D:H,5,0),"not found")</f>
        <v>2010010104160002</v>
      </c>
      <c r="B258">
        <v>40014514</v>
      </c>
      <c r="C258" t="s">
        <v>359</v>
      </c>
      <c r="D258" t="s">
        <v>351</v>
      </c>
      <c r="E258" s="3">
        <v>44746</v>
      </c>
      <c r="F258" s="49">
        <v>3</v>
      </c>
      <c r="G258" s="49">
        <v>599.25</v>
      </c>
      <c r="H258" t="str">
        <f>IFERROR(VLOOKUP(D258,'SKU Maintenance'!L:O,3,0),"BP not found")</f>
        <v>C-UTX003</v>
      </c>
      <c r="K258"/>
    </row>
    <row r="259" spans="1:11" x14ac:dyDescent="0.25">
      <c r="A259" t="str">
        <f>IFERROR(VLOOKUP(B259&amp; "*",'SKU Maintenance'!D:H,5,0),"not found")</f>
        <v>2010010102180002</v>
      </c>
      <c r="B259">
        <v>40014515</v>
      </c>
      <c r="C259" t="s">
        <v>358</v>
      </c>
      <c r="D259" t="s">
        <v>351</v>
      </c>
      <c r="E259" s="3">
        <v>44746</v>
      </c>
      <c r="F259" s="49">
        <v>2</v>
      </c>
      <c r="G259" s="49">
        <v>259.5</v>
      </c>
      <c r="H259" t="str">
        <f>IFERROR(VLOOKUP(D259,'SKU Maintenance'!L:O,3,0),"BP not found")</f>
        <v>C-UTX003</v>
      </c>
      <c r="K259"/>
    </row>
    <row r="260" spans="1:11" x14ac:dyDescent="0.25">
      <c r="A260" t="str">
        <f>IFERROR(VLOOKUP(B260&amp; "*",'SKU Maintenance'!D:H,5,0),"not found")</f>
        <v>2010010103220004</v>
      </c>
      <c r="B260">
        <v>40014525</v>
      </c>
      <c r="C260" t="s">
        <v>407</v>
      </c>
      <c r="D260" t="s">
        <v>351</v>
      </c>
      <c r="E260" s="3">
        <v>44758</v>
      </c>
      <c r="F260" s="49">
        <v>1</v>
      </c>
      <c r="G260" s="49">
        <v>85</v>
      </c>
      <c r="H260" t="str">
        <f>IFERROR(VLOOKUP(D260,'SKU Maintenance'!L:O,3,0),"BP not found")</f>
        <v>C-UTX003</v>
      </c>
      <c r="K260"/>
    </row>
    <row r="261" spans="1:11" x14ac:dyDescent="0.25">
      <c r="A261" t="str">
        <f>IFERROR(VLOOKUP(B261&amp; "*",'SKU Maintenance'!D:H,5,0),"not found")</f>
        <v>2010010103200004</v>
      </c>
      <c r="B261">
        <v>40014528</v>
      </c>
      <c r="C261" t="s">
        <v>197</v>
      </c>
      <c r="D261" t="s">
        <v>48</v>
      </c>
      <c r="E261" s="3">
        <v>44766</v>
      </c>
      <c r="F261" s="49">
        <v>1</v>
      </c>
      <c r="G261" s="49">
        <v>85</v>
      </c>
      <c r="H261" t="str">
        <f>IFERROR(VLOOKUP(D261,'SKU Maintenance'!L:O,3,0),"BP not found")</f>
        <v>C-UTX001</v>
      </c>
      <c r="K261"/>
    </row>
    <row r="262" spans="1:11" x14ac:dyDescent="0.25">
      <c r="A262" t="str">
        <f>IFERROR(VLOOKUP(B262&amp; "*",'SKU Maintenance'!D:H,5,0),"not found")</f>
        <v>2010010103200004</v>
      </c>
      <c r="B262">
        <v>40014528</v>
      </c>
      <c r="C262" t="s">
        <v>197</v>
      </c>
      <c r="D262" t="s">
        <v>351</v>
      </c>
      <c r="E262" s="3">
        <v>44758</v>
      </c>
      <c r="F262" s="49">
        <v>1</v>
      </c>
      <c r="G262" s="49">
        <v>85</v>
      </c>
      <c r="H262" t="str">
        <f>IFERROR(VLOOKUP(D262,'SKU Maintenance'!L:O,3,0),"BP not found")</f>
        <v>C-UTX003</v>
      </c>
      <c r="K262"/>
    </row>
    <row r="263" spans="1:11" x14ac:dyDescent="0.25">
      <c r="A263" t="str">
        <f>IFERROR(VLOOKUP(B263&amp; "*",'SKU Maintenance'!D:H,5,0),"not found")</f>
        <v>2010010104250007</v>
      </c>
      <c r="B263">
        <v>40014543</v>
      </c>
      <c r="C263" t="s">
        <v>402</v>
      </c>
      <c r="D263" t="s">
        <v>351</v>
      </c>
      <c r="E263" s="3">
        <v>44756</v>
      </c>
      <c r="F263" s="49">
        <v>1</v>
      </c>
      <c r="G263" s="49">
        <v>100</v>
      </c>
      <c r="H263" t="str">
        <f>IFERROR(VLOOKUP(D263,'SKU Maintenance'!L:O,3,0),"BP not found")</f>
        <v>C-UTX003</v>
      </c>
      <c r="K263"/>
    </row>
    <row r="264" spans="1:11" x14ac:dyDescent="0.25">
      <c r="A264" t="str">
        <f>IFERROR(VLOOKUP(B264&amp; "*",'SKU Maintenance'!D:H,5,0),"not found")</f>
        <v>2010010103250009</v>
      </c>
      <c r="B264">
        <v>40014550</v>
      </c>
      <c r="C264" t="s">
        <v>387</v>
      </c>
      <c r="D264" t="s">
        <v>351</v>
      </c>
      <c r="E264" s="3">
        <v>44754</v>
      </c>
      <c r="F264" s="49">
        <v>1</v>
      </c>
      <c r="G264" s="49">
        <v>150</v>
      </c>
      <c r="H264" t="str">
        <f>IFERROR(VLOOKUP(D264,'SKU Maintenance'!L:O,3,0),"BP not found")</f>
        <v>C-UTX003</v>
      </c>
      <c r="K264"/>
    </row>
    <row r="265" spans="1:11" x14ac:dyDescent="0.25">
      <c r="A265" t="str">
        <f>IFERROR(VLOOKUP(B265&amp; "*",'SKU Maintenance'!D:H,5,0),"not found")</f>
        <v>2010010104250009</v>
      </c>
      <c r="B265">
        <v>40014551</v>
      </c>
      <c r="C265" t="s">
        <v>119</v>
      </c>
      <c r="D265" t="s">
        <v>48</v>
      </c>
      <c r="E265" s="3">
        <v>44753</v>
      </c>
      <c r="F265" s="49">
        <v>6</v>
      </c>
      <c r="G265" s="49">
        <v>1200</v>
      </c>
      <c r="H265" t="str">
        <f>IFERROR(VLOOKUP(D265,'SKU Maintenance'!L:O,3,0),"BP not found")</f>
        <v>C-UTX001</v>
      </c>
      <c r="K265"/>
    </row>
    <row r="266" spans="1:11" x14ac:dyDescent="0.25">
      <c r="A266" t="str">
        <f>IFERROR(VLOOKUP(B266&amp; "*",'SKU Maintenance'!D:H,5,0),"not found")</f>
        <v>2010010103160009</v>
      </c>
      <c r="B266">
        <v>40014556</v>
      </c>
      <c r="C266" t="s">
        <v>119</v>
      </c>
      <c r="D266" t="s">
        <v>433</v>
      </c>
      <c r="E266" s="3">
        <v>44747</v>
      </c>
      <c r="F266" s="49">
        <v>1</v>
      </c>
      <c r="G266" s="49">
        <v>150</v>
      </c>
      <c r="H266" t="str">
        <f>IFERROR(VLOOKUP(D266,'SKU Maintenance'!L:O,3,0),"BP not found")</f>
        <v>C-UTX004</v>
      </c>
      <c r="K266"/>
    </row>
    <row r="267" spans="1:11" x14ac:dyDescent="0.25">
      <c r="A267" t="str">
        <f>IFERROR(VLOOKUP(B267&amp; "*",'SKU Maintenance'!D:H,5,0),"not found")</f>
        <v>2010010104160009</v>
      </c>
      <c r="B267">
        <v>40014557</v>
      </c>
      <c r="C267" t="s">
        <v>119</v>
      </c>
      <c r="D267" t="s">
        <v>48</v>
      </c>
      <c r="E267" s="3">
        <v>44753</v>
      </c>
      <c r="F267" s="49">
        <v>3</v>
      </c>
      <c r="G267" s="49">
        <v>600</v>
      </c>
      <c r="H267" t="str">
        <f>IFERROR(VLOOKUP(D267,'SKU Maintenance'!L:O,3,0),"BP not found")</f>
        <v>C-UTX001</v>
      </c>
      <c r="K267"/>
    </row>
    <row r="268" spans="1:11" x14ac:dyDescent="0.25">
      <c r="A268" t="str">
        <f>IFERROR(VLOOKUP(B268&amp; "*",'SKU Maintenance'!D:H,5,0),"not found")</f>
        <v>2010040601042521</v>
      </c>
      <c r="B268">
        <v>40014582</v>
      </c>
      <c r="C268" t="s">
        <v>349</v>
      </c>
      <c r="D268" t="s">
        <v>233</v>
      </c>
      <c r="E268" s="3">
        <v>44773</v>
      </c>
      <c r="F268" s="49">
        <v>1</v>
      </c>
      <c r="G268" s="49">
        <v>149.75</v>
      </c>
      <c r="H268" t="str">
        <f>IFERROR(VLOOKUP(D268,'SKU Maintenance'!L:O,3,0),"BP not found")</f>
        <v>C-UTX002</v>
      </c>
      <c r="K268"/>
    </row>
    <row r="269" spans="1:11" x14ac:dyDescent="0.25">
      <c r="A269" t="str">
        <f>IFERROR(VLOOKUP(B269&amp; "*",'SKU Maintenance'!D:H,5,0),"not found")</f>
        <v>2010070101180054</v>
      </c>
      <c r="B269">
        <v>40014606</v>
      </c>
      <c r="C269" t="s">
        <v>386</v>
      </c>
      <c r="D269" t="s">
        <v>351</v>
      </c>
      <c r="E269" s="3">
        <v>44754</v>
      </c>
      <c r="F269" s="49">
        <v>1</v>
      </c>
      <c r="G269" s="49">
        <v>150</v>
      </c>
      <c r="H269" t="str">
        <f>IFERROR(VLOOKUP(D269,'SKU Maintenance'!L:O,3,0),"BP not found")</f>
        <v>C-UTX003</v>
      </c>
      <c r="K269"/>
    </row>
    <row r="270" spans="1:11" x14ac:dyDescent="0.25">
      <c r="A270" t="str">
        <f>IFERROR(VLOOKUP(B270&amp; "*",'SKU Maintenance'!D:H,5,0),"not found")</f>
        <v>2010070101020054</v>
      </c>
      <c r="B270">
        <v>40014607</v>
      </c>
      <c r="C270" t="s">
        <v>267</v>
      </c>
      <c r="D270" t="s">
        <v>233</v>
      </c>
      <c r="E270" s="3">
        <v>44749</v>
      </c>
      <c r="F270" s="49">
        <v>1</v>
      </c>
      <c r="G270" s="49">
        <v>299.75</v>
      </c>
      <c r="H270" t="str">
        <f>IFERROR(VLOOKUP(D270,'SKU Maintenance'!L:O,3,0),"BP not found")</f>
        <v>C-UTX002</v>
      </c>
      <c r="K270"/>
    </row>
    <row r="271" spans="1:11" x14ac:dyDescent="0.25">
      <c r="A271" t="str">
        <f>IFERROR(VLOOKUP(B271&amp; "*",'SKU Maintenance'!D:H,5,0),"not found")</f>
        <v>2010070101020054</v>
      </c>
      <c r="B271">
        <v>40014607</v>
      </c>
      <c r="C271" t="s">
        <v>267</v>
      </c>
      <c r="D271" t="s">
        <v>351</v>
      </c>
      <c r="E271" s="3">
        <v>44757</v>
      </c>
      <c r="F271" s="49">
        <v>1</v>
      </c>
      <c r="G271" s="49">
        <v>150</v>
      </c>
      <c r="H271" t="str">
        <f>IFERROR(VLOOKUP(D271,'SKU Maintenance'!L:O,3,0),"BP not found")</f>
        <v>C-UTX003</v>
      </c>
      <c r="K271"/>
    </row>
    <row r="272" spans="1:11" x14ac:dyDescent="0.25">
      <c r="A272" t="str">
        <f>IFERROR(VLOOKUP(B272&amp; "*",'SKU Maintenance'!D:H,5,0),"not found")</f>
        <v>2010070101020054</v>
      </c>
      <c r="B272">
        <v>40014607</v>
      </c>
      <c r="C272" t="s">
        <v>267</v>
      </c>
      <c r="D272" t="s">
        <v>433</v>
      </c>
      <c r="E272" s="3">
        <v>44772</v>
      </c>
      <c r="F272" s="49">
        <v>1</v>
      </c>
      <c r="G272" s="49">
        <v>299.75</v>
      </c>
      <c r="H272" t="str">
        <f>IFERROR(VLOOKUP(D272,'SKU Maintenance'!L:O,3,0),"BP not found")</f>
        <v>C-UTX004</v>
      </c>
      <c r="K272"/>
    </row>
    <row r="273" spans="1:11" x14ac:dyDescent="0.25">
      <c r="A273" t="str">
        <f>IFERROR(VLOOKUP(B273&amp; "*",'SKU Maintenance'!D:H,5,0),"not found")</f>
        <v>2010070102020054</v>
      </c>
      <c r="B273">
        <v>40014609</v>
      </c>
      <c r="C273" t="s">
        <v>200</v>
      </c>
      <c r="D273" t="s">
        <v>48</v>
      </c>
      <c r="E273" s="3">
        <v>44767</v>
      </c>
      <c r="F273" s="49">
        <v>2</v>
      </c>
      <c r="G273" s="49">
        <v>600</v>
      </c>
      <c r="H273" t="str">
        <f>IFERROR(VLOOKUP(D273,'SKU Maintenance'!L:O,3,0),"BP not found")</f>
        <v>C-UTX001</v>
      </c>
      <c r="K273"/>
    </row>
    <row r="274" spans="1:11" x14ac:dyDescent="0.25">
      <c r="A274" t="str">
        <f>IFERROR(VLOOKUP(B274&amp; "*",'SKU Maintenance'!D:H,5,0),"not found")</f>
        <v>2010070102020054</v>
      </c>
      <c r="B274">
        <v>40014609</v>
      </c>
      <c r="C274" t="s">
        <v>200</v>
      </c>
      <c r="D274" t="s">
        <v>433</v>
      </c>
      <c r="E274" s="3">
        <v>44771</v>
      </c>
      <c r="F274" s="49">
        <v>1</v>
      </c>
      <c r="G274" s="49">
        <v>300</v>
      </c>
      <c r="H274" t="str">
        <f>IFERROR(VLOOKUP(D274,'SKU Maintenance'!L:O,3,0),"BP not found")</f>
        <v>C-UTX004</v>
      </c>
      <c r="K274"/>
    </row>
    <row r="275" spans="1:11" x14ac:dyDescent="0.25">
      <c r="A275" t="str">
        <f>IFERROR(VLOOKUP(B275&amp; "*",'SKU Maintenance'!D:H,5,0),"not found")</f>
        <v>2010070101130055</v>
      </c>
      <c r="B275">
        <v>40014610</v>
      </c>
      <c r="C275" t="s">
        <v>385</v>
      </c>
      <c r="D275" t="s">
        <v>351</v>
      </c>
      <c r="E275" s="3">
        <v>44757</v>
      </c>
      <c r="F275" s="49">
        <v>1</v>
      </c>
      <c r="G275" s="49">
        <v>175</v>
      </c>
      <c r="H275" t="str">
        <f>IFERROR(VLOOKUP(D275,'SKU Maintenance'!L:O,3,0),"BP not found")</f>
        <v>C-UTX003</v>
      </c>
      <c r="K275"/>
    </row>
    <row r="276" spans="1:11" x14ac:dyDescent="0.25">
      <c r="A276" t="str">
        <f>IFERROR(VLOOKUP(B276&amp; "*",'SKU Maintenance'!D:H,5,0),"not found")</f>
        <v>2010070101220055</v>
      </c>
      <c r="B276">
        <v>40014611</v>
      </c>
      <c r="C276" t="s">
        <v>385</v>
      </c>
      <c r="D276" t="s">
        <v>351</v>
      </c>
      <c r="E276" s="3">
        <v>44754</v>
      </c>
      <c r="F276" s="49">
        <v>1</v>
      </c>
      <c r="G276" s="49">
        <v>175</v>
      </c>
      <c r="H276" t="str">
        <f>IFERROR(VLOOKUP(D276,'SKU Maintenance'!L:O,3,0),"BP not found")</f>
        <v>C-UTX003</v>
      </c>
      <c r="K276"/>
    </row>
    <row r="277" spans="1:11" x14ac:dyDescent="0.25">
      <c r="A277" t="str">
        <f>IFERROR(VLOOKUP(B277&amp; "*",'SKU Maintenance'!D:H,5,0),"not found")</f>
        <v>2010070103130055</v>
      </c>
      <c r="B277">
        <v>40014612</v>
      </c>
      <c r="C277" t="s">
        <v>120</v>
      </c>
      <c r="D277" t="s">
        <v>48</v>
      </c>
      <c r="E277" s="3">
        <v>44753</v>
      </c>
      <c r="F277" s="49">
        <v>1</v>
      </c>
      <c r="G277" s="49">
        <v>250</v>
      </c>
      <c r="H277" t="str">
        <f>IFERROR(VLOOKUP(D277,'SKU Maintenance'!L:O,3,0),"BP not found")</f>
        <v>C-UTX001</v>
      </c>
      <c r="K277"/>
    </row>
    <row r="278" spans="1:11" x14ac:dyDescent="0.25">
      <c r="A278" t="str">
        <f>IFERROR(VLOOKUP(B278&amp; "*",'SKU Maintenance'!D:H,5,0),"not found")</f>
        <v>2010070103130055</v>
      </c>
      <c r="B278">
        <v>40014612</v>
      </c>
      <c r="C278" t="s">
        <v>120</v>
      </c>
      <c r="D278" t="s">
        <v>48</v>
      </c>
      <c r="E278" s="3">
        <v>44769</v>
      </c>
      <c r="F278" s="49">
        <v>2</v>
      </c>
      <c r="G278" s="49">
        <v>500</v>
      </c>
      <c r="H278" t="str">
        <f>IFERROR(VLOOKUP(D278,'SKU Maintenance'!L:O,3,0),"BP not found")</f>
        <v>C-UTX001</v>
      </c>
      <c r="K278"/>
    </row>
    <row r="279" spans="1:11" x14ac:dyDescent="0.25">
      <c r="A279" t="str">
        <f>IFERROR(VLOOKUP(B279&amp; "*",'SKU Maintenance'!D:H,5,0),"not found")</f>
        <v>2010070103130055</v>
      </c>
      <c r="B279">
        <v>40014612</v>
      </c>
      <c r="C279" t="s">
        <v>120</v>
      </c>
      <c r="D279" t="s">
        <v>433</v>
      </c>
      <c r="E279" s="3">
        <v>44765</v>
      </c>
      <c r="F279" s="49">
        <v>2</v>
      </c>
      <c r="G279" s="49">
        <v>500</v>
      </c>
      <c r="H279" t="str">
        <f>IFERROR(VLOOKUP(D279,'SKU Maintenance'!L:O,3,0),"BP not found")</f>
        <v>C-UTX004</v>
      </c>
      <c r="K279"/>
    </row>
    <row r="280" spans="1:11" x14ac:dyDescent="0.25">
      <c r="A280" t="str">
        <f>IFERROR(VLOOKUP(B280&amp; "*",'SKU Maintenance'!D:H,5,0),"not found")</f>
        <v>2010040598193172</v>
      </c>
      <c r="B280">
        <v>40014623</v>
      </c>
      <c r="C280" t="s">
        <v>388</v>
      </c>
      <c r="D280" t="s">
        <v>351</v>
      </c>
      <c r="E280" s="3">
        <v>44754</v>
      </c>
      <c r="F280" s="49">
        <v>1</v>
      </c>
      <c r="G280" s="49">
        <v>100</v>
      </c>
      <c r="H280" t="str">
        <f>IFERROR(VLOOKUP(D280,'SKU Maintenance'!L:O,3,0),"BP not found")</f>
        <v>C-UTX003</v>
      </c>
      <c r="K280"/>
    </row>
    <row r="281" spans="1:11" x14ac:dyDescent="0.25">
      <c r="A281" t="str">
        <f>IFERROR(VLOOKUP(B281&amp; "*",'SKU Maintenance'!D:H,5,0),"not found")</f>
        <v>2010060998200010</v>
      </c>
      <c r="B281">
        <v>40014656</v>
      </c>
      <c r="C281" t="s">
        <v>378</v>
      </c>
      <c r="D281" t="s">
        <v>351</v>
      </c>
      <c r="E281" s="3">
        <v>44752</v>
      </c>
      <c r="F281" s="49">
        <v>1</v>
      </c>
      <c r="G281" s="49">
        <v>799.75</v>
      </c>
      <c r="H281" t="str">
        <f>IFERROR(VLOOKUP(D281,'SKU Maintenance'!L:O,3,0),"BP not found")</f>
        <v>C-UTX003</v>
      </c>
      <c r="K281"/>
    </row>
    <row r="282" spans="1:11" x14ac:dyDescent="0.25">
      <c r="A282" t="str">
        <f>IFERROR(VLOOKUP(B282&amp; "*",'SKU Maintenance'!D:H,5,0),"not found")</f>
        <v>2010030403163336</v>
      </c>
      <c r="B282">
        <v>40014663</v>
      </c>
      <c r="C282" t="s">
        <v>271</v>
      </c>
      <c r="D282" t="s">
        <v>233</v>
      </c>
      <c r="E282" s="3">
        <v>44750</v>
      </c>
      <c r="F282" s="49">
        <v>2</v>
      </c>
      <c r="G282" s="49">
        <v>999.5</v>
      </c>
      <c r="H282" t="str">
        <f>IFERROR(VLOOKUP(D282,'SKU Maintenance'!L:O,3,0),"BP not found")</f>
        <v>C-UTX002</v>
      </c>
      <c r="K282"/>
    </row>
    <row r="283" spans="1:11" x14ac:dyDescent="0.25">
      <c r="A283" t="str">
        <f>IFERROR(VLOOKUP(B283&amp; "*",'SKU Maintenance'!D:H,5,0),"not found")</f>
        <v>2010030403163336</v>
      </c>
      <c r="B283">
        <v>40014663</v>
      </c>
      <c r="C283" t="s">
        <v>271</v>
      </c>
      <c r="D283" t="s">
        <v>233</v>
      </c>
      <c r="E283" s="3">
        <v>44755</v>
      </c>
      <c r="F283" s="49">
        <v>1</v>
      </c>
      <c r="G283" s="49">
        <v>499.75</v>
      </c>
      <c r="H283" t="str">
        <f>IFERROR(VLOOKUP(D283,'SKU Maintenance'!L:O,3,0),"BP not found")</f>
        <v>C-UTX002</v>
      </c>
      <c r="K283"/>
    </row>
    <row r="284" spans="1:11" x14ac:dyDescent="0.25">
      <c r="A284" t="str">
        <f>IFERROR(VLOOKUP(B284&amp; "*",'SKU Maintenance'!D:H,5,0),"not found")</f>
        <v>2010030403163336</v>
      </c>
      <c r="B284">
        <v>40014663</v>
      </c>
      <c r="C284" t="s">
        <v>271</v>
      </c>
      <c r="D284" t="s">
        <v>233</v>
      </c>
      <c r="E284" s="3">
        <v>44758</v>
      </c>
      <c r="F284" s="49">
        <v>1</v>
      </c>
      <c r="G284" s="49">
        <v>499.75</v>
      </c>
      <c r="H284" t="str">
        <f>IFERROR(VLOOKUP(D284,'SKU Maintenance'!L:O,3,0),"BP not found")</f>
        <v>C-UTX002</v>
      </c>
      <c r="K284"/>
    </row>
    <row r="285" spans="1:11" x14ac:dyDescent="0.25">
      <c r="A285" t="str">
        <f>IFERROR(VLOOKUP(B285&amp; "*",'SKU Maintenance'!D:H,5,0),"not found")</f>
        <v>2010030403163336</v>
      </c>
      <c r="B285">
        <v>40014663</v>
      </c>
      <c r="C285" t="s">
        <v>271</v>
      </c>
      <c r="D285" t="s">
        <v>233</v>
      </c>
      <c r="E285" s="3">
        <v>44772</v>
      </c>
      <c r="F285" s="49">
        <v>1</v>
      </c>
      <c r="G285" s="49">
        <v>499.75</v>
      </c>
      <c r="H285" t="str">
        <f>IFERROR(VLOOKUP(D285,'SKU Maintenance'!L:O,3,0),"BP not found")</f>
        <v>C-UTX002</v>
      </c>
      <c r="K285"/>
    </row>
    <row r="286" spans="1:11" x14ac:dyDescent="0.25">
      <c r="A286" t="str">
        <f>IFERROR(VLOOKUP(B286&amp; "*",'SKU Maintenance'!D:H,5,0),"not found")</f>
        <v>2010030403163336</v>
      </c>
      <c r="B286">
        <v>40014663</v>
      </c>
      <c r="C286" t="s">
        <v>271</v>
      </c>
      <c r="D286" t="s">
        <v>351</v>
      </c>
      <c r="E286" s="3">
        <v>44744</v>
      </c>
      <c r="F286" s="49">
        <v>1</v>
      </c>
      <c r="G286" s="49">
        <v>499.75</v>
      </c>
      <c r="H286" t="str">
        <f>IFERROR(VLOOKUP(D286,'SKU Maintenance'!L:O,3,0),"BP not found")</f>
        <v>C-UTX003</v>
      </c>
      <c r="K286"/>
    </row>
    <row r="287" spans="1:11" x14ac:dyDescent="0.25">
      <c r="A287" t="str">
        <f>IFERROR(VLOOKUP(B287&amp; "*",'SKU Maintenance'!D:H,5,0),"not found")</f>
        <v>2010030403163336</v>
      </c>
      <c r="B287">
        <v>40014663</v>
      </c>
      <c r="C287" t="s">
        <v>271</v>
      </c>
      <c r="D287" t="s">
        <v>351</v>
      </c>
      <c r="E287" s="3">
        <v>44745</v>
      </c>
      <c r="F287" s="49">
        <v>1</v>
      </c>
      <c r="G287" s="49">
        <v>499.75</v>
      </c>
      <c r="H287" t="str">
        <f>IFERROR(VLOOKUP(D287,'SKU Maintenance'!L:O,3,0),"BP not found")</f>
        <v>C-UTX003</v>
      </c>
      <c r="K287"/>
    </row>
    <row r="288" spans="1:11" x14ac:dyDescent="0.25">
      <c r="A288" t="str">
        <f>IFERROR(VLOOKUP(B288&amp; "*",'SKU Maintenance'!D:H,5,0),"not found")</f>
        <v>2010030403163336</v>
      </c>
      <c r="B288">
        <v>40014663</v>
      </c>
      <c r="C288" t="s">
        <v>271</v>
      </c>
      <c r="D288" t="s">
        <v>351</v>
      </c>
      <c r="E288" s="3">
        <v>44749</v>
      </c>
      <c r="F288" s="49">
        <v>1</v>
      </c>
      <c r="G288" s="49">
        <v>499.75</v>
      </c>
      <c r="H288" t="str">
        <f>IFERROR(VLOOKUP(D288,'SKU Maintenance'!L:O,3,0),"BP not found")</f>
        <v>C-UTX003</v>
      </c>
      <c r="K288"/>
    </row>
    <row r="289" spans="1:11" x14ac:dyDescent="0.25">
      <c r="A289" t="str">
        <f>IFERROR(VLOOKUP(B289&amp; "*",'SKU Maintenance'!D:H,5,0),"not found")</f>
        <v>2010030403163336</v>
      </c>
      <c r="B289">
        <v>40014663</v>
      </c>
      <c r="C289" t="s">
        <v>271</v>
      </c>
      <c r="D289" t="s">
        <v>351</v>
      </c>
      <c r="E289" s="3">
        <v>44757</v>
      </c>
      <c r="F289" s="49">
        <v>1</v>
      </c>
      <c r="G289" s="49">
        <v>499.75</v>
      </c>
      <c r="H289" t="str">
        <f>IFERROR(VLOOKUP(D289,'SKU Maintenance'!L:O,3,0),"BP not found")</f>
        <v>C-UTX003</v>
      </c>
      <c r="K289"/>
    </row>
    <row r="290" spans="1:11" x14ac:dyDescent="0.25">
      <c r="A290" t="str">
        <f>IFERROR(VLOOKUP(B290&amp; "*",'SKU Maintenance'!D:H,5,0),"not found")</f>
        <v>2010030403163336</v>
      </c>
      <c r="B290">
        <v>40014663</v>
      </c>
      <c r="C290" t="s">
        <v>271</v>
      </c>
      <c r="D290" t="s">
        <v>433</v>
      </c>
      <c r="E290" s="3">
        <v>44749</v>
      </c>
      <c r="F290" s="49">
        <v>1</v>
      </c>
      <c r="G290" s="49">
        <v>499.75</v>
      </c>
      <c r="H290" t="str">
        <f>IFERROR(VLOOKUP(D290,'SKU Maintenance'!L:O,3,0),"BP not found")</f>
        <v>C-UTX004</v>
      </c>
      <c r="K290"/>
    </row>
    <row r="291" spans="1:11" x14ac:dyDescent="0.25">
      <c r="A291" t="str">
        <f>IFERROR(VLOOKUP(B291&amp; "*",'SKU Maintenance'!D:H,5,0),"not found")</f>
        <v>2010030403163336</v>
      </c>
      <c r="B291">
        <v>40014663</v>
      </c>
      <c r="C291" t="s">
        <v>271</v>
      </c>
      <c r="D291" t="s">
        <v>433</v>
      </c>
      <c r="E291" s="3">
        <v>44751</v>
      </c>
      <c r="F291" s="49">
        <v>1</v>
      </c>
      <c r="G291" s="49">
        <v>499.75</v>
      </c>
      <c r="H291" t="str">
        <f>IFERROR(VLOOKUP(D291,'SKU Maintenance'!L:O,3,0),"BP not found")</f>
        <v>C-UTX004</v>
      </c>
      <c r="K291"/>
    </row>
    <row r="292" spans="1:11" x14ac:dyDescent="0.25">
      <c r="A292" t="str">
        <f>IFERROR(VLOOKUP(B292&amp; "*",'SKU Maintenance'!D:H,5,0),"not found")</f>
        <v>2010030403163336</v>
      </c>
      <c r="B292">
        <v>40014663</v>
      </c>
      <c r="C292" t="s">
        <v>271</v>
      </c>
      <c r="D292" t="s">
        <v>433</v>
      </c>
      <c r="E292" s="3">
        <v>44757</v>
      </c>
      <c r="F292" s="49">
        <v>1</v>
      </c>
      <c r="G292" s="49">
        <v>499.75</v>
      </c>
      <c r="H292" t="str">
        <f>IFERROR(VLOOKUP(D292,'SKU Maintenance'!L:O,3,0),"BP not found")</f>
        <v>C-UTX004</v>
      </c>
      <c r="K292"/>
    </row>
    <row r="293" spans="1:11" x14ac:dyDescent="0.25">
      <c r="A293" t="str">
        <f>IFERROR(VLOOKUP(B293&amp; "*",'SKU Maintenance'!D:H,5,0),"not found")</f>
        <v>2010030403163336</v>
      </c>
      <c r="B293">
        <v>40014663</v>
      </c>
      <c r="C293" t="s">
        <v>271</v>
      </c>
      <c r="D293" t="s">
        <v>433</v>
      </c>
      <c r="E293" s="3">
        <v>44765</v>
      </c>
      <c r="F293" s="49">
        <v>1</v>
      </c>
      <c r="G293" s="49">
        <v>499.75</v>
      </c>
      <c r="H293" t="str">
        <f>IFERROR(VLOOKUP(D293,'SKU Maintenance'!L:O,3,0),"BP not found")</f>
        <v>C-UTX004</v>
      </c>
      <c r="K293"/>
    </row>
    <row r="294" spans="1:11" x14ac:dyDescent="0.25">
      <c r="A294" t="str">
        <f>IFERROR(VLOOKUP(B294&amp; "*",'SKU Maintenance'!D:H,5,0),"not found")</f>
        <v>2010030403183336</v>
      </c>
      <c r="B294">
        <v>40014664</v>
      </c>
      <c r="C294" t="s">
        <v>271</v>
      </c>
      <c r="D294" t="s">
        <v>233</v>
      </c>
      <c r="E294" s="3">
        <v>44750</v>
      </c>
      <c r="F294" s="49">
        <v>1</v>
      </c>
      <c r="G294" s="49">
        <v>499.75</v>
      </c>
      <c r="H294" t="str">
        <f>IFERROR(VLOOKUP(D294,'SKU Maintenance'!L:O,3,0),"BP not found")</f>
        <v>C-UTX002</v>
      </c>
      <c r="K294"/>
    </row>
    <row r="295" spans="1:11" x14ac:dyDescent="0.25">
      <c r="A295" t="str">
        <f>IFERROR(VLOOKUP(B295&amp; "*",'SKU Maintenance'!D:H,5,0),"not found")</f>
        <v>2010030403183336</v>
      </c>
      <c r="B295">
        <v>40014664</v>
      </c>
      <c r="C295" t="s">
        <v>271</v>
      </c>
      <c r="D295" t="s">
        <v>233</v>
      </c>
      <c r="E295" s="3">
        <v>44755</v>
      </c>
      <c r="F295" s="49">
        <v>1</v>
      </c>
      <c r="G295" s="49">
        <v>499.75</v>
      </c>
      <c r="H295" t="str">
        <f>IFERROR(VLOOKUP(D295,'SKU Maintenance'!L:O,3,0),"BP not found")</f>
        <v>C-UTX002</v>
      </c>
      <c r="K295"/>
    </row>
    <row r="296" spans="1:11" x14ac:dyDescent="0.25">
      <c r="A296" t="str">
        <f>IFERROR(VLOOKUP(B296&amp; "*",'SKU Maintenance'!D:H,5,0),"not found")</f>
        <v>2010030403183336</v>
      </c>
      <c r="B296">
        <v>40014664</v>
      </c>
      <c r="C296" t="s">
        <v>271</v>
      </c>
      <c r="D296" t="s">
        <v>233</v>
      </c>
      <c r="E296" s="3">
        <v>44759</v>
      </c>
      <c r="F296" s="49">
        <v>1</v>
      </c>
      <c r="G296" s="49">
        <v>499.75</v>
      </c>
      <c r="H296" t="str">
        <f>IFERROR(VLOOKUP(D296,'SKU Maintenance'!L:O,3,0),"BP not found")</f>
        <v>C-UTX002</v>
      </c>
      <c r="K296"/>
    </row>
    <row r="297" spans="1:11" x14ac:dyDescent="0.25">
      <c r="A297" t="str">
        <f>IFERROR(VLOOKUP(B297&amp; "*",'SKU Maintenance'!D:H,5,0),"not found")</f>
        <v>2010030403183336</v>
      </c>
      <c r="B297">
        <v>40014664</v>
      </c>
      <c r="C297" t="s">
        <v>271</v>
      </c>
      <c r="D297" t="s">
        <v>233</v>
      </c>
      <c r="E297" s="3">
        <v>44761</v>
      </c>
      <c r="F297" s="49">
        <v>1</v>
      </c>
      <c r="G297" s="49">
        <v>499.75</v>
      </c>
      <c r="H297" t="str">
        <f>IFERROR(VLOOKUP(D297,'SKU Maintenance'!L:O,3,0),"BP not found")</f>
        <v>C-UTX002</v>
      </c>
      <c r="K297"/>
    </row>
    <row r="298" spans="1:11" x14ac:dyDescent="0.25">
      <c r="A298" t="str">
        <f>IFERROR(VLOOKUP(B298&amp; "*",'SKU Maintenance'!D:H,5,0),"not found")</f>
        <v>2010030403183336</v>
      </c>
      <c r="B298">
        <v>40014664</v>
      </c>
      <c r="C298" t="s">
        <v>271</v>
      </c>
      <c r="D298" t="s">
        <v>351</v>
      </c>
      <c r="E298" s="3">
        <v>44764</v>
      </c>
      <c r="F298" s="49">
        <v>1</v>
      </c>
      <c r="G298" s="49">
        <v>499.75</v>
      </c>
      <c r="H298" t="str">
        <f>IFERROR(VLOOKUP(D298,'SKU Maintenance'!L:O,3,0),"BP not found")</f>
        <v>C-UTX003</v>
      </c>
      <c r="K298"/>
    </row>
    <row r="299" spans="1:11" x14ac:dyDescent="0.25">
      <c r="A299" t="str">
        <f>IFERROR(VLOOKUP(B299&amp; "*",'SKU Maintenance'!D:H,5,0),"not found")</f>
        <v>2010030403183336</v>
      </c>
      <c r="B299">
        <v>40014664</v>
      </c>
      <c r="C299" t="s">
        <v>271</v>
      </c>
      <c r="D299" t="s">
        <v>433</v>
      </c>
      <c r="E299" s="3">
        <v>44746</v>
      </c>
      <c r="F299" s="49">
        <v>1</v>
      </c>
      <c r="G299" s="49">
        <v>499.75</v>
      </c>
      <c r="H299" t="str">
        <f>IFERROR(VLOOKUP(D299,'SKU Maintenance'!L:O,3,0),"BP not found")</f>
        <v>C-UTX004</v>
      </c>
      <c r="K299"/>
    </row>
    <row r="300" spans="1:11" x14ac:dyDescent="0.25">
      <c r="A300" t="str">
        <f>IFERROR(VLOOKUP(B300&amp; "*",'SKU Maintenance'!D:H,5,0),"not found")</f>
        <v>2010030403183336</v>
      </c>
      <c r="B300">
        <v>40014664</v>
      </c>
      <c r="C300" t="s">
        <v>271</v>
      </c>
      <c r="D300" t="s">
        <v>433</v>
      </c>
      <c r="E300" s="3">
        <v>44747</v>
      </c>
      <c r="F300" s="49">
        <v>2</v>
      </c>
      <c r="G300" s="49">
        <v>999.5</v>
      </c>
      <c r="H300" t="str">
        <f>IFERROR(VLOOKUP(D300,'SKU Maintenance'!L:O,3,0),"BP not found")</f>
        <v>C-UTX004</v>
      </c>
      <c r="K300"/>
    </row>
    <row r="301" spans="1:11" x14ac:dyDescent="0.25">
      <c r="A301" t="str">
        <f>IFERROR(VLOOKUP(B301&amp; "*",'SKU Maintenance'!D:H,5,0),"not found")</f>
        <v>2010030403183336</v>
      </c>
      <c r="B301">
        <v>40014664</v>
      </c>
      <c r="C301" t="s">
        <v>271</v>
      </c>
      <c r="D301" t="s">
        <v>433</v>
      </c>
      <c r="E301" s="3">
        <v>44748</v>
      </c>
      <c r="F301" s="49">
        <v>1</v>
      </c>
      <c r="G301" s="49">
        <v>499.75</v>
      </c>
      <c r="H301" t="str">
        <f>IFERROR(VLOOKUP(D301,'SKU Maintenance'!L:O,3,0),"BP not found")</f>
        <v>C-UTX004</v>
      </c>
      <c r="K301"/>
    </row>
    <row r="302" spans="1:11" x14ac:dyDescent="0.25">
      <c r="A302" t="str">
        <f>IFERROR(VLOOKUP(B302&amp; "*",'SKU Maintenance'!D:H,5,0),"not found")</f>
        <v>2010030403183336</v>
      </c>
      <c r="B302">
        <v>40014664</v>
      </c>
      <c r="C302" t="s">
        <v>271</v>
      </c>
      <c r="D302" t="s">
        <v>433</v>
      </c>
      <c r="E302" s="3">
        <v>44749</v>
      </c>
      <c r="F302" s="49">
        <v>1</v>
      </c>
      <c r="G302" s="49">
        <v>499.75</v>
      </c>
      <c r="H302" t="str">
        <f>IFERROR(VLOOKUP(D302,'SKU Maintenance'!L:O,3,0),"BP not found")</f>
        <v>C-UTX004</v>
      </c>
      <c r="K302"/>
    </row>
    <row r="303" spans="1:11" x14ac:dyDescent="0.25">
      <c r="A303" t="str">
        <f>IFERROR(VLOOKUP(B303&amp; "*",'SKU Maintenance'!D:H,5,0),"not found")</f>
        <v>2010030403183337</v>
      </c>
      <c r="B303">
        <v>40014666</v>
      </c>
      <c r="C303" t="s">
        <v>202</v>
      </c>
      <c r="D303" t="s">
        <v>48</v>
      </c>
      <c r="E303" s="3">
        <v>44767</v>
      </c>
      <c r="F303" s="49">
        <v>1</v>
      </c>
      <c r="G303" s="49">
        <v>499.75</v>
      </c>
      <c r="H303" t="str">
        <f>IFERROR(VLOOKUP(D303,'SKU Maintenance'!L:O,3,0),"BP not found")</f>
        <v>C-UTX001</v>
      </c>
      <c r="K303"/>
    </row>
    <row r="304" spans="1:11" x14ac:dyDescent="0.25">
      <c r="A304" t="str">
        <f>IFERROR(VLOOKUP(B304&amp; "*",'SKU Maintenance'!D:H,5,0),"not found")</f>
        <v>2010030403163346</v>
      </c>
      <c r="B304">
        <v>40014667</v>
      </c>
      <c r="C304" t="s">
        <v>68</v>
      </c>
      <c r="D304" t="s">
        <v>48</v>
      </c>
      <c r="E304" s="3">
        <v>44746</v>
      </c>
      <c r="F304" s="49">
        <v>2</v>
      </c>
      <c r="G304" s="49">
        <v>999.5</v>
      </c>
      <c r="H304" t="str">
        <f>IFERROR(VLOOKUP(D304,'SKU Maintenance'!L:O,3,0),"BP not found")</f>
        <v>C-UTX001</v>
      </c>
      <c r="K304"/>
    </row>
    <row r="305" spans="1:11" x14ac:dyDescent="0.25">
      <c r="A305" t="str">
        <f>IFERROR(VLOOKUP(B305&amp; "*",'SKU Maintenance'!D:H,5,0),"not found")</f>
        <v>2010030403163346</v>
      </c>
      <c r="B305">
        <v>40014667</v>
      </c>
      <c r="C305" t="s">
        <v>68</v>
      </c>
      <c r="D305" t="s">
        <v>48</v>
      </c>
      <c r="E305" s="3">
        <v>44751</v>
      </c>
      <c r="F305" s="49">
        <v>1</v>
      </c>
      <c r="G305" s="49">
        <v>499.75</v>
      </c>
      <c r="H305" t="str">
        <f>IFERROR(VLOOKUP(D305,'SKU Maintenance'!L:O,3,0),"BP not found")</f>
        <v>C-UTX001</v>
      </c>
      <c r="K305"/>
    </row>
    <row r="306" spans="1:11" x14ac:dyDescent="0.25">
      <c r="A306" t="str">
        <f>IFERROR(VLOOKUP(B306&amp; "*",'SKU Maintenance'!D:H,5,0),"not found")</f>
        <v>2010030403163346</v>
      </c>
      <c r="B306">
        <v>40014667</v>
      </c>
      <c r="C306" t="s">
        <v>68</v>
      </c>
      <c r="D306" t="s">
        <v>48</v>
      </c>
      <c r="E306" s="3">
        <v>44753</v>
      </c>
      <c r="F306" s="49">
        <v>1</v>
      </c>
      <c r="G306" s="49">
        <v>499.75</v>
      </c>
      <c r="H306" t="str">
        <f>IFERROR(VLOOKUP(D306,'SKU Maintenance'!L:O,3,0),"BP not found")</f>
        <v>C-UTX001</v>
      </c>
      <c r="K306"/>
    </row>
    <row r="307" spans="1:11" x14ac:dyDescent="0.25">
      <c r="A307" t="str">
        <f>IFERROR(VLOOKUP(B307&amp; "*",'SKU Maintenance'!D:H,5,0),"not found")</f>
        <v>2010030403163346</v>
      </c>
      <c r="B307">
        <v>40014667</v>
      </c>
      <c r="C307" t="s">
        <v>68</v>
      </c>
      <c r="D307" t="s">
        <v>233</v>
      </c>
      <c r="E307" s="3">
        <v>44751</v>
      </c>
      <c r="F307" s="49">
        <v>2</v>
      </c>
      <c r="G307" s="49">
        <v>999.5</v>
      </c>
      <c r="H307" t="str">
        <f>IFERROR(VLOOKUP(D307,'SKU Maintenance'!L:O,3,0),"BP not found")</f>
        <v>C-UTX002</v>
      </c>
      <c r="K307"/>
    </row>
    <row r="308" spans="1:11" x14ac:dyDescent="0.25">
      <c r="A308" t="str">
        <f>IFERROR(VLOOKUP(B308&amp; "*",'SKU Maintenance'!D:H,5,0),"not found")</f>
        <v>2010030403163346</v>
      </c>
      <c r="B308">
        <v>40014667</v>
      </c>
      <c r="C308" t="s">
        <v>68</v>
      </c>
      <c r="D308" t="s">
        <v>233</v>
      </c>
      <c r="E308" s="3">
        <v>44752</v>
      </c>
      <c r="F308" s="49">
        <v>1</v>
      </c>
      <c r="G308" s="49">
        <v>499.75</v>
      </c>
      <c r="H308" t="str">
        <f>IFERROR(VLOOKUP(D308,'SKU Maintenance'!L:O,3,0),"BP not found")</f>
        <v>C-UTX002</v>
      </c>
      <c r="K308"/>
    </row>
    <row r="309" spans="1:11" x14ac:dyDescent="0.25">
      <c r="A309" t="str">
        <f>IFERROR(VLOOKUP(B309&amp; "*",'SKU Maintenance'!D:H,5,0),"not found")</f>
        <v>2010030403163346</v>
      </c>
      <c r="B309">
        <v>40014667</v>
      </c>
      <c r="C309" t="s">
        <v>68</v>
      </c>
      <c r="D309" t="s">
        <v>233</v>
      </c>
      <c r="E309" s="3">
        <v>44758</v>
      </c>
      <c r="F309" s="49">
        <v>1</v>
      </c>
      <c r="G309" s="49">
        <v>499.75</v>
      </c>
      <c r="H309" t="str">
        <f>IFERROR(VLOOKUP(D309,'SKU Maintenance'!L:O,3,0),"BP not found")</f>
        <v>C-UTX002</v>
      </c>
      <c r="K309"/>
    </row>
    <row r="310" spans="1:11" x14ac:dyDescent="0.25">
      <c r="A310" t="str">
        <f>IFERROR(VLOOKUP(B310&amp; "*",'SKU Maintenance'!D:H,5,0),"not found")</f>
        <v>2010030403163346</v>
      </c>
      <c r="B310">
        <v>40014667</v>
      </c>
      <c r="C310" t="s">
        <v>68</v>
      </c>
      <c r="D310" t="s">
        <v>233</v>
      </c>
      <c r="E310" s="3">
        <v>44761</v>
      </c>
      <c r="F310" s="49">
        <v>1</v>
      </c>
      <c r="G310" s="49">
        <v>499.75</v>
      </c>
      <c r="H310" t="str">
        <f>IFERROR(VLOOKUP(D310,'SKU Maintenance'!L:O,3,0),"BP not found")</f>
        <v>C-UTX002</v>
      </c>
      <c r="K310"/>
    </row>
    <row r="311" spans="1:11" x14ac:dyDescent="0.25">
      <c r="A311" t="str">
        <f>IFERROR(VLOOKUP(B311&amp; "*",'SKU Maintenance'!D:H,5,0),"not found")</f>
        <v>2010030403163346</v>
      </c>
      <c r="B311">
        <v>40014667</v>
      </c>
      <c r="C311" t="s">
        <v>68</v>
      </c>
      <c r="D311" t="s">
        <v>351</v>
      </c>
      <c r="E311" s="3">
        <v>44745</v>
      </c>
      <c r="F311" s="49">
        <v>1</v>
      </c>
      <c r="G311" s="49">
        <v>499.75</v>
      </c>
      <c r="H311" t="str">
        <f>IFERROR(VLOOKUP(D311,'SKU Maintenance'!L:O,3,0),"BP not found")</f>
        <v>C-UTX003</v>
      </c>
      <c r="K311"/>
    </row>
    <row r="312" spans="1:11" x14ac:dyDescent="0.25">
      <c r="A312" t="str">
        <f>IFERROR(VLOOKUP(B312&amp; "*",'SKU Maintenance'!D:H,5,0),"not found")</f>
        <v>2010030403163346</v>
      </c>
      <c r="B312">
        <v>40014667</v>
      </c>
      <c r="C312" t="s">
        <v>68</v>
      </c>
      <c r="D312" t="s">
        <v>351</v>
      </c>
      <c r="E312" s="3">
        <v>44749</v>
      </c>
      <c r="F312" s="49">
        <v>1</v>
      </c>
      <c r="G312" s="49">
        <v>499.75</v>
      </c>
      <c r="H312" t="str">
        <f>IFERROR(VLOOKUP(D312,'SKU Maintenance'!L:O,3,0),"BP not found")</f>
        <v>C-UTX003</v>
      </c>
      <c r="K312"/>
    </row>
    <row r="313" spans="1:11" x14ac:dyDescent="0.25">
      <c r="A313" t="str">
        <f>IFERROR(VLOOKUP(B313&amp; "*",'SKU Maintenance'!D:H,5,0),"not found")</f>
        <v>2010030403163346</v>
      </c>
      <c r="B313">
        <v>40014667</v>
      </c>
      <c r="C313" t="s">
        <v>68</v>
      </c>
      <c r="D313" t="s">
        <v>351</v>
      </c>
      <c r="E313" s="3">
        <v>44770</v>
      </c>
      <c r="F313" s="49">
        <v>1</v>
      </c>
      <c r="G313" s="49">
        <v>499.75</v>
      </c>
      <c r="H313" t="str">
        <f>IFERROR(VLOOKUP(D313,'SKU Maintenance'!L:O,3,0),"BP not found")</f>
        <v>C-UTX003</v>
      </c>
      <c r="K313"/>
    </row>
    <row r="314" spans="1:11" x14ac:dyDescent="0.25">
      <c r="A314" t="str">
        <f>IFERROR(VLOOKUP(B314&amp; "*",'SKU Maintenance'!D:H,5,0),"not found")</f>
        <v>2010030403183346</v>
      </c>
      <c r="B314">
        <v>40014668</v>
      </c>
      <c r="C314" t="s">
        <v>68</v>
      </c>
      <c r="D314" t="s">
        <v>48</v>
      </c>
      <c r="E314" s="3">
        <v>44744</v>
      </c>
      <c r="F314" s="49">
        <v>1</v>
      </c>
      <c r="G314" s="49">
        <v>499.75</v>
      </c>
      <c r="H314" t="str">
        <f>IFERROR(VLOOKUP(D314,'SKU Maintenance'!L:O,3,0),"BP not found")</f>
        <v>C-UTX001</v>
      </c>
      <c r="K314"/>
    </row>
    <row r="315" spans="1:11" x14ac:dyDescent="0.25">
      <c r="A315" t="str">
        <f>IFERROR(VLOOKUP(B315&amp; "*",'SKU Maintenance'!D:H,5,0),"not found")</f>
        <v>2010030403183346</v>
      </c>
      <c r="B315">
        <v>40014668</v>
      </c>
      <c r="C315" t="s">
        <v>68</v>
      </c>
      <c r="D315" t="s">
        <v>233</v>
      </c>
      <c r="E315" s="3">
        <v>44751</v>
      </c>
      <c r="F315" s="49">
        <v>1</v>
      </c>
      <c r="G315" s="49">
        <v>499.75</v>
      </c>
      <c r="H315" t="str">
        <f>IFERROR(VLOOKUP(D315,'SKU Maintenance'!L:O,3,0),"BP not found")</f>
        <v>C-UTX002</v>
      </c>
      <c r="K315"/>
    </row>
    <row r="316" spans="1:11" x14ac:dyDescent="0.25">
      <c r="A316" t="str">
        <f>IFERROR(VLOOKUP(B316&amp; "*",'SKU Maintenance'!D:H,5,0),"not found")</f>
        <v>2010030403183346</v>
      </c>
      <c r="B316">
        <v>40014668</v>
      </c>
      <c r="C316" t="s">
        <v>68</v>
      </c>
      <c r="D316" t="s">
        <v>233</v>
      </c>
      <c r="E316" s="3">
        <v>44758</v>
      </c>
      <c r="F316" s="49">
        <v>1</v>
      </c>
      <c r="G316" s="49">
        <v>499.75</v>
      </c>
      <c r="H316" t="str">
        <f>IFERROR(VLOOKUP(D316,'SKU Maintenance'!L:O,3,0),"BP not found")</f>
        <v>C-UTX002</v>
      </c>
      <c r="K316"/>
    </row>
    <row r="317" spans="1:11" x14ac:dyDescent="0.25">
      <c r="A317" t="str">
        <f>IFERROR(VLOOKUP(B317&amp; "*",'SKU Maintenance'!D:H,5,0),"not found")</f>
        <v>2010030403183346</v>
      </c>
      <c r="B317">
        <v>40014668</v>
      </c>
      <c r="C317" t="s">
        <v>68</v>
      </c>
      <c r="D317" t="s">
        <v>233</v>
      </c>
      <c r="E317" s="3">
        <v>44763</v>
      </c>
      <c r="F317" s="49">
        <v>1</v>
      </c>
      <c r="G317" s="49">
        <v>499.75</v>
      </c>
      <c r="H317" t="str">
        <f>IFERROR(VLOOKUP(D317,'SKU Maintenance'!L:O,3,0),"BP not found")</f>
        <v>C-UTX002</v>
      </c>
      <c r="K317"/>
    </row>
    <row r="318" spans="1:11" x14ac:dyDescent="0.25">
      <c r="A318" t="str">
        <f>IFERROR(VLOOKUP(B318&amp; "*",'SKU Maintenance'!D:H,5,0),"not found")</f>
        <v>2010030403183346</v>
      </c>
      <c r="B318">
        <v>40014668</v>
      </c>
      <c r="C318" t="s">
        <v>68</v>
      </c>
      <c r="D318" t="s">
        <v>351</v>
      </c>
      <c r="E318" s="3">
        <v>44773</v>
      </c>
      <c r="F318" s="49">
        <v>1</v>
      </c>
      <c r="G318" s="49">
        <v>499.75</v>
      </c>
      <c r="H318" t="str">
        <f>IFERROR(VLOOKUP(D318,'SKU Maintenance'!L:O,3,0),"BP not found")</f>
        <v>C-UTX003</v>
      </c>
      <c r="K318"/>
    </row>
    <row r="319" spans="1:11" x14ac:dyDescent="0.25">
      <c r="A319" t="str">
        <f>IFERROR(VLOOKUP(B319&amp; "*",'SKU Maintenance'!D:H,5,0),"not found")</f>
        <v>2010041098020202</v>
      </c>
      <c r="B319">
        <v>40014679</v>
      </c>
      <c r="C319" t="s">
        <v>179</v>
      </c>
      <c r="D319" t="s">
        <v>48</v>
      </c>
      <c r="E319" s="3">
        <v>44764</v>
      </c>
      <c r="F319" s="49">
        <v>1</v>
      </c>
      <c r="G319" s="49">
        <v>199.75</v>
      </c>
      <c r="H319" t="str">
        <f>IFERROR(VLOOKUP(D319,'SKU Maintenance'!L:O,3,0),"BP not found")</f>
        <v>C-UTX001</v>
      </c>
      <c r="K319"/>
    </row>
    <row r="320" spans="1:11" x14ac:dyDescent="0.25">
      <c r="A320" t="str">
        <f>IFERROR(VLOOKUP(B320&amp; "*",'SKU Maintenance'!D:H,5,0),"not found")</f>
        <v>2010041098020202</v>
      </c>
      <c r="B320">
        <v>40014679</v>
      </c>
      <c r="C320" t="s">
        <v>179</v>
      </c>
      <c r="D320" t="s">
        <v>351</v>
      </c>
      <c r="E320" s="3">
        <v>44754</v>
      </c>
      <c r="F320" s="49">
        <v>1</v>
      </c>
      <c r="G320" s="49">
        <v>199.75</v>
      </c>
      <c r="H320" t="str">
        <f>IFERROR(VLOOKUP(D320,'SKU Maintenance'!L:O,3,0),"BP not found")</f>
        <v>C-UTX003</v>
      </c>
      <c r="K320"/>
    </row>
    <row r="321" spans="1:11" x14ac:dyDescent="0.25">
      <c r="A321" t="str">
        <f>IFERROR(VLOOKUP(B321&amp; "*",'SKU Maintenance'!D:H,5,0),"not found")</f>
        <v>2010041098160202</v>
      </c>
      <c r="B321">
        <v>40014681</v>
      </c>
      <c r="C321" t="s">
        <v>391</v>
      </c>
      <c r="D321" t="s">
        <v>351</v>
      </c>
      <c r="E321" s="3">
        <v>44754</v>
      </c>
      <c r="F321" s="49">
        <v>1</v>
      </c>
      <c r="G321" s="49">
        <v>199.75</v>
      </c>
      <c r="H321" t="str">
        <f>IFERROR(VLOOKUP(D321,'SKU Maintenance'!L:O,3,0),"BP not found")</f>
        <v>C-UTX003</v>
      </c>
      <c r="K321"/>
    </row>
    <row r="322" spans="1:11" x14ac:dyDescent="0.25">
      <c r="A322" t="str">
        <f>IFERROR(VLOOKUP(B322&amp; "*",'SKU Maintenance'!D:H,5,0),"not found")</f>
        <v>2010041098160203</v>
      </c>
      <c r="B322">
        <v>40014684</v>
      </c>
      <c r="C322" t="s">
        <v>305</v>
      </c>
      <c r="D322" t="s">
        <v>233</v>
      </c>
      <c r="E322" s="3">
        <v>44760</v>
      </c>
      <c r="F322" s="49">
        <v>1</v>
      </c>
      <c r="G322" s="49">
        <v>199.75</v>
      </c>
      <c r="H322" t="str">
        <f>IFERROR(VLOOKUP(D322,'SKU Maintenance'!L:O,3,0),"BP not found")</f>
        <v>C-UTX002</v>
      </c>
      <c r="K322"/>
    </row>
    <row r="323" spans="1:11" x14ac:dyDescent="0.25">
      <c r="A323" t="str">
        <f>IFERROR(VLOOKUP(B323&amp; "*",'SKU Maintenance'!D:H,5,0),"not found")</f>
        <v>2010041098190204</v>
      </c>
      <c r="B323">
        <v>40014686</v>
      </c>
      <c r="C323" t="s">
        <v>392</v>
      </c>
      <c r="D323" t="s">
        <v>351</v>
      </c>
      <c r="E323" s="3">
        <v>44754</v>
      </c>
      <c r="F323" s="49">
        <v>1</v>
      </c>
      <c r="G323" s="49">
        <v>199.75</v>
      </c>
      <c r="H323" t="str">
        <f>IFERROR(VLOOKUP(D323,'SKU Maintenance'!L:O,3,0),"BP not found")</f>
        <v>C-UTX003</v>
      </c>
      <c r="K323"/>
    </row>
    <row r="324" spans="1:11" x14ac:dyDescent="0.25">
      <c r="A324" t="str">
        <f>IFERROR(VLOOKUP(B324&amp; "*",'SKU Maintenance'!D:H,5,0),"not found")</f>
        <v>2010041098160205</v>
      </c>
      <c r="B324">
        <v>40014688</v>
      </c>
      <c r="C324" t="s">
        <v>146</v>
      </c>
      <c r="D324" t="s">
        <v>48</v>
      </c>
      <c r="E324" s="3">
        <v>44760</v>
      </c>
      <c r="F324" s="49">
        <v>1</v>
      </c>
      <c r="G324" s="49">
        <v>199.75</v>
      </c>
      <c r="H324" t="str">
        <f>IFERROR(VLOOKUP(D324,'SKU Maintenance'!L:O,3,0),"BP not found")</f>
        <v>C-UTX001</v>
      </c>
      <c r="K324"/>
    </row>
    <row r="325" spans="1:11" x14ac:dyDescent="0.25">
      <c r="A325" t="str">
        <f>IFERROR(VLOOKUP(B325&amp; "*",'SKU Maintenance'!D:H,5,0),"not found")</f>
        <v>2010041098040205</v>
      </c>
      <c r="B325">
        <v>40014690</v>
      </c>
      <c r="C325" t="s">
        <v>146</v>
      </c>
      <c r="D325" t="s">
        <v>48</v>
      </c>
      <c r="E325" s="3">
        <v>44757</v>
      </c>
      <c r="F325" s="49">
        <v>1</v>
      </c>
      <c r="G325" s="49">
        <v>199.75</v>
      </c>
      <c r="H325" t="str">
        <f>IFERROR(VLOOKUP(D325,'SKU Maintenance'!L:O,3,0),"BP not found")</f>
        <v>C-UTX001</v>
      </c>
      <c r="K325"/>
    </row>
    <row r="326" spans="1:11" x14ac:dyDescent="0.25">
      <c r="A326" t="str">
        <f>IFERROR(VLOOKUP(B326&amp; "*",'SKU Maintenance'!D:H,5,0),"not found")</f>
        <v>2010041098040205</v>
      </c>
      <c r="B326">
        <v>40014690</v>
      </c>
      <c r="C326" t="s">
        <v>146</v>
      </c>
      <c r="D326" t="s">
        <v>48</v>
      </c>
      <c r="E326" s="3">
        <v>44760</v>
      </c>
      <c r="F326" s="49">
        <v>1</v>
      </c>
      <c r="G326" s="49">
        <v>199.75</v>
      </c>
      <c r="H326" t="str">
        <f>IFERROR(VLOOKUP(D326,'SKU Maintenance'!L:O,3,0),"BP not found")</f>
        <v>C-UTX001</v>
      </c>
      <c r="K326"/>
    </row>
    <row r="327" spans="1:11" x14ac:dyDescent="0.25">
      <c r="A327" t="str">
        <f>IFERROR(VLOOKUP(B327&amp; "*",'SKU Maintenance'!D:H,5,0),"not found")</f>
        <v>2010041098040206</v>
      </c>
      <c r="B327">
        <v>40014693</v>
      </c>
      <c r="C327" t="s">
        <v>286</v>
      </c>
      <c r="D327" t="s">
        <v>233</v>
      </c>
      <c r="E327" s="3">
        <v>44756</v>
      </c>
      <c r="F327" s="49">
        <v>1</v>
      </c>
      <c r="G327" s="49">
        <v>199.75</v>
      </c>
      <c r="H327" t="str">
        <f>IFERROR(VLOOKUP(D327,'SKU Maintenance'!L:O,3,0),"BP not found")</f>
        <v>C-UTX002</v>
      </c>
      <c r="K327"/>
    </row>
    <row r="328" spans="1:11" x14ac:dyDescent="0.25">
      <c r="A328" t="str">
        <f>IFERROR(VLOOKUP(B328&amp; "*",'SKU Maintenance'!D:H,5,0),"not found")</f>
        <v>2010041098160207</v>
      </c>
      <c r="B328">
        <v>40014696</v>
      </c>
      <c r="C328" t="s">
        <v>229</v>
      </c>
      <c r="D328" t="s">
        <v>48</v>
      </c>
      <c r="E328" s="3">
        <v>44773</v>
      </c>
      <c r="F328" s="49">
        <v>1</v>
      </c>
      <c r="G328" s="49">
        <v>199.75</v>
      </c>
      <c r="H328" t="str">
        <f>IFERROR(VLOOKUP(D328,'SKU Maintenance'!L:O,3,0),"BP not found")</f>
        <v>C-UTX001</v>
      </c>
      <c r="K328"/>
    </row>
    <row r="329" spans="1:11" x14ac:dyDescent="0.25">
      <c r="A329" t="str">
        <f>IFERROR(VLOOKUP(B329&amp; "*",'SKU Maintenance'!D:H,5,0),"not found")</f>
        <v>2010011498160018</v>
      </c>
      <c r="B329">
        <v>40014712</v>
      </c>
      <c r="C329" t="s">
        <v>353</v>
      </c>
      <c r="D329" t="s">
        <v>351</v>
      </c>
      <c r="E329" s="3">
        <v>44743</v>
      </c>
      <c r="F329" s="49">
        <v>2</v>
      </c>
      <c r="G329" s="49">
        <v>413.55</v>
      </c>
      <c r="H329" t="str">
        <f>IFERROR(VLOOKUP(D329,'SKU Maintenance'!L:O,3,0),"BP not found")</f>
        <v>C-UTX003</v>
      </c>
      <c r="K329"/>
    </row>
    <row r="330" spans="1:11" x14ac:dyDescent="0.25">
      <c r="A330" t="str">
        <f>IFERROR(VLOOKUP(B330&amp; "*",'SKU Maintenance'!D:H,5,0),"not found")</f>
        <v>2010011498160018</v>
      </c>
      <c r="B330">
        <v>40014712</v>
      </c>
      <c r="C330" t="s">
        <v>353</v>
      </c>
      <c r="D330" t="s">
        <v>351</v>
      </c>
      <c r="E330" s="3">
        <v>44752</v>
      </c>
      <c r="F330" s="49">
        <v>1</v>
      </c>
      <c r="G330" s="49">
        <v>169.75</v>
      </c>
      <c r="H330" t="str">
        <f>IFERROR(VLOOKUP(D330,'SKU Maintenance'!L:O,3,0),"BP not found")</f>
        <v>C-UTX003</v>
      </c>
      <c r="K330"/>
    </row>
    <row r="331" spans="1:11" x14ac:dyDescent="0.25">
      <c r="A331" t="str">
        <f>IFERROR(VLOOKUP(B331&amp; "*",'SKU Maintenance'!D:H,5,0),"not found")</f>
        <v>2010011498220018</v>
      </c>
      <c r="B331">
        <v>40014713</v>
      </c>
      <c r="C331" t="s">
        <v>353</v>
      </c>
      <c r="D331" t="s">
        <v>351</v>
      </c>
      <c r="E331" s="3">
        <v>44752</v>
      </c>
      <c r="F331" s="49">
        <v>1</v>
      </c>
      <c r="G331" s="49">
        <v>229.75</v>
      </c>
      <c r="H331" t="str">
        <f>IFERROR(VLOOKUP(D331,'SKU Maintenance'!L:O,3,0),"BP not found")</f>
        <v>C-UTX003</v>
      </c>
      <c r="K331"/>
    </row>
    <row r="332" spans="1:11" x14ac:dyDescent="0.25">
      <c r="A332" t="str">
        <f>IFERROR(VLOOKUP(B332&amp; "*",'SKU Maintenance'!D:H,5,0),"not found")</f>
        <v>2010030404183361</v>
      </c>
      <c r="B332">
        <v>40015370</v>
      </c>
      <c r="C332" t="s">
        <v>91</v>
      </c>
      <c r="D332" t="s">
        <v>48</v>
      </c>
      <c r="E332" s="3">
        <v>44747</v>
      </c>
      <c r="F332" s="49">
        <v>1</v>
      </c>
      <c r="G332" s="49">
        <v>599.75</v>
      </c>
      <c r="H332" t="str">
        <f>IFERROR(VLOOKUP(D332,'SKU Maintenance'!L:O,3,0),"BP not found")</f>
        <v>C-UTX001</v>
      </c>
      <c r="K332"/>
    </row>
    <row r="333" spans="1:11" x14ac:dyDescent="0.25">
      <c r="A333" t="str">
        <f>IFERROR(VLOOKUP(B333&amp; "*",'SKU Maintenance'!D:H,5,0),"not found")</f>
        <v>2010030404183361</v>
      </c>
      <c r="B333">
        <v>40015370</v>
      </c>
      <c r="C333" t="s">
        <v>91</v>
      </c>
      <c r="D333" t="s">
        <v>48</v>
      </c>
      <c r="E333" s="3">
        <v>44753</v>
      </c>
      <c r="F333" s="49">
        <v>1</v>
      </c>
      <c r="G333" s="49">
        <v>599.75</v>
      </c>
      <c r="H333" t="str">
        <f>IFERROR(VLOOKUP(D333,'SKU Maintenance'!L:O,3,0),"BP not found")</f>
        <v>C-UTX001</v>
      </c>
      <c r="K333"/>
    </row>
    <row r="334" spans="1:11" x14ac:dyDescent="0.25">
      <c r="A334" t="str">
        <f>IFERROR(VLOOKUP(B334&amp; "*",'SKU Maintenance'!D:H,5,0),"not found")</f>
        <v>2010030404163361</v>
      </c>
      <c r="B334">
        <v>40015371</v>
      </c>
      <c r="C334" t="s">
        <v>77</v>
      </c>
      <c r="D334" t="s">
        <v>48</v>
      </c>
      <c r="E334" s="3">
        <v>44745</v>
      </c>
      <c r="F334" s="49">
        <v>1</v>
      </c>
      <c r="G334" s="49">
        <v>599.75</v>
      </c>
      <c r="H334" t="str">
        <f>IFERROR(VLOOKUP(D334,'SKU Maintenance'!L:O,3,0),"BP not found")</f>
        <v>C-UTX001</v>
      </c>
      <c r="K334"/>
    </row>
    <row r="335" spans="1:11" x14ac:dyDescent="0.25">
      <c r="A335" t="str">
        <f>IFERROR(VLOOKUP(B335&amp; "*",'SKU Maintenance'!D:H,5,0),"not found")</f>
        <v>2010040603132517</v>
      </c>
      <c r="B335">
        <v>40015383</v>
      </c>
      <c r="C335" t="s">
        <v>183</v>
      </c>
      <c r="D335" t="s">
        <v>48</v>
      </c>
      <c r="E335" s="3">
        <v>44764</v>
      </c>
      <c r="F335" s="49">
        <v>1</v>
      </c>
      <c r="G335" s="49">
        <v>169.75</v>
      </c>
      <c r="H335" t="str">
        <f>IFERROR(VLOOKUP(D335,'SKU Maintenance'!L:O,3,0),"BP not found")</f>
        <v>C-UTX001</v>
      </c>
      <c r="K335"/>
    </row>
    <row r="336" spans="1:11" x14ac:dyDescent="0.25">
      <c r="A336" t="str">
        <f>IFERROR(VLOOKUP(B336&amp; "*",'SKU Maintenance'!D:H,5,0),"not found")</f>
        <v>2010030498203393</v>
      </c>
      <c r="B336">
        <v>40015613</v>
      </c>
      <c r="C336" t="s">
        <v>403</v>
      </c>
      <c r="D336" t="s">
        <v>351</v>
      </c>
      <c r="E336" s="3">
        <v>44757</v>
      </c>
      <c r="F336" s="49">
        <v>2</v>
      </c>
      <c r="G336" s="49">
        <v>899.5</v>
      </c>
      <c r="H336" t="str">
        <f>IFERROR(VLOOKUP(D336,'SKU Maintenance'!L:O,3,0),"BP not found")</f>
        <v>C-UTX003</v>
      </c>
      <c r="K336"/>
    </row>
    <row r="337" spans="1:11" x14ac:dyDescent="0.25">
      <c r="A337" t="str">
        <f>IFERROR(VLOOKUP(B337&amp; "*",'SKU Maintenance'!D:H,5,0),"not found")</f>
        <v>2010030498203394</v>
      </c>
      <c r="B337">
        <v>40015614</v>
      </c>
      <c r="C337" t="s">
        <v>160</v>
      </c>
      <c r="D337" t="s">
        <v>48</v>
      </c>
      <c r="E337" s="3">
        <v>44758</v>
      </c>
      <c r="F337" s="49">
        <v>1</v>
      </c>
      <c r="G337" s="49">
        <v>449.75</v>
      </c>
      <c r="H337" t="str">
        <f>IFERROR(VLOOKUP(D337,'SKU Maintenance'!L:O,3,0),"BP not found")</f>
        <v>C-UTX001</v>
      </c>
      <c r="K337"/>
    </row>
    <row r="338" spans="1:11" x14ac:dyDescent="0.25">
      <c r="A338" t="str">
        <f>IFERROR(VLOOKUP(B338&amp; "*",'SKU Maintenance'!D:H,5,0),"not found")</f>
        <v>2010030498203394</v>
      </c>
      <c r="B338">
        <v>40015614</v>
      </c>
      <c r="C338" t="s">
        <v>160</v>
      </c>
      <c r="D338" t="s">
        <v>233</v>
      </c>
      <c r="E338" s="3">
        <v>44771</v>
      </c>
      <c r="F338" s="49">
        <v>1</v>
      </c>
      <c r="G338" s="49">
        <v>449.75</v>
      </c>
      <c r="H338" t="str">
        <f>IFERROR(VLOOKUP(D338,'SKU Maintenance'!L:O,3,0),"BP not found")</f>
        <v>C-UTX002</v>
      </c>
      <c r="K338"/>
    </row>
    <row r="339" spans="1:11" x14ac:dyDescent="0.25">
      <c r="A339" t="str">
        <f>IFERROR(VLOOKUP(B339&amp; "*",'SKU Maintenance'!D:H,5,0),"not found")</f>
        <v>2010030498203394</v>
      </c>
      <c r="B339">
        <v>40015614</v>
      </c>
      <c r="C339" t="s">
        <v>160</v>
      </c>
      <c r="D339" t="s">
        <v>351</v>
      </c>
      <c r="E339" s="3">
        <v>44745</v>
      </c>
      <c r="F339" s="49">
        <v>1</v>
      </c>
      <c r="G339" s="49">
        <v>449.75</v>
      </c>
      <c r="H339" t="str">
        <f>IFERROR(VLOOKUP(D339,'SKU Maintenance'!L:O,3,0),"BP not found")</f>
        <v>C-UTX003</v>
      </c>
      <c r="K339"/>
    </row>
    <row r="340" spans="1:11" x14ac:dyDescent="0.25">
      <c r="A340" t="str">
        <f>IFERROR(VLOOKUP(B340&amp; "*",'SKU Maintenance'!D:H,5,0),"not found")</f>
        <v>2010030498203395</v>
      </c>
      <c r="B340">
        <v>40015615</v>
      </c>
      <c r="C340" t="s">
        <v>140</v>
      </c>
      <c r="D340" t="s">
        <v>48</v>
      </c>
      <c r="E340" s="3">
        <v>44757</v>
      </c>
      <c r="F340" s="49">
        <v>1</v>
      </c>
      <c r="G340" s="49">
        <v>449.75</v>
      </c>
      <c r="H340" t="str">
        <f>IFERROR(VLOOKUP(D340,'SKU Maintenance'!L:O,3,0),"BP not found")</f>
        <v>C-UTX001</v>
      </c>
      <c r="K340"/>
    </row>
    <row r="341" spans="1:11" x14ac:dyDescent="0.25">
      <c r="A341" t="str">
        <f>IFERROR(VLOOKUP(B341&amp; "*",'SKU Maintenance'!D:H,5,0),"not found")</f>
        <v>2010030498203395</v>
      </c>
      <c r="B341">
        <v>40015615</v>
      </c>
      <c r="C341" t="s">
        <v>140</v>
      </c>
      <c r="D341" t="s">
        <v>351</v>
      </c>
      <c r="E341" s="3">
        <v>44762</v>
      </c>
      <c r="F341" s="49">
        <v>1</v>
      </c>
      <c r="G341" s="49">
        <v>449.75</v>
      </c>
      <c r="H341" t="str">
        <f>IFERROR(VLOOKUP(D341,'SKU Maintenance'!L:O,3,0),"BP not found")</f>
        <v>C-UTX003</v>
      </c>
      <c r="K341"/>
    </row>
    <row r="342" spans="1:11" x14ac:dyDescent="0.25">
      <c r="A342" t="str">
        <f>IFERROR(VLOOKUP(B342&amp; "*",'SKU Maintenance'!D:H,5,0),"not found")</f>
        <v>2010030498203395</v>
      </c>
      <c r="B342">
        <v>40015615</v>
      </c>
      <c r="C342" t="s">
        <v>140</v>
      </c>
      <c r="D342" t="s">
        <v>351</v>
      </c>
      <c r="E342" s="3">
        <v>44768</v>
      </c>
      <c r="F342" s="49">
        <v>1</v>
      </c>
      <c r="G342" s="49">
        <v>449.75</v>
      </c>
      <c r="H342" t="str">
        <f>IFERROR(VLOOKUP(D342,'SKU Maintenance'!L:O,3,0),"BP not found")</f>
        <v>C-UTX003</v>
      </c>
      <c r="K342"/>
    </row>
    <row r="343" spans="1:11" x14ac:dyDescent="0.25">
      <c r="A343" t="str">
        <f>IFERROR(VLOOKUP(B343&amp; "*",'SKU Maintenance'!D:H,5,0),"not found")</f>
        <v>2010030498203395</v>
      </c>
      <c r="B343">
        <v>40015615</v>
      </c>
      <c r="C343" t="s">
        <v>140</v>
      </c>
      <c r="D343" t="s">
        <v>351</v>
      </c>
      <c r="E343" s="3">
        <v>44769</v>
      </c>
      <c r="F343" s="49">
        <v>1</v>
      </c>
      <c r="G343" s="49">
        <v>449.75</v>
      </c>
      <c r="H343" t="str">
        <f>IFERROR(VLOOKUP(D343,'SKU Maintenance'!L:O,3,0),"BP not found")</f>
        <v>C-UTX003</v>
      </c>
      <c r="K343"/>
    </row>
    <row r="344" spans="1:11" x14ac:dyDescent="0.25">
      <c r="A344" t="str">
        <f>IFERROR(VLOOKUP(B344&amp; "*",'SKU Maintenance'!D:H,5,0),"not found")</f>
        <v>2010030498163414</v>
      </c>
      <c r="B344">
        <v>40015621</v>
      </c>
      <c r="C344" t="s">
        <v>55</v>
      </c>
      <c r="D344" t="s">
        <v>48</v>
      </c>
      <c r="E344" s="3">
        <v>44743</v>
      </c>
      <c r="F344" s="49">
        <v>1</v>
      </c>
      <c r="G344" s="49">
        <v>499.75</v>
      </c>
      <c r="H344" t="str">
        <f>IFERROR(VLOOKUP(D344,'SKU Maintenance'!L:O,3,0),"BP not found")</f>
        <v>C-UTX001</v>
      </c>
      <c r="K344"/>
    </row>
    <row r="345" spans="1:11" x14ac:dyDescent="0.25">
      <c r="A345" t="str">
        <f>IFERROR(VLOOKUP(B345&amp; "*",'SKU Maintenance'!D:H,5,0),"not found")</f>
        <v>2010030498163414</v>
      </c>
      <c r="B345">
        <v>40015621</v>
      </c>
      <c r="C345" t="s">
        <v>55</v>
      </c>
      <c r="D345" t="s">
        <v>48</v>
      </c>
      <c r="E345" s="3">
        <v>44745</v>
      </c>
      <c r="F345" s="49">
        <v>1</v>
      </c>
      <c r="G345" s="49">
        <v>499.75</v>
      </c>
      <c r="H345" t="str">
        <f>IFERROR(VLOOKUP(D345,'SKU Maintenance'!L:O,3,0),"BP not found")</f>
        <v>C-UTX001</v>
      </c>
      <c r="K345"/>
    </row>
    <row r="346" spans="1:11" x14ac:dyDescent="0.25">
      <c r="A346" t="str">
        <f>IFERROR(VLOOKUP(B346&amp; "*",'SKU Maintenance'!D:H,5,0),"not found")</f>
        <v>2010030498163414</v>
      </c>
      <c r="B346">
        <v>40015621</v>
      </c>
      <c r="C346" t="s">
        <v>55</v>
      </c>
      <c r="D346" t="s">
        <v>48</v>
      </c>
      <c r="E346" s="3">
        <v>44757</v>
      </c>
      <c r="F346" s="49">
        <v>1</v>
      </c>
      <c r="G346" s="49">
        <v>499.75</v>
      </c>
      <c r="H346" t="str">
        <f>IFERROR(VLOOKUP(D346,'SKU Maintenance'!L:O,3,0),"BP not found")</f>
        <v>C-UTX001</v>
      </c>
      <c r="K346"/>
    </row>
    <row r="347" spans="1:11" x14ac:dyDescent="0.25">
      <c r="A347" t="str">
        <f>IFERROR(VLOOKUP(B347&amp; "*",'SKU Maintenance'!D:H,5,0),"not found")</f>
        <v>2010030498163414</v>
      </c>
      <c r="B347">
        <v>40015621</v>
      </c>
      <c r="C347" t="s">
        <v>55</v>
      </c>
      <c r="D347" t="s">
        <v>48</v>
      </c>
      <c r="E347" s="3">
        <v>44767</v>
      </c>
      <c r="F347" s="49">
        <v>1</v>
      </c>
      <c r="G347" s="49">
        <v>499.75</v>
      </c>
      <c r="H347" t="str">
        <f>IFERROR(VLOOKUP(D347,'SKU Maintenance'!L:O,3,0),"BP not found")</f>
        <v>C-UTX001</v>
      </c>
      <c r="K347"/>
    </row>
    <row r="348" spans="1:11" x14ac:dyDescent="0.25">
      <c r="A348" t="str">
        <f>IFERROR(VLOOKUP(B348&amp; "*",'SKU Maintenance'!D:H,5,0),"not found")</f>
        <v>2010030498173414</v>
      </c>
      <c r="B348">
        <v>40015622</v>
      </c>
      <c r="C348" t="s">
        <v>55</v>
      </c>
      <c r="D348" t="s">
        <v>48</v>
      </c>
      <c r="E348" s="3">
        <v>44743</v>
      </c>
      <c r="F348" s="49">
        <v>1</v>
      </c>
      <c r="G348" s="49">
        <v>499.75</v>
      </c>
      <c r="H348" t="str">
        <f>IFERROR(VLOOKUP(D348,'SKU Maintenance'!L:O,3,0),"BP not found")</f>
        <v>C-UTX001</v>
      </c>
      <c r="K348"/>
    </row>
    <row r="349" spans="1:11" x14ac:dyDescent="0.25">
      <c r="A349" t="str">
        <f>IFERROR(VLOOKUP(B349&amp; "*",'SKU Maintenance'!D:H,5,0),"not found")</f>
        <v>2010030498173414</v>
      </c>
      <c r="B349">
        <v>40015622</v>
      </c>
      <c r="C349" t="s">
        <v>55</v>
      </c>
      <c r="D349" t="s">
        <v>48</v>
      </c>
      <c r="E349" s="3">
        <v>44751</v>
      </c>
      <c r="F349" s="49">
        <v>1</v>
      </c>
      <c r="G349" s="49">
        <v>499.75</v>
      </c>
      <c r="H349" t="str">
        <f>IFERROR(VLOOKUP(D349,'SKU Maintenance'!L:O,3,0),"BP not found")</f>
        <v>C-UTX001</v>
      </c>
      <c r="K349"/>
    </row>
    <row r="350" spans="1:11" x14ac:dyDescent="0.25">
      <c r="A350" t="str">
        <f>IFERROR(VLOOKUP(B350&amp; "*",'SKU Maintenance'!D:H,5,0),"not found")</f>
        <v>2010030498173414</v>
      </c>
      <c r="B350">
        <v>40015622</v>
      </c>
      <c r="C350" t="s">
        <v>55</v>
      </c>
      <c r="D350" t="s">
        <v>48</v>
      </c>
      <c r="E350" s="3">
        <v>44762</v>
      </c>
      <c r="F350" s="49">
        <v>1</v>
      </c>
      <c r="G350" s="49">
        <v>499.75</v>
      </c>
      <c r="H350" t="str">
        <f>IFERROR(VLOOKUP(D350,'SKU Maintenance'!L:O,3,0),"BP not found")</f>
        <v>C-UTX001</v>
      </c>
      <c r="K350"/>
    </row>
    <row r="351" spans="1:11" x14ac:dyDescent="0.25">
      <c r="A351" t="str">
        <f>IFERROR(VLOOKUP(B351&amp; "*",'SKU Maintenance'!D:H,5,0),"not found")</f>
        <v>2010030498223414</v>
      </c>
      <c r="B351">
        <v>40015623</v>
      </c>
      <c r="C351" t="s">
        <v>55</v>
      </c>
      <c r="D351" t="s">
        <v>48</v>
      </c>
      <c r="E351" s="3">
        <v>44744</v>
      </c>
      <c r="F351" s="49">
        <v>1</v>
      </c>
      <c r="G351" s="49">
        <v>499.75</v>
      </c>
      <c r="H351" t="str">
        <f>IFERROR(VLOOKUP(D351,'SKU Maintenance'!L:O,3,0),"BP not found")</f>
        <v>C-UTX001</v>
      </c>
      <c r="K351"/>
    </row>
    <row r="352" spans="1:11" x14ac:dyDescent="0.25">
      <c r="A352" t="str">
        <f>IFERROR(VLOOKUP(B352&amp; "*",'SKU Maintenance'!D:H,5,0),"not found")</f>
        <v>2010030498223414</v>
      </c>
      <c r="B352">
        <v>40015623</v>
      </c>
      <c r="C352" t="s">
        <v>55</v>
      </c>
      <c r="D352" t="s">
        <v>48</v>
      </c>
      <c r="E352" s="3">
        <v>44763</v>
      </c>
      <c r="F352" s="49">
        <v>1</v>
      </c>
      <c r="G352" s="49">
        <v>499.75</v>
      </c>
      <c r="H352" t="str">
        <f>IFERROR(VLOOKUP(D352,'SKU Maintenance'!L:O,3,0),"BP not found")</f>
        <v>C-UTX001</v>
      </c>
      <c r="K352"/>
    </row>
    <row r="353" spans="1:11" x14ac:dyDescent="0.25">
      <c r="A353" t="str">
        <f>IFERROR(VLOOKUP(B353&amp; "*",'SKU Maintenance'!D:H,5,0),"not found")</f>
        <v>2010010898035529</v>
      </c>
      <c r="B353">
        <v>40015666</v>
      </c>
      <c r="C353" t="s">
        <v>470</v>
      </c>
      <c r="D353" t="s">
        <v>433</v>
      </c>
      <c r="E353" s="3">
        <v>44771</v>
      </c>
      <c r="F353" s="49">
        <v>1</v>
      </c>
      <c r="G353" s="49">
        <v>299.85000000000002</v>
      </c>
      <c r="H353" t="str">
        <f>IFERROR(VLOOKUP(D353,'SKU Maintenance'!L:O,3,0),"BP not found")</f>
        <v>C-UTX004</v>
      </c>
      <c r="K353"/>
    </row>
    <row r="354" spans="1:11" x14ac:dyDescent="0.25">
      <c r="A354" t="str">
        <f>IFERROR(VLOOKUP(B354&amp; "*",'SKU Maintenance'!D:H,5,0),"not found")</f>
        <v>2010040598193161</v>
      </c>
      <c r="B354">
        <v>40015686</v>
      </c>
      <c r="C354" t="s">
        <v>460</v>
      </c>
      <c r="D354" t="s">
        <v>433</v>
      </c>
      <c r="E354" s="3">
        <v>44763</v>
      </c>
      <c r="F354" s="49">
        <v>2</v>
      </c>
      <c r="G354" s="49">
        <v>259.5</v>
      </c>
      <c r="H354" t="str">
        <f>IFERROR(VLOOKUP(D354,'SKU Maintenance'!L:O,3,0),"BP not found")</f>
        <v>C-UTX004</v>
      </c>
      <c r="K354"/>
    </row>
    <row r="355" spans="1:11" x14ac:dyDescent="0.25">
      <c r="A355" t="str">
        <f>IFERROR(VLOOKUP(B355&amp; "*",'SKU Maintenance'!D:H,5,0),"not found")</f>
        <v>2010041098180209</v>
      </c>
      <c r="B355">
        <v>40015695</v>
      </c>
      <c r="C355" t="s">
        <v>390</v>
      </c>
      <c r="D355" t="s">
        <v>351</v>
      </c>
      <c r="E355" s="3">
        <v>44754</v>
      </c>
      <c r="F355" s="49">
        <v>4</v>
      </c>
      <c r="G355" s="49">
        <v>799</v>
      </c>
      <c r="H355" t="str">
        <f>IFERROR(VLOOKUP(D355,'SKU Maintenance'!L:O,3,0),"BP not found")</f>
        <v>C-UTX003</v>
      </c>
      <c r="K355"/>
    </row>
    <row r="356" spans="1:11" x14ac:dyDescent="0.25">
      <c r="A356" t="str">
        <f>IFERROR(VLOOKUP(B356&amp; "*",'SKU Maintenance'!D:H,5,0),"not found")</f>
        <v>2010041098160211</v>
      </c>
      <c r="B356">
        <v>40015699</v>
      </c>
      <c r="C356" t="s">
        <v>389</v>
      </c>
      <c r="D356" t="s">
        <v>351</v>
      </c>
      <c r="E356" s="3">
        <v>44754</v>
      </c>
      <c r="F356" s="49">
        <v>1</v>
      </c>
      <c r="G356" s="49">
        <v>199.75</v>
      </c>
      <c r="H356" t="str">
        <f>IFERROR(VLOOKUP(D356,'SKU Maintenance'!L:O,3,0),"BP not found")</f>
        <v>C-UTX003</v>
      </c>
      <c r="K356"/>
    </row>
    <row r="357" spans="1:11" x14ac:dyDescent="0.25">
      <c r="A357" t="str">
        <f>IFERROR(VLOOKUP(B357&amp; "*",'SKU Maintenance'!D:H,5,0),"not found")</f>
        <v>2010030198171183</v>
      </c>
      <c r="B357">
        <v>40016533</v>
      </c>
      <c r="C357" t="s">
        <v>318</v>
      </c>
      <c r="D357" t="s">
        <v>233</v>
      </c>
      <c r="E357" s="3">
        <v>44765</v>
      </c>
      <c r="F357" s="49">
        <v>1</v>
      </c>
      <c r="G357" s="49">
        <v>349.75</v>
      </c>
      <c r="H357" t="str">
        <f>IFERROR(VLOOKUP(D357,'SKU Maintenance'!L:O,3,0),"BP not found")</f>
        <v>C-UTX002</v>
      </c>
      <c r="K357"/>
    </row>
    <row r="358" spans="1:11" x14ac:dyDescent="0.25">
      <c r="A358" t="str">
        <f>IFERROR(VLOOKUP(B358&amp; "*",'SKU Maintenance'!D:H,5,0),"not found")</f>
        <v>2010030198221183</v>
      </c>
      <c r="B358">
        <v>40016534</v>
      </c>
      <c r="C358" t="s">
        <v>293</v>
      </c>
      <c r="D358" t="s">
        <v>233</v>
      </c>
      <c r="E358" s="3">
        <v>44758</v>
      </c>
      <c r="F358" s="49">
        <v>1</v>
      </c>
      <c r="G358" s="49">
        <v>349.75</v>
      </c>
      <c r="H358" t="str">
        <f>IFERROR(VLOOKUP(D358,'SKU Maintenance'!L:O,3,0),"BP not found")</f>
        <v>C-UTX002</v>
      </c>
      <c r="K358"/>
    </row>
    <row r="359" spans="1:11" x14ac:dyDescent="0.25">
      <c r="A359" t="str">
        <f>IFERROR(VLOOKUP(B359&amp; "*",'SKU Maintenance'!D:H,5,0),"not found")</f>
        <v>2010030198181183</v>
      </c>
      <c r="B359">
        <v>40016535</v>
      </c>
      <c r="C359" t="s">
        <v>430</v>
      </c>
      <c r="D359" t="s">
        <v>351</v>
      </c>
      <c r="E359" s="3">
        <v>44772</v>
      </c>
      <c r="F359" s="49">
        <v>1</v>
      </c>
      <c r="G359" s="49">
        <v>349.75</v>
      </c>
      <c r="H359" t="str">
        <f>IFERROR(VLOOKUP(D359,'SKU Maintenance'!L:O,3,0),"BP not found")</f>
        <v>C-UTX003</v>
      </c>
      <c r="K359"/>
    </row>
    <row r="360" spans="1:11" x14ac:dyDescent="0.25">
      <c r="A360" t="str">
        <f>IFERROR(VLOOKUP(B360&amp; "*",'SKU Maintenance'!D:H,5,0),"not found")</f>
        <v>2010041098020069</v>
      </c>
      <c r="B360">
        <v>40016537</v>
      </c>
      <c r="C360" t="s">
        <v>421</v>
      </c>
      <c r="D360" t="s">
        <v>351</v>
      </c>
      <c r="E360" s="3">
        <v>44767</v>
      </c>
      <c r="F360" s="49">
        <v>1</v>
      </c>
      <c r="G360" s="49">
        <v>175</v>
      </c>
      <c r="H360" t="str">
        <f>IFERROR(VLOOKUP(D360,'SKU Maintenance'!L:O,3,0),"BP not found")</f>
        <v>C-UTX003</v>
      </c>
      <c r="K360"/>
    </row>
    <row r="361" spans="1:11" x14ac:dyDescent="0.25">
      <c r="A361" t="str">
        <f>IFERROR(VLOOKUP(B361&amp; "*",'SKU Maintenance'!D:H,5,0),"not found")</f>
        <v>2010030498173421</v>
      </c>
      <c r="B361">
        <v>40016709</v>
      </c>
      <c r="C361" t="s">
        <v>63</v>
      </c>
      <c r="D361" t="s">
        <v>48</v>
      </c>
      <c r="E361" s="3">
        <v>44744</v>
      </c>
      <c r="F361" s="49">
        <v>1</v>
      </c>
      <c r="G361" s="49">
        <v>250</v>
      </c>
      <c r="H361" t="str">
        <f>IFERROR(VLOOKUP(D361,'SKU Maintenance'!L:O,3,0),"BP not found")</f>
        <v>C-UTX001</v>
      </c>
      <c r="K361"/>
    </row>
    <row r="362" spans="1:11" x14ac:dyDescent="0.25">
      <c r="A362" t="str">
        <f>IFERROR(VLOOKUP(B362&amp; "*",'SKU Maintenance'!D:H,5,0),"not found")</f>
        <v>2010030498173421</v>
      </c>
      <c r="B362">
        <v>40016709</v>
      </c>
      <c r="C362" t="s">
        <v>63</v>
      </c>
      <c r="D362" t="s">
        <v>48</v>
      </c>
      <c r="E362" s="3">
        <v>44765</v>
      </c>
      <c r="F362" s="49">
        <v>1</v>
      </c>
      <c r="G362" s="49">
        <v>250</v>
      </c>
      <c r="H362" t="str">
        <f>IFERROR(VLOOKUP(D362,'SKU Maintenance'!L:O,3,0),"BP not found")</f>
        <v>C-UTX001</v>
      </c>
      <c r="K362"/>
    </row>
    <row r="363" spans="1:11" x14ac:dyDescent="0.25">
      <c r="A363" t="str">
        <f>IFERROR(VLOOKUP(B363&amp; "*",'SKU Maintenance'!D:H,5,0),"not found")</f>
        <v>2010030198181188</v>
      </c>
      <c r="B363">
        <v>40016725</v>
      </c>
      <c r="C363" t="s">
        <v>54</v>
      </c>
      <c r="D363" t="s">
        <v>48</v>
      </c>
      <c r="E363" s="3">
        <v>44743</v>
      </c>
      <c r="F363" s="49">
        <v>1</v>
      </c>
      <c r="G363" s="49">
        <v>399.75</v>
      </c>
      <c r="H363" t="str">
        <f>IFERROR(VLOOKUP(D363,'SKU Maintenance'!L:O,3,0),"BP not found")</f>
        <v>C-UTX001</v>
      </c>
      <c r="K363"/>
    </row>
    <row r="364" spans="1:11" x14ac:dyDescent="0.25">
      <c r="A364" t="str">
        <f>IFERROR(VLOOKUP(B364&amp; "*",'SKU Maintenance'!D:H,5,0),"not found")</f>
        <v>2010030198181188</v>
      </c>
      <c r="B364">
        <v>40016725</v>
      </c>
      <c r="C364" t="s">
        <v>54</v>
      </c>
      <c r="D364" t="s">
        <v>48</v>
      </c>
      <c r="E364" s="3">
        <v>44771</v>
      </c>
      <c r="F364" s="49">
        <v>1</v>
      </c>
      <c r="G364" s="49">
        <v>399.75</v>
      </c>
      <c r="H364" t="str">
        <f>IFERROR(VLOOKUP(D364,'SKU Maintenance'!L:O,3,0),"BP not found")</f>
        <v>C-UTX001</v>
      </c>
      <c r="K364"/>
    </row>
    <row r="365" spans="1:11" x14ac:dyDescent="0.25">
      <c r="A365" t="str">
        <f>IFERROR(VLOOKUP(B365&amp; "*",'SKU Maintenance'!D:H,5,0),"not found")</f>
        <v>2010030198181188</v>
      </c>
      <c r="B365">
        <v>40016725</v>
      </c>
      <c r="C365" t="s">
        <v>54</v>
      </c>
      <c r="D365" t="s">
        <v>351</v>
      </c>
      <c r="E365" s="3">
        <v>44764</v>
      </c>
      <c r="F365" s="49">
        <v>1</v>
      </c>
      <c r="G365" s="49">
        <v>399.75</v>
      </c>
      <c r="H365" t="str">
        <f>IFERROR(VLOOKUP(D365,'SKU Maintenance'!L:O,3,0),"BP not found")</f>
        <v>C-UTX003</v>
      </c>
      <c r="K365"/>
    </row>
    <row r="366" spans="1:11" x14ac:dyDescent="0.25">
      <c r="A366" t="str">
        <f>IFERROR(VLOOKUP(B366&amp; "*",'SKU Maintenance'!D:H,5,0),"not found")</f>
        <v>2010030198181188</v>
      </c>
      <c r="B366">
        <v>40016725</v>
      </c>
      <c r="C366" t="s">
        <v>54</v>
      </c>
      <c r="D366" t="s">
        <v>433</v>
      </c>
      <c r="E366" s="3">
        <v>44751</v>
      </c>
      <c r="F366" s="49">
        <v>1</v>
      </c>
      <c r="G366" s="49">
        <v>399.75</v>
      </c>
      <c r="H366" t="str">
        <f>IFERROR(VLOOKUP(D366,'SKU Maintenance'!L:O,3,0),"BP not found")</f>
        <v>C-UTX004</v>
      </c>
      <c r="K366"/>
    </row>
    <row r="367" spans="1:11" x14ac:dyDescent="0.25">
      <c r="A367" t="str">
        <f>IFERROR(VLOOKUP(B367&amp; "*",'SKU Maintenance'!D:H,5,0),"not found")</f>
        <v>2010030198181186</v>
      </c>
      <c r="B367">
        <v>40016727</v>
      </c>
      <c r="C367" t="s">
        <v>206</v>
      </c>
      <c r="D367" t="s">
        <v>48</v>
      </c>
      <c r="E367" s="3">
        <v>44768</v>
      </c>
      <c r="F367" s="49">
        <v>2</v>
      </c>
      <c r="G367" s="49">
        <v>499.5</v>
      </c>
      <c r="H367" t="str">
        <f>IFERROR(VLOOKUP(D367,'SKU Maintenance'!L:O,3,0),"BP not found")</f>
        <v>C-UTX001</v>
      </c>
      <c r="K367"/>
    </row>
    <row r="368" spans="1:11" x14ac:dyDescent="0.25">
      <c r="A368" t="str">
        <f>IFERROR(VLOOKUP(B368&amp; "*",'SKU Maintenance'!D:H,5,0),"not found")</f>
        <v>2010030198181186</v>
      </c>
      <c r="B368">
        <v>40016727</v>
      </c>
      <c r="C368" t="s">
        <v>206</v>
      </c>
      <c r="D368" t="s">
        <v>48</v>
      </c>
      <c r="E368" s="3">
        <v>44771</v>
      </c>
      <c r="F368" s="49">
        <v>1</v>
      </c>
      <c r="G368" s="49">
        <v>249.75</v>
      </c>
      <c r="H368" t="str">
        <f>IFERROR(VLOOKUP(D368,'SKU Maintenance'!L:O,3,0),"BP not found")</f>
        <v>C-UTX001</v>
      </c>
      <c r="K368"/>
    </row>
    <row r="369" spans="1:11" x14ac:dyDescent="0.25">
      <c r="A369" t="str">
        <f>IFERROR(VLOOKUP(B369&amp; "*",'SKU Maintenance'!D:H,5,0),"not found")</f>
        <v>2010030198221186</v>
      </c>
      <c r="B369">
        <v>40016728</v>
      </c>
      <c r="C369" t="s">
        <v>182</v>
      </c>
      <c r="D369" t="s">
        <v>48</v>
      </c>
      <c r="E369" s="3">
        <v>44764</v>
      </c>
      <c r="F369" s="49">
        <v>1</v>
      </c>
      <c r="G369" s="49">
        <v>249.75</v>
      </c>
      <c r="H369" t="str">
        <f>IFERROR(VLOOKUP(D369,'SKU Maintenance'!L:O,3,0),"BP not found")</f>
        <v>C-UTX001</v>
      </c>
      <c r="K369"/>
    </row>
    <row r="370" spans="1:11" x14ac:dyDescent="0.25">
      <c r="A370" t="str">
        <f>IFERROR(VLOOKUP(B370&amp; "*",'SKU Maintenance'!D:H,5,0),"not found")</f>
        <v>2010030198221186</v>
      </c>
      <c r="B370">
        <v>40016728</v>
      </c>
      <c r="C370" t="s">
        <v>182</v>
      </c>
      <c r="D370" t="s">
        <v>351</v>
      </c>
      <c r="E370" s="3">
        <v>44752</v>
      </c>
      <c r="F370" s="49">
        <v>1</v>
      </c>
      <c r="G370" s="49">
        <v>249.75</v>
      </c>
      <c r="H370" t="str">
        <f>IFERROR(VLOOKUP(D370,'SKU Maintenance'!L:O,3,0),"BP not found")</f>
        <v>C-UTX003</v>
      </c>
      <c r="K370"/>
    </row>
    <row r="371" spans="1:11" x14ac:dyDescent="0.25">
      <c r="A371" t="str">
        <f>IFERROR(VLOOKUP(B371&amp; "*",'SKU Maintenance'!D:H,5,0),"not found")</f>
        <v>2010020198184167</v>
      </c>
      <c r="B371">
        <v>40016786</v>
      </c>
      <c r="C371" t="s">
        <v>177</v>
      </c>
      <c r="D371" t="s">
        <v>48</v>
      </c>
      <c r="E371" s="3">
        <v>44763</v>
      </c>
      <c r="F371" s="49">
        <v>1</v>
      </c>
      <c r="G371" s="49">
        <v>300</v>
      </c>
      <c r="H371" t="str">
        <f>IFERROR(VLOOKUP(D371,'SKU Maintenance'!L:O,3,0),"BP not found")</f>
        <v>C-UTX001</v>
      </c>
      <c r="K371"/>
    </row>
    <row r="372" spans="1:11" x14ac:dyDescent="0.25">
      <c r="A372" t="str">
        <f>IFERROR(VLOOKUP(B372&amp; "*",'SKU Maintenance'!D:H,5,0),"not found")</f>
        <v>2010041204180068</v>
      </c>
      <c r="B372">
        <v>40016813</v>
      </c>
      <c r="C372" t="s">
        <v>440</v>
      </c>
      <c r="D372" t="s">
        <v>433</v>
      </c>
      <c r="E372" s="3">
        <v>44749</v>
      </c>
      <c r="F372" s="49">
        <v>1</v>
      </c>
      <c r="G372" s="49">
        <v>125.92</v>
      </c>
      <c r="H372" t="str">
        <f>IFERROR(VLOOKUP(D372,'SKU Maintenance'!L:O,3,0),"BP not found")</f>
        <v>C-UTX004</v>
      </c>
      <c r="K372"/>
    </row>
    <row r="373" spans="1:11" x14ac:dyDescent="0.25">
      <c r="A373" t="str">
        <f>IFERROR(VLOOKUP(B373&amp; "*",'SKU Maintenance'!D:H,5,0),"not found")</f>
        <v>2010030498183420</v>
      </c>
      <c r="B373">
        <v>40016861</v>
      </c>
      <c r="C373" t="s">
        <v>239</v>
      </c>
      <c r="D373" t="s">
        <v>233</v>
      </c>
      <c r="E373" s="3">
        <v>44743</v>
      </c>
      <c r="F373" s="49">
        <v>1</v>
      </c>
      <c r="G373" s="49">
        <v>499.75</v>
      </c>
      <c r="H373" t="str">
        <f>IFERROR(VLOOKUP(D373,'SKU Maintenance'!L:O,3,0),"BP not found")</f>
        <v>C-UTX002</v>
      </c>
      <c r="K373"/>
    </row>
    <row r="374" spans="1:11" x14ac:dyDescent="0.25">
      <c r="A374" t="str">
        <f>IFERROR(VLOOKUP(B374&amp; "*",'SKU Maintenance'!D:H,5,0),"not found")</f>
        <v>2010030198181187</v>
      </c>
      <c r="B374">
        <v>40016862</v>
      </c>
      <c r="C374" t="s">
        <v>418</v>
      </c>
      <c r="D374" t="s">
        <v>351</v>
      </c>
      <c r="E374" s="3">
        <v>44766</v>
      </c>
      <c r="F374" s="49">
        <v>1</v>
      </c>
      <c r="G374" s="49">
        <v>249.75</v>
      </c>
      <c r="H374" t="str">
        <f>IFERROR(VLOOKUP(D374,'SKU Maintenance'!L:O,3,0),"BP not found")</f>
        <v>C-UTX003</v>
      </c>
      <c r="K374"/>
    </row>
    <row r="375" spans="1:11" x14ac:dyDescent="0.25">
      <c r="A375" t="str">
        <f>IFERROR(VLOOKUP(B375&amp; "*",'SKU Maintenance'!D:H,5,0),"not found")</f>
        <v>2010030198221187</v>
      </c>
      <c r="B375">
        <v>40016863</v>
      </c>
      <c r="C375" t="s">
        <v>134</v>
      </c>
      <c r="D375" t="s">
        <v>48</v>
      </c>
      <c r="E375" s="3">
        <v>44756</v>
      </c>
      <c r="F375" s="49">
        <v>1</v>
      </c>
      <c r="G375" s="49">
        <v>249.75</v>
      </c>
      <c r="H375" t="str">
        <f>IFERROR(VLOOKUP(D375,'SKU Maintenance'!L:O,3,0),"BP not found")</f>
        <v>C-UTX001</v>
      </c>
      <c r="K375"/>
    </row>
    <row r="376" spans="1:11" x14ac:dyDescent="0.25">
      <c r="A376" t="str">
        <f>IFERROR(VLOOKUP(B376&amp; "*",'SKU Maintenance'!D:H,5,0),"not found")</f>
        <v>2010030198221187</v>
      </c>
      <c r="B376">
        <v>40016863</v>
      </c>
      <c r="C376" t="s">
        <v>134</v>
      </c>
      <c r="D376" t="s">
        <v>351</v>
      </c>
      <c r="E376" s="3">
        <v>44752</v>
      </c>
      <c r="F376" s="49">
        <v>1</v>
      </c>
      <c r="G376" s="49">
        <v>249.75</v>
      </c>
      <c r="H376" t="str">
        <f>IFERROR(VLOOKUP(D376,'SKU Maintenance'!L:O,3,0),"BP not found")</f>
        <v>C-UTX003</v>
      </c>
      <c r="K376"/>
    </row>
    <row r="377" spans="1:11" x14ac:dyDescent="0.25">
      <c r="A377" t="str">
        <f>IFERROR(VLOOKUP(B377&amp; "*",'SKU Maintenance'!D:H,5,0),"not found")</f>
        <v>2010030198221187</v>
      </c>
      <c r="B377">
        <v>40016863</v>
      </c>
      <c r="C377" t="s">
        <v>134</v>
      </c>
      <c r="D377" t="s">
        <v>351</v>
      </c>
      <c r="E377" s="3">
        <v>44754</v>
      </c>
      <c r="F377" s="49">
        <v>1</v>
      </c>
      <c r="G377" s="49">
        <v>249.75</v>
      </c>
      <c r="H377" t="str">
        <f>IFERROR(VLOOKUP(D377,'SKU Maintenance'!L:O,3,0),"BP not found")</f>
        <v>C-UTX003</v>
      </c>
      <c r="K377"/>
    </row>
    <row r="378" spans="1:11" x14ac:dyDescent="0.25">
      <c r="A378" t="str">
        <f>IFERROR(VLOOKUP(B378&amp; "*",'SKU Maintenance'!D:H,5,0),"not found")</f>
        <v>2010030298180003</v>
      </c>
      <c r="B378">
        <v>40016865</v>
      </c>
      <c r="C378" t="s">
        <v>157</v>
      </c>
      <c r="D378" t="s">
        <v>48</v>
      </c>
      <c r="E378" s="3">
        <v>44758</v>
      </c>
      <c r="F378" s="49">
        <v>1</v>
      </c>
      <c r="G378" s="49">
        <v>599.75</v>
      </c>
      <c r="H378" t="str">
        <f>IFERROR(VLOOKUP(D378,'SKU Maintenance'!L:O,3,0),"BP not found")</f>
        <v>C-UTX001</v>
      </c>
      <c r="K378"/>
    </row>
    <row r="379" spans="1:11" x14ac:dyDescent="0.25">
      <c r="A379" t="str">
        <f>IFERROR(VLOOKUP(B379&amp; "*",'SKU Maintenance'!D:H,5,0),"not found")</f>
        <v>2010030298180003</v>
      </c>
      <c r="B379">
        <v>40016865</v>
      </c>
      <c r="C379" t="s">
        <v>157</v>
      </c>
      <c r="D379" t="s">
        <v>48</v>
      </c>
      <c r="E379" s="3">
        <v>44763</v>
      </c>
      <c r="F379" s="49">
        <v>1</v>
      </c>
      <c r="G379" s="49">
        <v>599.75</v>
      </c>
      <c r="H379" t="str">
        <f>IFERROR(VLOOKUP(D379,'SKU Maintenance'!L:O,3,0),"BP not found")</f>
        <v>C-UTX001</v>
      </c>
      <c r="K379"/>
    </row>
    <row r="380" spans="1:11" x14ac:dyDescent="0.25">
      <c r="A380" t="str">
        <f>IFERROR(VLOOKUP(B380&amp; "*",'SKU Maintenance'!D:H,5,0),"not found")</f>
        <v>2010020198228150</v>
      </c>
      <c r="B380">
        <v>40016885</v>
      </c>
      <c r="C380" t="s">
        <v>171</v>
      </c>
      <c r="D380" t="s">
        <v>48</v>
      </c>
      <c r="E380" s="3">
        <v>44761</v>
      </c>
      <c r="F380" s="49">
        <v>2</v>
      </c>
      <c r="G380" s="49">
        <v>1098</v>
      </c>
      <c r="H380" t="str">
        <f>IFERROR(VLOOKUP(D380,'SKU Maintenance'!L:O,3,0),"BP not found")</f>
        <v>C-UTX001</v>
      </c>
      <c r="K380"/>
    </row>
    <row r="381" spans="1:11" x14ac:dyDescent="0.25">
      <c r="A381" t="str">
        <f>IFERROR(VLOOKUP(B381&amp; "*",'SKU Maintenance'!D:H,5,0),"not found")</f>
        <v>2010010102180019</v>
      </c>
      <c r="B381">
        <v>40017345</v>
      </c>
      <c r="C381" t="s">
        <v>461</v>
      </c>
      <c r="D381" t="s">
        <v>433</v>
      </c>
      <c r="E381" s="3">
        <v>44765</v>
      </c>
      <c r="F381" s="49">
        <v>1</v>
      </c>
      <c r="G381" s="49">
        <v>169.75</v>
      </c>
      <c r="H381" t="str">
        <f>IFERROR(VLOOKUP(D381,'SKU Maintenance'!L:O,3,0),"BP not found")</f>
        <v>C-UTX004</v>
      </c>
      <c r="K381"/>
    </row>
    <row r="382" spans="1:11" x14ac:dyDescent="0.25">
      <c r="A382" t="str">
        <f>IFERROR(VLOOKUP(B382&amp; "*",'SKU Maintenance'!D:H,5,0),"not found")</f>
        <v>2010010103180021</v>
      </c>
      <c r="B382">
        <v>40017353</v>
      </c>
      <c r="C382" t="s">
        <v>61</v>
      </c>
      <c r="D382" t="s">
        <v>233</v>
      </c>
      <c r="E382" s="3">
        <v>44744</v>
      </c>
      <c r="F382" s="49">
        <v>1</v>
      </c>
      <c r="G382" s="49">
        <v>152.77500000000001</v>
      </c>
      <c r="H382" t="str">
        <f>IFERROR(VLOOKUP(D382,'SKU Maintenance'!L:O,3,0),"BP not found")</f>
        <v>C-UTX002</v>
      </c>
      <c r="K382"/>
    </row>
    <row r="383" spans="1:11" x14ac:dyDescent="0.25">
      <c r="A383" t="str">
        <f>IFERROR(VLOOKUP(B383&amp; "*",'SKU Maintenance'!D:H,5,0),"not found")</f>
        <v>2010010103180021</v>
      </c>
      <c r="B383">
        <v>40017353</v>
      </c>
      <c r="C383" t="s">
        <v>61</v>
      </c>
      <c r="D383" t="s">
        <v>233</v>
      </c>
      <c r="E383" s="3">
        <v>44755</v>
      </c>
      <c r="F383" s="49">
        <v>1</v>
      </c>
      <c r="G383" s="49">
        <v>169.75</v>
      </c>
      <c r="H383" t="str">
        <f>IFERROR(VLOOKUP(D383,'SKU Maintenance'!L:O,3,0),"BP not found")</f>
        <v>C-UTX002</v>
      </c>
      <c r="K383"/>
    </row>
    <row r="384" spans="1:11" x14ac:dyDescent="0.25">
      <c r="A384" t="str">
        <f>IFERROR(VLOOKUP(B384&amp; "*",'SKU Maintenance'!D:H,5,0),"not found")</f>
        <v>2010010104180021</v>
      </c>
      <c r="B384">
        <v>40017354</v>
      </c>
      <c r="C384" t="s">
        <v>101</v>
      </c>
      <c r="D384" t="s">
        <v>48</v>
      </c>
      <c r="E384" s="3">
        <v>44759</v>
      </c>
      <c r="F384" s="49">
        <v>1</v>
      </c>
      <c r="G384" s="49">
        <v>242.77500000000001</v>
      </c>
      <c r="H384" t="str">
        <f>IFERROR(VLOOKUP(D384,'SKU Maintenance'!L:O,3,0),"BP not found")</f>
        <v>C-UTX001</v>
      </c>
      <c r="K384"/>
    </row>
    <row r="385" spans="1:11" x14ac:dyDescent="0.25">
      <c r="A385" t="str">
        <f>IFERROR(VLOOKUP(B385&amp; "*",'SKU Maintenance'!D:H,5,0),"not found")</f>
        <v>2010010103200021</v>
      </c>
      <c r="B385">
        <v>40017355</v>
      </c>
      <c r="C385" t="s">
        <v>61</v>
      </c>
      <c r="D385" t="s">
        <v>48</v>
      </c>
      <c r="E385" s="3">
        <v>44744</v>
      </c>
      <c r="F385" s="49">
        <v>1</v>
      </c>
      <c r="G385" s="49">
        <v>152.77500000000001</v>
      </c>
      <c r="H385" t="str">
        <f>IFERROR(VLOOKUP(D385,'SKU Maintenance'!L:O,3,0),"BP not found")</f>
        <v>C-UTX001</v>
      </c>
      <c r="K385"/>
    </row>
    <row r="386" spans="1:11" x14ac:dyDescent="0.25">
      <c r="A386" t="str">
        <f>IFERROR(VLOOKUP(B386&amp; "*",'SKU Maintenance'!D:H,5,0),"not found")</f>
        <v>2010010104200021</v>
      </c>
      <c r="B386">
        <v>40017356</v>
      </c>
      <c r="C386" t="s">
        <v>101</v>
      </c>
      <c r="D386" t="s">
        <v>48</v>
      </c>
      <c r="E386" s="3">
        <v>44751</v>
      </c>
      <c r="F386" s="49">
        <v>1</v>
      </c>
      <c r="G386" s="49">
        <v>269.75</v>
      </c>
      <c r="H386" t="str">
        <f>IFERROR(VLOOKUP(D386,'SKU Maintenance'!L:O,3,0),"BP not found")</f>
        <v>C-UTX001</v>
      </c>
      <c r="K386"/>
    </row>
    <row r="387" spans="1:11" x14ac:dyDescent="0.25">
      <c r="A387" t="str">
        <f>IFERROR(VLOOKUP(B387&amp; "*",'SKU Maintenance'!D:H,5,0),"not found")</f>
        <v>2010010104200021</v>
      </c>
      <c r="B387">
        <v>40017356</v>
      </c>
      <c r="C387" t="s">
        <v>101</v>
      </c>
      <c r="D387" t="s">
        <v>351</v>
      </c>
      <c r="E387" s="3">
        <v>44752</v>
      </c>
      <c r="F387" s="49">
        <v>1</v>
      </c>
      <c r="G387" s="49">
        <v>269.75</v>
      </c>
      <c r="H387" t="str">
        <f>IFERROR(VLOOKUP(D387,'SKU Maintenance'!L:O,3,0),"BP not found")</f>
        <v>C-UTX003</v>
      </c>
      <c r="K387"/>
    </row>
    <row r="388" spans="1:11" x14ac:dyDescent="0.25">
      <c r="A388" t="str">
        <f>IFERROR(VLOOKUP(B388&amp; "*",'SKU Maintenance'!D:H,5,0),"not found")</f>
        <v>2010010104200022</v>
      </c>
      <c r="B388">
        <v>40017362</v>
      </c>
      <c r="C388" t="s">
        <v>131</v>
      </c>
      <c r="D388" t="s">
        <v>48</v>
      </c>
      <c r="E388" s="3">
        <v>44756</v>
      </c>
      <c r="F388" s="49">
        <v>2</v>
      </c>
      <c r="G388" s="49">
        <v>539.5</v>
      </c>
      <c r="H388" t="str">
        <f>IFERROR(VLOOKUP(D388,'SKU Maintenance'!L:O,3,0),"BP not found")</f>
        <v>C-UTX001</v>
      </c>
      <c r="K388"/>
    </row>
    <row r="389" spans="1:11" x14ac:dyDescent="0.25">
      <c r="A389" t="str">
        <f>IFERROR(VLOOKUP(B389&amp; "*",'SKU Maintenance'!D:H,5,0),"not found")</f>
        <v>2010050201170001</v>
      </c>
      <c r="B389">
        <v>40017363</v>
      </c>
      <c r="C389" t="s">
        <v>72</v>
      </c>
      <c r="D389" t="s">
        <v>48</v>
      </c>
      <c r="E389" s="3">
        <v>44745</v>
      </c>
      <c r="F389" s="49">
        <v>1</v>
      </c>
      <c r="G389" s="49">
        <v>99.75</v>
      </c>
      <c r="H389" t="str">
        <f>IFERROR(VLOOKUP(D389,'SKU Maintenance'!L:O,3,0),"BP not found")</f>
        <v>C-UTX001</v>
      </c>
      <c r="K389"/>
    </row>
    <row r="390" spans="1:11" x14ac:dyDescent="0.25">
      <c r="A390" t="str">
        <f>IFERROR(VLOOKUP(B390&amp; "*",'SKU Maintenance'!D:H,5,0),"not found")</f>
        <v>2010050204170001</v>
      </c>
      <c r="B390">
        <v>40017365</v>
      </c>
      <c r="C390" t="s">
        <v>112</v>
      </c>
      <c r="D390" t="s">
        <v>48</v>
      </c>
      <c r="E390" s="3">
        <v>44752</v>
      </c>
      <c r="F390" s="49">
        <v>1</v>
      </c>
      <c r="G390" s="49">
        <v>199.75</v>
      </c>
      <c r="H390" t="str">
        <f>IFERROR(VLOOKUP(D390,'SKU Maintenance'!L:O,3,0),"BP not found")</f>
        <v>C-UTX001</v>
      </c>
      <c r="K390"/>
    </row>
    <row r="391" spans="1:11" x14ac:dyDescent="0.25">
      <c r="A391" t="str">
        <f>IFERROR(VLOOKUP(B391&amp; "*",'SKU Maintenance'!D:H,5,0),"not found")</f>
        <v>2010050201100001</v>
      </c>
      <c r="B391">
        <v>40017366</v>
      </c>
      <c r="C391" t="s">
        <v>449</v>
      </c>
      <c r="D391" t="s">
        <v>433</v>
      </c>
      <c r="E391" s="3">
        <v>44757</v>
      </c>
      <c r="F391" s="49">
        <v>1</v>
      </c>
      <c r="G391" s="49">
        <v>99.75</v>
      </c>
      <c r="H391" t="str">
        <f>IFERROR(VLOOKUP(D391,'SKU Maintenance'!L:O,3,0),"BP not found")</f>
        <v>C-UTX004</v>
      </c>
      <c r="K391"/>
    </row>
    <row r="392" spans="1:11" x14ac:dyDescent="0.25">
      <c r="A392" t="str">
        <f>IFERROR(VLOOKUP(B392&amp; "*",'SKU Maintenance'!D:H,5,0),"not found")</f>
        <v>2010050204100001</v>
      </c>
      <c r="B392">
        <v>40017368</v>
      </c>
      <c r="C392" t="s">
        <v>80</v>
      </c>
      <c r="D392" t="s">
        <v>48</v>
      </c>
      <c r="E392" s="3">
        <v>44745</v>
      </c>
      <c r="F392" s="49">
        <v>1</v>
      </c>
      <c r="G392" s="49">
        <v>199.75</v>
      </c>
      <c r="H392" t="str">
        <f>IFERROR(VLOOKUP(D392,'SKU Maintenance'!L:O,3,0),"BP not found")</f>
        <v>C-UTX001</v>
      </c>
      <c r="K392"/>
    </row>
    <row r="393" spans="1:11" x14ac:dyDescent="0.25">
      <c r="A393" t="str">
        <f>IFERROR(VLOOKUP(B393&amp; "*",'SKU Maintenance'!D:H,5,0),"not found")</f>
        <v>2010050204100001</v>
      </c>
      <c r="B393">
        <v>40017368</v>
      </c>
      <c r="C393" t="s">
        <v>80</v>
      </c>
      <c r="D393" t="s">
        <v>48</v>
      </c>
      <c r="E393" s="3">
        <v>44747</v>
      </c>
      <c r="F393" s="49">
        <v>1</v>
      </c>
      <c r="G393" s="49">
        <v>199.75</v>
      </c>
      <c r="H393" t="str">
        <f>IFERROR(VLOOKUP(D393,'SKU Maintenance'!L:O,3,0),"BP not found")</f>
        <v>C-UTX001</v>
      </c>
      <c r="K393"/>
    </row>
    <row r="394" spans="1:11" x14ac:dyDescent="0.25">
      <c r="A394" t="str">
        <f>IFERROR(VLOOKUP(B394&amp; "*",'SKU Maintenance'!D:H,5,0),"not found")</f>
        <v>2010050204100001</v>
      </c>
      <c r="B394">
        <v>40017368</v>
      </c>
      <c r="C394" t="s">
        <v>80</v>
      </c>
      <c r="D394" t="s">
        <v>433</v>
      </c>
      <c r="E394" s="3">
        <v>44772</v>
      </c>
      <c r="F394" s="49">
        <v>1</v>
      </c>
      <c r="G394" s="49">
        <v>199.75</v>
      </c>
      <c r="H394" t="str">
        <f>IFERROR(VLOOKUP(D394,'SKU Maintenance'!L:O,3,0),"BP not found")</f>
        <v>C-UTX004</v>
      </c>
      <c r="K394"/>
    </row>
    <row r="395" spans="1:11" x14ac:dyDescent="0.25">
      <c r="A395" t="str">
        <f>IFERROR(VLOOKUP(B395&amp; "*",'SKU Maintenance'!D:H,5,0),"not found")</f>
        <v>2010050202040001</v>
      </c>
      <c r="B395">
        <v>40017370</v>
      </c>
      <c r="C395" t="s">
        <v>66</v>
      </c>
      <c r="D395" t="s">
        <v>48</v>
      </c>
      <c r="E395" s="3">
        <v>44744</v>
      </c>
      <c r="F395" s="49">
        <v>1</v>
      </c>
      <c r="G395" s="49">
        <v>129.75</v>
      </c>
      <c r="H395" t="str">
        <f>IFERROR(VLOOKUP(D395,'SKU Maintenance'!L:O,3,0),"BP not found")</f>
        <v>C-UTX001</v>
      </c>
      <c r="K395"/>
    </row>
    <row r="396" spans="1:11" x14ac:dyDescent="0.25">
      <c r="A396" t="str">
        <f>IFERROR(VLOOKUP(B396&amp; "*",'SKU Maintenance'!D:H,5,0),"not found")</f>
        <v>2010050204220002</v>
      </c>
      <c r="B396">
        <v>40017372</v>
      </c>
      <c r="C396" t="s">
        <v>205</v>
      </c>
      <c r="D396" t="s">
        <v>48</v>
      </c>
      <c r="E396" s="3">
        <v>44768</v>
      </c>
      <c r="F396" s="49">
        <v>1</v>
      </c>
      <c r="G396" s="49">
        <v>199.75</v>
      </c>
      <c r="H396" t="str">
        <f>IFERROR(VLOOKUP(D396,'SKU Maintenance'!L:O,3,0),"BP not found")</f>
        <v>C-UTX001</v>
      </c>
      <c r="K396"/>
    </row>
    <row r="397" spans="1:11" x14ac:dyDescent="0.25">
      <c r="A397" t="str">
        <f>IFERROR(VLOOKUP(B397&amp; "*",'SKU Maintenance'!D:H,5,0),"not found")</f>
        <v>2010050205220002</v>
      </c>
      <c r="B397">
        <v>40017373</v>
      </c>
      <c r="C397" t="s">
        <v>366</v>
      </c>
      <c r="D397" t="s">
        <v>351</v>
      </c>
      <c r="E397" s="3">
        <v>44749</v>
      </c>
      <c r="F397" s="49">
        <v>1</v>
      </c>
      <c r="G397" s="49">
        <v>249.75</v>
      </c>
      <c r="H397" t="str">
        <f>IFERROR(VLOOKUP(D397,'SKU Maintenance'!L:O,3,0),"BP not found")</f>
        <v>C-UTX003</v>
      </c>
      <c r="K397"/>
    </row>
    <row r="398" spans="1:11" x14ac:dyDescent="0.25">
      <c r="A398" t="str">
        <f>IFERROR(VLOOKUP(B398&amp; "*",'SKU Maintenance'!D:H,5,0),"not found")</f>
        <v>2010050204100003</v>
      </c>
      <c r="B398">
        <v>40017381</v>
      </c>
      <c r="C398" t="s">
        <v>108</v>
      </c>
      <c r="D398" t="s">
        <v>48</v>
      </c>
      <c r="E398" s="3">
        <v>44752</v>
      </c>
      <c r="F398" s="49">
        <v>2</v>
      </c>
      <c r="G398" s="49">
        <v>399.5</v>
      </c>
      <c r="H398" t="str">
        <f>IFERROR(VLOOKUP(D398,'SKU Maintenance'!L:O,3,0),"BP not found")</f>
        <v>C-UTX001</v>
      </c>
      <c r="K398"/>
    </row>
    <row r="399" spans="1:11" x14ac:dyDescent="0.25">
      <c r="A399" t="str">
        <f>IFERROR(VLOOKUP(B399&amp; "*",'SKU Maintenance'!D:H,5,0),"not found")</f>
        <v>2010050201100004</v>
      </c>
      <c r="B399">
        <v>40017390</v>
      </c>
      <c r="C399" t="s">
        <v>417</v>
      </c>
      <c r="D399" t="s">
        <v>351</v>
      </c>
      <c r="E399" s="3">
        <v>44765</v>
      </c>
      <c r="F399" s="49">
        <v>1</v>
      </c>
      <c r="G399" s="49">
        <v>99.75</v>
      </c>
      <c r="H399" t="str">
        <f>IFERROR(VLOOKUP(D399,'SKU Maintenance'!L:O,3,0),"BP not found")</f>
        <v>C-UTX003</v>
      </c>
      <c r="K399"/>
    </row>
    <row r="400" spans="1:11" x14ac:dyDescent="0.25">
      <c r="A400" t="str">
        <f>IFERROR(VLOOKUP(B400&amp; "*",'SKU Maintenance'!D:H,5,0),"not found")</f>
        <v>2010050201100004</v>
      </c>
      <c r="B400">
        <v>40017390</v>
      </c>
      <c r="C400" t="s">
        <v>417</v>
      </c>
      <c r="D400" t="s">
        <v>433</v>
      </c>
      <c r="E400" s="3">
        <v>44757</v>
      </c>
      <c r="F400" s="49">
        <v>1</v>
      </c>
      <c r="G400" s="49">
        <v>99.75</v>
      </c>
      <c r="H400" t="str">
        <f>IFERROR(VLOOKUP(D400,'SKU Maintenance'!L:O,3,0),"BP not found")</f>
        <v>C-UTX004</v>
      </c>
      <c r="K400"/>
    </row>
    <row r="401" spans="1:11" x14ac:dyDescent="0.25">
      <c r="A401" t="str">
        <f>IFERROR(VLOOKUP(B401&amp; "*",'SKU Maintenance'!D:H,5,0),"not found")</f>
        <v>2010050204100004</v>
      </c>
      <c r="B401">
        <v>40017392</v>
      </c>
      <c r="C401" t="s">
        <v>356</v>
      </c>
      <c r="D401" t="s">
        <v>351</v>
      </c>
      <c r="E401" s="3">
        <v>44744</v>
      </c>
      <c r="F401" s="49">
        <v>1</v>
      </c>
      <c r="G401" s="49">
        <v>199.75</v>
      </c>
      <c r="H401" t="str">
        <f>IFERROR(VLOOKUP(D401,'SKU Maintenance'!L:O,3,0),"BP not found")</f>
        <v>C-UTX003</v>
      </c>
      <c r="K401"/>
    </row>
    <row r="402" spans="1:11" x14ac:dyDescent="0.25">
      <c r="A402" t="str">
        <f>IFERROR(VLOOKUP(B402&amp; "*",'SKU Maintenance'!D:H,5,0),"not found")</f>
        <v>2010050201040004</v>
      </c>
      <c r="B402">
        <v>40017393</v>
      </c>
      <c r="C402" t="s">
        <v>221</v>
      </c>
      <c r="D402" t="s">
        <v>48</v>
      </c>
      <c r="E402" s="3">
        <v>44772</v>
      </c>
      <c r="F402" s="49">
        <v>1</v>
      </c>
      <c r="G402" s="49">
        <v>99.75</v>
      </c>
      <c r="H402" t="str">
        <f>IFERROR(VLOOKUP(D402,'SKU Maintenance'!L:O,3,0),"BP not found")</f>
        <v>C-UTX001</v>
      </c>
      <c r="K402"/>
    </row>
    <row r="403" spans="1:11" x14ac:dyDescent="0.25">
      <c r="A403" t="str">
        <f>IFERROR(VLOOKUP(B403&amp; "*",'SKU Maintenance'!D:H,5,0),"not found")</f>
        <v>2010050204020004</v>
      </c>
      <c r="B403">
        <v>40017398</v>
      </c>
      <c r="C403" t="s">
        <v>400</v>
      </c>
      <c r="D403" t="s">
        <v>351</v>
      </c>
      <c r="E403" s="3">
        <v>44755</v>
      </c>
      <c r="F403" s="49">
        <v>2</v>
      </c>
      <c r="G403" s="49">
        <v>399.5</v>
      </c>
      <c r="H403" t="str">
        <f>IFERROR(VLOOKUP(D403,'SKU Maintenance'!L:O,3,0),"BP not found")</f>
        <v>C-UTX003</v>
      </c>
      <c r="K403"/>
    </row>
    <row r="404" spans="1:11" x14ac:dyDescent="0.25">
      <c r="A404" t="str">
        <f>IFERROR(VLOOKUP(B404&amp; "*",'SKU Maintenance'!D:H,5,0),"not found")</f>
        <v>2010051001160600</v>
      </c>
      <c r="B404">
        <v>40017399</v>
      </c>
      <c r="C404" t="s">
        <v>367</v>
      </c>
      <c r="D404" t="s">
        <v>351</v>
      </c>
      <c r="E404" s="3">
        <v>44749</v>
      </c>
      <c r="F404" s="49">
        <v>1</v>
      </c>
      <c r="G404" s="49">
        <v>349.75</v>
      </c>
      <c r="H404" t="str">
        <f>IFERROR(VLOOKUP(D404,'SKU Maintenance'!L:O,3,0),"BP not found")</f>
        <v>C-UTX003</v>
      </c>
      <c r="K404"/>
    </row>
    <row r="405" spans="1:11" x14ac:dyDescent="0.25">
      <c r="A405" t="str">
        <f>IFERROR(VLOOKUP(B405&amp; "*",'SKU Maintenance'!D:H,5,0),"not found")</f>
        <v>2010051001040600</v>
      </c>
      <c r="B405">
        <v>40017401</v>
      </c>
      <c r="C405" t="s">
        <v>109</v>
      </c>
      <c r="D405" t="s">
        <v>48</v>
      </c>
      <c r="E405" s="3">
        <v>44752</v>
      </c>
      <c r="F405" s="49">
        <v>1</v>
      </c>
      <c r="G405" s="49">
        <v>349.75</v>
      </c>
      <c r="H405" t="str">
        <f>IFERROR(VLOOKUP(D405,'SKU Maintenance'!L:O,3,0),"BP not found")</f>
        <v>C-UTX001</v>
      </c>
      <c r="K405"/>
    </row>
    <row r="406" spans="1:11" x14ac:dyDescent="0.25">
      <c r="A406" t="str">
        <f>IFERROR(VLOOKUP(B406&amp; "*",'SKU Maintenance'!D:H,5,0),"not found")</f>
        <v>2010051001040600</v>
      </c>
      <c r="B406">
        <v>40017401</v>
      </c>
      <c r="C406" t="s">
        <v>109</v>
      </c>
      <c r="D406" t="s">
        <v>351</v>
      </c>
      <c r="E406" s="3">
        <v>44749</v>
      </c>
      <c r="F406" s="49">
        <v>1</v>
      </c>
      <c r="G406" s="49">
        <v>349.75</v>
      </c>
      <c r="H406" t="str">
        <f>IFERROR(VLOOKUP(D406,'SKU Maintenance'!L:O,3,0),"BP not found")</f>
        <v>C-UTX003</v>
      </c>
      <c r="K406"/>
    </row>
    <row r="407" spans="1:11" x14ac:dyDescent="0.25">
      <c r="A407" t="str">
        <f>IFERROR(VLOOKUP(B407&amp; "*",'SKU Maintenance'!D:H,5,0),"not found")</f>
        <v>2010051002040600</v>
      </c>
      <c r="B407">
        <v>40017402</v>
      </c>
      <c r="C407" t="s">
        <v>330</v>
      </c>
      <c r="D407" t="s">
        <v>233</v>
      </c>
      <c r="E407" s="3">
        <v>44766</v>
      </c>
      <c r="F407" s="49">
        <v>1</v>
      </c>
      <c r="G407" s="49">
        <v>499.75</v>
      </c>
      <c r="H407" t="str">
        <f>IFERROR(VLOOKUP(D407,'SKU Maintenance'!L:O,3,0),"BP not found")</f>
        <v>C-UTX002</v>
      </c>
      <c r="K407"/>
    </row>
    <row r="408" spans="1:11" x14ac:dyDescent="0.25">
      <c r="A408" t="str">
        <f>IFERROR(VLOOKUP(B408&amp; "*",'SKU Maintenance'!D:H,5,0),"not found")</f>
        <v>2010051001020600</v>
      </c>
      <c r="B408">
        <v>40017403</v>
      </c>
      <c r="C408" t="s">
        <v>354</v>
      </c>
      <c r="D408" t="s">
        <v>351</v>
      </c>
      <c r="E408" s="3">
        <v>44743</v>
      </c>
      <c r="F408" s="49">
        <v>1</v>
      </c>
      <c r="G408" s="49">
        <v>349.75</v>
      </c>
      <c r="H408" t="str">
        <f>IFERROR(VLOOKUP(D408,'SKU Maintenance'!L:O,3,0),"BP not found")</f>
        <v>C-UTX003</v>
      </c>
      <c r="K408"/>
    </row>
    <row r="409" spans="1:11" x14ac:dyDescent="0.25">
      <c r="A409" t="str">
        <f>IFERROR(VLOOKUP(B409&amp; "*",'SKU Maintenance'!D:H,5,0),"not found")</f>
        <v>2010010798200106</v>
      </c>
      <c r="B409">
        <v>40017419</v>
      </c>
      <c r="C409" t="s">
        <v>336</v>
      </c>
      <c r="D409" t="s">
        <v>233</v>
      </c>
      <c r="E409" s="3">
        <v>44768</v>
      </c>
      <c r="F409" s="49">
        <v>1</v>
      </c>
      <c r="G409" s="49">
        <v>399.75</v>
      </c>
      <c r="H409" t="str">
        <f>IFERROR(VLOOKUP(D409,'SKU Maintenance'!L:O,3,0),"BP not found")</f>
        <v>C-UTX002</v>
      </c>
      <c r="K409"/>
    </row>
    <row r="410" spans="1:11" x14ac:dyDescent="0.25">
      <c r="A410" t="str">
        <f>IFERROR(VLOOKUP(B410&amp; "*",'SKU Maintenance'!D:H,5,0),"not found")</f>
        <v>2010010798180113</v>
      </c>
      <c r="B410">
        <v>40017426</v>
      </c>
      <c r="C410" t="s">
        <v>279</v>
      </c>
      <c r="D410" t="s">
        <v>233</v>
      </c>
      <c r="E410" s="3">
        <v>44755</v>
      </c>
      <c r="F410" s="49">
        <v>1</v>
      </c>
      <c r="G410" s="49">
        <v>599.75</v>
      </c>
      <c r="H410" t="str">
        <f>IFERROR(VLOOKUP(D410,'SKU Maintenance'!L:O,3,0),"BP not found")</f>
        <v>C-UTX002</v>
      </c>
      <c r="K410"/>
    </row>
    <row r="411" spans="1:11" x14ac:dyDescent="0.25">
      <c r="A411" t="str">
        <f>IFERROR(VLOOKUP(B411&amp; "*",'SKU Maintenance'!D:H,5,0),"not found")</f>
        <v>2010010798210120</v>
      </c>
      <c r="B411">
        <v>40017433</v>
      </c>
      <c r="C411" t="s">
        <v>343</v>
      </c>
      <c r="D411" t="s">
        <v>233</v>
      </c>
      <c r="E411" s="3">
        <v>44770</v>
      </c>
      <c r="F411" s="49">
        <v>1</v>
      </c>
      <c r="G411" s="49">
        <v>599.75</v>
      </c>
      <c r="H411" t="str">
        <f>IFERROR(VLOOKUP(D411,'SKU Maintenance'!L:O,3,0),"BP not found")</f>
        <v>C-UTX002</v>
      </c>
      <c r="K411"/>
    </row>
    <row r="412" spans="1:11" x14ac:dyDescent="0.25">
      <c r="A412" t="str">
        <f>IFERROR(VLOOKUP(B412&amp; "*",'SKU Maintenance'!D:H,5,0),"not found")</f>
        <v>2010010798210121</v>
      </c>
      <c r="B412">
        <v>40017434</v>
      </c>
      <c r="C412" t="s">
        <v>342</v>
      </c>
      <c r="D412" t="s">
        <v>233</v>
      </c>
      <c r="E412" s="3">
        <v>44770</v>
      </c>
      <c r="F412" s="49">
        <v>2</v>
      </c>
      <c r="G412" s="49">
        <v>1199.5</v>
      </c>
      <c r="H412" t="str">
        <f>IFERROR(VLOOKUP(D412,'SKU Maintenance'!L:O,3,0),"BP not found")</f>
        <v>C-UTX002</v>
      </c>
      <c r="K412"/>
    </row>
    <row r="413" spans="1:11" x14ac:dyDescent="0.25">
      <c r="A413" t="str">
        <f>IFERROR(VLOOKUP(B413&amp; "*",'SKU Maintenance'!D:H,5,0),"not found")</f>
        <v>2010010798180128</v>
      </c>
      <c r="B413">
        <v>40017441</v>
      </c>
      <c r="C413" t="s">
        <v>450</v>
      </c>
      <c r="D413" t="s">
        <v>433</v>
      </c>
      <c r="E413" s="3">
        <v>44758</v>
      </c>
      <c r="F413" s="49">
        <v>1</v>
      </c>
      <c r="G413" s="49">
        <v>359.77500000000003</v>
      </c>
      <c r="H413" t="str">
        <f>IFERROR(VLOOKUP(D413,'SKU Maintenance'!L:O,3,0),"BP not found")</f>
        <v>C-UTX004</v>
      </c>
      <c r="K413"/>
    </row>
    <row r="414" spans="1:11" x14ac:dyDescent="0.25">
      <c r="A414" t="str">
        <f>IFERROR(VLOOKUP(B414&amp; "*",'SKU Maintenance'!D:H,5,0),"not found")</f>
        <v>2010010798180129</v>
      </c>
      <c r="B414">
        <v>40017442</v>
      </c>
      <c r="C414" t="s">
        <v>451</v>
      </c>
      <c r="D414" t="s">
        <v>433</v>
      </c>
      <c r="E414" s="3">
        <v>44758</v>
      </c>
      <c r="F414" s="49">
        <v>1</v>
      </c>
      <c r="G414" s="49">
        <v>359.77500000000003</v>
      </c>
      <c r="H414" t="str">
        <f>IFERROR(VLOOKUP(D414,'SKU Maintenance'!L:O,3,0),"BP not found")</f>
        <v>C-UTX004</v>
      </c>
      <c r="K414"/>
    </row>
    <row r="415" spans="1:11" x14ac:dyDescent="0.25">
      <c r="A415" t="str">
        <f>IFERROR(VLOOKUP(B415&amp; "*",'SKU Maintenance'!D:H,5,0),"not found")</f>
        <v>2010010798180130</v>
      </c>
      <c r="B415">
        <v>40017443</v>
      </c>
      <c r="C415" t="s">
        <v>452</v>
      </c>
      <c r="D415" t="s">
        <v>433</v>
      </c>
      <c r="E415" s="3">
        <v>44758</v>
      </c>
      <c r="F415" s="49">
        <v>1</v>
      </c>
      <c r="G415" s="49">
        <v>359.77500000000003</v>
      </c>
      <c r="H415" t="str">
        <f>IFERROR(VLOOKUP(D415,'SKU Maintenance'!L:O,3,0),"BP not found")</f>
        <v>C-UTX004</v>
      </c>
      <c r="K415"/>
    </row>
    <row r="416" spans="1:11" x14ac:dyDescent="0.25">
      <c r="A416" t="str">
        <f>IFERROR(VLOOKUP(B416&amp; "*",'SKU Maintenance'!D:H,5,0),"not found")</f>
        <v>2010010798180131</v>
      </c>
      <c r="B416">
        <v>40017444</v>
      </c>
      <c r="C416" t="s">
        <v>191</v>
      </c>
      <c r="D416" t="s">
        <v>48</v>
      </c>
      <c r="E416" s="3">
        <v>44766</v>
      </c>
      <c r="F416" s="49">
        <v>1</v>
      </c>
      <c r="G416" s="49">
        <v>399.75</v>
      </c>
      <c r="H416" t="str">
        <f>IFERROR(VLOOKUP(D416,'SKU Maintenance'!L:O,3,0),"BP not found")</f>
        <v>C-UTX001</v>
      </c>
      <c r="K416"/>
    </row>
    <row r="417" spans="1:11" x14ac:dyDescent="0.25">
      <c r="A417" t="str">
        <f>IFERROR(VLOOKUP(B417&amp; "*",'SKU Maintenance'!D:H,5,0),"not found")</f>
        <v>2010010798180131</v>
      </c>
      <c r="B417">
        <v>40017444</v>
      </c>
      <c r="C417" t="s">
        <v>191</v>
      </c>
      <c r="D417" t="s">
        <v>433</v>
      </c>
      <c r="E417" s="3">
        <v>44758</v>
      </c>
      <c r="F417" s="49">
        <v>1</v>
      </c>
      <c r="G417" s="49">
        <v>359.77500000000003</v>
      </c>
      <c r="H417" t="str">
        <f>IFERROR(VLOOKUP(D417,'SKU Maintenance'!L:O,3,0),"BP not found")</f>
        <v>C-UTX004</v>
      </c>
      <c r="K417"/>
    </row>
    <row r="418" spans="1:11" x14ac:dyDescent="0.25">
      <c r="A418" t="str">
        <f>IFERROR(VLOOKUP(B418&amp; "*",'SKU Maintenance'!D:H,5,0),"not found")</f>
        <v>2010010798200092</v>
      </c>
      <c r="B418">
        <v>40017459</v>
      </c>
      <c r="C418" t="s">
        <v>223</v>
      </c>
      <c r="D418" t="s">
        <v>48</v>
      </c>
      <c r="E418" s="3">
        <v>44773</v>
      </c>
      <c r="F418" s="49">
        <v>1</v>
      </c>
      <c r="G418" s="49">
        <v>539.77499999999998</v>
      </c>
      <c r="H418" t="str">
        <f>IFERROR(VLOOKUP(D418,'SKU Maintenance'!L:O,3,0),"BP not found")</f>
        <v>C-UTX001</v>
      </c>
      <c r="K418"/>
    </row>
    <row r="419" spans="1:11" x14ac:dyDescent="0.25">
      <c r="A419" t="str">
        <f>IFERROR(VLOOKUP(B419&amp; "*",'SKU Maintenance'!D:H,5,0),"not found")</f>
        <v>2010010798200093</v>
      </c>
      <c r="B419">
        <v>40017460</v>
      </c>
      <c r="C419" t="s">
        <v>153</v>
      </c>
      <c r="D419" t="s">
        <v>48</v>
      </c>
      <c r="E419" s="3">
        <v>44758</v>
      </c>
      <c r="F419" s="49">
        <v>1</v>
      </c>
      <c r="G419" s="49">
        <v>539.77499999999998</v>
      </c>
      <c r="H419" t="str">
        <f>IFERROR(VLOOKUP(D419,'SKU Maintenance'!L:O,3,0),"BP not found")</f>
        <v>C-UTX001</v>
      </c>
      <c r="K419"/>
    </row>
    <row r="420" spans="1:11" x14ac:dyDescent="0.25">
      <c r="A420" t="str">
        <f>IFERROR(VLOOKUP(B420&amp; "*",'SKU Maintenance'!D:H,5,0),"not found")</f>
        <v>2010010798200093</v>
      </c>
      <c r="B420">
        <v>40017460</v>
      </c>
      <c r="C420" t="s">
        <v>153</v>
      </c>
      <c r="D420" t="s">
        <v>48</v>
      </c>
      <c r="E420" s="3">
        <v>44773</v>
      </c>
      <c r="F420" s="49">
        <v>1</v>
      </c>
      <c r="G420" s="49">
        <v>539.77499999999998</v>
      </c>
      <c r="H420" t="str">
        <f>IFERROR(VLOOKUP(D420,'SKU Maintenance'!L:O,3,0),"BP not found")</f>
        <v>C-UTX001</v>
      </c>
      <c r="K420"/>
    </row>
    <row r="421" spans="1:11" x14ac:dyDescent="0.25">
      <c r="A421" t="str">
        <f>IFERROR(VLOOKUP(B421&amp; "*",'SKU Maintenance'!D:H,5,0),"not found")</f>
        <v>2010010798200094</v>
      </c>
      <c r="B421">
        <v>40017461</v>
      </c>
      <c r="C421" t="s">
        <v>222</v>
      </c>
      <c r="D421" t="s">
        <v>48</v>
      </c>
      <c r="E421" s="3">
        <v>44773</v>
      </c>
      <c r="F421" s="49">
        <v>1</v>
      </c>
      <c r="G421" s="49">
        <v>719.77499999999998</v>
      </c>
      <c r="H421" t="str">
        <f>IFERROR(VLOOKUP(D421,'SKU Maintenance'!L:O,3,0),"BP not found")</f>
        <v>C-UTX001</v>
      </c>
      <c r="K421"/>
    </row>
    <row r="422" spans="1:11" x14ac:dyDescent="0.25">
      <c r="A422" t="str">
        <f>IFERROR(VLOOKUP(B422&amp; "*",'SKU Maintenance'!D:H,5,0),"not found")</f>
        <v>2010010798200094</v>
      </c>
      <c r="B422">
        <v>40017461</v>
      </c>
      <c r="C422" t="s">
        <v>222</v>
      </c>
      <c r="D422" t="s">
        <v>351</v>
      </c>
      <c r="E422" s="3">
        <v>44767</v>
      </c>
      <c r="F422" s="49">
        <v>1</v>
      </c>
      <c r="G422" s="49">
        <v>799.75</v>
      </c>
      <c r="H422" t="str">
        <f>IFERROR(VLOOKUP(D422,'SKU Maintenance'!L:O,3,0),"BP not found")</f>
        <v>C-UTX003</v>
      </c>
      <c r="K422"/>
    </row>
    <row r="423" spans="1:11" x14ac:dyDescent="0.25">
      <c r="A423" t="str">
        <f>IFERROR(VLOOKUP(B423&amp; "*",'SKU Maintenance'!D:H,5,0),"not found")</f>
        <v>2010010798200095</v>
      </c>
      <c r="B423">
        <v>40017462</v>
      </c>
      <c r="C423" t="s">
        <v>137</v>
      </c>
      <c r="D423" t="s">
        <v>48</v>
      </c>
      <c r="E423" s="3">
        <v>44757</v>
      </c>
      <c r="F423" s="49">
        <v>1</v>
      </c>
      <c r="G423" s="49">
        <v>719.77499999999998</v>
      </c>
      <c r="H423" t="str">
        <f>IFERROR(VLOOKUP(D423,'SKU Maintenance'!L:O,3,0),"BP not found")</f>
        <v>C-UTX001</v>
      </c>
      <c r="K423"/>
    </row>
    <row r="424" spans="1:11" x14ac:dyDescent="0.25">
      <c r="A424" t="str">
        <f>IFERROR(VLOOKUP(B424&amp; "*",'SKU Maintenance'!D:H,5,0),"not found")</f>
        <v>2010010798200095</v>
      </c>
      <c r="B424">
        <v>40017462</v>
      </c>
      <c r="C424" t="s">
        <v>137</v>
      </c>
      <c r="D424" t="s">
        <v>48</v>
      </c>
      <c r="E424" s="3">
        <v>44773</v>
      </c>
      <c r="F424" s="49">
        <v>1</v>
      </c>
      <c r="G424" s="49">
        <v>719.77499999999998</v>
      </c>
      <c r="H424" t="str">
        <f>IFERROR(VLOOKUP(D424,'SKU Maintenance'!L:O,3,0),"BP not found")</f>
        <v>C-UTX001</v>
      </c>
      <c r="K424"/>
    </row>
    <row r="425" spans="1:11" x14ac:dyDescent="0.25">
      <c r="A425" t="str">
        <f>IFERROR(VLOOKUP(B425&amp; "*",'SKU Maintenance'!D:H,5,0),"not found")</f>
        <v>2010010798200095</v>
      </c>
      <c r="B425">
        <v>40017462</v>
      </c>
      <c r="C425" t="s">
        <v>137</v>
      </c>
      <c r="D425" t="s">
        <v>351</v>
      </c>
      <c r="E425" s="3">
        <v>44767</v>
      </c>
      <c r="F425" s="49">
        <v>1</v>
      </c>
      <c r="G425" s="49">
        <v>799.75</v>
      </c>
      <c r="H425" t="str">
        <f>IFERROR(VLOOKUP(D425,'SKU Maintenance'!L:O,3,0),"BP not found")</f>
        <v>C-UTX003</v>
      </c>
      <c r="K425"/>
    </row>
    <row r="426" spans="1:11" x14ac:dyDescent="0.25">
      <c r="A426" t="str">
        <f>IFERROR(VLOOKUP(B426&amp; "*",'SKU Maintenance'!D:H,5,0),"not found")</f>
        <v>2010010798200096</v>
      </c>
      <c r="B426">
        <v>40017463</v>
      </c>
      <c r="C426" t="s">
        <v>105</v>
      </c>
      <c r="D426" t="s">
        <v>48</v>
      </c>
      <c r="E426" s="3">
        <v>44752</v>
      </c>
      <c r="F426" s="49">
        <v>2</v>
      </c>
      <c r="G426" s="49">
        <v>1199.5</v>
      </c>
      <c r="H426" t="str">
        <f>IFERROR(VLOOKUP(D426,'SKU Maintenance'!L:O,3,0),"BP not found")</f>
        <v>C-UTX001</v>
      </c>
      <c r="K426"/>
    </row>
    <row r="427" spans="1:11" x14ac:dyDescent="0.25">
      <c r="A427" t="str">
        <f>IFERROR(VLOOKUP(B427&amp; "*",'SKU Maintenance'!D:H,5,0),"not found")</f>
        <v>2010010798200096</v>
      </c>
      <c r="B427">
        <v>40017463</v>
      </c>
      <c r="C427" t="s">
        <v>105</v>
      </c>
      <c r="D427" t="s">
        <v>48</v>
      </c>
      <c r="E427" s="3">
        <v>44757</v>
      </c>
      <c r="F427" s="49">
        <v>1</v>
      </c>
      <c r="G427" s="49">
        <v>539.77499999999998</v>
      </c>
      <c r="H427" t="str">
        <f>IFERROR(VLOOKUP(D427,'SKU Maintenance'!L:O,3,0),"BP not found")</f>
        <v>C-UTX001</v>
      </c>
      <c r="K427"/>
    </row>
    <row r="428" spans="1:11" x14ac:dyDescent="0.25">
      <c r="A428" t="str">
        <f>IFERROR(VLOOKUP(B428&amp; "*",'SKU Maintenance'!D:H,5,0),"not found")</f>
        <v>2010010798200097</v>
      </c>
      <c r="B428">
        <v>40017464</v>
      </c>
      <c r="C428" t="s">
        <v>224</v>
      </c>
      <c r="D428" t="s">
        <v>48</v>
      </c>
      <c r="E428" s="3">
        <v>44773</v>
      </c>
      <c r="F428" s="49">
        <v>1</v>
      </c>
      <c r="G428" s="49">
        <v>539.77499999999998</v>
      </c>
      <c r="H428" t="str">
        <f>IFERROR(VLOOKUP(D428,'SKU Maintenance'!L:O,3,0),"BP not found")</f>
        <v>C-UTX001</v>
      </c>
      <c r="K428"/>
    </row>
    <row r="429" spans="1:11" x14ac:dyDescent="0.25">
      <c r="A429" t="str">
        <f>IFERROR(VLOOKUP(B429&amp; "*",'SKU Maintenance'!D:H,5,0),"not found")</f>
        <v>2010010798200098</v>
      </c>
      <c r="B429">
        <v>40017465</v>
      </c>
      <c r="C429" t="s">
        <v>303</v>
      </c>
      <c r="D429" t="s">
        <v>233</v>
      </c>
      <c r="E429" s="3">
        <v>44760</v>
      </c>
      <c r="F429" s="49">
        <v>1</v>
      </c>
      <c r="G429" s="49">
        <v>799.75</v>
      </c>
      <c r="H429" t="str">
        <f>IFERROR(VLOOKUP(D429,'SKU Maintenance'!L:O,3,0),"BP not found")</f>
        <v>C-UTX002</v>
      </c>
      <c r="K429"/>
    </row>
    <row r="430" spans="1:11" x14ac:dyDescent="0.25">
      <c r="A430" t="str">
        <f>IFERROR(VLOOKUP(B430&amp; "*",'SKU Maintenance'!D:H,5,0),"not found")</f>
        <v>2010010798200100</v>
      </c>
      <c r="B430">
        <v>40017467</v>
      </c>
      <c r="C430" t="s">
        <v>335</v>
      </c>
      <c r="D430" t="s">
        <v>233</v>
      </c>
      <c r="E430" s="3">
        <v>44768</v>
      </c>
      <c r="F430" s="49">
        <v>1</v>
      </c>
      <c r="G430" s="49">
        <v>399.75</v>
      </c>
      <c r="H430" t="str">
        <f>IFERROR(VLOOKUP(D430,'SKU Maintenance'!L:O,3,0),"BP not found")</f>
        <v>C-UTX002</v>
      </c>
      <c r="K430"/>
    </row>
    <row r="431" spans="1:11" x14ac:dyDescent="0.25">
      <c r="A431" t="str">
        <f>IFERROR(VLOOKUP(B431&amp; "*",'SKU Maintenance'!D:H,5,0),"not found")</f>
        <v>2010010798200101</v>
      </c>
      <c r="B431">
        <v>40017468</v>
      </c>
      <c r="C431" t="s">
        <v>337</v>
      </c>
      <c r="D431" t="s">
        <v>233</v>
      </c>
      <c r="E431" s="3">
        <v>44768</v>
      </c>
      <c r="F431" s="49">
        <v>1</v>
      </c>
      <c r="G431" s="49">
        <v>399.75</v>
      </c>
      <c r="H431" t="str">
        <f>IFERROR(VLOOKUP(D431,'SKU Maintenance'!L:O,3,0),"BP not found")</f>
        <v>C-UTX002</v>
      </c>
      <c r="K431"/>
    </row>
    <row r="432" spans="1:11" x14ac:dyDescent="0.25">
      <c r="A432" t="str">
        <f>IFERROR(VLOOKUP(B432&amp; "*",'SKU Maintenance'!D:H,5,0),"not found")</f>
        <v>2010010798200103</v>
      </c>
      <c r="B432">
        <v>40017470</v>
      </c>
      <c r="C432" t="s">
        <v>192</v>
      </c>
      <c r="D432" t="s">
        <v>48</v>
      </c>
      <c r="E432" s="3">
        <v>44766</v>
      </c>
      <c r="F432" s="49">
        <v>1</v>
      </c>
      <c r="G432" s="49">
        <v>399.75</v>
      </c>
      <c r="H432" t="str">
        <f>IFERROR(VLOOKUP(D432,'SKU Maintenance'!L:O,3,0),"BP not found")</f>
        <v>C-UTX001</v>
      </c>
      <c r="K432"/>
    </row>
    <row r="433" spans="1:11" x14ac:dyDescent="0.25">
      <c r="A433" t="str">
        <f>IFERROR(VLOOKUP(B433&amp; "*",'SKU Maintenance'!D:H,5,0),"not found")</f>
        <v>2010010798200103</v>
      </c>
      <c r="B433">
        <v>40017470</v>
      </c>
      <c r="C433" t="s">
        <v>192</v>
      </c>
      <c r="D433" t="s">
        <v>233</v>
      </c>
      <c r="E433" s="3">
        <v>44768</v>
      </c>
      <c r="F433" s="49">
        <v>1</v>
      </c>
      <c r="G433" s="49">
        <v>399.75</v>
      </c>
      <c r="H433" t="str">
        <f>IFERROR(VLOOKUP(D433,'SKU Maintenance'!L:O,3,0),"BP not found")</f>
        <v>C-UTX002</v>
      </c>
      <c r="K433"/>
    </row>
    <row r="434" spans="1:11" x14ac:dyDescent="0.25">
      <c r="A434" t="str">
        <f>IFERROR(VLOOKUP(B434&amp; "*",'SKU Maintenance'!D:H,5,0),"not found")</f>
        <v>2010010798180068</v>
      </c>
      <c r="B434">
        <v>40017477</v>
      </c>
      <c r="C434" t="s">
        <v>129</v>
      </c>
      <c r="D434" t="s">
        <v>48</v>
      </c>
      <c r="E434" s="3">
        <v>44756</v>
      </c>
      <c r="F434" s="49">
        <v>1</v>
      </c>
      <c r="G434" s="49">
        <v>599.75</v>
      </c>
      <c r="H434" t="str">
        <f>IFERROR(VLOOKUP(D434,'SKU Maintenance'!L:O,3,0),"BP not found")</f>
        <v>C-UTX001</v>
      </c>
      <c r="K434"/>
    </row>
    <row r="435" spans="1:11" x14ac:dyDescent="0.25">
      <c r="A435" t="str">
        <f>IFERROR(VLOOKUP(B435&amp; "*",'SKU Maintenance'!D:H,5,0),"not found")</f>
        <v>2010010798180069</v>
      </c>
      <c r="B435">
        <v>40017478</v>
      </c>
      <c r="C435" t="s">
        <v>130</v>
      </c>
      <c r="D435" t="s">
        <v>48</v>
      </c>
      <c r="E435" s="3">
        <v>44756</v>
      </c>
      <c r="F435" s="49">
        <v>1</v>
      </c>
      <c r="G435" s="49">
        <v>599.75</v>
      </c>
      <c r="H435" t="str">
        <f>IFERROR(VLOOKUP(D435,'SKU Maintenance'!L:O,3,0),"BP not found")</f>
        <v>C-UTX001</v>
      </c>
      <c r="K435"/>
    </row>
    <row r="436" spans="1:11" x14ac:dyDescent="0.25">
      <c r="A436" t="str">
        <f>IFERROR(VLOOKUP(B436&amp; "*",'SKU Maintenance'!D:H,5,0),"not found")</f>
        <v>2010010798180069</v>
      </c>
      <c r="B436">
        <v>40017478</v>
      </c>
      <c r="C436" t="s">
        <v>130</v>
      </c>
      <c r="D436" t="s">
        <v>233</v>
      </c>
      <c r="E436" s="3">
        <v>44746</v>
      </c>
      <c r="F436" s="49">
        <v>1</v>
      </c>
      <c r="G436" s="49">
        <v>599.75</v>
      </c>
      <c r="H436" t="str">
        <f>IFERROR(VLOOKUP(D436,'SKU Maintenance'!L:O,3,0),"BP not found")</f>
        <v>C-UTX002</v>
      </c>
      <c r="K436"/>
    </row>
    <row r="437" spans="1:11" x14ac:dyDescent="0.25">
      <c r="A437" t="str">
        <f>IFERROR(VLOOKUP(B437&amp; "*",'SKU Maintenance'!D:H,5,0),"not found")</f>
        <v>2010010798210084</v>
      </c>
      <c r="B437">
        <v>40017493</v>
      </c>
      <c r="C437" t="s">
        <v>122</v>
      </c>
      <c r="D437" t="s">
        <v>48</v>
      </c>
      <c r="E437" s="3">
        <v>44753</v>
      </c>
      <c r="F437" s="49">
        <v>1</v>
      </c>
      <c r="G437" s="49">
        <v>450</v>
      </c>
      <c r="H437" t="str">
        <f>IFERROR(VLOOKUP(D437,'SKU Maintenance'!L:O,3,0),"BP not found")</f>
        <v>C-UTX001</v>
      </c>
      <c r="K437"/>
    </row>
    <row r="438" spans="1:11" x14ac:dyDescent="0.25">
      <c r="A438" t="str">
        <f>IFERROR(VLOOKUP(B438&amp; "*",'SKU Maintenance'!D:H,5,0),"not found")</f>
        <v>2010010798200059</v>
      </c>
      <c r="B438">
        <v>40017500</v>
      </c>
      <c r="C438" t="s">
        <v>322</v>
      </c>
      <c r="D438" t="s">
        <v>233</v>
      </c>
      <c r="E438" s="3">
        <v>44765</v>
      </c>
      <c r="F438" s="49">
        <v>1</v>
      </c>
      <c r="G438" s="49">
        <v>600</v>
      </c>
      <c r="H438" t="str">
        <f>IFERROR(VLOOKUP(D438,'SKU Maintenance'!L:O,3,0),"BP not found")</f>
        <v>C-UTX002</v>
      </c>
      <c r="K438"/>
    </row>
    <row r="439" spans="1:11" x14ac:dyDescent="0.25">
      <c r="A439" t="str">
        <f>IFERROR(VLOOKUP(B439&amp; "*",'SKU Maintenance'!D:H,5,0),"not found")</f>
        <v>2010010798200060</v>
      </c>
      <c r="B439">
        <v>40017501</v>
      </c>
      <c r="C439" t="s">
        <v>230</v>
      </c>
      <c r="D439" t="s">
        <v>48</v>
      </c>
      <c r="E439" s="3">
        <v>44773</v>
      </c>
      <c r="F439" s="49">
        <v>1</v>
      </c>
      <c r="G439" s="49">
        <v>450</v>
      </c>
      <c r="H439" t="str">
        <f>IFERROR(VLOOKUP(D439,'SKU Maintenance'!L:O,3,0),"BP not found")</f>
        <v>C-UTX001</v>
      </c>
      <c r="K439"/>
    </row>
    <row r="440" spans="1:11" x14ac:dyDescent="0.25">
      <c r="A440" t="str">
        <f>IFERROR(VLOOKUP(B440&amp; "*",'SKU Maintenance'!D:H,5,0),"not found")</f>
        <v>2010010798200061</v>
      </c>
      <c r="B440">
        <v>40017502</v>
      </c>
      <c r="C440" t="s">
        <v>141</v>
      </c>
      <c r="D440" t="s">
        <v>48</v>
      </c>
      <c r="E440" s="3">
        <v>44757</v>
      </c>
      <c r="F440" s="49">
        <v>1</v>
      </c>
      <c r="G440" s="49">
        <v>450</v>
      </c>
      <c r="H440" t="str">
        <f>IFERROR(VLOOKUP(D440,'SKU Maintenance'!L:O,3,0),"BP not found")</f>
        <v>C-UTX001</v>
      </c>
      <c r="K440"/>
    </row>
    <row r="441" spans="1:11" x14ac:dyDescent="0.25">
      <c r="A441" t="str">
        <f>IFERROR(VLOOKUP(B441&amp; "*",'SKU Maintenance'!D:H,5,0),"not found")</f>
        <v>2010010798200062</v>
      </c>
      <c r="B441">
        <v>40017503</v>
      </c>
      <c r="C441" t="s">
        <v>257</v>
      </c>
      <c r="D441" t="s">
        <v>233</v>
      </c>
      <c r="E441" s="3">
        <v>44746</v>
      </c>
      <c r="F441" s="49">
        <v>1</v>
      </c>
      <c r="G441" s="49">
        <v>600</v>
      </c>
      <c r="H441" t="str">
        <f>IFERROR(VLOOKUP(D441,'SKU Maintenance'!L:O,3,0),"BP not found")</f>
        <v>C-UTX002</v>
      </c>
      <c r="K441"/>
    </row>
    <row r="442" spans="1:11" x14ac:dyDescent="0.25">
      <c r="A442" t="str">
        <f>IFERROR(VLOOKUP(B442&amp; "*",'SKU Maintenance'!D:H,5,0),"not found")</f>
        <v>2010010798200063</v>
      </c>
      <c r="B442">
        <v>40017504</v>
      </c>
      <c r="C442" t="s">
        <v>258</v>
      </c>
      <c r="D442" t="s">
        <v>233</v>
      </c>
      <c r="E442" s="3">
        <v>44746</v>
      </c>
      <c r="F442" s="49">
        <v>1</v>
      </c>
      <c r="G442" s="49">
        <v>600</v>
      </c>
      <c r="H442" t="str">
        <f>IFERROR(VLOOKUP(D442,'SKU Maintenance'!L:O,3,0),"BP not found")</f>
        <v>C-UTX002</v>
      </c>
      <c r="K442"/>
    </row>
    <row r="443" spans="1:11" x14ac:dyDescent="0.25">
      <c r="A443" t="str">
        <f>IFERROR(VLOOKUP(B443&amp; "*",'SKU Maintenance'!D:H,5,0),"not found")</f>
        <v>2010010798200064</v>
      </c>
      <c r="B443">
        <v>40017505</v>
      </c>
      <c r="C443" t="s">
        <v>145</v>
      </c>
      <c r="D443" t="s">
        <v>48</v>
      </c>
      <c r="E443" s="3">
        <v>44757</v>
      </c>
      <c r="F443" s="49">
        <v>1</v>
      </c>
      <c r="G443" s="49">
        <v>300</v>
      </c>
      <c r="H443" t="str">
        <f>IFERROR(VLOOKUP(D443,'SKU Maintenance'!L:O,3,0),"BP not found")</f>
        <v>C-UTX001</v>
      </c>
      <c r="K443"/>
    </row>
    <row r="444" spans="1:11" x14ac:dyDescent="0.25">
      <c r="A444" t="str">
        <f>IFERROR(VLOOKUP(B444&amp; "*",'SKU Maintenance'!D:H,5,0),"not found")</f>
        <v>2010010798200065</v>
      </c>
      <c r="B444">
        <v>40017506</v>
      </c>
      <c r="C444" t="s">
        <v>148</v>
      </c>
      <c r="D444" t="s">
        <v>48</v>
      </c>
      <c r="E444" s="3">
        <v>44757</v>
      </c>
      <c r="F444" s="49">
        <v>1</v>
      </c>
      <c r="G444" s="49">
        <v>300</v>
      </c>
      <c r="H444" t="str">
        <f>IFERROR(VLOOKUP(D444,'SKU Maintenance'!L:O,3,0),"BP not found")</f>
        <v>C-UTX001</v>
      </c>
      <c r="K444"/>
    </row>
    <row r="445" spans="1:11" x14ac:dyDescent="0.25">
      <c r="A445" t="str">
        <f>IFERROR(VLOOKUP(B445&amp; "*",'SKU Maintenance'!D:H,5,0),"not found")</f>
        <v>2010010798200066</v>
      </c>
      <c r="B445">
        <v>40017507</v>
      </c>
      <c r="C445" t="s">
        <v>468</v>
      </c>
      <c r="D445" t="s">
        <v>433</v>
      </c>
      <c r="E445" s="3">
        <v>44769</v>
      </c>
      <c r="F445" s="49">
        <v>2</v>
      </c>
      <c r="G445" s="49">
        <v>600</v>
      </c>
      <c r="H445" t="str">
        <f>IFERROR(VLOOKUP(D445,'SKU Maintenance'!L:O,3,0),"BP not found")</f>
        <v>C-UTX004</v>
      </c>
      <c r="K445"/>
    </row>
    <row r="446" spans="1:11" x14ac:dyDescent="0.25">
      <c r="A446" t="str">
        <f>IFERROR(VLOOKUP(B446&amp; "*",'SKU Maintenance'!D:H,5,0),"not found")</f>
        <v>2010010798200067</v>
      </c>
      <c r="B446">
        <v>40017508</v>
      </c>
      <c r="C446" t="s">
        <v>198</v>
      </c>
      <c r="D446" t="s">
        <v>48</v>
      </c>
      <c r="E446" s="3">
        <v>44766</v>
      </c>
      <c r="F446" s="49">
        <v>1</v>
      </c>
      <c r="G446" s="49">
        <v>300</v>
      </c>
      <c r="H446" t="str">
        <f>IFERROR(VLOOKUP(D446,'SKU Maintenance'!L:O,3,0),"BP not found")</f>
        <v>C-UTX001</v>
      </c>
      <c r="K446"/>
    </row>
    <row r="447" spans="1:11" x14ac:dyDescent="0.25">
      <c r="A447" t="str">
        <f>IFERROR(VLOOKUP(B447&amp; "*",'SKU Maintenance'!D:H,5,0),"not found")</f>
        <v>2010010601210002</v>
      </c>
      <c r="B447">
        <v>40017525</v>
      </c>
      <c r="C447" t="s">
        <v>288</v>
      </c>
      <c r="D447" t="s">
        <v>233</v>
      </c>
      <c r="E447" s="3">
        <v>44757</v>
      </c>
      <c r="F447" s="49">
        <v>1</v>
      </c>
      <c r="G447" s="49">
        <v>224.77500000000001</v>
      </c>
      <c r="H447" t="str">
        <f>IFERROR(VLOOKUP(D447,'SKU Maintenance'!L:O,3,0),"BP not found")</f>
        <v>C-UTX002</v>
      </c>
      <c r="K447"/>
    </row>
    <row r="448" spans="1:11" x14ac:dyDescent="0.25">
      <c r="A448" t="str">
        <f>IFERROR(VLOOKUP(B448&amp; "*",'SKU Maintenance'!D:H,5,0),"not found")</f>
        <v>2010010699210002</v>
      </c>
      <c r="B448">
        <v>40017526</v>
      </c>
      <c r="C448" t="s">
        <v>209</v>
      </c>
      <c r="D448" t="s">
        <v>48</v>
      </c>
      <c r="E448" s="3">
        <v>44769</v>
      </c>
      <c r="F448" s="49">
        <v>1</v>
      </c>
      <c r="G448" s="49">
        <v>549.75</v>
      </c>
      <c r="H448" t="str">
        <f>IFERROR(VLOOKUP(D448,'SKU Maintenance'!L:O,3,0),"BP not found")</f>
        <v>C-UTX001</v>
      </c>
      <c r="K448"/>
    </row>
    <row r="449" spans="1:11" x14ac:dyDescent="0.25">
      <c r="A449" t="str">
        <f>IFERROR(VLOOKUP(B449&amp; "*",'SKU Maintenance'!D:H,5,0),"not found")</f>
        <v>2010010699210002</v>
      </c>
      <c r="B449">
        <v>40017526</v>
      </c>
      <c r="C449" t="s">
        <v>209</v>
      </c>
      <c r="D449" t="s">
        <v>48</v>
      </c>
      <c r="E449" s="3">
        <v>44773</v>
      </c>
      <c r="F449" s="49">
        <v>1</v>
      </c>
      <c r="G449" s="49">
        <v>494.77500000000003</v>
      </c>
      <c r="H449" t="str">
        <f>IFERROR(VLOOKUP(D449,'SKU Maintenance'!L:O,3,0),"BP not found")</f>
        <v>C-UTX001</v>
      </c>
      <c r="K449"/>
    </row>
    <row r="450" spans="1:11" x14ac:dyDescent="0.25">
      <c r="A450" t="str">
        <f>IFERROR(VLOOKUP(B450&amp; "*",'SKU Maintenance'!D:H,5,0),"not found")</f>
        <v>2010010604210002</v>
      </c>
      <c r="B450">
        <v>40017527</v>
      </c>
      <c r="C450" t="s">
        <v>278</v>
      </c>
      <c r="D450" t="s">
        <v>233</v>
      </c>
      <c r="E450" s="3">
        <v>44753</v>
      </c>
      <c r="F450" s="49">
        <v>1</v>
      </c>
      <c r="G450" s="49">
        <v>749.75</v>
      </c>
      <c r="H450" t="str">
        <f>IFERROR(VLOOKUP(D450,'SKU Maintenance'!L:O,3,0),"BP not found")</f>
        <v>C-UTX002</v>
      </c>
      <c r="K450"/>
    </row>
    <row r="451" spans="1:11" x14ac:dyDescent="0.25">
      <c r="A451" t="str">
        <f>IFERROR(VLOOKUP(B451&amp; "*",'SKU Maintenance'!D:H,5,0),"not found")</f>
        <v>2010010103220024</v>
      </c>
      <c r="B451">
        <v>40017546</v>
      </c>
      <c r="C451" t="s">
        <v>396</v>
      </c>
      <c r="D451" t="s">
        <v>351</v>
      </c>
      <c r="E451" s="3">
        <v>44754</v>
      </c>
      <c r="F451" s="49">
        <v>1</v>
      </c>
      <c r="G451" s="49">
        <v>150</v>
      </c>
      <c r="H451" t="str">
        <f>IFERROR(VLOOKUP(D451,'SKU Maintenance'!L:O,3,0),"BP not found")</f>
        <v>C-UTX003</v>
      </c>
      <c r="K451"/>
    </row>
    <row r="452" spans="1:11" x14ac:dyDescent="0.25">
      <c r="A452" t="str">
        <f>IFERROR(VLOOKUP(B452&amp; "*",'SKU Maintenance'!D:H,5,0),"not found")</f>
        <v>2010010104220024</v>
      </c>
      <c r="B452">
        <v>40017549</v>
      </c>
      <c r="C452" t="s">
        <v>357</v>
      </c>
      <c r="D452" t="s">
        <v>351</v>
      </c>
      <c r="E452" s="3">
        <v>44745</v>
      </c>
      <c r="F452" s="49">
        <v>1</v>
      </c>
      <c r="G452" s="49">
        <v>225</v>
      </c>
      <c r="H452" t="str">
        <f>IFERROR(VLOOKUP(D452,'SKU Maintenance'!L:O,3,0),"BP not found")</f>
        <v>C-UTX003</v>
      </c>
      <c r="K452"/>
    </row>
    <row r="453" spans="1:11" x14ac:dyDescent="0.25">
      <c r="A453" t="str">
        <f>IFERROR(VLOOKUP(B453&amp; "*",'SKU Maintenance'!D:H,5,0),"not found")</f>
        <v>2010010103200026</v>
      </c>
      <c r="B453">
        <v>40017559</v>
      </c>
      <c r="C453" t="s">
        <v>302</v>
      </c>
      <c r="D453" t="s">
        <v>233</v>
      </c>
      <c r="E453" s="3">
        <v>44759</v>
      </c>
      <c r="F453" s="49">
        <v>1</v>
      </c>
      <c r="G453" s="49">
        <v>150</v>
      </c>
      <c r="H453" t="str">
        <f>IFERROR(VLOOKUP(D453,'SKU Maintenance'!L:O,3,0),"BP not found")</f>
        <v>C-UTX002</v>
      </c>
      <c r="K453"/>
    </row>
    <row r="454" spans="1:11" x14ac:dyDescent="0.25">
      <c r="A454" t="str">
        <f>IFERROR(VLOOKUP(B454&amp; "*",'SKU Maintenance'!D:H,5,0),"not found")</f>
        <v>2010010104220026</v>
      </c>
      <c r="B454">
        <v>40017563</v>
      </c>
      <c r="C454" t="s">
        <v>158</v>
      </c>
      <c r="D454" t="s">
        <v>48</v>
      </c>
      <c r="E454" s="3">
        <v>44758</v>
      </c>
      <c r="F454" s="49">
        <v>1</v>
      </c>
      <c r="G454" s="49">
        <v>225</v>
      </c>
      <c r="H454" t="str">
        <f>IFERROR(VLOOKUP(D454,'SKU Maintenance'!L:O,3,0),"BP not found")</f>
        <v>C-UTX001</v>
      </c>
      <c r="K454"/>
    </row>
    <row r="455" spans="1:11" x14ac:dyDescent="0.25">
      <c r="A455" t="str">
        <f>IFERROR(VLOOKUP(B455&amp; "*",'SKU Maintenance'!D:H,5,0),"not found")</f>
        <v>2010010104170027</v>
      </c>
      <c r="B455">
        <v>40017567</v>
      </c>
      <c r="C455" t="s">
        <v>471</v>
      </c>
      <c r="D455" t="s">
        <v>433</v>
      </c>
      <c r="E455" s="3">
        <v>44771</v>
      </c>
      <c r="F455" s="49">
        <v>1</v>
      </c>
      <c r="G455" s="49">
        <v>225</v>
      </c>
      <c r="H455" t="str">
        <f>IFERROR(VLOOKUP(D455,'SKU Maintenance'!L:O,3,0),"BP not found")</f>
        <v>C-UTX004</v>
      </c>
      <c r="K455"/>
    </row>
    <row r="456" spans="1:11" x14ac:dyDescent="0.25">
      <c r="A456" t="str">
        <f>IFERROR(VLOOKUP(B456&amp; "*",'SKU Maintenance'!D:H,5,0),"not found")</f>
        <v>2010010104160027</v>
      </c>
      <c r="B456">
        <v>40017568</v>
      </c>
      <c r="C456" t="s">
        <v>473</v>
      </c>
      <c r="D456" t="s">
        <v>433</v>
      </c>
      <c r="E456" s="3">
        <v>44771</v>
      </c>
      <c r="F456" s="49">
        <v>1</v>
      </c>
      <c r="G456" s="49">
        <v>225</v>
      </c>
      <c r="H456" t="str">
        <f>IFERROR(VLOOKUP(D456,'SKU Maintenance'!L:O,3,0),"BP not found")</f>
        <v>C-UTX004</v>
      </c>
      <c r="K456"/>
    </row>
    <row r="457" spans="1:11" x14ac:dyDescent="0.25">
      <c r="A457" t="str">
        <f>IFERROR(VLOOKUP(B457&amp; "*",'SKU Maintenance'!D:H,5,0),"not found")</f>
        <v>2010010104220027</v>
      </c>
      <c r="B457">
        <v>40017569</v>
      </c>
      <c r="C457" t="s">
        <v>472</v>
      </c>
      <c r="D457" t="s">
        <v>433</v>
      </c>
      <c r="E457" s="3">
        <v>44771</v>
      </c>
      <c r="F457" s="49">
        <v>1</v>
      </c>
      <c r="G457" s="49">
        <v>225</v>
      </c>
      <c r="H457" t="str">
        <f>IFERROR(VLOOKUP(D457,'SKU Maintenance'!L:O,3,0),"BP not found")</f>
        <v>C-UTX004</v>
      </c>
      <c r="K457"/>
    </row>
    <row r="458" spans="1:11" x14ac:dyDescent="0.25">
      <c r="A458" t="str">
        <f>IFERROR(VLOOKUP(B458&amp; "*",'SKU Maintenance'!D:H,5,0),"not found")</f>
        <v>2010020298180003</v>
      </c>
      <c r="B458">
        <v>40017571</v>
      </c>
      <c r="C458" t="s">
        <v>264</v>
      </c>
      <c r="D458" t="s">
        <v>233</v>
      </c>
      <c r="E458" s="3">
        <v>44748</v>
      </c>
      <c r="F458" s="49">
        <v>1</v>
      </c>
      <c r="G458" s="49">
        <v>299.75</v>
      </c>
      <c r="H458" t="str">
        <f>IFERROR(VLOOKUP(D458,'SKU Maintenance'!L:O,3,0),"BP not found")</f>
        <v>C-UTX002</v>
      </c>
      <c r="K458"/>
    </row>
    <row r="459" spans="1:11" x14ac:dyDescent="0.25">
      <c r="A459" t="str">
        <f>IFERROR(VLOOKUP(B459&amp; "*",'SKU Maintenance'!D:H,5,0),"not found")</f>
        <v>2010020298180003</v>
      </c>
      <c r="B459">
        <v>40017571</v>
      </c>
      <c r="C459" t="s">
        <v>264</v>
      </c>
      <c r="D459" t="s">
        <v>233</v>
      </c>
      <c r="E459" s="3">
        <v>44754</v>
      </c>
      <c r="F459" s="49">
        <v>1</v>
      </c>
      <c r="G459" s="49">
        <v>299.75</v>
      </c>
      <c r="H459" t="str">
        <f>IFERROR(VLOOKUP(D459,'SKU Maintenance'!L:O,3,0),"BP not found")</f>
        <v>C-UTX002</v>
      </c>
      <c r="K459"/>
    </row>
    <row r="460" spans="1:11" x14ac:dyDescent="0.25">
      <c r="A460" t="str">
        <f>IFERROR(VLOOKUP(B460&amp; "*",'SKU Maintenance'!D:H,5,0),"not found")</f>
        <v>2010020298180003</v>
      </c>
      <c r="B460">
        <v>40017571</v>
      </c>
      <c r="C460" t="s">
        <v>264</v>
      </c>
      <c r="D460" t="s">
        <v>233</v>
      </c>
      <c r="E460" s="3">
        <v>44757</v>
      </c>
      <c r="F460" s="49">
        <v>1</v>
      </c>
      <c r="G460" s="49">
        <v>299.75</v>
      </c>
      <c r="H460" t="str">
        <f>IFERROR(VLOOKUP(D460,'SKU Maintenance'!L:O,3,0),"BP not found")</f>
        <v>C-UTX002</v>
      </c>
      <c r="K460"/>
    </row>
    <row r="461" spans="1:11" x14ac:dyDescent="0.25">
      <c r="A461" t="str">
        <f>IFERROR(VLOOKUP(B461&amp; "*",'SKU Maintenance'!D:H,5,0),"not found")</f>
        <v>2010020298180003</v>
      </c>
      <c r="B461">
        <v>40017571</v>
      </c>
      <c r="C461" t="s">
        <v>264</v>
      </c>
      <c r="D461" t="s">
        <v>233</v>
      </c>
      <c r="E461" s="3">
        <v>44770</v>
      </c>
      <c r="F461" s="49">
        <v>1</v>
      </c>
      <c r="G461" s="49">
        <v>299.75</v>
      </c>
      <c r="H461" t="str">
        <f>IFERROR(VLOOKUP(D461,'SKU Maintenance'!L:O,3,0),"BP not found")</f>
        <v>C-UTX002</v>
      </c>
      <c r="K461"/>
    </row>
    <row r="462" spans="1:11" x14ac:dyDescent="0.25">
      <c r="A462" t="str">
        <f>IFERROR(VLOOKUP(B462&amp; "*",'SKU Maintenance'!D:H,5,0),"not found")</f>
        <v>2010020298180003</v>
      </c>
      <c r="B462">
        <v>40017571</v>
      </c>
      <c r="C462" t="s">
        <v>264</v>
      </c>
      <c r="D462" t="s">
        <v>433</v>
      </c>
      <c r="E462" s="3">
        <v>44750</v>
      </c>
      <c r="F462" s="49">
        <v>1</v>
      </c>
      <c r="G462" s="49">
        <v>299.75</v>
      </c>
      <c r="H462" t="str">
        <f>IFERROR(VLOOKUP(D462,'SKU Maintenance'!L:O,3,0),"BP not found")</f>
        <v>C-UTX004</v>
      </c>
      <c r="K462"/>
    </row>
    <row r="463" spans="1:11" x14ac:dyDescent="0.25">
      <c r="A463" t="str">
        <f>IFERROR(VLOOKUP(B463&amp; "*",'SKU Maintenance'!D:H,5,0),"not found")</f>
        <v>2010020298180004</v>
      </c>
      <c r="B463">
        <v>40017574</v>
      </c>
      <c r="C463" t="s">
        <v>121</v>
      </c>
      <c r="D463" t="s">
        <v>48</v>
      </c>
      <c r="E463" s="3">
        <v>44753</v>
      </c>
      <c r="F463" s="49">
        <v>1</v>
      </c>
      <c r="G463" s="49">
        <v>399.75</v>
      </c>
      <c r="H463" t="str">
        <f>IFERROR(VLOOKUP(D463,'SKU Maintenance'!L:O,3,0),"BP not found")</f>
        <v>C-UTX001</v>
      </c>
      <c r="K463"/>
    </row>
    <row r="464" spans="1:11" x14ac:dyDescent="0.25">
      <c r="A464" t="str">
        <f>IFERROR(VLOOKUP(B464&amp; "*",'SKU Maintenance'!D:H,5,0),"not found")</f>
        <v>2010041003160214</v>
      </c>
      <c r="B464">
        <v>40017577</v>
      </c>
      <c r="C464" t="s">
        <v>404</v>
      </c>
      <c r="D464" t="s">
        <v>351</v>
      </c>
      <c r="E464" s="3">
        <v>44757</v>
      </c>
      <c r="F464" s="49">
        <v>1</v>
      </c>
      <c r="G464" s="49">
        <v>399.75</v>
      </c>
      <c r="H464" t="str">
        <f>IFERROR(VLOOKUP(D464,'SKU Maintenance'!L:O,3,0),"BP not found")</f>
        <v>C-UTX003</v>
      </c>
      <c r="K464"/>
    </row>
    <row r="465" spans="1:11" x14ac:dyDescent="0.25">
      <c r="A465" t="str">
        <f>IFERROR(VLOOKUP(B465&amp; "*",'SKU Maintenance'!D:H,5,0),"not found")</f>
        <v>2010061198200001</v>
      </c>
      <c r="B465">
        <v>40017580</v>
      </c>
      <c r="C465" t="s">
        <v>445</v>
      </c>
      <c r="D465" t="s">
        <v>433</v>
      </c>
      <c r="E465" s="3">
        <v>44757</v>
      </c>
      <c r="F465" s="49">
        <v>1</v>
      </c>
      <c r="G465" s="49">
        <v>1499.75</v>
      </c>
      <c r="H465" t="str">
        <f>IFERROR(VLOOKUP(D465,'SKU Maintenance'!L:O,3,0),"BP not found")</f>
        <v>C-UTX004</v>
      </c>
      <c r="K465"/>
    </row>
    <row r="466" spans="1:11" x14ac:dyDescent="0.25">
      <c r="A466" t="str">
        <f>IFERROR(VLOOKUP(B466&amp; "*",'SKU Maintenance'!D:H,5,0),"not found")</f>
        <v>2010061198200001</v>
      </c>
      <c r="B466">
        <v>40017580</v>
      </c>
      <c r="C466" t="s">
        <v>445</v>
      </c>
      <c r="D466" t="s">
        <v>433</v>
      </c>
      <c r="E466" s="3">
        <v>44762</v>
      </c>
      <c r="F466" s="49">
        <v>2</v>
      </c>
      <c r="G466" s="49">
        <v>2999.5</v>
      </c>
      <c r="H466" t="str">
        <f>IFERROR(VLOOKUP(D466,'SKU Maintenance'!L:O,3,0),"BP not found")</f>
        <v>C-UTX004</v>
      </c>
      <c r="K466"/>
    </row>
    <row r="467" spans="1:11" x14ac:dyDescent="0.25">
      <c r="A467" t="str">
        <f>IFERROR(VLOOKUP(B467&amp; "*",'SKU Maintenance'!D:H,5,0),"not found")</f>
        <v>2010061198200001</v>
      </c>
      <c r="B467">
        <v>40017580</v>
      </c>
      <c r="C467" t="s">
        <v>445</v>
      </c>
      <c r="D467" t="s">
        <v>433</v>
      </c>
      <c r="E467" s="3">
        <v>44763</v>
      </c>
      <c r="F467" s="49">
        <v>1</v>
      </c>
      <c r="G467" s="49">
        <v>1349.78</v>
      </c>
      <c r="H467" t="str">
        <f>IFERROR(VLOOKUP(D467,'SKU Maintenance'!L:O,3,0),"BP not found")</f>
        <v>C-UTX004</v>
      </c>
      <c r="K467"/>
    </row>
    <row r="468" spans="1:11" x14ac:dyDescent="0.25">
      <c r="A468" t="str">
        <f>IFERROR(VLOOKUP(B468&amp; "*",'SKU Maintenance'!D:H,5,0),"not found")</f>
        <v>2010061198200001</v>
      </c>
      <c r="B468">
        <v>40017580</v>
      </c>
      <c r="C468" t="s">
        <v>445</v>
      </c>
      <c r="D468" t="s">
        <v>433</v>
      </c>
      <c r="E468" s="3">
        <v>44768</v>
      </c>
      <c r="F468" s="49">
        <v>1</v>
      </c>
      <c r="G468" s="49">
        <v>1499.75</v>
      </c>
      <c r="H468" t="str">
        <f>IFERROR(VLOOKUP(D468,'SKU Maintenance'!L:O,3,0),"BP not found")</f>
        <v>C-UTX004</v>
      </c>
      <c r="K468"/>
    </row>
    <row r="469" spans="1:11" x14ac:dyDescent="0.25">
      <c r="A469" t="str">
        <f>IFERROR(VLOOKUP(B469&amp; "*",'SKU Maintenance'!D:H,5,0),"X9998")</f>
        <v>X9998</v>
      </c>
      <c r="B469">
        <v>40017585</v>
      </c>
      <c r="C469" t="s">
        <v>155</v>
      </c>
      <c r="D469" t="s">
        <v>48</v>
      </c>
      <c r="E469" s="3">
        <v>44758</v>
      </c>
      <c r="F469" s="49">
        <v>1</v>
      </c>
      <c r="G469" s="49">
        <v>449.77500000000003</v>
      </c>
      <c r="H469" t="str">
        <f>IFERROR(VLOOKUP(D469,'SKU Maintenance'!L:O,3,0),"BP not found")</f>
        <v>C-UTX001</v>
      </c>
      <c r="K469"/>
    </row>
    <row r="470" spans="1:11" x14ac:dyDescent="0.25">
      <c r="A470" t="str">
        <f>IFERROR(VLOOKUP(B470&amp; "*",'SKU Maintenance'!D:H,5,0),"X9998")</f>
        <v>X9998</v>
      </c>
      <c r="B470">
        <v>40017588</v>
      </c>
      <c r="C470" t="s">
        <v>457</v>
      </c>
      <c r="D470" t="s">
        <v>433</v>
      </c>
      <c r="E470" s="3">
        <v>44759</v>
      </c>
      <c r="F470" s="49">
        <v>1</v>
      </c>
      <c r="G470" s="49">
        <v>206.77500000000001</v>
      </c>
      <c r="H470" t="str">
        <f>IFERROR(VLOOKUP(D470,'SKU Maintenance'!L:O,3,0),"BP not found")</f>
        <v>C-UTX004</v>
      </c>
    </row>
    <row r="471" spans="1:11" x14ac:dyDescent="0.25">
      <c r="A471" t="str">
        <f>IFERROR(VLOOKUP(B471&amp; "*",'SKU Maintenance'!D:H,5,0),"X9998")</f>
        <v>X9998</v>
      </c>
      <c r="B471">
        <v>40017593</v>
      </c>
      <c r="C471" t="s">
        <v>176</v>
      </c>
      <c r="D471" t="s">
        <v>48</v>
      </c>
      <c r="E471" s="3">
        <v>44763</v>
      </c>
      <c r="F471" s="49">
        <v>1</v>
      </c>
      <c r="G471" s="49">
        <v>229.75</v>
      </c>
      <c r="H471" t="str">
        <f>IFERROR(VLOOKUP(D471,'SKU Maintenance'!L:O,3,0),"BP not found")</f>
        <v>C-UTX001</v>
      </c>
    </row>
    <row r="472" spans="1:11" x14ac:dyDescent="0.25">
      <c r="A472" t="str">
        <f>IFERROR(VLOOKUP(B472&amp; "*",'SKU Maintenance'!D:H,5,0),"X9998")</f>
        <v>X9998</v>
      </c>
      <c r="B472">
        <v>40017594</v>
      </c>
      <c r="C472" t="s">
        <v>102</v>
      </c>
      <c r="D472" t="s">
        <v>48</v>
      </c>
      <c r="E472" s="3">
        <v>44751</v>
      </c>
      <c r="F472" s="49">
        <v>1</v>
      </c>
      <c r="G472" s="49">
        <v>229.75</v>
      </c>
      <c r="H472" t="str">
        <f>IFERROR(VLOOKUP(D472,'SKU Maintenance'!L:O,3,0),"BP not found")</f>
        <v>C-UTX001</v>
      </c>
    </row>
    <row r="473" spans="1:11" x14ac:dyDescent="0.25">
      <c r="A473" t="str">
        <f>IFERROR(VLOOKUP(B473&amp; "*",'SKU Maintenance'!D:H,5,0),"X9998")</f>
        <v>X9998</v>
      </c>
      <c r="B473">
        <v>40017597</v>
      </c>
      <c r="C473" t="s">
        <v>280</v>
      </c>
      <c r="D473" t="s">
        <v>233</v>
      </c>
      <c r="E473" s="3">
        <v>44755</v>
      </c>
      <c r="F473" s="49">
        <v>1</v>
      </c>
      <c r="G473" s="49">
        <v>199.75</v>
      </c>
      <c r="H473" t="str">
        <f>IFERROR(VLOOKUP(D473,'SKU Maintenance'!L:O,3,0),"BP not found")</f>
        <v>C-UTX002</v>
      </c>
    </row>
    <row r="474" spans="1:11" x14ac:dyDescent="0.25">
      <c r="A474" t="str">
        <f>IFERROR(VLOOKUP(B474&amp; "*",'SKU Maintenance'!D:H,5,0),"X9998")</f>
        <v>X9998</v>
      </c>
      <c r="B474">
        <v>40017597</v>
      </c>
      <c r="C474" t="s">
        <v>280</v>
      </c>
      <c r="D474" t="s">
        <v>233</v>
      </c>
      <c r="E474" s="3">
        <v>44768</v>
      </c>
      <c r="F474" s="49">
        <v>1</v>
      </c>
      <c r="G474" s="49">
        <v>199.75</v>
      </c>
      <c r="H474" t="str">
        <f>IFERROR(VLOOKUP(D474,'SKU Maintenance'!L:O,3,0),"BP not found")</f>
        <v>C-UTX002</v>
      </c>
    </row>
    <row r="475" spans="1:11" x14ac:dyDescent="0.25">
      <c r="A475" t="str">
        <f>IFERROR(VLOOKUP(B475&amp; "*",'SKU Maintenance'!D:H,5,0),"X9998")</f>
        <v>X9998</v>
      </c>
      <c r="B475">
        <v>40017598</v>
      </c>
      <c r="C475" t="s">
        <v>280</v>
      </c>
      <c r="D475" t="s">
        <v>233</v>
      </c>
      <c r="E475" s="3">
        <v>44768</v>
      </c>
      <c r="F475" s="49">
        <v>1</v>
      </c>
      <c r="G475" s="49">
        <v>199.75</v>
      </c>
      <c r="H475" t="str">
        <f>IFERROR(VLOOKUP(D475,'SKU Maintenance'!L:O,3,0),"BP not found")</f>
        <v>C-UTX002</v>
      </c>
    </row>
    <row r="476" spans="1:11" x14ac:dyDescent="0.25">
      <c r="A476" t="str">
        <f>IFERROR(VLOOKUP(B476&amp; "*",'SKU Maintenance'!D:H,5,0),"X9998")</f>
        <v>X9998</v>
      </c>
      <c r="B476">
        <v>40017599</v>
      </c>
      <c r="C476" t="s">
        <v>210</v>
      </c>
      <c r="D476" t="s">
        <v>48</v>
      </c>
      <c r="E476" s="3">
        <v>44769</v>
      </c>
      <c r="F476" s="49">
        <v>1</v>
      </c>
      <c r="G476" s="49">
        <v>349.75</v>
      </c>
      <c r="H476" t="str">
        <f>IFERROR(VLOOKUP(D476,'SKU Maintenance'!L:O,3,0),"BP not found")</f>
        <v>C-UTX001</v>
      </c>
    </row>
    <row r="477" spans="1:11" x14ac:dyDescent="0.25">
      <c r="A477" t="str">
        <f>IFERROR(VLOOKUP(B477&amp; "*",'SKU Maintenance'!D:H,5,0),"not found")</f>
        <v>2010010502180002</v>
      </c>
      <c r="B477">
        <v>40017603</v>
      </c>
      <c r="C477" t="s">
        <v>334</v>
      </c>
      <c r="D477" t="s">
        <v>233</v>
      </c>
      <c r="E477" s="3">
        <v>44768</v>
      </c>
      <c r="F477" s="49">
        <v>1</v>
      </c>
      <c r="G477" s="49">
        <v>599.75</v>
      </c>
      <c r="H477" t="str">
        <f>IFERROR(VLOOKUP(D477,'SKU Maintenance'!L:O,3,0),"BP not found")</f>
        <v>C-UTX002</v>
      </c>
    </row>
    <row r="478" spans="1:11" x14ac:dyDescent="0.25">
      <c r="A478" t="str">
        <f>IFERROR(VLOOKUP(B478&amp; "*",'SKU Maintenance'!D:H,5,0),"not found")</f>
        <v>2010040598163161</v>
      </c>
      <c r="B478">
        <v>40017613</v>
      </c>
      <c r="C478" t="s">
        <v>416</v>
      </c>
      <c r="D478" t="s">
        <v>351</v>
      </c>
      <c r="E478" s="3">
        <v>44765</v>
      </c>
      <c r="F478" s="49">
        <v>1</v>
      </c>
      <c r="G478" s="49">
        <v>89.75</v>
      </c>
      <c r="H478" t="str">
        <f>IFERROR(VLOOKUP(D478,'SKU Maintenance'!L:O,3,0),"BP not found")</f>
        <v>C-UTX003</v>
      </c>
    </row>
    <row r="479" spans="1:11" x14ac:dyDescent="0.25">
      <c r="A479" t="str">
        <f>IFERROR(VLOOKUP(B479&amp; "*",'SKU Maintenance'!D:H,5,0),"not found")</f>
        <v>2010040598163161</v>
      </c>
      <c r="B479">
        <v>40017613</v>
      </c>
      <c r="C479" t="s">
        <v>416</v>
      </c>
      <c r="D479" t="s">
        <v>433</v>
      </c>
      <c r="E479" s="3">
        <v>44766</v>
      </c>
      <c r="F479" s="49">
        <v>1</v>
      </c>
      <c r="G479" s="49">
        <v>89.75</v>
      </c>
      <c r="H479" t="str">
        <f>IFERROR(VLOOKUP(D479,'SKU Maintenance'!L:O,3,0),"BP not found")</f>
        <v>C-UTX004</v>
      </c>
    </row>
    <row r="480" spans="1:11" x14ac:dyDescent="0.25">
      <c r="A480" t="str">
        <f>IFERROR(VLOOKUP(B480&amp; "*",'SKU Maintenance'!D:H,5,0),"not found")</f>
        <v>2010040598043177</v>
      </c>
      <c r="B480">
        <v>40017618</v>
      </c>
      <c r="C480" t="s">
        <v>375</v>
      </c>
      <c r="D480" t="s">
        <v>351</v>
      </c>
      <c r="E480" s="3">
        <v>44751</v>
      </c>
      <c r="F480" s="49">
        <v>1</v>
      </c>
      <c r="G480" s="49">
        <v>129.75</v>
      </c>
      <c r="H480" t="str">
        <f>IFERROR(VLOOKUP(D480,'SKU Maintenance'!L:O,3,0),"BP not found")</f>
        <v>C-UTX003</v>
      </c>
    </row>
    <row r="481" spans="1:8" x14ac:dyDescent="0.25">
      <c r="A481" t="str">
        <f>IFERROR(VLOOKUP(B481&amp; "*",'SKU Maintenance'!D:H,5,0),"not found")</f>
        <v>2010040598243178</v>
      </c>
      <c r="B481">
        <v>40017621</v>
      </c>
      <c r="C481" t="s">
        <v>374</v>
      </c>
      <c r="D481" t="s">
        <v>351</v>
      </c>
      <c r="E481" s="3">
        <v>44767</v>
      </c>
      <c r="F481" s="49">
        <v>1</v>
      </c>
      <c r="G481" s="49">
        <v>150</v>
      </c>
      <c r="H481" t="str">
        <f>IFERROR(VLOOKUP(D481,'SKU Maintenance'!L:O,3,0),"BP not found")</f>
        <v>C-UTX003</v>
      </c>
    </row>
    <row r="482" spans="1:8" x14ac:dyDescent="0.25">
      <c r="A482" t="str">
        <f>IFERROR(VLOOKUP(B482&amp; "*",'SKU Maintenance'!D:H,5,0),"not found")</f>
        <v>2010040598233178</v>
      </c>
      <c r="B482">
        <v>40017622</v>
      </c>
      <c r="C482" t="s">
        <v>374</v>
      </c>
      <c r="D482" t="s">
        <v>351</v>
      </c>
      <c r="E482" s="3">
        <v>44751</v>
      </c>
      <c r="F482" s="49">
        <v>1</v>
      </c>
      <c r="G482" s="49">
        <v>150</v>
      </c>
      <c r="H482" t="str">
        <f>IFERROR(VLOOKUP(D482,'SKU Maintenance'!L:O,3,0),"BP not found")</f>
        <v>C-UTX003</v>
      </c>
    </row>
    <row r="483" spans="1:8" x14ac:dyDescent="0.25">
      <c r="A483" t="str">
        <f>IFERROR(VLOOKUP(B483&amp; "*",'SKU Maintenance'!D:H,5,0),"not found")</f>
        <v>2010040598243179</v>
      </c>
      <c r="B483">
        <v>40017623</v>
      </c>
      <c r="C483" t="s">
        <v>90</v>
      </c>
      <c r="D483" t="s">
        <v>433</v>
      </c>
      <c r="E483" s="3">
        <v>44758</v>
      </c>
      <c r="F483" s="49">
        <v>1</v>
      </c>
      <c r="G483" s="49">
        <v>150</v>
      </c>
      <c r="H483" t="str">
        <f>IFERROR(VLOOKUP(D483,'SKU Maintenance'!L:O,3,0),"BP not found")</f>
        <v>C-UTX004</v>
      </c>
    </row>
    <row r="484" spans="1:8" x14ac:dyDescent="0.25">
      <c r="A484" t="str">
        <f>IFERROR(VLOOKUP(B484&amp; "*",'SKU Maintenance'!D:H,5,0),"not found")</f>
        <v>2010040598233179</v>
      </c>
      <c r="B484">
        <v>40017624</v>
      </c>
      <c r="C484" t="s">
        <v>90</v>
      </c>
      <c r="D484" t="s">
        <v>48</v>
      </c>
      <c r="E484" s="3">
        <v>44747</v>
      </c>
      <c r="F484" s="49">
        <v>1</v>
      </c>
      <c r="G484" s="49">
        <v>150</v>
      </c>
      <c r="H484" t="str">
        <f>IFERROR(VLOOKUP(D484,'SKU Maintenance'!L:O,3,0),"BP not found")</f>
        <v>C-UTX001</v>
      </c>
    </row>
    <row r="485" spans="1:8" x14ac:dyDescent="0.25">
      <c r="A485" t="str">
        <f>IFERROR(VLOOKUP(B485&amp; "*",'SKU Maintenance'!D:H,5,0),"not found")</f>
        <v>2010060106102106</v>
      </c>
      <c r="B485">
        <v>40017625</v>
      </c>
      <c r="C485" t="s">
        <v>376</v>
      </c>
      <c r="D485" t="s">
        <v>351</v>
      </c>
      <c r="E485" s="3">
        <v>44752</v>
      </c>
      <c r="F485" s="49">
        <v>1</v>
      </c>
      <c r="G485" s="49">
        <v>99.75</v>
      </c>
      <c r="H485" t="str">
        <f>IFERROR(VLOOKUP(D485,'SKU Maintenance'!L:O,3,0),"BP not found")</f>
        <v>C-UTX003</v>
      </c>
    </row>
    <row r="486" spans="1:8" x14ac:dyDescent="0.25">
      <c r="A486" t="str">
        <f>IFERROR(VLOOKUP(B486&amp; "*",'SKU Maintenance'!D:H,5,0),"not found")</f>
        <v>2010050198040001</v>
      </c>
      <c r="B486">
        <v>40017634</v>
      </c>
      <c r="C486" t="s">
        <v>100</v>
      </c>
      <c r="D486" t="s">
        <v>48</v>
      </c>
      <c r="E486" s="3">
        <v>44750</v>
      </c>
      <c r="F486" s="49">
        <v>1</v>
      </c>
      <c r="G486" s="49">
        <v>299.75</v>
      </c>
      <c r="H486" t="str">
        <f>IFERROR(VLOOKUP(D486,'SKU Maintenance'!L:O,3,0),"BP not found")</f>
        <v>C-UTX001</v>
      </c>
    </row>
    <row r="487" spans="1:8" x14ac:dyDescent="0.25">
      <c r="A487" t="str">
        <f>IFERROR(VLOOKUP(B487&amp; "*",'SKU Maintenance'!D:H,5,0),"not found")</f>
        <v>2010050198040001</v>
      </c>
      <c r="B487">
        <v>40017634</v>
      </c>
      <c r="C487" t="s">
        <v>100</v>
      </c>
      <c r="D487" t="s">
        <v>48</v>
      </c>
      <c r="E487" s="3">
        <v>44766</v>
      </c>
      <c r="F487" s="49">
        <v>1</v>
      </c>
      <c r="G487" s="49">
        <v>299.75</v>
      </c>
      <c r="H487" t="str">
        <f>IFERROR(VLOOKUP(D487,'SKU Maintenance'!L:O,3,0),"BP not found")</f>
        <v>C-UTX001</v>
      </c>
    </row>
    <row r="488" spans="1:8" x14ac:dyDescent="0.25">
      <c r="A488" t="str">
        <f>IFERROR(VLOOKUP(B488&amp; "*",'SKU Maintenance'!D:H,5,0),"not found")</f>
        <v>2010050198040001</v>
      </c>
      <c r="B488">
        <v>40017634</v>
      </c>
      <c r="C488" t="s">
        <v>100</v>
      </c>
      <c r="D488" t="s">
        <v>48</v>
      </c>
      <c r="E488" s="3">
        <v>44770</v>
      </c>
      <c r="F488" s="49">
        <v>1</v>
      </c>
      <c r="G488" s="49">
        <v>299.75</v>
      </c>
      <c r="H488" t="str">
        <f>IFERROR(VLOOKUP(D488,'SKU Maintenance'!L:O,3,0),"BP not found")</f>
        <v>C-UTX001</v>
      </c>
    </row>
    <row r="489" spans="1:8" x14ac:dyDescent="0.25">
      <c r="A489" t="str">
        <f>IFERROR(VLOOKUP(B489&amp; "*",'SKU Maintenance'!D:H,5,0),"not found")</f>
        <v>2010050198040001</v>
      </c>
      <c r="B489">
        <v>40017634</v>
      </c>
      <c r="C489" t="s">
        <v>100</v>
      </c>
      <c r="D489" t="s">
        <v>351</v>
      </c>
      <c r="E489" s="3">
        <v>44753</v>
      </c>
      <c r="F489" s="49">
        <v>1</v>
      </c>
      <c r="G489" s="49">
        <v>299.75</v>
      </c>
      <c r="H489" t="str">
        <f>IFERROR(VLOOKUP(D489,'SKU Maintenance'!L:O,3,0),"BP not found")</f>
        <v>C-UTX003</v>
      </c>
    </row>
    <row r="490" spans="1:8" x14ac:dyDescent="0.25">
      <c r="A490" t="str">
        <f>IFERROR(VLOOKUP(B490&amp; "*",'SKU Maintenance'!D:H,5,0),"not found")</f>
        <v>2010050198040001</v>
      </c>
      <c r="B490">
        <v>40017634</v>
      </c>
      <c r="C490" t="s">
        <v>100</v>
      </c>
      <c r="D490" t="s">
        <v>351</v>
      </c>
      <c r="E490" s="3">
        <v>44754</v>
      </c>
      <c r="F490" s="49">
        <v>1</v>
      </c>
      <c r="G490" s="49">
        <v>299.75</v>
      </c>
      <c r="H490" t="str">
        <f>IFERROR(VLOOKUP(D490,'SKU Maintenance'!L:O,3,0),"BP not found")</f>
        <v>C-UTX003</v>
      </c>
    </row>
    <row r="491" spans="1:8" x14ac:dyDescent="0.25">
      <c r="A491" t="str">
        <f>IFERROR(VLOOKUP(B491&amp; "*",'SKU Maintenance'!D:H,5,0),"not found")</f>
        <v>2010050198020001</v>
      </c>
      <c r="B491">
        <v>40017635</v>
      </c>
      <c r="C491" t="s">
        <v>99</v>
      </c>
      <c r="D491" t="s">
        <v>48</v>
      </c>
      <c r="E491" s="3">
        <v>44750</v>
      </c>
      <c r="F491" s="49">
        <v>1</v>
      </c>
      <c r="G491" s="49">
        <v>299.75</v>
      </c>
      <c r="H491" t="str">
        <f>IFERROR(VLOOKUP(D491,'SKU Maintenance'!L:O,3,0),"BP not found")</f>
        <v>C-UTX001</v>
      </c>
    </row>
    <row r="492" spans="1:8" x14ac:dyDescent="0.25">
      <c r="A492" t="str">
        <f>IFERROR(VLOOKUP(B492&amp; "*",'SKU Maintenance'!D:H,5,0),"not found")</f>
        <v>2010050198020001</v>
      </c>
      <c r="B492">
        <v>40017635</v>
      </c>
      <c r="C492" t="s">
        <v>99</v>
      </c>
      <c r="D492" t="s">
        <v>351</v>
      </c>
      <c r="E492" s="3">
        <v>44771</v>
      </c>
      <c r="F492" s="49">
        <v>1</v>
      </c>
      <c r="G492" s="49">
        <v>299.75</v>
      </c>
      <c r="H492" t="str">
        <f>IFERROR(VLOOKUP(D492,'SKU Maintenance'!L:O,3,0),"BP not found")</f>
        <v>C-UTX003</v>
      </c>
    </row>
    <row r="493" spans="1:8" x14ac:dyDescent="0.25">
      <c r="A493" t="str">
        <f>IFERROR(VLOOKUP(B493&amp; "*",'SKU Maintenance'!D:H,5,0),"not found")</f>
        <v>2010050198130001</v>
      </c>
      <c r="B493">
        <v>40017636</v>
      </c>
      <c r="C493" t="s">
        <v>117</v>
      </c>
      <c r="D493" t="s">
        <v>48</v>
      </c>
      <c r="E493" s="3">
        <v>44753</v>
      </c>
      <c r="F493" s="49">
        <v>1</v>
      </c>
      <c r="G493" s="49">
        <v>299.75</v>
      </c>
      <c r="H493" t="str">
        <f>IFERROR(VLOOKUP(D493,'SKU Maintenance'!L:O,3,0),"BP not found")</f>
        <v>C-UTX001</v>
      </c>
    </row>
    <row r="494" spans="1:8" x14ac:dyDescent="0.25">
      <c r="A494" t="str">
        <f>IFERROR(VLOOKUP(B494&amp; "*",'SKU Maintenance'!D:H,5,0),"not found")</f>
        <v>2010050198130001</v>
      </c>
      <c r="B494">
        <v>40017636</v>
      </c>
      <c r="C494" t="s">
        <v>117</v>
      </c>
      <c r="D494" t="s">
        <v>48</v>
      </c>
      <c r="E494" s="3">
        <v>44761</v>
      </c>
      <c r="F494" s="49">
        <v>1</v>
      </c>
      <c r="G494" s="49">
        <v>299.75</v>
      </c>
      <c r="H494" t="str">
        <f>IFERROR(VLOOKUP(D494,'SKU Maintenance'!L:O,3,0),"BP not found")</f>
        <v>C-UTX001</v>
      </c>
    </row>
    <row r="495" spans="1:8" x14ac:dyDescent="0.25">
      <c r="A495" t="str">
        <f>IFERROR(VLOOKUP(B495&amp; "*",'SKU Maintenance'!D:H,5,0),"not found")</f>
        <v>2010050198100001</v>
      </c>
      <c r="B495">
        <v>40017637</v>
      </c>
      <c r="C495" t="s">
        <v>428</v>
      </c>
      <c r="D495" t="s">
        <v>351</v>
      </c>
      <c r="E495" s="3">
        <v>44771</v>
      </c>
      <c r="F495" s="49">
        <v>1</v>
      </c>
      <c r="G495" s="49">
        <v>299.75</v>
      </c>
      <c r="H495" t="str">
        <f>IFERROR(VLOOKUP(D495,'SKU Maintenance'!L:O,3,0),"BP not found")</f>
        <v>C-UTX003</v>
      </c>
    </row>
    <row r="496" spans="1:8" x14ac:dyDescent="0.25">
      <c r="A496" t="str">
        <f>IFERROR(VLOOKUP(B496&amp; "*",'SKU Maintenance'!D:H,5,0),"not found")</f>
        <v>2010050198160001</v>
      </c>
      <c r="B496">
        <v>40017638</v>
      </c>
      <c r="C496" t="s">
        <v>166</v>
      </c>
      <c r="D496" t="s">
        <v>48</v>
      </c>
      <c r="E496" s="3">
        <v>44759</v>
      </c>
      <c r="F496" s="49">
        <v>1</v>
      </c>
      <c r="G496" s="49">
        <v>249.75</v>
      </c>
      <c r="H496" t="str">
        <f>IFERROR(VLOOKUP(D496,'SKU Maintenance'!L:O,3,0),"BP not found")</f>
        <v>C-UTX001</v>
      </c>
    </row>
    <row r="497" spans="1:8" x14ac:dyDescent="0.25">
      <c r="A497" t="str">
        <f>IFERROR(VLOOKUP(B497&amp; "*",'SKU Maintenance'!D:H,5,0),"not found")</f>
        <v>2010050198160001</v>
      </c>
      <c r="B497">
        <v>40017638</v>
      </c>
      <c r="C497" t="s">
        <v>166</v>
      </c>
      <c r="D497" t="s">
        <v>48</v>
      </c>
      <c r="E497" s="3">
        <v>44768</v>
      </c>
      <c r="F497" s="49">
        <v>2</v>
      </c>
      <c r="G497" s="49">
        <v>499.5</v>
      </c>
      <c r="H497" t="str">
        <f>IFERROR(VLOOKUP(D497,'SKU Maintenance'!L:O,3,0),"BP not found")</f>
        <v>C-UTX001</v>
      </c>
    </row>
    <row r="498" spans="1:8" x14ac:dyDescent="0.25">
      <c r="A498" t="str">
        <f>IFERROR(VLOOKUP(B498&amp; "*",'SKU Maintenance'!D:H,5,0),"not found")</f>
        <v>2010050198160001</v>
      </c>
      <c r="B498">
        <v>40017638</v>
      </c>
      <c r="C498" t="s">
        <v>166</v>
      </c>
      <c r="D498" t="s">
        <v>48</v>
      </c>
      <c r="E498" s="3">
        <v>44769</v>
      </c>
      <c r="F498" s="49">
        <v>2</v>
      </c>
      <c r="G498" s="49">
        <v>499.5</v>
      </c>
      <c r="H498" t="str">
        <f>IFERROR(VLOOKUP(D498,'SKU Maintenance'!L:O,3,0),"BP not found")</f>
        <v>C-UTX001</v>
      </c>
    </row>
    <row r="499" spans="1:8" x14ac:dyDescent="0.25">
      <c r="A499" t="str">
        <f>IFERROR(VLOOKUP(B499&amp; "*",'SKU Maintenance'!D:H,5,0),"not found")</f>
        <v>2010051098040567</v>
      </c>
      <c r="B499">
        <v>40017639</v>
      </c>
      <c r="C499" t="s">
        <v>456</v>
      </c>
      <c r="D499" t="s">
        <v>433</v>
      </c>
      <c r="E499" s="3">
        <v>44758</v>
      </c>
      <c r="F499" s="49">
        <v>1</v>
      </c>
      <c r="G499" s="49">
        <v>199.75</v>
      </c>
      <c r="H499" t="str">
        <f>IFERROR(VLOOKUP(D499,'SKU Maintenance'!L:O,3,0),"BP not found")</f>
        <v>C-UTX004</v>
      </c>
    </row>
    <row r="500" spans="1:8" x14ac:dyDescent="0.25">
      <c r="A500" t="str">
        <f>IFERROR(VLOOKUP(B500&amp; "*",'SKU Maintenance'!D:H,5,0),"not found")</f>
        <v>2010051098040567</v>
      </c>
      <c r="B500">
        <v>40017639</v>
      </c>
      <c r="C500" t="s">
        <v>456</v>
      </c>
      <c r="D500" t="s">
        <v>433</v>
      </c>
      <c r="E500" s="3">
        <v>44766</v>
      </c>
      <c r="F500" s="49">
        <v>2</v>
      </c>
      <c r="G500" s="49">
        <v>399.5</v>
      </c>
      <c r="H500" t="str">
        <f>IFERROR(VLOOKUP(D500,'SKU Maintenance'!L:O,3,0),"BP not found")</f>
        <v>C-UTX004</v>
      </c>
    </row>
    <row r="501" spans="1:8" x14ac:dyDescent="0.25">
      <c r="A501" t="str">
        <f>IFERROR(VLOOKUP(B501&amp; "*",'SKU Maintenance'!D:H,5,0),"not found")</f>
        <v>2010042798030002</v>
      </c>
      <c r="B501">
        <v>40017844</v>
      </c>
      <c r="C501" t="s">
        <v>151</v>
      </c>
      <c r="D501" t="s">
        <v>48</v>
      </c>
      <c r="E501" s="3">
        <v>44757</v>
      </c>
      <c r="F501" s="49">
        <v>1</v>
      </c>
      <c r="G501" s="49">
        <v>199.75</v>
      </c>
      <c r="H501" t="str">
        <f>IFERROR(VLOOKUP(D501,'SKU Maintenance'!L:O,3,0),"BP not found")</f>
        <v>C-UTX001</v>
      </c>
    </row>
    <row r="502" spans="1:8" x14ac:dyDescent="0.25">
      <c r="A502" t="str">
        <f>IFERROR(VLOOKUP(B502&amp; "*",'SKU Maintenance'!D:H,5,0),"not found")</f>
        <v>2010042798030002</v>
      </c>
      <c r="B502">
        <v>40017844</v>
      </c>
      <c r="C502" t="s">
        <v>151</v>
      </c>
      <c r="D502" t="s">
        <v>351</v>
      </c>
      <c r="E502" s="3">
        <v>44754</v>
      </c>
      <c r="F502" s="49">
        <v>1</v>
      </c>
      <c r="G502" s="49">
        <v>199.75</v>
      </c>
      <c r="H502" t="str">
        <f>IFERROR(VLOOKUP(D502,'SKU Maintenance'!L:O,3,0),"BP not found")</f>
        <v>C-UTX003</v>
      </c>
    </row>
    <row r="503" spans="1:8" x14ac:dyDescent="0.25">
      <c r="A503" t="str">
        <f>IFERROR(VLOOKUP(B503&amp; "*",'SKU Maintenance'!D:H,5,0),"not found")</f>
        <v>2010042798220002</v>
      </c>
      <c r="B503">
        <v>40017845</v>
      </c>
      <c r="C503" t="s">
        <v>180</v>
      </c>
      <c r="D503" t="s">
        <v>48</v>
      </c>
      <c r="E503" s="3">
        <v>44764</v>
      </c>
      <c r="F503" s="49">
        <v>1</v>
      </c>
      <c r="G503" s="49">
        <v>199.75</v>
      </c>
      <c r="H503" t="str">
        <f>IFERROR(VLOOKUP(D503,'SKU Maintenance'!L:O,3,0),"BP not found")</f>
        <v>C-UTX001</v>
      </c>
    </row>
    <row r="504" spans="1:8" x14ac:dyDescent="0.25">
      <c r="A504" t="str">
        <f>IFERROR(VLOOKUP(B504&amp; "*",'SKU Maintenance'!D:H,5,0),"not found")</f>
        <v>2010042798220002</v>
      </c>
      <c r="B504">
        <v>40017845</v>
      </c>
      <c r="C504" t="s">
        <v>180</v>
      </c>
      <c r="D504" t="s">
        <v>48</v>
      </c>
      <c r="E504" s="3">
        <v>44773</v>
      </c>
      <c r="F504" s="49">
        <v>1</v>
      </c>
      <c r="G504" s="49">
        <v>199.75</v>
      </c>
      <c r="H504" t="str">
        <f>IFERROR(VLOOKUP(D504,'SKU Maintenance'!L:O,3,0),"BP not found")</f>
        <v>C-UTX001</v>
      </c>
    </row>
    <row r="505" spans="1:8" x14ac:dyDescent="0.25">
      <c r="A505" t="str">
        <f>IFERROR(VLOOKUP(B505&amp; "*",'SKU Maintenance'!D:H,5,0),"not found")</f>
        <v>2010042798160004</v>
      </c>
      <c r="B505">
        <v>40017851</v>
      </c>
      <c r="C505" t="s">
        <v>380</v>
      </c>
      <c r="D505" t="s">
        <v>351</v>
      </c>
      <c r="E505" s="3">
        <v>44754</v>
      </c>
      <c r="F505" s="49">
        <v>1</v>
      </c>
      <c r="G505" s="49">
        <v>199.75</v>
      </c>
      <c r="H505" t="str">
        <f>IFERROR(VLOOKUP(D505,'SKU Maintenance'!L:O,3,0),"BP not found")</f>
        <v>C-UTX003</v>
      </c>
    </row>
    <row r="506" spans="1:8" x14ac:dyDescent="0.25">
      <c r="A506" t="str">
        <f>IFERROR(VLOOKUP(B506&amp; "*",'SKU Maintenance'!D:H,5,0),"not found")</f>
        <v>2010042798160005</v>
      </c>
      <c r="B506">
        <v>40017853</v>
      </c>
      <c r="C506" t="s">
        <v>384</v>
      </c>
      <c r="D506" t="s">
        <v>351</v>
      </c>
      <c r="E506" s="3">
        <v>44754</v>
      </c>
      <c r="F506" s="49">
        <v>1</v>
      </c>
      <c r="G506" s="49">
        <v>249.75</v>
      </c>
      <c r="H506" t="str">
        <f>IFERROR(VLOOKUP(D506,'SKU Maintenance'!L:O,3,0),"BP not found")</f>
        <v>C-UTX003</v>
      </c>
    </row>
    <row r="507" spans="1:8" x14ac:dyDescent="0.25">
      <c r="A507" t="str">
        <f>IFERROR(VLOOKUP(B507&amp; "*",'SKU Maintenance'!D:H,5,0),"not found")</f>
        <v>2010042798180006</v>
      </c>
      <c r="B507">
        <v>40017855</v>
      </c>
      <c r="C507" t="s">
        <v>382</v>
      </c>
      <c r="D507" t="s">
        <v>351</v>
      </c>
      <c r="E507" s="3">
        <v>44754</v>
      </c>
      <c r="F507" s="49">
        <v>1</v>
      </c>
      <c r="G507" s="49">
        <v>199.75</v>
      </c>
      <c r="H507" t="str">
        <f>IFERROR(VLOOKUP(D507,'SKU Maintenance'!L:O,3,0),"BP not found")</f>
        <v>C-UTX003</v>
      </c>
    </row>
    <row r="508" spans="1:8" x14ac:dyDescent="0.25">
      <c r="A508" t="str">
        <f>IFERROR(VLOOKUP(B508&amp; "*",'SKU Maintenance'!D:H,5,0),"not found")</f>
        <v>2010042798160007</v>
      </c>
      <c r="B508">
        <v>40017859</v>
      </c>
      <c r="C508" t="s">
        <v>383</v>
      </c>
      <c r="D508" t="s">
        <v>351</v>
      </c>
      <c r="E508" s="3">
        <v>44754</v>
      </c>
      <c r="F508" s="49">
        <v>1</v>
      </c>
      <c r="G508" s="49">
        <v>199.75</v>
      </c>
      <c r="H508" t="str">
        <f>IFERROR(VLOOKUP(D508,'SKU Maintenance'!L:O,3,0),"BP not found")</f>
        <v>C-UTX003</v>
      </c>
    </row>
    <row r="509" spans="1:8" x14ac:dyDescent="0.25">
      <c r="A509" t="str">
        <f>IFERROR(VLOOKUP(B509&amp; "*",'SKU Maintenance'!D:H,5,0),"not found")</f>
        <v>2010042798250007</v>
      </c>
      <c r="B509">
        <v>40017860</v>
      </c>
      <c r="C509" t="s">
        <v>381</v>
      </c>
      <c r="D509" t="s">
        <v>351</v>
      </c>
      <c r="E509" s="3">
        <v>44754</v>
      </c>
      <c r="F509" s="49">
        <v>4</v>
      </c>
      <c r="G509" s="49">
        <v>799</v>
      </c>
      <c r="H509" t="str">
        <f>IFERROR(VLOOKUP(D509,'SKU Maintenance'!L:O,3,0),"BP not found")</f>
        <v>C-UTX003</v>
      </c>
    </row>
    <row r="510" spans="1:8" x14ac:dyDescent="0.25">
      <c r="A510" t="str">
        <f>IFERROR(VLOOKUP(B510&amp; "*",'SKU Maintenance'!D:H,5,0),"not found")</f>
        <v>2010042798160008</v>
      </c>
      <c r="B510">
        <v>40017863</v>
      </c>
      <c r="C510" t="s">
        <v>181</v>
      </c>
      <c r="D510" t="s">
        <v>48</v>
      </c>
      <c r="E510" s="3">
        <v>44764</v>
      </c>
      <c r="F510" s="49">
        <v>1</v>
      </c>
      <c r="G510" s="49">
        <v>199.75</v>
      </c>
      <c r="H510" t="str">
        <f>IFERROR(VLOOKUP(D510,'SKU Maintenance'!L:O,3,0),"BP not found")</f>
        <v>C-UTX001</v>
      </c>
    </row>
    <row r="511" spans="1:8" x14ac:dyDescent="0.25">
      <c r="A511" t="str">
        <f>IFERROR(VLOOKUP(B511&amp; "*",'SKU Maintenance'!D:H,5,0),"not found")</f>
        <v>2010042798160009</v>
      </c>
      <c r="B511">
        <v>40017866</v>
      </c>
      <c r="C511" t="s">
        <v>231</v>
      </c>
      <c r="D511" t="s">
        <v>48</v>
      </c>
      <c r="E511" s="3">
        <v>44773</v>
      </c>
      <c r="F511" s="49">
        <v>1</v>
      </c>
      <c r="G511" s="49">
        <v>199.75</v>
      </c>
      <c r="H511" t="str">
        <f>IFERROR(VLOOKUP(D511,'SKU Maintenance'!L:O,3,0),"BP not found")</f>
        <v>C-UTX001</v>
      </c>
    </row>
    <row r="512" spans="1:8" x14ac:dyDescent="0.25">
      <c r="A512" t="str">
        <f>IFERROR(VLOOKUP(B512&amp; "*",'SKU Maintenance'!D:H,5,0),"not found")</f>
        <v>2010040598163180</v>
      </c>
      <c r="B512">
        <v>40017868</v>
      </c>
      <c r="C512" t="s">
        <v>58</v>
      </c>
      <c r="D512" t="s">
        <v>48</v>
      </c>
      <c r="E512" s="3">
        <v>44743</v>
      </c>
      <c r="F512" s="49">
        <v>1</v>
      </c>
      <c r="G512" s="49">
        <v>129.75</v>
      </c>
      <c r="H512" t="str">
        <f>IFERROR(VLOOKUP(D512,'SKU Maintenance'!L:O,3,0),"BP not found")</f>
        <v>C-UTX001</v>
      </c>
    </row>
    <row r="513" spans="1:8" x14ac:dyDescent="0.25">
      <c r="A513" t="str">
        <f>IFERROR(VLOOKUP(B513&amp; "*",'SKU Maintenance'!D:H,5,0),"not found")</f>
        <v>2010040598163181</v>
      </c>
      <c r="B513">
        <v>40017871</v>
      </c>
      <c r="C513" t="s">
        <v>173</v>
      </c>
      <c r="D513" t="s">
        <v>48</v>
      </c>
      <c r="E513" s="3">
        <v>44762</v>
      </c>
      <c r="F513" s="49">
        <v>1</v>
      </c>
      <c r="G513" s="49">
        <v>129.75</v>
      </c>
      <c r="H513" t="str">
        <f>IFERROR(VLOOKUP(D513,'SKU Maintenance'!L:O,3,0),"BP not found")</f>
        <v>C-UTX001</v>
      </c>
    </row>
    <row r="514" spans="1:8" x14ac:dyDescent="0.25">
      <c r="A514" t="str">
        <f>IFERROR(VLOOKUP(B514&amp; "*",'SKU Maintenance'!D:H,5,0),"not found")</f>
        <v>2010040598163181</v>
      </c>
      <c r="B514">
        <v>40017871</v>
      </c>
      <c r="C514" t="s">
        <v>173</v>
      </c>
      <c r="D514" t="s">
        <v>48</v>
      </c>
      <c r="E514" s="3">
        <v>44772</v>
      </c>
      <c r="F514" s="49">
        <v>1</v>
      </c>
      <c r="G514" s="49">
        <v>129.75</v>
      </c>
      <c r="H514" t="str">
        <f>IFERROR(VLOOKUP(D514,'SKU Maintenance'!L:O,3,0),"BP not found")</f>
        <v>C-UTX001</v>
      </c>
    </row>
    <row r="515" spans="1:8" x14ac:dyDescent="0.25">
      <c r="A515" t="str">
        <f>IFERROR(VLOOKUP(B515&amp; "*",'SKU Maintenance'!D:H,5,0),"not found")</f>
        <v>2010010998160011</v>
      </c>
      <c r="B515">
        <v>40017901</v>
      </c>
      <c r="C515" t="s">
        <v>154</v>
      </c>
      <c r="D515" t="s">
        <v>48</v>
      </c>
      <c r="E515" s="3">
        <v>44758</v>
      </c>
      <c r="F515" s="49">
        <v>1</v>
      </c>
      <c r="G515" s="49">
        <v>539.77499999999998</v>
      </c>
      <c r="H515" t="str">
        <f>IFERROR(VLOOKUP(D515,'SKU Maintenance'!L:O,3,0),"BP not found")</f>
        <v>C-UTX001</v>
      </c>
    </row>
    <row r="516" spans="1:8" x14ac:dyDescent="0.25">
      <c r="A516" t="str">
        <f>IFERROR(VLOOKUP(B516&amp; "*",'SKU Maintenance'!D:H,5,0),"not found")</f>
        <v>2010010998180020</v>
      </c>
      <c r="B516">
        <v>40017910</v>
      </c>
      <c r="C516" t="s">
        <v>219</v>
      </c>
      <c r="D516" t="s">
        <v>48</v>
      </c>
      <c r="E516" s="3">
        <v>44772</v>
      </c>
      <c r="F516" s="49">
        <v>2</v>
      </c>
      <c r="G516" s="49">
        <v>1349.55</v>
      </c>
      <c r="H516" t="str">
        <f>IFERROR(VLOOKUP(D516,'SKU Maintenance'!L:O,3,0),"BP not found")</f>
        <v>C-UTX001</v>
      </c>
    </row>
    <row r="517" spans="1:8" x14ac:dyDescent="0.25">
      <c r="A517" t="str">
        <f>IFERROR(VLOOKUP(B517&amp; "*",'SKU Maintenance'!D:H,5,0),"not found")</f>
        <v>2010020298160002</v>
      </c>
      <c r="B517">
        <v>40017917</v>
      </c>
      <c r="C517" t="s">
        <v>243</v>
      </c>
      <c r="D517" t="s">
        <v>233</v>
      </c>
      <c r="E517" s="3">
        <v>44744</v>
      </c>
      <c r="F517" s="49">
        <v>1</v>
      </c>
      <c r="G517" s="49">
        <v>699.75</v>
      </c>
      <c r="H517" t="str">
        <f>IFERROR(VLOOKUP(D517,'SKU Maintenance'!L:O,3,0),"BP not found")</f>
        <v>C-UTX002</v>
      </c>
    </row>
    <row r="518" spans="1:8" x14ac:dyDescent="0.25">
      <c r="A518" t="str">
        <f>IFERROR(VLOOKUP(B518&amp; "*",'SKU Maintenance'!D:H,5,0),"not found")</f>
        <v>2010040698250002</v>
      </c>
      <c r="B518">
        <v>40018021</v>
      </c>
      <c r="C518" t="s">
        <v>281</v>
      </c>
      <c r="D518" t="s">
        <v>233</v>
      </c>
      <c r="E518" s="3">
        <v>44755</v>
      </c>
      <c r="F518" s="49">
        <v>1</v>
      </c>
      <c r="G518" s="49">
        <v>199.75</v>
      </c>
      <c r="H518" t="str">
        <f>IFERROR(VLOOKUP(D518,'SKU Maintenance'!L:O,3,0),"BP not found")</f>
        <v>C-UTX002</v>
      </c>
    </row>
    <row r="519" spans="1:8" x14ac:dyDescent="0.25">
      <c r="A519" t="str">
        <f>IFERROR(VLOOKUP(B519&amp; "*",'SKU Maintenance'!D:H,5,0),"not found")</f>
        <v>2010040698250002</v>
      </c>
      <c r="B519">
        <v>40018021</v>
      </c>
      <c r="C519" t="s">
        <v>281</v>
      </c>
      <c r="D519" t="s">
        <v>351</v>
      </c>
      <c r="E519" s="3">
        <v>44754</v>
      </c>
      <c r="F519" s="49">
        <v>1</v>
      </c>
      <c r="G519" s="49">
        <v>199.75</v>
      </c>
      <c r="H519" t="str">
        <f>IFERROR(VLOOKUP(D519,'SKU Maintenance'!L:O,3,0),"BP not found")</f>
        <v>C-UTX003</v>
      </c>
    </row>
    <row r="520" spans="1:8" x14ac:dyDescent="0.25">
      <c r="A520" t="str">
        <f>IFERROR(VLOOKUP(B520&amp; "*",'SKU Maintenance'!D:H,5,0),"not found")</f>
        <v>2010040698250002</v>
      </c>
      <c r="B520">
        <v>40018021</v>
      </c>
      <c r="C520" t="s">
        <v>281</v>
      </c>
      <c r="D520" t="s">
        <v>351</v>
      </c>
      <c r="E520" s="3">
        <v>44757</v>
      </c>
      <c r="F520" s="49">
        <v>1</v>
      </c>
      <c r="G520" s="49">
        <v>199.75</v>
      </c>
      <c r="H520" t="str">
        <f>IFERROR(VLOOKUP(D520,'SKU Maintenance'!L:O,3,0),"BP not found")</f>
        <v>C-UTX003</v>
      </c>
    </row>
    <row r="521" spans="1:8" x14ac:dyDescent="0.25">
      <c r="A521" t="str">
        <f>IFERROR(VLOOKUP(B521&amp; "*",'SKU Maintenance'!D:H,5,0),"not found")</f>
        <v>2010040698250002</v>
      </c>
      <c r="B521">
        <v>40018021</v>
      </c>
      <c r="C521" t="s">
        <v>281</v>
      </c>
      <c r="D521" t="s">
        <v>433</v>
      </c>
      <c r="E521" s="3">
        <v>44765</v>
      </c>
      <c r="F521" s="49">
        <v>1</v>
      </c>
      <c r="G521" s="49">
        <v>199.75</v>
      </c>
      <c r="H521" t="str">
        <f>IFERROR(VLOOKUP(D521,'SKU Maintenance'!L:O,3,0),"BP not found")</f>
        <v>C-UTX004</v>
      </c>
    </row>
    <row r="522" spans="1:8" x14ac:dyDescent="0.25">
      <c r="A522" t="str">
        <f>IFERROR(VLOOKUP(B522&amp; "*",'SKU Maintenance'!D:H,5,0),"not found")</f>
        <v>2010040698180001</v>
      </c>
      <c r="B522">
        <v>40018023</v>
      </c>
      <c r="C522" t="s">
        <v>213</v>
      </c>
      <c r="D522" t="s">
        <v>48</v>
      </c>
      <c r="E522" s="3">
        <v>44769</v>
      </c>
      <c r="F522" s="49">
        <v>4</v>
      </c>
      <c r="G522" s="49">
        <v>799</v>
      </c>
      <c r="H522" t="str">
        <f>IFERROR(VLOOKUP(D522,'SKU Maintenance'!L:O,3,0),"BP not found")</f>
        <v>C-UTX001</v>
      </c>
    </row>
    <row r="523" spans="1:8" x14ac:dyDescent="0.25">
      <c r="A523" t="str">
        <f>IFERROR(VLOOKUP(B523&amp; "*",'SKU Maintenance'!D:H,5,0),"not found")</f>
        <v>2010040698180001</v>
      </c>
      <c r="B523">
        <v>40018023</v>
      </c>
      <c r="C523" t="s">
        <v>213</v>
      </c>
      <c r="D523" t="s">
        <v>233</v>
      </c>
      <c r="E523" s="3">
        <v>44773</v>
      </c>
      <c r="F523" s="49">
        <v>1</v>
      </c>
      <c r="G523" s="49">
        <v>199.75</v>
      </c>
      <c r="H523" t="str">
        <f>IFERROR(VLOOKUP(D523,'SKU Maintenance'!L:O,3,0),"BP not found")</f>
        <v>C-UTX002</v>
      </c>
    </row>
    <row r="524" spans="1:8" x14ac:dyDescent="0.25">
      <c r="A524" t="str">
        <f>IFERROR(VLOOKUP(B524&amp; "*",'SKU Maintenance'!D:H,5,0),"not found")</f>
        <v>2010040698180001</v>
      </c>
      <c r="B524">
        <v>40018023</v>
      </c>
      <c r="C524" t="s">
        <v>213</v>
      </c>
      <c r="D524" t="s">
        <v>351</v>
      </c>
      <c r="E524" s="3">
        <v>44754</v>
      </c>
      <c r="F524" s="49">
        <v>1</v>
      </c>
      <c r="G524" s="49">
        <v>199.75</v>
      </c>
      <c r="H524" t="str">
        <f>IFERROR(VLOOKUP(D524,'SKU Maintenance'!L:O,3,0),"BP not found")</f>
        <v>C-UTX003</v>
      </c>
    </row>
    <row r="525" spans="1:8" x14ac:dyDescent="0.25">
      <c r="A525" t="str">
        <f>IFERROR(VLOOKUP(B525&amp; "*",'SKU Maintenance'!D:H,5,0),"not found")</f>
        <v>2010040698180001</v>
      </c>
      <c r="B525">
        <v>40018023</v>
      </c>
      <c r="C525" t="s">
        <v>213</v>
      </c>
      <c r="D525" t="s">
        <v>351</v>
      </c>
      <c r="E525" s="3">
        <v>44757</v>
      </c>
      <c r="F525" s="49">
        <v>1</v>
      </c>
      <c r="G525" s="49">
        <v>199.75</v>
      </c>
      <c r="H525" t="str">
        <f>IFERROR(VLOOKUP(D525,'SKU Maintenance'!L:O,3,0),"BP not found")</f>
        <v>C-UTX003</v>
      </c>
    </row>
    <row r="526" spans="1:8" x14ac:dyDescent="0.25">
      <c r="A526" t="str">
        <f>IFERROR(VLOOKUP(B526&amp; "*",'SKU Maintenance'!D:H,5,0),"not found")</f>
        <v>2010040698250001</v>
      </c>
      <c r="B526">
        <v>40018028</v>
      </c>
      <c r="C526" t="s">
        <v>227</v>
      </c>
      <c r="D526" t="s">
        <v>48</v>
      </c>
      <c r="E526" s="3">
        <v>44773</v>
      </c>
      <c r="F526" s="49">
        <v>2</v>
      </c>
      <c r="G526" s="49">
        <v>399.5</v>
      </c>
      <c r="H526" t="str">
        <f>IFERROR(VLOOKUP(D526,'SKU Maintenance'!L:O,3,0),"BP not found")</f>
        <v>C-UTX001</v>
      </c>
    </row>
    <row r="527" spans="1:8" x14ac:dyDescent="0.25">
      <c r="A527" t="str">
        <f>IFERROR(VLOOKUP(B527&amp; "*",'SKU Maintenance'!D:H,5,0),"not found")</f>
        <v>2010040698250001</v>
      </c>
      <c r="B527">
        <v>40018028</v>
      </c>
      <c r="C527" t="s">
        <v>227</v>
      </c>
      <c r="D527" t="s">
        <v>233</v>
      </c>
      <c r="E527" s="3">
        <v>44773</v>
      </c>
      <c r="F527" s="49">
        <v>2</v>
      </c>
      <c r="G527" s="49">
        <v>399.5</v>
      </c>
      <c r="H527" t="str">
        <f>IFERROR(VLOOKUP(D527,'SKU Maintenance'!L:O,3,0),"BP not found")</f>
        <v>C-UTX002</v>
      </c>
    </row>
    <row r="528" spans="1:8" x14ac:dyDescent="0.25">
      <c r="A528" t="str">
        <f>IFERROR(VLOOKUP(B528&amp; "*",'SKU Maintenance'!D:H,5,0),"not found")</f>
        <v>2010040698250001</v>
      </c>
      <c r="B528">
        <v>40018028</v>
      </c>
      <c r="C528" t="s">
        <v>227</v>
      </c>
      <c r="D528" t="s">
        <v>351</v>
      </c>
      <c r="E528" s="3">
        <v>44744</v>
      </c>
      <c r="F528" s="49">
        <v>2</v>
      </c>
      <c r="G528" s="49">
        <v>399.5</v>
      </c>
      <c r="H528" t="str">
        <f>IFERROR(VLOOKUP(D528,'SKU Maintenance'!L:O,3,0),"BP not found")</f>
        <v>C-UTX003</v>
      </c>
    </row>
    <row r="529" spans="1:8" x14ac:dyDescent="0.25">
      <c r="A529" t="str">
        <f>IFERROR(VLOOKUP(B529&amp; "*",'SKU Maintenance'!D:H,5,0),"not found")</f>
        <v>2010040698250001</v>
      </c>
      <c r="B529">
        <v>40018028</v>
      </c>
      <c r="C529" t="s">
        <v>227</v>
      </c>
      <c r="D529" t="s">
        <v>351</v>
      </c>
      <c r="E529" s="3">
        <v>44754</v>
      </c>
      <c r="F529" s="49">
        <v>1</v>
      </c>
      <c r="G529" s="49">
        <v>199.75</v>
      </c>
      <c r="H529" t="str">
        <f>IFERROR(VLOOKUP(D529,'SKU Maintenance'!L:O,3,0),"BP not found")</f>
        <v>C-UTX003</v>
      </c>
    </row>
    <row r="530" spans="1:8" x14ac:dyDescent="0.25">
      <c r="A530" t="str">
        <f>IFERROR(VLOOKUP(B530&amp; "*",'SKU Maintenance'!D:H,5,0),"not found")</f>
        <v>2010040698250001</v>
      </c>
      <c r="B530">
        <v>40018028</v>
      </c>
      <c r="C530" t="s">
        <v>227</v>
      </c>
      <c r="D530" t="s">
        <v>433</v>
      </c>
      <c r="E530" s="3">
        <v>44758</v>
      </c>
      <c r="F530" s="49">
        <v>1</v>
      </c>
      <c r="G530" s="49">
        <v>199.75</v>
      </c>
      <c r="H530" t="str">
        <f>IFERROR(VLOOKUP(D530,'SKU Maintenance'!L:O,3,0),"BP not found")</f>
        <v>C-UTX004</v>
      </c>
    </row>
    <row r="531" spans="1:8" x14ac:dyDescent="0.25">
      <c r="A531" t="str">
        <f>IFERROR(VLOOKUP(B531&amp; "*",'SKU Maintenance'!D:H,5,0),"not found")</f>
        <v>2010040698180002</v>
      </c>
      <c r="B531">
        <v>40018029</v>
      </c>
      <c r="C531" t="s">
        <v>75</v>
      </c>
      <c r="D531" t="s">
        <v>48</v>
      </c>
      <c r="E531" s="3">
        <v>44745</v>
      </c>
      <c r="F531" s="49">
        <v>1</v>
      </c>
      <c r="G531" s="49">
        <v>199.75</v>
      </c>
      <c r="H531" t="str">
        <f>IFERROR(VLOOKUP(D531,'SKU Maintenance'!L:O,3,0),"BP not found")</f>
        <v>C-UTX001</v>
      </c>
    </row>
    <row r="532" spans="1:8" x14ac:dyDescent="0.25">
      <c r="A532" t="str">
        <f>IFERROR(VLOOKUP(B532&amp; "*",'SKU Maintenance'!D:H,5,0),"not found")</f>
        <v>2010040698180002</v>
      </c>
      <c r="B532">
        <v>40018029</v>
      </c>
      <c r="C532" t="s">
        <v>75</v>
      </c>
      <c r="D532" t="s">
        <v>233</v>
      </c>
      <c r="E532" s="3">
        <v>44771</v>
      </c>
      <c r="F532" s="49">
        <v>1</v>
      </c>
      <c r="G532" s="49">
        <v>199.75</v>
      </c>
      <c r="H532" t="str">
        <f>IFERROR(VLOOKUP(D532,'SKU Maintenance'!L:O,3,0),"BP not found")</f>
        <v>C-UTX002</v>
      </c>
    </row>
    <row r="533" spans="1:8" x14ac:dyDescent="0.25">
      <c r="A533" t="str">
        <f>IFERROR(VLOOKUP(B533&amp; "*",'SKU Maintenance'!D:H,5,0),"not found")</f>
        <v>2010040698180002</v>
      </c>
      <c r="B533">
        <v>40018029</v>
      </c>
      <c r="C533" t="s">
        <v>75</v>
      </c>
      <c r="D533" t="s">
        <v>351</v>
      </c>
      <c r="E533" s="3">
        <v>44765</v>
      </c>
      <c r="F533" s="49">
        <v>1</v>
      </c>
      <c r="G533" s="49">
        <v>199.75</v>
      </c>
      <c r="H533" t="str">
        <f>IFERROR(VLOOKUP(D533,'SKU Maintenance'!L:O,3,0),"BP not found")</f>
        <v>C-UTX003</v>
      </c>
    </row>
    <row r="534" spans="1:8" x14ac:dyDescent="0.25">
      <c r="A534" t="str">
        <f>IFERROR(VLOOKUP(B534&amp; "*",'SKU Maintenance'!D:H,5,0),"not found")</f>
        <v>2010040698170001</v>
      </c>
      <c r="B534">
        <v>40018033</v>
      </c>
      <c r="C534" t="s">
        <v>297</v>
      </c>
      <c r="D534" t="s">
        <v>233</v>
      </c>
      <c r="E534" s="3">
        <v>44759</v>
      </c>
      <c r="F534" s="49">
        <v>1</v>
      </c>
      <c r="G534" s="49">
        <v>199.75</v>
      </c>
      <c r="H534" t="str">
        <f>IFERROR(VLOOKUP(D534,'SKU Maintenance'!L:O,3,0),"BP not found")</f>
        <v>C-UTX002</v>
      </c>
    </row>
    <row r="535" spans="1:8" x14ac:dyDescent="0.25">
      <c r="A535" t="str">
        <f>IFERROR(VLOOKUP(B535&amp; "*",'SKU Maintenance'!D:H,5,0),"not found")</f>
        <v>2010040698170002</v>
      </c>
      <c r="B535">
        <v>40018034</v>
      </c>
      <c r="C535" t="s">
        <v>74</v>
      </c>
      <c r="D535" t="s">
        <v>48</v>
      </c>
      <c r="E535" s="3">
        <v>44745</v>
      </c>
      <c r="F535" s="49">
        <v>1</v>
      </c>
      <c r="G535" s="49">
        <v>199.75</v>
      </c>
      <c r="H535" t="str">
        <f>IFERROR(VLOOKUP(D535,'SKU Maintenance'!L:O,3,0),"BP not found")</f>
        <v>C-UTX001</v>
      </c>
    </row>
    <row r="536" spans="1:8" x14ac:dyDescent="0.25">
      <c r="A536" t="str">
        <f>IFERROR(VLOOKUP(B536&amp; "*",'SKU Maintenance'!D:H,5,0),"not found")</f>
        <v>2010040698170002</v>
      </c>
      <c r="B536">
        <v>40018034</v>
      </c>
      <c r="C536" t="s">
        <v>74</v>
      </c>
      <c r="D536" t="s">
        <v>48</v>
      </c>
      <c r="E536" s="3">
        <v>44750</v>
      </c>
      <c r="F536" s="49">
        <v>2</v>
      </c>
      <c r="G536" s="49">
        <v>399.5</v>
      </c>
      <c r="H536" t="str">
        <f>IFERROR(VLOOKUP(D536,'SKU Maintenance'!L:O,3,0),"BP not found")</f>
        <v>C-UTX001</v>
      </c>
    </row>
    <row r="537" spans="1:8" x14ac:dyDescent="0.25">
      <c r="A537" t="str">
        <f>IFERROR(VLOOKUP(B537&amp; "*",'SKU Maintenance'!D:H,5,0),"not found")</f>
        <v>2010040698170002</v>
      </c>
      <c r="B537">
        <v>40018034</v>
      </c>
      <c r="C537" t="s">
        <v>74</v>
      </c>
      <c r="D537" t="s">
        <v>351</v>
      </c>
      <c r="E537" s="3">
        <v>44754</v>
      </c>
      <c r="F537" s="49">
        <v>1</v>
      </c>
      <c r="G537" s="49">
        <v>199.75</v>
      </c>
      <c r="H537" t="str">
        <f>IFERROR(VLOOKUP(D537,'SKU Maintenance'!L:O,3,0),"BP not found")</f>
        <v>C-UTX003</v>
      </c>
    </row>
    <row r="538" spans="1:8" x14ac:dyDescent="0.25">
      <c r="A538" t="str">
        <f>IFERROR(VLOOKUP(B538&amp; "*",'SKU Maintenance'!D:H,5,0),"not found")</f>
        <v>2010040698170002</v>
      </c>
      <c r="B538">
        <v>40018034</v>
      </c>
      <c r="C538" t="s">
        <v>74</v>
      </c>
      <c r="D538" t="s">
        <v>351</v>
      </c>
      <c r="E538" s="3">
        <v>44757</v>
      </c>
      <c r="F538" s="49">
        <v>1</v>
      </c>
      <c r="G538" s="49">
        <v>199.75</v>
      </c>
      <c r="H538" t="str">
        <f>IFERROR(VLOOKUP(D538,'SKU Maintenance'!L:O,3,0),"BP not found")</f>
        <v>C-UTX003</v>
      </c>
    </row>
    <row r="539" spans="1:8" x14ac:dyDescent="0.25">
      <c r="A539" t="str">
        <f>IFERROR(VLOOKUP(B539&amp; "*",'SKU Maintenance'!D:H,5,0),"not found")</f>
        <v>2010010298180016</v>
      </c>
      <c r="B539">
        <v>40018110</v>
      </c>
      <c r="C539" t="s">
        <v>132</v>
      </c>
      <c r="D539" t="s">
        <v>233</v>
      </c>
      <c r="E539" s="3">
        <v>44747</v>
      </c>
      <c r="F539" s="49">
        <v>1</v>
      </c>
      <c r="G539" s="49">
        <v>199.75</v>
      </c>
      <c r="H539" t="str">
        <f>IFERROR(VLOOKUP(D539,'SKU Maintenance'!L:O,3,0),"BP not found")</f>
        <v>C-UTX002</v>
      </c>
    </row>
    <row r="540" spans="1:8" x14ac:dyDescent="0.25">
      <c r="A540" t="str">
        <f>IFERROR(VLOOKUP(B540&amp; "*",'SKU Maintenance'!D:H,5,0),"not found")</f>
        <v>2010010298160016</v>
      </c>
      <c r="B540">
        <v>40018111</v>
      </c>
      <c r="C540" t="s">
        <v>132</v>
      </c>
      <c r="D540" t="s">
        <v>48</v>
      </c>
      <c r="E540" s="3">
        <v>44756</v>
      </c>
      <c r="F540" s="49">
        <v>1</v>
      </c>
      <c r="G540" s="49">
        <v>199.75</v>
      </c>
      <c r="H540" t="str">
        <f>IFERROR(VLOOKUP(D540,'SKU Maintenance'!L:O,3,0),"BP not found")</f>
        <v>C-UTX001</v>
      </c>
    </row>
    <row r="541" spans="1:8" x14ac:dyDescent="0.25">
      <c r="A541" t="str">
        <f>IFERROR(VLOOKUP(B541&amp; "*",'SKU Maintenance'!D:H,5,0),"not found")</f>
        <v>2010010898040035</v>
      </c>
      <c r="B541">
        <v>40018254</v>
      </c>
      <c r="C541" t="s">
        <v>164</v>
      </c>
      <c r="D541" t="s">
        <v>48</v>
      </c>
      <c r="E541" s="3">
        <v>44759</v>
      </c>
      <c r="F541" s="49">
        <v>1</v>
      </c>
      <c r="G541" s="49">
        <v>449.77500000000003</v>
      </c>
      <c r="H541" t="str">
        <f>IFERROR(VLOOKUP(D541,'SKU Maintenance'!L:O,3,0),"BP not found")</f>
        <v>C-UTX001</v>
      </c>
    </row>
    <row r="542" spans="1:8" x14ac:dyDescent="0.25">
      <c r="A542" t="str">
        <f>IFERROR(VLOOKUP(B542&amp; "*",'SKU Maintenance'!D:H,5,0),"not found")</f>
        <v>2010010898040035</v>
      </c>
      <c r="B542">
        <v>40018254</v>
      </c>
      <c r="C542" t="s">
        <v>164</v>
      </c>
      <c r="D542" t="s">
        <v>48</v>
      </c>
      <c r="E542" s="3">
        <v>44760</v>
      </c>
      <c r="F542" s="49">
        <v>1</v>
      </c>
      <c r="G542" s="49">
        <v>499.75</v>
      </c>
      <c r="H542" t="str">
        <f>IFERROR(VLOOKUP(D542,'SKU Maintenance'!L:O,3,0),"BP not found")</f>
        <v>C-UTX001</v>
      </c>
    </row>
    <row r="543" spans="1:8" x14ac:dyDescent="0.25">
      <c r="A543" t="str">
        <f>IFERROR(VLOOKUP(B543&amp; "*",'SKU Maintenance'!D:H,5,0),"not found")</f>
        <v>2010010898040035</v>
      </c>
      <c r="B543">
        <v>40018254</v>
      </c>
      <c r="C543" t="s">
        <v>164</v>
      </c>
      <c r="D543" t="s">
        <v>48</v>
      </c>
      <c r="E543" s="3">
        <v>44768</v>
      </c>
      <c r="F543" s="49">
        <v>1</v>
      </c>
      <c r="G543" s="49">
        <v>499.75</v>
      </c>
      <c r="H543" t="str">
        <f>IFERROR(VLOOKUP(D543,'SKU Maintenance'!L:O,3,0),"BP not found")</f>
        <v>C-UTX001</v>
      </c>
    </row>
    <row r="544" spans="1:8" x14ac:dyDescent="0.25">
      <c r="A544" t="str">
        <f>IFERROR(VLOOKUP(B544&amp; "*",'SKU Maintenance'!D:H,5,0),"not found")</f>
        <v>2010010898040035</v>
      </c>
      <c r="B544">
        <v>40018254</v>
      </c>
      <c r="C544" t="s">
        <v>164</v>
      </c>
      <c r="D544" t="s">
        <v>48</v>
      </c>
      <c r="E544" s="3">
        <v>44771</v>
      </c>
      <c r="F544" s="49">
        <v>1</v>
      </c>
      <c r="G544" s="49">
        <v>449.77500000000003</v>
      </c>
      <c r="H544" t="str">
        <f>IFERROR(VLOOKUP(D544,'SKU Maintenance'!L:O,3,0),"BP not found")</f>
        <v>C-UTX001</v>
      </c>
    </row>
    <row r="545" spans="1:8" x14ac:dyDescent="0.25">
      <c r="A545" t="str">
        <f>IFERROR(VLOOKUP(B545&amp; "*",'SKU Maintenance'!D:H,5,0),"not found")</f>
        <v>2010010804040036</v>
      </c>
      <c r="B545">
        <v>40018255</v>
      </c>
      <c r="C545" t="s">
        <v>96</v>
      </c>
      <c r="D545" t="s">
        <v>48</v>
      </c>
      <c r="E545" s="3">
        <v>44749</v>
      </c>
      <c r="F545" s="49">
        <v>1</v>
      </c>
      <c r="G545" s="49">
        <v>749.75</v>
      </c>
      <c r="H545" t="str">
        <f>IFERROR(VLOOKUP(D545,'SKU Maintenance'!L:O,3,0),"BP not found")</f>
        <v>C-UTX001</v>
      </c>
    </row>
    <row r="546" spans="1:8" x14ac:dyDescent="0.25">
      <c r="A546" t="str">
        <f>IFERROR(VLOOKUP(B546&amp; "*",'SKU Maintenance'!D:H,5,0),"not found")</f>
        <v>2010010804040036</v>
      </c>
      <c r="B546">
        <v>40018255</v>
      </c>
      <c r="C546" t="s">
        <v>96</v>
      </c>
      <c r="D546" t="s">
        <v>48</v>
      </c>
      <c r="E546" s="3">
        <v>44766</v>
      </c>
      <c r="F546" s="49">
        <v>1</v>
      </c>
      <c r="G546" s="49">
        <v>749.75</v>
      </c>
      <c r="H546" t="str">
        <f>IFERROR(VLOOKUP(D546,'SKU Maintenance'!L:O,3,0),"BP not found")</f>
        <v>C-UTX001</v>
      </c>
    </row>
    <row r="547" spans="1:8" x14ac:dyDescent="0.25">
      <c r="A547" t="str">
        <f>IFERROR(VLOOKUP(B547&amp; "*",'SKU Maintenance'!D:H,5,0),"not found")</f>
        <v>2010010804040036</v>
      </c>
      <c r="B547">
        <v>40018255</v>
      </c>
      <c r="C547" t="s">
        <v>96</v>
      </c>
      <c r="D547" t="s">
        <v>233</v>
      </c>
      <c r="E547" s="3">
        <v>44761</v>
      </c>
      <c r="F547" s="49">
        <v>1</v>
      </c>
      <c r="G547" s="49">
        <v>749.75</v>
      </c>
      <c r="H547" t="str">
        <f>IFERROR(VLOOKUP(D547,'SKU Maintenance'!L:O,3,0),"BP not found")</f>
        <v>C-UTX002</v>
      </c>
    </row>
    <row r="548" spans="1:8" x14ac:dyDescent="0.25">
      <c r="A548" t="str">
        <f>IFERROR(VLOOKUP(B548&amp; "*",'SKU Maintenance'!D:H,5,0),"not found")</f>
        <v>2010010804040036</v>
      </c>
      <c r="B548">
        <v>40018255</v>
      </c>
      <c r="C548" t="s">
        <v>96</v>
      </c>
      <c r="D548" t="s">
        <v>351</v>
      </c>
      <c r="E548" s="3">
        <v>44750</v>
      </c>
      <c r="F548" s="49">
        <v>1</v>
      </c>
      <c r="G548" s="49">
        <v>749.75</v>
      </c>
      <c r="H548" t="str">
        <f>IFERROR(VLOOKUP(D548,'SKU Maintenance'!L:O,3,0),"BP not found")</f>
        <v>C-UTX003</v>
      </c>
    </row>
    <row r="549" spans="1:8" x14ac:dyDescent="0.25">
      <c r="A549" t="str">
        <f>IFERROR(VLOOKUP(B549&amp; "*",'SKU Maintenance'!D:H,5,0),"not found")</f>
        <v>2010010898170046</v>
      </c>
      <c r="B549">
        <v>40018256</v>
      </c>
      <c r="C549" t="s">
        <v>60</v>
      </c>
      <c r="D549" t="s">
        <v>48</v>
      </c>
      <c r="E549" s="3">
        <v>44744</v>
      </c>
      <c r="F549" s="49">
        <v>1</v>
      </c>
      <c r="G549" s="49">
        <v>1349.7750000000001</v>
      </c>
      <c r="H549" t="str">
        <f>IFERROR(VLOOKUP(D549,'SKU Maintenance'!L:O,3,0),"BP not found")</f>
        <v>C-UTX001</v>
      </c>
    </row>
    <row r="550" spans="1:8" x14ac:dyDescent="0.25">
      <c r="A550" t="str">
        <f>IFERROR(VLOOKUP(B550&amp; "*",'SKU Maintenance'!D:H,5,0),"not found")</f>
        <v>2010010898170046</v>
      </c>
      <c r="B550">
        <v>40018256</v>
      </c>
      <c r="C550" t="s">
        <v>60</v>
      </c>
      <c r="D550" t="s">
        <v>48</v>
      </c>
      <c r="E550" s="3">
        <v>44759</v>
      </c>
      <c r="F550" s="49">
        <v>1</v>
      </c>
      <c r="G550" s="49">
        <v>1349.7750000000001</v>
      </c>
      <c r="H550" t="str">
        <f>IFERROR(VLOOKUP(D550,'SKU Maintenance'!L:O,3,0),"BP not found")</f>
        <v>C-UTX001</v>
      </c>
    </row>
    <row r="551" spans="1:8" x14ac:dyDescent="0.25">
      <c r="A551" t="str">
        <f>IFERROR(VLOOKUP(B551&amp; "*",'SKU Maintenance'!D:H,5,0),"not found")</f>
        <v>2010010804070038</v>
      </c>
      <c r="B551">
        <v>40018257</v>
      </c>
      <c r="C551" t="s">
        <v>138</v>
      </c>
      <c r="D551" t="s">
        <v>48</v>
      </c>
      <c r="E551" s="3">
        <v>44757</v>
      </c>
      <c r="F551" s="49">
        <v>1</v>
      </c>
      <c r="G551" s="49">
        <v>674.77499999999998</v>
      </c>
      <c r="H551" t="str">
        <f>IFERROR(VLOOKUP(D551,'SKU Maintenance'!L:O,3,0),"BP not found")</f>
        <v>C-UTX001</v>
      </c>
    </row>
    <row r="552" spans="1:8" x14ac:dyDescent="0.25">
      <c r="A552" t="str">
        <f>IFERROR(VLOOKUP(B552&amp; "*",'SKU Maintenance'!D:H,5,0),"not found")</f>
        <v>2010010898130037</v>
      </c>
      <c r="B552">
        <v>40018259</v>
      </c>
      <c r="C552" t="s">
        <v>204</v>
      </c>
      <c r="D552" t="s">
        <v>48</v>
      </c>
      <c r="E552" s="3">
        <v>44768</v>
      </c>
      <c r="F552" s="49">
        <v>1</v>
      </c>
      <c r="G552" s="49">
        <v>499.75</v>
      </c>
      <c r="H552" t="str">
        <f>IFERROR(VLOOKUP(D552,'SKU Maintenance'!L:O,3,0),"BP not found")</f>
        <v>C-UTX001</v>
      </c>
    </row>
    <row r="553" spans="1:8" x14ac:dyDescent="0.25">
      <c r="A553" t="str">
        <f>IFERROR(VLOOKUP(B553&amp; "*",'SKU Maintenance'!D:H,5,0),"not found")</f>
        <v>2010010898170048</v>
      </c>
      <c r="B553">
        <v>40018263</v>
      </c>
      <c r="C553" t="s">
        <v>308</v>
      </c>
      <c r="D553" t="s">
        <v>233</v>
      </c>
      <c r="E553" s="3">
        <v>44761</v>
      </c>
      <c r="F553" s="49">
        <v>1</v>
      </c>
      <c r="G553" s="49">
        <v>999.75</v>
      </c>
      <c r="H553" t="str">
        <f>IFERROR(VLOOKUP(D553,'SKU Maintenance'!L:O,3,0),"BP not found")</f>
        <v>C-UTX002</v>
      </c>
    </row>
    <row r="554" spans="1:8" x14ac:dyDescent="0.25">
      <c r="A554" t="str">
        <f>IFERROR(VLOOKUP(B554&amp; "*",'SKU Maintenance'!D:H,5,0),"not found")</f>
        <v>2010010898070040</v>
      </c>
      <c r="B554">
        <v>40018265</v>
      </c>
      <c r="C554" t="s">
        <v>307</v>
      </c>
      <c r="D554" t="s">
        <v>233</v>
      </c>
      <c r="E554" s="3">
        <v>44761</v>
      </c>
      <c r="F554" s="49">
        <v>1</v>
      </c>
      <c r="G554" s="49">
        <v>1299.75</v>
      </c>
      <c r="H554" t="str">
        <f>IFERROR(VLOOKUP(D554,'SKU Maintenance'!L:O,3,0),"BP not found")</f>
        <v>C-UTX002</v>
      </c>
    </row>
    <row r="555" spans="1:8" x14ac:dyDescent="0.25">
      <c r="A555" t="str">
        <f>IFERROR(VLOOKUP(B555&amp; "*",'SKU Maintenance'!D:H,5,0),"not found")</f>
        <v>2010010898170042</v>
      </c>
      <c r="B555">
        <v>40018267</v>
      </c>
      <c r="C555" t="s">
        <v>317</v>
      </c>
      <c r="D555" t="s">
        <v>233</v>
      </c>
      <c r="E555" s="3">
        <v>44765</v>
      </c>
      <c r="F555" s="49">
        <v>1</v>
      </c>
      <c r="G555" s="49">
        <v>499.75</v>
      </c>
      <c r="H555" t="str">
        <f>IFERROR(VLOOKUP(D555,'SKU Maintenance'!L:O,3,0),"BP not found")</f>
        <v>C-UTX002</v>
      </c>
    </row>
    <row r="556" spans="1:8" x14ac:dyDescent="0.25">
      <c r="A556" t="str">
        <f>IFERROR(VLOOKUP(B556&amp; "*",'SKU Maintenance'!D:H,5,0),"not found")</f>
        <v>2010010898190058</v>
      </c>
      <c r="B556">
        <v>40018291</v>
      </c>
      <c r="C556" t="s">
        <v>304</v>
      </c>
      <c r="D556" t="s">
        <v>233</v>
      </c>
      <c r="E556" s="3">
        <v>44760</v>
      </c>
      <c r="F556" s="49">
        <v>1</v>
      </c>
      <c r="G556" s="49">
        <v>499.75</v>
      </c>
      <c r="H556" t="str">
        <f>IFERROR(VLOOKUP(D556,'SKU Maintenance'!L:O,3,0),"BP not found")</f>
        <v>C-UTX002</v>
      </c>
    </row>
    <row r="557" spans="1:8" x14ac:dyDescent="0.25">
      <c r="A557" t="str">
        <f>IFERROR(VLOOKUP(B557&amp; "*",'SKU Maintenance'!D:H,5,0),"not found")</f>
        <v>2010041098220229</v>
      </c>
      <c r="B557">
        <v>40018295</v>
      </c>
      <c r="C557" t="s">
        <v>432</v>
      </c>
      <c r="D557" t="s">
        <v>351</v>
      </c>
      <c r="E557" s="3">
        <v>44772</v>
      </c>
      <c r="F557" s="49">
        <v>2</v>
      </c>
      <c r="G557" s="49">
        <v>459.5</v>
      </c>
      <c r="H557" t="str">
        <f>IFERROR(VLOOKUP(D557,'SKU Maintenance'!L:O,3,0),"BP not found")</f>
        <v>C-UTX003</v>
      </c>
    </row>
    <row r="558" spans="1:8" x14ac:dyDescent="0.25">
      <c r="A558" t="str">
        <f>IFERROR(VLOOKUP(B558&amp; "*",'SKU Maintenance'!D:H,5,0),"not found")</f>
        <v>2010041098160230</v>
      </c>
      <c r="B558">
        <v>40018298</v>
      </c>
      <c r="C558" t="s">
        <v>165</v>
      </c>
      <c r="D558" t="s">
        <v>48</v>
      </c>
      <c r="E558" s="3">
        <v>44759</v>
      </c>
      <c r="F558" s="49">
        <v>1</v>
      </c>
      <c r="G558" s="49">
        <v>249.75</v>
      </c>
      <c r="H558" t="str">
        <f>IFERROR(VLOOKUP(D558,'SKU Maintenance'!L:O,3,0),"BP not found")</f>
        <v>C-UTX001</v>
      </c>
    </row>
    <row r="559" spans="1:8" x14ac:dyDescent="0.25">
      <c r="A559" t="str">
        <f>IFERROR(VLOOKUP(B559&amp; "*",'SKU Maintenance'!D:H,5,0),"not found")</f>
        <v>2010041098220230</v>
      </c>
      <c r="B559">
        <v>40018301</v>
      </c>
      <c r="C559" t="s">
        <v>431</v>
      </c>
      <c r="D559" t="s">
        <v>351</v>
      </c>
      <c r="E559" s="3">
        <v>44772</v>
      </c>
      <c r="F559" s="49">
        <v>2</v>
      </c>
      <c r="G559" s="49">
        <v>499.5</v>
      </c>
      <c r="H559" t="str">
        <f>IFERROR(VLOOKUP(D559,'SKU Maintenance'!L:O,3,0),"BP not found")</f>
        <v>C-UTX003</v>
      </c>
    </row>
    <row r="560" spans="1:8" x14ac:dyDescent="0.25">
      <c r="A560" t="str">
        <f>IFERROR(VLOOKUP(B560&amp; "*",'SKU Maintenance'!D:H,5,0),"not found")</f>
        <v>2010010898130051</v>
      </c>
      <c r="B560">
        <v>40018304</v>
      </c>
      <c r="C560" t="s">
        <v>352</v>
      </c>
      <c r="D560" t="s">
        <v>351</v>
      </c>
      <c r="E560" s="3">
        <v>44743</v>
      </c>
      <c r="F560" s="49">
        <v>1</v>
      </c>
      <c r="G560" s="49">
        <v>449.77500000000003</v>
      </c>
      <c r="H560" t="str">
        <f>IFERROR(VLOOKUP(D560,'SKU Maintenance'!L:O,3,0),"BP not found")</f>
        <v>C-UTX003</v>
      </c>
    </row>
    <row r="561" spans="1:8" x14ac:dyDescent="0.25">
      <c r="A561" t="str">
        <f>IFERROR(VLOOKUP(B561&amp; "*",'SKU Maintenance'!D:H,5,0),"not found")</f>
        <v>2010010898130051</v>
      </c>
      <c r="B561">
        <v>40018304</v>
      </c>
      <c r="C561" t="s">
        <v>352</v>
      </c>
      <c r="D561" t="s">
        <v>433</v>
      </c>
      <c r="E561" s="3">
        <v>44751</v>
      </c>
      <c r="F561" s="49">
        <v>1</v>
      </c>
      <c r="G561" s="49">
        <v>499.75</v>
      </c>
      <c r="H561" t="str">
        <f>IFERROR(VLOOKUP(D561,'SKU Maintenance'!L:O,3,0),"BP not found")</f>
        <v>C-UTX004</v>
      </c>
    </row>
    <row r="562" spans="1:8" x14ac:dyDescent="0.25">
      <c r="A562" t="str">
        <f>IFERROR(VLOOKUP(B562&amp; "*",'SKU Maintenance'!D:H,5,0),"not found")</f>
        <v>2010010804130052</v>
      </c>
      <c r="B562">
        <v>40018305</v>
      </c>
      <c r="C562" t="s">
        <v>410</v>
      </c>
      <c r="D562" t="s">
        <v>351</v>
      </c>
      <c r="E562" s="3">
        <v>44760</v>
      </c>
      <c r="F562" s="49">
        <v>1</v>
      </c>
      <c r="G562" s="49">
        <v>749.75</v>
      </c>
      <c r="H562" t="str">
        <f>IFERROR(VLOOKUP(D562,'SKU Maintenance'!L:O,3,0),"BP not found")</f>
        <v>C-UTX003</v>
      </c>
    </row>
    <row r="563" spans="1:8" x14ac:dyDescent="0.25">
      <c r="A563" t="str">
        <f>IFERROR(VLOOKUP(B563&amp; "*",'SKU Maintenance'!D:H,5,0),"not found")</f>
        <v>2010010898130054</v>
      </c>
      <c r="B563">
        <v>40018307</v>
      </c>
      <c r="C563" t="s">
        <v>306</v>
      </c>
      <c r="D563" t="s">
        <v>233</v>
      </c>
      <c r="E563" s="3">
        <v>44761</v>
      </c>
      <c r="F563" s="49">
        <v>1</v>
      </c>
      <c r="G563" s="49">
        <v>1299.75</v>
      </c>
      <c r="H563" t="str">
        <f>IFERROR(VLOOKUP(D563,'SKU Maintenance'!L:O,3,0),"BP not found")</f>
        <v>C-UTX002</v>
      </c>
    </row>
    <row r="564" spans="1:8" x14ac:dyDescent="0.25">
      <c r="A564" t="str">
        <f>IFERROR(VLOOKUP(B564&amp; "*",'SKU Maintenance'!D:H,5,0),"not found")</f>
        <v>2010010298180015</v>
      </c>
      <c r="B564">
        <v>40018347</v>
      </c>
      <c r="C564" t="s">
        <v>175</v>
      </c>
      <c r="D564" t="s">
        <v>233</v>
      </c>
      <c r="E564" s="3">
        <v>44773</v>
      </c>
      <c r="F564" s="49">
        <v>2</v>
      </c>
      <c r="G564" s="49">
        <v>899.55000000000007</v>
      </c>
      <c r="H564" t="str">
        <f>IFERROR(VLOOKUP(D564,'SKU Maintenance'!L:O,3,0),"BP not found")</f>
        <v>C-UTX002</v>
      </c>
    </row>
    <row r="565" spans="1:8" x14ac:dyDescent="0.25">
      <c r="A565" t="str">
        <f>IFERROR(VLOOKUP(B565&amp; "*",'SKU Maintenance'!D:H,5,0),"not found")</f>
        <v>2010020198168155</v>
      </c>
      <c r="B565">
        <v>40018352</v>
      </c>
      <c r="C565" t="s">
        <v>350</v>
      </c>
      <c r="D565" t="s">
        <v>233</v>
      </c>
      <c r="E565" s="3">
        <v>44773</v>
      </c>
      <c r="F565" s="49">
        <v>1</v>
      </c>
      <c r="G565" s="49">
        <v>599.75</v>
      </c>
      <c r="H565" t="str">
        <f>IFERROR(VLOOKUP(D565,'SKU Maintenance'!L:O,3,0),"BP not found")</f>
        <v>C-UTX002</v>
      </c>
    </row>
    <row r="566" spans="1:8" x14ac:dyDescent="0.25">
      <c r="A566" t="str">
        <f>IFERROR(VLOOKUP(B566&amp; "*",'SKU Maintenance'!D:H,5,0),"not found")</f>
        <v>2010010104180033</v>
      </c>
      <c r="B566">
        <v>40018353</v>
      </c>
      <c r="C566" t="s">
        <v>194</v>
      </c>
      <c r="D566" t="s">
        <v>48</v>
      </c>
      <c r="E566" s="3">
        <v>44766</v>
      </c>
      <c r="F566" s="49">
        <v>3</v>
      </c>
      <c r="G566" s="49">
        <v>599.25</v>
      </c>
      <c r="H566" t="str">
        <f>IFERROR(VLOOKUP(D566,'SKU Maintenance'!L:O,3,0),"BP not found")</f>
        <v>C-UTX001</v>
      </c>
    </row>
    <row r="567" spans="1:8" x14ac:dyDescent="0.25">
      <c r="A567" t="str">
        <f>IFERROR(VLOOKUP(B567&amp; "*",'SKU Maintenance'!D:H,5,0),"not found")</f>
        <v>2010010104220033</v>
      </c>
      <c r="B567">
        <v>40018354</v>
      </c>
      <c r="C567" t="s">
        <v>195</v>
      </c>
      <c r="D567" t="s">
        <v>48</v>
      </c>
      <c r="E567" s="3">
        <v>44766</v>
      </c>
      <c r="F567" s="49">
        <v>3</v>
      </c>
      <c r="G567" s="49">
        <v>599.25</v>
      </c>
      <c r="H567" t="str">
        <f>IFERROR(VLOOKUP(D567,'SKU Maintenance'!L:O,3,0),"BP not found")</f>
        <v>C-UTX001</v>
      </c>
    </row>
    <row r="568" spans="1:8" x14ac:dyDescent="0.25">
      <c r="A568" t="str">
        <f>IFERROR(VLOOKUP(B568&amp; "*",'SKU Maintenance'!D:H,5,0),"not found")</f>
        <v>2010010102220029</v>
      </c>
      <c r="B568">
        <v>40018360</v>
      </c>
      <c r="C568" t="s">
        <v>85</v>
      </c>
      <c r="D568" t="s">
        <v>48</v>
      </c>
      <c r="E568" s="3">
        <v>44747</v>
      </c>
      <c r="F568" s="49">
        <v>1</v>
      </c>
      <c r="G568" s="49">
        <v>149.75</v>
      </c>
      <c r="H568" t="str">
        <f>IFERROR(VLOOKUP(D568,'SKU Maintenance'!L:O,3,0),"BP not found")</f>
        <v>C-UTX001</v>
      </c>
    </row>
    <row r="569" spans="1:8" x14ac:dyDescent="0.25">
      <c r="A569" t="str">
        <f>IFERROR(VLOOKUP(B569&amp; "*",'SKU Maintenance'!D:H,5,0),"not found")</f>
        <v>2010010102220029</v>
      </c>
      <c r="B569">
        <v>40018360</v>
      </c>
      <c r="C569" t="s">
        <v>85</v>
      </c>
      <c r="D569" t="s">
        <v>48</v>
      </c>
      <c r="E569" s="3">
        <v>44753</v>
      </c>
      <c r="F569" s="49">
        <v>2</v>
      </c>
      <c r="G569" s="49">
        <v>299.5</v>
      </c>
      <c r="H569" t="str">
        <f>IFERROR(VLOOKUP(D569,'SKU Maintenance'!L:O,3,0),"BP not found")</f>
        <v>C-UTX001</v>
      </c>
    </row>
    <row r="570" spans="1:8" x14ac:dyDescent="0.25">
      <c r="A570" t="str">
        <f>IFERROR(VLOOKUP(B570&amp; "*",'SKU Maintenance'!D:H,5,0),"not found")</f>
        <v>2010010103180029</v>
      </c>
      <c r="B570">
        <v>40018361</v>
      </c>
      <c r="C570" t="s">
        <v>369</v>
      </c>
      <c r="D570" t="s">
        <v>351</v>
      </c>
      <c r="E570" s="3">
        <v>44750</v>
      </c>
      <c r="F570" s="49">
        <v>1</v>
      </c>
      <c r="G570" s="49">
        <v>199.75</v>
      </c>
      <c r="H570" t="str">
        <f>IFERROR(VLOOKUP(D570,'SKU Maintenance'!L:O,3,0),"BP not found")</f>
        <v>C-UTX003</v>
      </c>
    </row>
    <row r="571" spans="1:8" x14ac:dyDescent="0.25">
      <c r="A571" t="str">
        <f>IFERROR(VLOOKUP(B571&amp; "*",'SKU Maintenance'!D:H,5,0),"not found")</f>
        <v>2010010103220029</v>
      </c>
      <c r="B571">
        <v>40018363</v>
      </c>
      <c r="C571" t="s">
        <v>242</v>
      </c>
      <c r="D571" t="s">
        <v>233</v>
      </c>
      <c r="E571" s="3">
        <v>44744</v>
      </c>
      <c r="F571" s="49">
        <v>1</v>
      </c>
      <c r="G571" s="49">
        <v>179.77500000000001</v>
      </c>
      <c r="H571" t="str">
        <f>IFERROR(VLOOKUP(D571,'SKU Maintenance'!L:O,3,0),"BP not found")</f>
        <v>C-UTX002</v>
      </c>
    </row>
    <row r="572" spans="1:8" x14ac:dyDescent="0.25">
      <c r="A572" t="str">
        <f>IFERROR(VLOOKUP(B572&amp; "*",'SKU Maintenance'!D:H,5,0),"not found")</f>
        <v>2010010104160029</v>
      </c>
      <c r="B572">
        <v>40018365</v>
      </c>
      <c r="C572" t="s">
        <v>434</v>
      </c>
      <c r="D572" t="s">
        <v>433</v>
      </c>
      <c r="E572" s="3">
        <v>44744</v>
      </c>
      <c r="F572" s="49">
        <v>2</v>
      </c>
      <c r="G572" s="49">
        <v>539.55000000000007</v>
      </c>
      <c r="H572" t="str">
        <f>IFERROR(VLOOKUP(D572,'SKU Maintenance'!L:O,3,0),"BP not found")</f>
        <v>C-UTX004</v>
      </c>
    </row>
    <row r="573" spans="1:8" x14ac:dyDescent="0.25">
      <c r="A573" t="str">
        <f>IFERROR(VLOOKUP(B573&amp; "*",'SKU Maintenance'!D:H,5,0),"not found")</f>
        <v>2010010104220029</v>
      </c>
      <c r="B573">
        <v>40018366</v>
      </c>
      <c r="C573" t="s">
        <v>246</v>
      </c>
      <c r="D573" t="s">
        <v>233</v>
      </c>
      <c r="E573" s="3">
        <v>44745</v>
      </c>
      <c r="F573" s="49">
        <v>1</v>
      </c>
      <c r="G573" s="49">
        <v>269.77500000000003</v>
      </c>
      <c r="H573" t="str">
        <f>IFERROR(VLOOKUP(D573,'SKU Maintenance'!L:O,3,0),"BP not found")</f>
        <v>C-UTX002</v>
      </c>
    </row>
    <row r="574" spans="1:8" x14ac:dyDescent="0.25">
      <c r="A574" t="str">
        <f>IFERROR(VLOOKUP(B574&amp; "*",'SKU Maintenance'!D:H,5,0),"not found")</f>
        <v>2010010104160033</v>
      </c>
      <c r="B574">
        <v>40018372</v>
      </c>
      <c r="C574" t="s">
        <v>437</v>
      </c>
      <c r="D574" t="s">
        <v>433</v>
      </c>
      <c r="E574" s="3">
        <v>44748</v>
      </c>
      <c r="F574" s="49">
        <v>1</v>
      </c>
      <c r="G574" s="49">
        <v>199.75</v>
      </c>
      <c r="H574" t="str">
        <f>IFERROR(VLOOKUP(D574,'SKU Maintenance'!L:O,3,0),"BP not found")</f>
        <v>C-UTX004</v>
      </c>
    </row>
    <row r="575" spans="1:8" x14ac:dyDescent="0.25">
      <c r="A575" t="str">
        <f>IFERROR(VLOOKUP(B575&amp; "*",'SKU Maintenance'!D:H,5,0),"not found")</f>
        <v>2010020103178170</v>
      </c>
      <c r="B575">
        <v>40018572</v>
      </c>
      <c r="C575" t="s">
        <v>341</v>
      </c>
      <c r="D575" t="s">
        <v>351</v>
      </c>
      <c r="E575" s="3">
        <v>44757</v>
      </c>
      <c r="F575" s="49">
        <v>1</v>
      </c>
      <c r="G575" s="49">
        <v>999.75</v>
      </c>
      <c r="H575" t="str">
        <f>IFERROR(VLOOKUP(D575,'SKU Maintenance'!L:O,3,0),"BP not found")</f>
        <v>C-UTX003</v>
      </c>
    </row>
    <row r="576" spans="1:8" x14ac:dyDescent="0.25">
      <c r="A576" t="str">
        <f>IFERROR(VLOOKUP(B576&amp; "*",'SKU Maintenance'!D:H,5,0),"not found")</f>
        <v>2010020103138171</v>
      </c>
      <c r="B576">
        <v>40018573</v>
      </c>
      <c r="C576" t="s">
        <v>341</v>
      </c>
      <c r="D576" t="s">
        <v>233</v>
      </c>
      <c r="E576" s="3">
        <v>44769</v>
      </c>
      <c r="F576" s="49">
        <v>1</v>
      </c>
      <c r="G576" s="49">
        <v>999.75</v>
      </c>
      <c r="H576" t="str">
        <f>IFERROR(VLOOKUP(D576,'SKU Maintenance'!L:O,3,0),"BP not found")</f>
        <v>C-UTX002</v>
      </c>
    </row>
    <row r="577" spans="1:8" x14ac:dyDescent="0.25">
      <c r="A577" t="str">
        <f>IFERROR(VLOOKUP(B577&amp; "*",'SKU Maintenance'!D:H,5,0),"not found")</f>
        <v>2010020103138171</v>
      </c>
      <c r="B577">
        <v>40018573</v>
      </c>
      <c r="C577" t="s">
        <v>341</v>
      </c>
      <c r="D577" t="s">
        <v>351</v>
      </c>
      <c r="E577" s="3">
        <v>44758</v>
      </c>
      <c r="F577" s="49">
        <v>1</v>
      </c>
      <c r="G577" s="49">
        <v>999.75</v>
      </c>
      <c r="H577" t="str">
        <f>IFERROR(VLOOKUP(D577,'SKU Maintenance'!L:O,3,0),"BP not found")</f>
        <v>C-UTX003</v>
      </c>
    </row>
    <row r="578" spans="1:8" x14ac:dyDescent="0.25">
      <c r="A578" t="str">
        <f>IFERROR(VLOOKUP(B578&amp; "*",'SKU Maintenance'!D:H,5,0),"not found")</f>
        <v>2010020198178162</v>
      </c>
      <c r="B578">
        <v>40018574</v>
      </c>
      <c r="C578" t="s">
        <v>262</v>
      </c>
      <c r="D578" t="s">
        <v>233</v>
      </c>
      <c r="E578" s="3">
        <v>44747</v>
      </c>
      <c r="F578" s="49">
        <v>1</v>
      </c>
      <c r="G578" s="49">
        <v>999.75</v>
      </c>
      <c r="H578" t="str">
        <f>IFERROR(VLOOKUP(D578,'SKU Maintenance'!L:O,3,0),"BP not found")</f>
        <v>C-UTX002</v>
      </c>
    </row>
    <row r="579" spans="1:8" x14ac:dyDescent="0.25">
      <c r="A579" t="str">
        <f>IFERROR(VLOOKUP(B579&amp; "*",'SKU Maintenance'!D:H,5,0),"not found")</f>
        <v>2010020198178163</v>
      </c>
      <c r="B579">
        <v>40018576</v>
      </c>
      <c r="C579" t="s">
        <v>310</v>
      </c>
      <c r="D579" t="s">
        <v>233</v>
      </c>
      <c r="E579" s="3">
        <v>44761</v>
      </c>
      <c r="F579" s="49">
        <v>1</v>
      </c>
      <c r="G579" s="49">
        <v>999.75</v>
      </c>
      <c r="H579" t="str">
        <f>IFERROR(VLOOKUP(D579,'SKU Maintenance'!L:O,3,0),"BP not found")</f>
        <v>C-UTX002</v>
      </c>
    </row>
    <row r="580" spans="1:8" x14ac:dyDescent="0.25">
      <c r="A580" t="str">
        <f>IFERROR(VLOOKUP(B580&amp; "*",'SKU Maintenance'!D:H,5,0),"not found")</f>
        <v>2010010298160015</v>
      </c>
      <c r="B580">
        <v>40018586</v>
      </c>
      <c r="C580" t="s">
        <v>175</v>
      </c>
      <c r="D580" t="s">
        <v>48</v>
      </c>
      <c r="E580" s="3">
        <v>44763</v>
      </c>
      <c r="F580" s="49">
        <v>1</v>
      </c>
      <c r="G580" s="49">
        <v>499.75</v>
      </c>
      <c r="H580" t="str">
        <f>IFERROR(VLOOKUP(D580,'SKU Maintenance'!L:O,3,0),"BP not found")</f>
        <v>C-UTX001</v>
      </c>
    </row>
    <row r="581" spans="1:8" x14ac:dyDescent="0.25">
      <c r="A581" t="str">
        <f>IFERROR(VLOOKUP(B581&amp; "*",'SKU Maintenance'!D:H,5,0),"not found")</f>
        <v>2010010298160015</v>
      </c>
      <c r="B581">
        <v>40018586</v>
      </c>
      <c r="C581" t="s">
        <v>175</v>
      </c>
      <c r="D581" t="s">
        <v>233</v>
      </c>
      <c r="E581" s="3">
        <v>44745</v>
      </c>
      <c r="F581" s="49">
        <v>1</v>
      </c>
      <c r="G581" s="49">
        <v>449.77500000000003</v>
      </c>
      <c r="H581" t="str">
        <f>IFERROR(VLOOKUP(D581,'SKU Maintenance'!L:O,3,0),"BP not found")</f>
        <v>C-UTX002</v>
      </c>
    </row>
    <row r="582" spans="1:8" x14ac:dyDescent="0.25">
      <c r="A582" t="str">
        <f>IFERROR(VLOOKUP(B582&amp; "*",'SKU Maintenance'!D:H,5,0),"not found")</f>
        <v>2010020101178166</v>
      </c>
      <c r="B582">
        <v>40018589</v>
      </c>
      <c r="C582" t="s">
        <v>53</v>
      </c>
      <c r="D582" t="s">
        <v>48</v>
      </c>
      <c r="E582" s="3">
        <v>44743</v>
      </c>
      <c r="F582" s="49">
        <v>1</v>
      </c>
      <c r="G582" s="49">
        <v>699.75</v>
      </c>
      <c r="H582" t="str">
        <f>IFERROR(VLOOKUP(D582,'SKU Maintenance'!L:O,3,0),"BP not found")</f>
        <v>C-UTX001</v>
      </c>
    </row>
    <row r="583" spans="1:8" x14ac:dyDescent="0.25">
      <c r="A583" t="str">
        <f>IFERROR(VLOOKUP(B583&amp; "*",'SKU Maintenance'!D:H,5,0),"not found")</f>
        <v>2010020101178166</v>
      </c>
      <c r="B583">
        <v>40018589</v>
      </c>
      <c r="C583" t="s">
        <v>53</v>
      </c>
      <c r="D583" t="s">
        <v>233</v>
      </c>
      <c r="E583" s="3">
        <v>44769</v>
      </c>
      <c r="F583" s="49">
        <v>1</v>
      </c>
      <c r="G583" s="49">
        <v>699.75</v>
      </c>
      <c r="H583" t="str">
        <f>IFERROR(VLOOKUP(D583,'SKU Maintenance'!L:O,3,0),"BP not found")</f>
        <v>C-UTX002</v>
      </c>
    </row>
    <row r="584" spans="1:8" x14ac:dyDescent="0.25">
      <c r="A584" t="str">
        <f>IFERROR(VLOOKUP(B584&amp; "*",'SKU Maintenance'!D:H,5,0),"not found")</f>
        <v>2010020101178166</v>
      </c>
      <c r="B584">
        <v>40018589</v>
      </c>
      <c r="C584" t="s">
        <v>53</v>
      </c>
      <c r="D584" t="s">
        <v>233</v>
      </c>
      <c r="E584" s="3">
        <v>44773</v>
      </c>
      <c r="F584" s="49">
        <v>1</v>
      </c>
      <c r="G584" s="49">
        <v>699.75</v>
      </c>
      <c r="H584" t="str">
        <f>IFERROR(VLOOKUP(D584,'SKU Maintenance'!L:O,3,0),"BP not found")</f>
        <v>C-UTX002</v>
      </c>
    </row>
    <row r="585" spans="1:8" x14ac:dyDescent="0.25">
      <c r="A585" t="str">
        <f>IFERROR(VLOOKUP(B585&amp; "*",'SKU Maintenance'!D:H,5,0),"not found")</f>
        <v>2010020198168162</v>
      </c>
      <c r="B585">
        <v>40018590</v>
      </c>
      <c r="C585" t="s">
        <v>274</v>
      </c>
      <c r="D585" t="s">
        <v>233</v>
      </c>
      <c r="E585" s="3">
        <v>44751</v>
      </c>
      <c r="F585" s="49">
        <v>1</v>
      </c>
      <c r="G585" s="49">
        <v>999.75</v>
      </c>
      <c r="H585" t="str">
        <f>IFERROR(VLOOKUP(D585,'SKU Maintenance'!L:O,3,0),"BP not found")</f>
        <v>C-UTX002</v>
      </c>
    </row>
    <row r="586" spans="1:8" x14ac:dyDescent="0.25">
      <c r="A586" t="str">
        <f>IFERROR(VLOOKUP(B586&amp; "*",'SKU Maintenance'!D:H,5,0),"not found")</f>
        <v>2010020102178168</v>
      </c>
      <c r="B586">
        <v>40018592</v>
      </c>
      <c r="C586" t="s">
        <v>163</v>
      </c>
      <c r="D586" t="s">
        <v>233</v>
      </c>
      <c r="E586" s="3">
        <v>44761</v>
      </c>
      <c r="F586" s="49">
        <v>2</v>
      </c>
      <c r="G586" s="49">
        <v>1999.5</v>
      </c>
      <c r="H586" t="str">
        <f>IFERROR(VLOOKUP(D586,'SKU Maintenance'!L:O,3,0),"BP not found")</f>
        <v>C-UTX002</v>
      </c>
    </row>
    <row r="587" spans="1:8" x14ac:dyDescent="0.25">
      <c r="A587" t="str">
        <f>IFERROR(VLOOKUP(B587&amp; "*",'SKU Maintenance'!D:H,5,0),"not found")</f>
        <v>2010020102138169</v>
      </c>
      <c r="B587">
        <v>40018593</v>
      </c>
      <c r="C587" t="s">
        <v>163</v>
      </c>
      <c r="D587" t="s">
        <v>48</v>
      </c>
      <c r="E587" s="3">
        <v>44758</v>
      </c>
      <c r="F587" s="49">
        <v>1</v>
      </c>
      <c r="G587" s="49">
        <v>999.75</v>
      </c>
      <c r="H587" t="str">
        <f>IFERROR(VLOOKUP(D587,'SKU Maintenance'!L:O,3,0),"BP not found")</f>
        <v>C-UTX001</v>
      </c>
    </row>
    <row r="588" spans="1:8" x14ac:dyDescent="0.25">
      <c r="A588" t="str">
        <f>IFERROR(VLOOKUP(B588&amp; "*",'SKU Maintenance'!D:H,5,0),"not found")</f>
        <v>2010051098070604</v>
      </c>
      <c r="B588">
        <v>40018700</v>
      </c>
      <c r="C588" t="s">
        <v>216</v>
      </c>
      <c r="D588" t="s">
        <v>48</v>
      </c>
      <c r="E588" s="3">
        <v>44771</v>
      </c>
      <c r="F588" s="49">
        <v>1</v>
      </c>
      <c r="G588" s="49">
        <v>599.75</v>
      </c>
      <c r="H588" t="str">
        <f>IFERROR(VLOOKUP(D588,'SKU Maintenance'!L:O,3,0),"BP not found")</f>
        <v>C-UTX001</v>
      </c>
    </row>
    <row r="589" spans="1:8" x14ac:dyDescent="0.25">
      <c r="A589" t="str">
        <f>IFERROR(VLOOKUP(B589&amp; "*",'SKU Maintenance'!D:H,5,0),"not found")</f>
        <v>2010051098020604</v>
      </c>
      <c r="B589">
        <v>40018701</v>
      </c>
      <c r="C589" t="s">
        <v>415</v>
      </c>
      <c r="D589" t="s">
        <v>351</v>
      </c>
      <c r="E589" s="3">
        <v>44765</v>
      </c>
      <c r="F589" s="49">
        <v>1</v>
      </c>
      <c r="G589" s="49">
        <v>599.75</v>
      </c>
      <c r="H589" t="str">
        <f>IFERROR(VLOOKUP(D589,'SKU Maintenance'!L:O,3,0),"BP not found")</f>
        <v>C-UTX003</v>
      </c>
    </row>
    <row r="590" spans="1:8" x14ac:dyDescent="0.25">
      <c r="A590" t="str">
        <f>IFERROR(VLOOKUP(B590&amp; "*",'SKU Maintenance'!D:H,5,0),"not found")</f>
        <v>2010051098020604</v>
      </c>
      <c r="B590">
        <v>40018701</v>
      </c>
      <c r="C590" t="s">
        <v>415</v>
      </c>
      <c r="D590" t="s">
        <v>433</v>
      </c>
      <c r="E590" s="3">
        <v>44763</v>
      </c>
      <c r="F590" s="49">
        <v>1</v>
      </c>
      <c r="G590" s="49">
        <v>599.75</v>
      </c>
      <c r="H590" t="str">
        <f>IFERROR(VLOOKUP(D590,'SKU Maintenance'!L:O,3,0),"BP not found")</f>
        <v>C-UTX004</v>
      </c>
    </row>
    <row r="591" spans="1:8" x14ac:dyDescent="0.25">
      <c r="A591" t="str">
        <f>IFERROR(VLOOKUP(B591&amp; "*",'SKU Maintenance'!D:H,5,0),"not found")</f>
        <v>2010051098100604</v>
      </c>
      <c r="B591">
        <v>40018702</v>
      </c>
      <c r="C591" t="s">
        <v>87</v>
      </c>
      <c r="D591" t="s">
        <v>48</v>
      </c>
      <c r="E591" s="3">
        <v>44747</v>
      </c>
      <c r="F591" s="49">
        <v>1</v>
      </c>
      <c r="G591" s="49">
        <v>599.75</v>
      </c>
      <c r="H591" t="str">
        <f>IFERROR(VLOOKUP(D591,'SKU Maintenance'!L:O,3,0),"BP not found")</f>
        <v>C-UTX001</v>
      </c>
    </row>
    <row r="592" spans="1:8" x14ac:dyDescent="0.25">
      <c r="A592" t="str">
        <f>IFERROR(VLOOKUP(B592&amp; "*",'SKU Maintenance'!D:H,5,0),"not found")</f>
        <v>2010051098100604</v>
      </c>
      <c r="B592">
        <v>40018702</v>
      </c>
      <c r="C592" t="s">
        <v>87</v>
      </c>
      <c r="D592" t="s">
        <v>233</v>
      </c>
      <c r="E592" s="3">
        <v>44762</v>
      </c>
      <c r="F592" s="49">
        <v>1</v>
      </c>
      <c r="G592" s="49">
        <v>599.75</v>
      </c>
      <c r="H592" t="str">
        <f>IFERROR(VLOOKUP(D592,'SKU Maintenance'!L:O,3,0),"BP not found")</f>
        <v>C-UTX002</v>
      </c>
    </row>
    <row r="593" spans="1:8" x14ac:dyDescent="0.25">
      <c r="A593" t="str">
        <f>IFERROR(VLOOKUP(B593&amp; "*",'SKU Maintenance'!D:H,5,0),"not found")</f>
        <v>2010051098100604</v>
      </c>
      <c r="B593">
        <v>40018702</v>
      </c>
      <c r="C593" t="s">
        <v>87</v>
      </c>
      <c r="D593" t="s">
        <v>433</v>
      </c>
      <c r="E593" s="3">
        <v>44773</v>
      </c>
      <c r="F593" s="49">
        <v>1</v>
      </c>
      <c r="G593" s="49">
        <v>599.75</v>
      </c>
      <c r="H593" t="str">
        <f>IFERROR(VLOOKUP(D593,'SKU Maintenance'!L:O,3,0),"BP not found")</f>
        <v>C-UTX004</v>
      </c>
    </row>
    <row r="594" spans="1:8" x14ac:dyDescent="0.25">
      <c r="A594" t="str">
        <f>IFERROR(VLOOKUP(B594&amp; "*",'SKU Maintenance'!D:H,5,0),"not found")</f>
        <v>2010051098030605</v>
      </c>
      <c r="B594">
        <v>40018706</v>
      </c>
      <c r="C594" t="s">
        <v>88</v>
      </c>
      <c r="D594" t="s">
        <v>48</v>
      </c>
      <c r="E594" s="3">
        <v>44747</v>
      </c>
      <c r="F594" s="49">
        <v>1</v>
      </c>
      <c r="G594" s="49">
        <v>599.75</v>
      </c>
      <c r="H594" t="str">
        <f>IFERROR(VLOOKUP(D594,'SKU Maintenance'!L:O,3,0),"BP not found")</f>
        <v>C-UTX001</v>
      </c>
    </row>
    <row r="595" spans="1:8" x14ac:dyDescent="0.25">
      <c r="A595" t="str">
        <f>IFERROR(VLOOKUP(B595&amp; "*",'SKU Maintenance'!D:H,5,0),"not found")</f>
        <v>2010051098030605</v>
      </c>
      <c r="B595">
        <v>40018706</v>
      </c>
      <c r="C595" t="s">
        <v>88</v>
      </c>
      <c r="D595" t="s">
        <v>48</v>
      </c>
      <c r="E595" s="3">
        <v>44749</v>
      </c>
      <c r="F595" s="49">
        <v>1</v>
      </c>
      <c r="G595" s="49">
        <v>599.75</v>
      </c>
      <c r="H595" t="str">
        <f>IFERROR(VLOOKUP(D595,'SKU Maintenance'!L:O,3,0),"BP not found")</f>
        <v>C-UTX001</v>
      </c>
    </row>
    <row r="596" spans="1:8" x14ac:dyDescent="0.25">
      <c r="A596" t="str">
        <f>IFERROR(VLOOKUP(B596&amp; "*",'SKU Maintenance'!D:H,5,0),"not found")</f>
        <v>2010051098030605</v>
      </c>
      <c r="B596">
        <v>40018706</v>
      </c>
      <c r="C596" t="s">
        <v>88</v>
      </c>
      <c r="D596" t="s">
        <v>48</v>
      </c>
      <c r="E596" s="3">
        <v>44768</v>
      </c>
      <c r="F596" s="49">
        <v>1</v>
      </c>
      <c r="G596" s="49">
        <v>599.75</v>
      </c>
      <c r="H596" t="str">
        <f>IFERROR(VLOOKUP(D596,'SKU Maintenance'!L:O,3,0),"BP not found")</f>
        <v>C-UTX001</v>
      </c>
    </row>
    <row r="597" spans="1:8" x14ac:dyDescent="0.25">
      <c r="A597" t="str">
        <f>IFERROR(VLOOKUP(B597&amp; "*",'SKU Maintenance'!D:H,5,0),"not found")</f>
        <v>2010051098030605</v>
      </c>
      <c r="B597">
        <v>40018706</v>
      </c>
      <c r="C597" t="s">
        <v>88</v>
      </c>
      <c r="D597" t="s">
        <v>433</v>
      </c>
      <c r="E597" s="3">
        <v>44756</v>
      </c>
      <c r="F597" s="49">
        <v>2</v>
      </c>
      <c r="G597" s="49">
        <v>1199.5</v>
      </c>
      <c r="H597" t="str">
        <f>IFERROR(VLOOKUP(D597,'SKU Maintenance'!L:O,3,0),"BP not found")</f>
        <v>C-UTX004</v>
      </c>
    </row>
    <row r="598" spans="1:8" x14ac:dyDescent="0.25">
      <c r="A598" t="str">
        <f>IFERROR(VLOOKUP(B598&amp; "*",'SKU Maintenance'!D:H,5,0),"not found")</f>
        <v>2010051098030605</v>
      </c>
      <c r="B598">
        <v>40018706</v>
      </c>
      <c r="C598" t="s">
        <v>88</v>
      </c>
      <c r="D598" t="s">
        <v>433</v>
      </c>
      <c r="E598" s="3">
        <v>44773</v>
      </c>
      <c r="F598" s="49">
        <v>1</v>
      </c>
      <c r="G598" s="49">
        <v>599.75</v>
      </c>
      <c r="H598" t="str">
        <f>IFERROR(VLOOKUP(D598,'SKU Maintenance'!L:O,3,0),"BP not found")</f>
        <v>C-UTX004</v>
      </c>
    </row>
    <row r="599" spans="1:8" x14ac:dyDescent="0.25">
      <c r="A599" t="str">
        <f>IFERROR(VLOOKUP(B599&amp; "*",'SKU Maintenance'!D:H,5,0),"not found")</f>
        <v>2010051098070605</v>
      </c>
      <c r="B599">
        <v>40018707</v>
      </c>
      <c r="C599" t="s">
        <v>89</v>
      </c>
      <c r="D599" t="s">
        <v>48</v>
      </c>
      <c r="E599" s="3">
        <v>44747</v>
      </c>
      <c r="F599" s="49">
        <v>2</v>
      </c>
      <c r="G599" s="49">
        <v>1199.5</v>
      </c>
      <c r="H599" t="str">
        <f>IFERROR(VLOOKUP(D599,'SKU Maintenance'!L:O,3,0),"BP not found")</f>
        <v>C-UTX001</v>
      </c>
    </row>
    <row r="600" spans="1:8" x14ac:dyDescent="0.25">
      <c r="A600" t="str">
        <f>IFERROR(VLOOKUP(B600&amp; "*",'SKU Maintenance'!D:H,5,0),"not found")</f>
        <v>2010051098070605</v>
      </c>
      <c r="B600">
        <v>40018707</v>
      </c>
      <c r="C600" t="s">
        <v>89</v>
      </c>
      <c r="D600" t="s">
        <v>48</v>
      </c>
      <c r="E600" s="3">
        <v>44773</v>
      </c>
      <c r="F600" s="49">
        <v>1</v>
      </c>
      <c r="G600" s="49">
        <v>599.75</v>
      </c>
      <c r="H600" t="str">
        <f>IFERROR(VLOOKUP(D600,'SKU Maintenance'!L:O,3,0),"BP not found")</f>
        <v>C-UTX001</v>
      </c>
    </row>
    <row r="601" spans="1:8" x14ac:dyDescent="0.25">
      <c r="A601" t="str">
        <f>IFERROR(VLOOKUP(B601&amp; "*",'SKU Maintenance'!D:H,5,0),"not found")</f>
        <v>2010051098070605</v>
      </c>
      <c r="B601">
        <v>40018707</v>
      </c>
      <c r="C601" t="s">
        <v>89</v>
      </c>
      <c r="D601" t="s">
        <v>233</v>
      </c>
      <c r="E601" s="3">
        <v>44772</v>
      </c>
      <c r="F601" s="49">
        <v>1</v>
      </c>
      <c r="G601" s="49">
        <v>599.75</v>
      </c>
      <c r="H601" t="str">
        <f>IFERROR(VLOOKUP(D601,'SKU Maintenance'!L:O,3,0),"BP not found")</f>
        <v>C-UTX002</v>
      </c>
    </row>
    <row r="602" spans="1:8" x14ac:dyDescent="0.25">
      <c r="A602" t="str">
        <f>IFERROR(VLOOKUP(B602&amp; "*",'SKU Maintenance'!D:H,5,0),"not found")</f>
        <v>2010051098070605</v>
      </c>
      <c r="B602">
        <v>40018707</v>
      </c>
      <c r="C602" t="s">
        <v>89</v>
      </c>
      <c r="D602" t="s">
        <v>433</v>
      </c>
      <c r="E602" s="3">
        <v>44744</v>
      </c>
      <c r="F602" s="49">
        <v>1</v>
      </c>
      <c r="G602" s="49">
        <v>599.75</v>
      </c>
      <c r="H602" t="str">
        <f>IFERROR(VLOOKUP(D602,'SKU Maintenance'!L:O,3,0),"BP not found")</f>
        <v>C-UTX004</v>
      </c>
    </row>
    <row r="603" spans="1:8" x14ac:dyDescent="0.25">
      <c r="A603" t="str">
        <f>IFERROR(VLOOKUP(B603&amp; "*",'SKU Maintenance'!D:H,5,0),"not found")</f>
        <v>2010051098070605</v>
      </c>
      <c r="B603">
        <v>40018707</v>
      </c>
      <c r="C603" t="s">
        <v>89</v>
      </c>
      <c r="D603" t="s">
        <v>433</v>
      </c>
      <c r="E603" s="3">
        <v>44753</v>
      </c>
      <c r="F603" s="49">
        <v>1</v>
      </c>
      <c r="G603" s="49">
        <v>599.75</v>
      </c>
      <c r="H603" t="str">
        <f>IFERROR(VLOOKUP(D603,'SKU Maintenance'!L:O,3,0),"BP not found")</f>
        <v>C-UTX004</v>
      </c>
    </row>
    <row r="604" spans="1:8" x14ac:dyDescent="0.25">
      <c r="A604" t="str">
        <f>IFERROR(VLOOKUP(B604&amp; "*",'SKU Maintenance'!D:H,5,0),"not found")</f>
        <v>2010051098070605</v>
      </c>
      <c r="B604">
        <v>40018707</v>
      </c>
      <c r="C604" t="s">
        <v>89</v>
      </c>
      <c r="D604" t="s">
        <v>433</v>
      </c>
      <c r="E604" s="3">
        <v>44763</v>
      </c>
      <c r="F604" s="49">
        <v>1</v>
      </c>
      <c r="G604" s="49">
        <v>599.75</v>
      </c>
      <c r="H604" t="str">
        <f>IFERROR(VLOOKUP(D604,'SKU Maintenance'!L:O,3,0),"BP not found")</f>
        <v>C-UTX004</v>
      </c>
    </row>
    <row r="605" spans="1:8" x14ac:dyDescent="0.25">
      <c r="A605" t="str">
        <f>IFERROR(VLOOKUP(B605&amp; "*",'SKU Maintenance'!D:H,5,0),"not found")</f>
        <v>2010051098130605</v>
      </c>
      <c r="B605">
        <v>40018708</v>
      </c>
      <c r="C605" t="s">
        <v>268</v>
      </c>
      <c r="D605" t="s">
        <v>233</v>
      </c>
      <c r="E605" s="3">
        <v>44750</v>
      </c>
      <c r="F605" s="49">
        <v>1</v>
      </c>
      <c r="G605" s="49">
        <v>599.75</v>
      </c>
      <c r="H605" t="str">
        <f>IFERROR(VLOOKUP(D605,'SKU Maintenance'!L:O,3,0),"BP not found")</f>
        <v>C-UTX002</v>
      </c>
    </row>
    <row r="606" spans="1:8" x14ac:dyDescent="0.25">
      <c r="A606" t="str">
        <f>IFERROR(VLOOKUP(B606&amp; "*",'SKU Maintenance'!D:H,5,0),"not found")</f>
        <v>2010051098130605</v>
      </c>
      <c r="B606">
        <v>40018708</v>
      </c>
      <c r="C606" t="s">
        <v>268</v>
      </c>
      <c r="D606" t="s">
        <v>233</v>
      </c>
      <c r="E606" s="3">
        <v>44755</v>
      </c>
      <c r="F606" s="49">
        <v>1</v>
      </c>
      <c r="G606" s="49">
        <v>599.75</v>
      </c>
      <c r="H606" t="str">
        <f>IFERROR(VLOOKUP(D606,'SKU Maintenance'!L:O,3,0),"BP not found")</f>
        <v>C-UTX002</v>
      </c>
    </row>
    <row r="607" spans="1:8" x14ac:dyDescent="0.25">
      <c r="A607" t="str">
        <f>IFERROR(VLOOKUP(B607&amp; "*",'SKU Maintenance'!D:H,5,0),"not found")</f>
        <v>2010051098130605</v>
      </c>
      <c r="B607">
        <v>40018708</v>
      </c>
      <c r="C607" t="s">
        <v>268</v>
      </c>
      <c r="D607" t="s">
        <v>433</v>
      </c>
      <c r="E607" s="3">
        <v>44749</v>
      </c>
      <c r="F607" s="49">
        <v>2</v>
      </c>
      <c r="G607" s="49">
        <v>1199.5</v>
      </c>
      <c r="H607" t="str">
        <f>IFERROR(VLOOKUP(D607,'SKU Maintenance'!L:O,3,0),"BP not found")</f>
        <v>C-UTX004</v>
      </c>
    </row>
    <row r="608" spans="1:8" x14ac:dyDescent="0.25">
      <c r="A608" t="str">
        <f>IFERROR(VLOOKUP(B608&amp; "*",'SKU Maintenance'!D:H,5,0),"not found")</f>
        <v>2010051098130605</v>
      </c>
      <c r="B608">
        <v>40018708</v>
      </c>
      <c r="C608" t="s">
        <v>268</v>
      </c>
      <c r="D608" t="s">
        <v>433</v>
      </c>
      <c r="E608" s="3">
        <v>44753</v>
      </c>
      <c r="F608" s="49">
        <v>1</v>
      </c>
      <c r="G608" s="49">
        <v>599.75</v>
      </c>
      <c r="H608" t="str">
        <f>IFERROR(VLOOKUP(D608,'SKU Maintenance'!L:O,3,0),"BP not found")</f>
        <v>C-UTX004</v>
      </c>
    </row>
    <row r="609" spans="1:8" x14ac:dyDescent="0.25">
      <c r="A609" t="str">
        <f>IFERROR(VLOOKUP(B609&amp; "*",'SKU Maintenance'!D:H,5,0),"not found")</f>
        <v>2010070198040097</v>
      </c>
      <c r="B609">
        <v>40018812</v>
      </c>
      <c r="C609" t="s">
        <v>225</v>
      </c>
      <c r="D609" t="s">
        <v>48</v>
      </c>
      <c r="E609" s="3">
        <v>44773</v>
      </c>
      <c r="F609" s="49">
        <v>1</v>
      </c>
      <c r="G609" s="49">
        <v>199.75</v>
      </c>
      <c r="H609" t="str">
        <f>IFERROR(VLOOKUP(D609,'SKU Maintenance'!L:O,3,0),"BP not found")</f>
        <v>C-UTX001</v>
      </c>
    </row>
    <row r="610" spans="1:8" x14ac:dyDescent="0.25">
      <c r="A610" t="str">
        <f>IFERROR(VLOOKUP(B610&amp; "*",'SKU Maintenance'!D:H,5,0),"not found")</f>
        <v>2010070198040097</v>
      </c>
      <c r="B610">
        <v>40018812</v>
      </c>
      <c r="C610" t="s">
        <v>225</v>
      </c>
      <c r="D610" t="s">
        <v>351</v>
      </c>
      <c r="E610" s="3">
        <v>44755</v>
      </c>
      <c r="F610" s="49">
        <v>1</v>
      </c>
      <c r="G610" s="49">
        <v>199.75</v>
      </c>
      <c r="H610" t="str">
        <f>IFERROR(VLOOKUP(D610,'SKU Maintenance'!L:O,3,0),"BP not found")</f>
        <v>C-UTX003</v>
      </c>
    </row>
    <row r="611" spans="1:8" x14ac:dyDescent="0.25">
      <c r="A611" t="str">
        <f>IFERROR(VLOOKUP(B611&amp; "*",'SKU Maintenance'!D:H,5,0),"not found")</f>
        <v>2010070198040098</v>
      </c>
      <c r="B611">
        <v>40018813</v>
      </c>
      <c r="C611" t="s">
        <v>287</v>
      </c>
      <c r="D611" t="s">
        <v>233</v>
      </c>
      <c r="E611" s="3">
        <v>44756</v>
      </c>
      <c r="F611" s="49">
        <v>1</v>
      </c>
      <c r="G611" s="49">
        <v>199.75</v>
      </c>
      <c r="H611" t="str">
        <f>IFERROR(VLOOKUP(D611,'SKU Maintenance'!L:O,3,0),"BP not found")</f>
        <v>C-UTX002</v>
      </c>
    </row>
    <row r="612" spans="1:8" x14ac:dyDescent="0.25">
      <c r="A612" t="str">
        <f>IFERROR(VLOOKUP(B612&amp; "*",'SKU Maintenance'!D:H,5,0),"not found")</f>
        <v>2010070198040098</v>
      </c>
      <c r="B612">
        <v>40018813</v>
      </c>
      <c r="C612" t="s">
        <v>287</v>
      </c>
      <c r="D612" t="s">
        <v>351</v>
      </c>
      <c r="E612" s="3">
        <v>44771</v>
      </c>
      <c r="F612" s="49">
        <v>1</v>
      </c>
      <c r="G612" s="49">
        <v>199.75</v>
      </c>
      <c r="H612" t="str">
        <f>IFERROR(VLOOKUP(D612,'SKU Maintenance'!L:O,3,0),"BP not found")</f>
        <v>C-UTX003</v>
      </c>
    </row>
    <row r="613" spans="1:8" x14ac:dyDescent="0.25">
      <c r="A613" t="str">
        <f>IFERROR(VLOOKUP(B613&amp; "*",'SKU Maintenance'!D:H,5,0),"not found")</f>
        <v>2010070198010099</v>
      </c>
      <c r="B613">
        <v>40018814</v>
      </c>
      <c r="C613" t="s">
        <v>201</v>
      </c>
      <c r="D613" t="s">
        <v>48</v>
      </c>
      <c r="E613" s="3">
        <v>44767</v>
      </c>
      <c r="F613" s="49">
        <v>2</v>
      </c>
      <c r="G613" s="49">
        <v>599.5</v>
      </c>
      <c r="H613" t="str">
        <f>IFERROR(VLOOKUP(D613,'SKU Maintenance'!L:O,3,0),"BP not found")</f>
        <v>C-UTX001</v>
      </c>
    </row>
    <row r="614" spans="1:8" x14ac:dyDescent="0.25">
      <c r="A614" t="str">
        <f>IFERROR(VLOOKUP(B614&amp; "*",'SKU Maintenance'!D:H,5,0),"not found")</f>
        <v>2010070198040101</v>
      </c>
      <c r="B614">
        <v>40018816</v>
      </c>
      <c r="C614" t="s">
        <v>228</v>
      </c>
      <c r="D614" t="s">
        <v>48</v>
      </c>
      <c r="E614" s="3">
        <v>44773</v>
      </c>
      <c r="F614" s="49">
        <v>1</v>
      </c>
      <c r="G614" s="49">
        <v>299.75</v>
      </c>
      <c r="H614" t="str">
        <f>IFERROR(VLOOKUP(D614,'SKU Maintenance'!L:O,3,0),"BP not found")</f>
        <v>C-UTX001</v>
      </c>
    </row>
    <row r="615" spans="1:8" x14ac:dyDescent="0.25">
      <c r="A615" t="str">
        <f>IFERROR(VLOOKUP(B615&amp; "*",'SKU Maintenance'!D:H,5,0),"not found")</f>
        <v>2010070198040102</v>
      </c>
      <c r="B615">
        <v>40018817</v>
      </c>
      <c r="C615" t="s">
        <v>188</v>
      </c>
      <c r="D615" t="s">
        <v>48</v>
      </c>
      <c r="E615" s="3">
        <v>44765</v>
      </c>
      <c r="F615" s="49">
        <v>1</v>
      </c>
      <c r="G615" s="49">
        <v>399.75</v>
      </c>
      <c r="H615" t="str">
        <f>IFERROR(VLOOKUP(D615,'SKU Maintenance'!L:O,3,0),"BP not found")</f>
        <v>C-UTX001</v>
      </c>
    </row>
    <row r="616" spans="1:8" x14ac:dyDescent="0.25">
      <c r="A616" t="str">
        <f>IFERROR(VLOOKUP(B616&amp; "*",'SKU Maintenance'!D:H,5,0),"not found")</f>
        <v>2010070198040102</v>
      </c>
      <c r="B616">
        <v>40018817</v>
      </c>
      <c r="C616" t="s">
        <v>188</v>
      </c>
      <c r="D616" t="s">
        <v>351</v>
      </c>
      <c r="E616" s="3">
        <v>44772</v>
      </c>
      <c r="F616" s="49">
        <v>1</v>
      </c>
      <c r="G616" s="49">
        <v>399.75</v>
      </c>
      <c r="H616" t="str">
        <f>IFERROR(VLOOKUP(D616,'SKU Maintenance'!L:O,3,0),"BP not found")</f>
        <v>C-UTX003</v>
      </c>
    </row>
    <row r="617" spans="1:8" x14ac:dyDescent="0.25">
      <c r="A617" t="str">
        <f>IFERROR(VLOOKUP(B617&amp; "*",'SKU Maintenance'!D:H,5,0),"not found")</f>
        <v>2010070198040102</v>
      </c>
      <c r="B617">
        <v>40018817</v>
      </c>
      <c r="C617" t="s">
        <v>188</v>
      </c>
      <c r="D617" t="s">
        <v>433</v>
      </c>
      <c r="E617" s="3">
        <v>44753</v>
      </c>
      <c r="F617" s="49">
        <v>1</v>
      </c>
      <c r="G617" s="49">
        <v>399.75</v>
      </c>
      <c r="H617" t="str">
        <f>IFERROR(VLOOKUP(D617,'SKU Maintenance'!L:O,3,0),"BP not found")</f>
        <v>C-UTX004</v>
      </c>
    </row>
    <row r="618" spans="1:8" x14ac:dyDescent="0.25">
      <c r="A618" t="str">
        <f>IFERROR(VLOOKUP(B618&amp; "*",'SKU Maintenance'!D:H,5,0),"not found")</f>
        <v>2010070198040103</v>
      </c>
      <c r="B618">
        <v>40018818</v>
      </c>
      <c r="C618" t="s">
        <v>397</v>
      </c>
      <c r="D618" t="s">
        <v>351</v>
      </c>
      <c r="E618" s="3">
        <v>44754</v>
      </c>
      <c r="F618" s="49">
        <v>1</v>
      </c>
      <c r="G618" s="49">
        <v>399.75</v>
      </c>
      <c r="H618" t="str">
        <f>IFERROR(VLOOKUP(D618,'SKU Maintenance'!L:O,3,0),"BP not found")</f>
        <v>C-UTX003</v>
      </c>
    </row>
    <row r="619" spans="1:8" x14ac:dyDescent="0.25">
      <c r="A619" t="str">
        <f>IFERROR(VLOOKUP(B619&amp; "*",'SKU Maintenance'!D:H,5,0),"not found")</f>
        <v>2010070198040103</v>
      </c>
      <c r="B619">
        <v>40018818</v>
      </c>
      <c r="C619" t="s">
        <v>397</v>
      </c>
      <c r="D619" t="s">
        <v>351</v>
      </c>
      <c r="E619" s="3">
        <v>44769</v>
      </c>
      <c r="F619" s="49">
        <v>2</v>
      </c>
      <c r="G619" s="49">
        <v>799.5</v>
      </c>
      <c r="H619" t="str">
        <f>IFERROR(VLOOKUP(D619,'SKU Maintenance'!L:O,3,0),"BP not found")</f>
        <v>C-UTX003</v>
      </c>
    </row>
    <row r="620" spans="1:8" x14ac:dyDescent="0.25">
      <c r="A620" t="str">
        <f>IFERROR(VLOOKUP(B620&amp; "*",'SKU Maintenance'!D:H,5,0),"not found")</f>
        <v>2010070198040103</v>
      </c>
      <c r="B620">
        <v>40018818</v>
      </c>
      <c r="C620" t="s">
        <v>397</v>
      </c>
      <c r="D620" t="s">
        <v>433</v>
      </c>
      <c r="E620" s="3">
        <v>44765</v>
      </c>
      <c r="F620" s="49">
        <v>1</v>
      </c>
      <c r="G620" s="49">
        <v>399.75</v>
      </c>
      <c r="H620" t="str">
        <f>IFERROR(VLOOKUP(D620,'SKU Maintenance'!L:O,3,0),"BP not found")</f>
        <v>C-UTX004</v>
      </c>
    </row>
    <row r="621" spans="1:8" x14ac:dyDescent="0.25">
      <c r="A621" t="str">
        <f>IFERROR(VLOOKUP(B621&amp; "*",'SKU Maintenance'!D:H,5,0),"not found")</f>
        <v>2010070198040104</v>
      </c>
      <c r="B621">
        <v>40018819</v>
      </c>
      <c r="C621" t="s">
        <v>427</v>
      </c>
      <c r="D621" t="s">
        <v>351</v>
      </c>
      <c r="E621" s="3">
        <v>44770</v>
      </c>
      <c r="F621" s="49">
        <v>1</v>
      </c>
      <c r="G621" s="49">
        <v>399.75</v>
      </c>
      <c r="H621" t="str">
        <f>IFERROR(VLOOKUP(D621,'SKU Maintenance'!L:O,3,0),"BP not found")</f>
        <v>C-UTX003</v>
      </c>
    </row>
    <row r="622" spans="1:8" x14ac:dyDescent="0.25">
      <c r="A622" t="str">
        <f>IFERROR(VLOOKUP(B622&amp; "*",'SKU Maintenance'!D:H,5,0),"not found")</f>
        <v>2010070198040104</v>
      </c>
      <c r="B622">
        <v>40018819</v>
      </c>
      <c r="C622" t="s">
        <v>427</v>
      </c>
      <c r="D622" t="s">
        <v>351</v>
      </c>
      <c r="E622" s="3">
        <v>44772</v>
      </c>
      <c r="F622" s="49">
        <v>1</v>
      </c>
      <c r="G622" s="49">
        <v>399.75</v>
      </c>
      <c r="H622" t="str">
        <f>IFERROR(VLOOKUP(D622,'SKU Maintenance'!L:O,3,0),"BP not found")</f>
        <v>C-UTX003</v>
      </c>
    </row>
    <row r="623" spans="1:8" x14ac:dyDescent="0.25">
      <c r="A623" t="str">
        <f>IFERROR(VLOOKUP(B623&amp; "*",'SKU Maintenance'!D:H,5,0),"not found")</f>
        <v>2010070198040104</v>
      </c>
      <c r="B623">
        <v>40018819</v>
      </c>
      <c r="C623" t="s">
        <v>427</v>
      </c>
      <c r="D623" t="s">
        <v>433</v>
      </c>
      <c r="E623" s="3">
        <v>44743</v>
      </c>
      <c r="F623" s="49">
        <v>1</v>
      </c>
      <c r="G623" s="49">
        <v>359.78</v>
      </c>
      <c r="H623" t="str">
        <f>IFERROR(VLOOKUP(D623,'SKU Maintenance'!L:O,3,0),"BP not found")</f>
        <v>C-UTX004</v>
      </c>
    </row>
    <row r="624" spans="1:8" x14ac:dyDescent="0.25">
      <c r="A624" t="str">
        <f>IFERROR(VLOOKUP(B624&amp; "*",'SKU Maintenance'!D:H,5,0),"not found")</f>
        <v>2010070198040105</v>
      </c>
      <c r="B624">
        <v>40018820</v>
      </c>
      <c r="C624" t="s">
        <v>275</v>
      </c>
      <c r="D624" t="s">
        <v>233</v>
      </c>
      <c r="E624" s="3">
        <v>44751</v>
      </c>
      <c r="F624" s="49">
        <v>1</v>
      </c>
      <c r="G624" s="49">
        <v>599.75</v>
      </c>
      <c r="H624" t="str">
        <f>IFERROR(VLOOKUP(D624,'SKU Maintenance'!L:O,3,0),"BP not found")</f>
        <v>C-UTX002</v>
      </c>
    </row>
    <row r="625" spans="1:8" x14ac:dyDescent="0.25">
      <c r="A625" t="str">
        <f>IFERROR(VLOOKUP(B625&amp; "*",'SKU Maintenance'!D:H,5,0),"not found")</f>
        <v>2010070198040105</v>
      </c>
      <c r="B625">
        <v>40018820</v>
      </c>
      <c r="C625" t="s">
        <v>275</v>
      </c>
      <c r="D625" t="s">
        <v>433</v>
      </c>
      <c r="E625" s="3">
        <v>44747</v>
      </c>
      <c r="F625" s="49">
        <v>1</v>
      </c>
      <c r="G625" s="49">
        <v>599.75</v>
      </c>
      <c r="H625" t="str">
        <f>IFERROR(VLOOKUP(D625,'SKU Maintenance'!L:O,3,0),"BP not found")</f>
        <v>C-UTX004</v>
      </c>
    </row>
    <row r="626" spans="1:8" x14ac:dyDescent="0.25">
      <c r="A626" t="str">
        <f>IFERROR(VLOOKUP(B626&amp; "*",'SKU Maintenance'!D:H,5,0),"not found")</f>
        <v>2010070198040105</v>
      </c>
      <c r="B626">
        <v>40018820</v>
      </c>
      <c r="C626" t="s">
        <v>275</v>
      </c>
      <c r="D626" t="s">
        <v>433</v>
      </c>
      <c r="E626" s="3">
        <v>44765</v>
      </c>
      <c r="F626" s="49">
        <v>1</v>
      </c>
      <c r="G626" s="49">
        <v>599.75</v>
      </c>
      <c r="H626" t="str">
        <f>IFERROR(VLOOKUP(D626,'SKU Maintenance'!L:O,3,0),"BP not found")</f>
        <v>C-UTX004</v>
      </c>
    </row>
    <row r="627" spans="1:8" x14ac:dyDescent="0.25">
      <c r="A627" t="str">
        <f>IFERROR(VLOOKUP(B627&amp; "*",'SKU Maintenance'!D:H,5,0),"not found")</f>
        <v>2010070198040106</v>
      </c>
      <c r="B627">
        <v>40018821</v>
      </c>
      <c r="C627" t="s">
        <v>276</v>
      </c>
      <c r="D627" t="s">
        <v>233</v>
      </c>
      <c r="E627" s="3">
        <v>44751</v>
      </c>
      <c r="F627" s="49">
        <v>1</v>
      </c>
      <c r="G627" s="49">
        <v>599.75</v>
      </c>
      <c r="H627" t="str">
        <f>IFERROR(VLOOKUP(D627,'SKU Maintenance'!L:O,3,0),"BP not found")</f>
        <v>C-UTX002</v>
      </c>
    </row>
    <row r="628" spans="1:8" x14ac:dyDescent="0.25">
      <c r="A628" t="str">
        <f>IFERROR(VLOOKUP(B628&amp; "*",'SKU Maintenance'!D:H,5,0),"not found")</f>
        <v>2010070198040106</v>
      </c>
      <c r="B628">
        <v>40018821</v>
      </c>
      <c r="C628" t="s">
        <v>276</v>
      </c>
      <c r="D628" t="s">
        <v>433</v>
      </c>
      <c r="E628" s="3">
        <v>44749</v>
      </c>
      <c r="F628" s="49">
        <v>1</v>
      </c>
      <c r="G628" s="49">
        <v>599.75</v>
      </c>
      <c r="H628" t="str">
        <f>IFERROR(VLOOKUP(D628,'SKU Maintenance'!L:O,3,0),"BP not found")</f>
        <v>C-UTX004</v>
      </c>
    </row>
    <row r="629" spans="1:8" x14ac:dyDescent="0.25">
      <c r="A629" t="str">
        <f>IFERROR(VLOOKUP(B629&amp; "*",'SKU Maintenance'!D:H,5,0),"not found")</f>
        <v>2010070198040106</v>
      </c>
      <c r="B629">
        <v>40018821</v>
      </c>
      <c r="C629" t="s">
        <v>276</v>
      </c>
      <c r="D629" t="s">
        <v>433</v>
      </c>
      <c r="E629" s="3">
        <v>44769</v>
      </c>
      <c r="F629" s="49">
        <v>1</v>
      </c>
      <c r="G629" s="49">
        <v>599.75</v>
      </c>
      <c r="H629" t="str">
        <f>IFERROR(VLOOKUP(D629,'SKU Maintenance'!L:O,3,0),"BP not found")</f>
        <v>C-UTX004</v>
      </c>
    </row>
    <row r="630" spans="1:8" x14ac:dyDescent="0.25">
      <c r="A630" t="str">
        <f>IFERROR(VLOOKUP(B630&amp; "*",'SKU Maintenance'!D:H,5,0),"not found")</f>
        <v>2010070198040106</v>
      </c>
      <c r="B630">
        <v>40018821</v>
      </c>
      <c r="C630" t="s">
        <v>276</v>
      </c>
      <c r="D630" t="s">
        <v>433</v>
      </c>
      <c r="E630" s="3">
        <v>44771</v>
      </c>
      <c r="F630" s="49">
        <v>1</v>
      </c>
      <c r="G630" s="49">
        <v>599.75</v>
      </c>
      <c r="H630" t="str">
        <f>IFERROR(VLOOKUP(D630,'SKU Maintenance'!L:O,3,0),"BP not found")</f>
        <v>C-UTX004</v>
      </c>
    </row>
    <row r="631" spans="1:8" x14ac:dyDescent="0.25">
      <c r="A631" t="str">
        <f>IFERROR(VLOOKUP(B631&amp; "*",'SKU Maintenance'!D:H,5,0),"not found")</f>
        <v>2010070198040107</v>
      </c>
      <c r="B631">
        <v>40018822</v>
      </c>
      <c r="C631" t="s">
        <v>323</v>
      </c>
      <c r="D631" t="s">
        <v>233</v>
      </c>
      <c r="E631" s="3">
        <v>44765</v>
      </c>
      <c r="F631" s="49">
        <v>1</v>
      </c>
      <c r="G631" s="49">
        <v>599.75</v>
      </c>
      <c r="H631" t="str">
        <f>IFERROR(VLOOKUP(D631,'SKU Maintenance'!L:O,3,0),"BP not found")</f>
        <v>C-UTX002</v>
      </c>
    </row>
    <row r="632" spans="1:8" x14ac:dyDescent="0.25">
      <c r="A632" t="str">
        <f>IFERROR(VLOOKUP(B632&amp; "*",'SKU Maintenance'!D:H,5,0),"not found")</f>
        <v>2010070198040089</v>
      </c>
      <c r="B632">
        <v>40018826</v>
      </c>
      <c r="C632" t="s">
        <v>83</v>
      </c>
      <c r="D632" t="s">
        <v>48</v>
      </c>
      <c r="E632" s="3">
        <v>44746</v>
      </c>
      <c r="F632" s="49">
        <v>1</v>
      </c>
      <c r="G632" s="49">
        <v>199.75</v>
      </c>
      <c r="H632" t="str">
        <f>IFERROR(VLOOKUP(D632,'SKU Maintenance'!L:O,3,0),"BP not found")</f>
        <v>C-UTX001</v>
      </c>
    </row>
    <row r="633" spans="1:8" x14ac:dyDescent="0.25">
      <c r="A633" t="str">
        <f>IFERROR(VLOOKUP(B633&amp; "*",'SKU Maintenance'!D:H,5,0),"not found")</f>
        <v>2010070198040089</v>
      </c>
      <c r="B633">
        <v>40018826</v>
      </c>
      <c r="C633" t="s">
        <v>83</v>
      </c>
      <c r="D633" t="s">
        <v>48</v>
      </c>
      <c r="E633" s="3">
        <v>44767</v>
      </c>
      <c r="F633" s="49">
        <v>2</v>
      </c>
      <c r="G633" s="49">
        <v>399.5</v>
      </c>
      <c r="H633" t="str">
        <f>IFERROR(VLOOKUP(D633,'SKU Maintenance'!L:O,3,0),"BP not found")</f>
        <v>C-UTX001</v>
      </c>
    </row>
    <row r="634" spans="1:8" x14ac:dyDescent="0.25">
      <c r="A634" t="str">
        <f>IFERROR(VLOOKUP(B634&amp; "*",'SKU Maintenance'!D:H,5,0),"not found")</f>
        <v>2010070198040092</v>
      </c>
      <c r="B634">
        <v>40018827</v>
      </c>
      <c r="C634" t="s">
        <v>373</v>
      </c>
      <c r="D634" t="s">
        <v>351</v>
      </c>
      <c r="E634" s="3">
        <v>44751</v>
      </c>
      <c r="F634" s="49">
        <v>1</v>
      </c>
      <c r="G634" s="49">
        <v>499.75</v>
      </c>
      <c r="H634" t="str">
        <f>IFERROR(VLOOKUP(D634,'SKU Maintenance'!L:O,3,0),"BP not found")</f>
        <v>C-UTX003</v>
      </c>
    </row>
    <row r="635" spans="1:8" x14ac:dyDescent="0.25">
      <c r="A635" t="str">
        <f>IFERROR(VLOOKUP(B635&amp; "*",'SKU Maintenance'!D:H,5,0),"not found")</f>
        <v>2010070198160109</v>
      </c>
      <c r="B635">
        <v>40018829</v>
      </c>
      <c r="C635" t="s">
        <v>187</v>
      </c>
      <c r="D635" t="s">
        <v>48</v>
      </c>
      <c r="E635" s="3">
        <v>44765</v>
      </c>
      <c r="F635" s="49">
        <v>1</v>
      </c>
      <c r="G635" s="49">
        <v>899.75</v>
      </c>
      <c r="H635" t="str">
        <f>IFERROR(VLOOKUP(D635,'SKU Maintenance'!L:O,3,0),"BP not found")</f>
        <v>C-UTX001</v>
      </c>
    </row>
    <row r="636" spans="1:8" x14ac:dyDescent="0.25">
      <c r="A636" t="str">
        <f>IFERROR(VLOOKUP(B636&amp; "*",'SKU Maintenance'!D:H,5,0),"not found")</f>
        <v>2010070198040088</v>
      </c>
      <c r="B636">
        <v>40018834</v>
      </c>
      <c r="C636" t="s">
        <v>82</v>
      </c>
      <c r="D636" t="s">
        <v>48</v>
      </c>
      <c r="E636" s="3">
        <v>44746</v>
      </c>
      <c r="F636" s="49">
        <v>1</v>
      </c>
      <c r="G636" s="49">
        <v>199.75</v>
      </c>
      <c r="H636" t="str">
        <f>IFERROR(VLOOKUP(D636,'SKU Maintenance'!L:O,3,0),"BP not found")</f>
        <v>C-UTX001</v>
      </c>
    </row>
    <row r="637" spans="1:8" x14ac:dyDescent="0.25">
      <c r="A637" t="str">
        <f>IFERROR(VLOOKUP(B637&amp; "*",'SKU Maintenance'!D:H,5,0),"not found")</f>
        <v>2010070198040088</v>
      </c>
      <c r="B637">
        <v>40018834</v>
      </c>
      <c r="C637" t="s">
        <v>82</v>
      </c>
      <c r="D637" t="s">
        <v>48</v>
      </c>
      <c r="E637" s="3">
        <v>44759</v>
      </c>
      <c r="F637" s="49">
        <v>1</v>
      </c>
      <c r="G637" s="49">
        <v>199.75</v>
      </c>
      <c r="H637" t="str">
        <f>IFERROR(VLOOKUP(D637,'SKU Maintenance'!L:O,3,0),"BP not found")</f>
        <v>C-UTX001</v>
      </c>
    </row>
    <row r="638" spans="1:8" x14ac:dyDescent="0.25">
      <c r="A638" t="str">
        <f>IFERROR(VLOOKUP(B638&amp; "*",'SKU Maintenance'!D:H,5,0),"not found")</f>
        <v>2010070198040088</v>
      </c>
      <c r="B638">
        <v>40018834</v>
      </c>
      <c r="C638" t="s">
        <v>82</v>
      </c>
      <c r="D638" t="s">
        <v>48</v>
      </c>
      <c r="E638" s="3">
        <v>44762</v>
      </c>
      <c r="F638" s="49">
        <v>2</v>
      </c>
      <c r="G638" s="49">
        <v>399.5</v>
      </c>
      <c r="H638" t="str">
        <f>IFERROR(VLOOKUP(D638,'SKU Maintenance'!L:O,3,0),"BP not found")</f>
        <v>C-UTX001</v>
      </c>
    </row>
    <row r="639" spans="1:8" x14ac:dyDescent="0.25">
      <c r="A639" t="str">
        <f>IFERROR(VLOOKUP(B639&amp; "*",'SKU Maintenance'!D:H,5,0),"not found")</f>
        <v>2010070198040091</v>
      </c>
      <c r="B639">
        <v>40018836</v>
      </c>
      <c r="C639" t="s">
        <v>69</v>
      </c>
      <c r="D639" t="s">
        <v>48</v>
      </c>
      <c r="E639" s="3">
        <v>44744</v>
      </c>
      <c r="F639" s="49">
        <v>1</v>
      </c>
      <c r="G639" s="49">
        <v>199.75</v>
      </c>
      <c r="H639" t="str">
        <f>IFERROR(VLOOKUP(D639,'SKU Maintenance'!L:O,3,0),"BP not found")</f>
        <v>C-UTX001</v>
      </c>
    </row>
    <row r="640" spans="1:8" x14ac:dyDescent="0.25">
      <c r="A640" t="str">
        <f>IFERROR(VLOOKUP(B640&amp; "*",'SKU Maintenance'!D:H,5,0),"not found")</f>
        <v>2010070198040091</v>
      </c>
      <c r="B640">
        <v>40018836</v>
      </c>
      <c r="C640" t="s">
        <v>69</v>
      </c>
      <c r="D640" t="s">
        <v>48</v>
      </c>
      <c r="E640" s="3">
        <v>44746</v>
      </c>
      <c r="F640" s="49">
        <v>1</v>
      </c>
      <c r="G640" s="49">
        <v>199.75</v>
      </c>
      <c r="H640" t="str">
        <f>IFERROR(VLOOKUP(D640,'SKU Maintenance'!L:O,3,0),"BP not found")</f>
        <v>C-UTX001</v>
      </c>
    </row>
    <row r="641" spans="1:8" x14ac:dyDescent="0.25">
      <c r="A641" t="str">
        <f>IFERROR(VLOOKUP(B641&amp; "*",'SKU Maintenance'!D:H,5,0),"not found")</f>
        <v>2010020198160005</v>
      </c>
      <c r="B641">
        <v>40019091</v>
      </c>
      <c r="C641" t="s">
        <v>439</v>
      </c>
      <c r="D641" t="s">
        <v>433</v>
      </c>
      <c r="E641" s="3">
        <v>44749</v>
      </c>
      <c r="F641" s="49">
        <v>1</v>
      </c>
      <c r="G641" s="49">
        <v>1299.75</v>
      </c>
      <c r="H641" t="str">
        <f>IFERROR(VLOOKUP(D641,'SKU Maintenance'!L:O,3,0),"BP not found")</f>
        <v>C-UTX004</v>
      </c>
    </row>
    <row r="642" spans="1:8" x14ac:dyDescent="0.25">
      <c r="A642" t="str">
        <f>IFERROR(VLOOKUP(B642&amp; "*",'SKU Maintenance'!D:H,5,0),"not found")</f>
        <v>2010020198170006</v>
      </c>
      <c r="B642">
        <v>40019095</v>
      </c>
      <c r="C642" t="s">
        <v>84</v>
      </c>
      <c r="D642" t="s">
        <v>48</v>
      </c>
      <c r="E642" s="3">
        <v>44746</v>
      </c>
      <c r="F642" s="49">
        <v>1</v>
      </c>
      <c r="G642" s="49">
        <v>699.75</v>
      </c>
      <c r="H642" t="str">
        <f>IFERROR(VLOOKUP(D642,'SKU Maintenance'!L:O,3,0),"BP not found")</f>
        <v>C-UTX001</v>
      </c>
    </row>
    <row r="643" spans="1:8" x14ac:dyDescent="0.25">
      <c r="A643" t="str">
        <f>IFERROR(VLOOKUP(B643&amp; "*",'SKU Maintenance'!D:H,5,0),"not found")</f>
        <v>2010020198220006</v>
      </c>
      <c r="B643">
        <v>40019096</v>
      </c>
      <c r="C643" t="s">
        <v>159</v>
      </c>
      <c r="D643" t="s">
        <v>48</v>
      </c>
      <c r="E643" s="3">
        <v>44758</v>
      </c>
      <c r="F643" s="49">
        <v>1</v>
      </c>
      <c r="G643" s="49">
        <v>699.75</v>
      </c>
      <c r="H643" t="str">
        <f>IFERROR(VLOOKUP(D643,'SKU Maintenance'!L:O,3,0),"BP not found")</f>
        <v>C-UTX001</v>
      </c>
    </row>
    <row r="644" spans="1:8" x14ac:dyDescent="0.25">
      <c r="A644" t="str">
        <f>IFERROR(VLOOKUP(B644&amp; "*",'SKU Maintenance'!D:H,5,0),"not found")</f>
        <v>2010020198220006</v>
      </c>
      <c r="B644">
        <v>40019096</v>
      </c>
      <c r="C644" t="s">
        <v>159</v>
      </c>
      <c r="D644" t="s">
        <v>433</v>
      </c>
      <c r="E644" s="3">
        <v>44743</v>
      </c>
      <c r="F644" s="49">
        <v>1</v>
      </c>
      <c r="G644" s="49">
        <v>699.75</v>
      </c>
      <c r="H644" t="str">
        <f>IFERROR(VLOOKUP(D644,'SKU Maintenance'!L:O,3,0),"BP not found")</f>
        <v>C-UTX004</v>
      </c>
    </row>
    <row r="645" spans="1:8" x14ac:dyDescent="0.25">
      <c r="A645" t="str">
        <f>IFERROR(VLOOKUP(B645&amp; "*",'SKU Maintenance'!D:H,5,0),"not found")</f>
        <v>2010020198160007</v>
      </c>
      <c r="B645">
        <v>40019097</v>
      </c>
      <c r="C645" t="s">
        <v>86</v>
      </c>
      <c r="D645" t="s">
        <v>48</v>
      </c>
      <c r="E645" s="3">
        <v>44747</v>
      </c>
      <c r="F645" s="49">
        <v>1</v>
      </c>
      <c r="G645" s="49">
        <v>699.75</v>
      </c>
      <c r="H645" t="str">
        <f>IFERROR(VLOOKUP(D645,'SKU Maintenance'!L:O,3,0),"BP not found")</f>
        <v>C-UTX001</v>
      </c>
    </row>
    <row r="646" spans="1:8" x14ac:dyDescent="0.25">
      <c r="A646" t="str">
        <f>IFERROR(VLOOKUP(B646&amp; "*",'SKU Maintenance'!D:H,5,0),"not found")</f>
        <v>2010020198160007</v>
      </c>
      <c r="B646">
        <v>40019097</v>
      </c>
      <c r="C646" t="s">
        <v>86</v>
      </c>
      <c r="D646" t="s">
        <v>233</v>
      </c>
      <c r="E646" s="3">
        <v>44768</v>
      </c>
      <c r="F646" s="49">
        <v>1</v>
      </c>
      <c r="G646" s="49">
        <v>699.75</v>
      </c>
      <c r="H646" t="str">
        <f>IFERROR(VLOOKUP(D646,'SKU Maintenance'!L:O,3,0),"BP not found")</f>
        <v>C-UTX002</v>
      </c>
    </row>
    <row r="647" spans="1:8" x14ac:dyDescent="0.25">
      <c r="A647" t="str">
        <f>IFERROR(VLOOKUP(B647&amp; "*",'SKU Maintenance'!D:H,5,0),"not found")</f>
        <v>2010020198170007</v>
      </c>
      <c r="B647">
        <v>40019098</v>
      </c>
      <c r="C647" t="s">
        <v>161</v>
      </c>
      <c r="D647" t="s">
        <v>48</v>
      </c>
      <c r="E647" s="3">
        <v>44758</v>
      </c>
      <c r="F647" s="49">
        <v>1</v>
      </c>
      <c r="G647" s="49">
        <v>699.75</v>
      </c>
      <c r="H647" t="str">
        <f>IFERROR(VLOOKUP(D647,'SKU Maintenance'!L:O,3,0),"BP not found")</f>
        <v>C-UTX001</v>
      </c>
    </row>
    <row r="648" spans="1:8" x14ac:dyDescent="0.25">
      <c r="A648" t="str">
        <f>IFERROR(VLOOKUP(B648&amp; "*",'SKU Maintenance'!D:H,5,0),"not found")</f>
        <v>2010020198170007</v>
      </c>
      <c r="B648">
        <v>40019098</v>
      </c>
      <c r="C648" t="s">
        <v>161</v>
      </c>
      <c r="D648" t="s">
        <v>233</v>
      </c>
      <c r="E648" s="3">
        <v>44763</v>
      </c>
      <c r="F648" s="49">
        <v>1</v>
      </c>
      <c r="G648" s="49">
        <v>699.75</v>
      </c>
      <c r="H648" t="str">
        <f>IFERROR(VLOOKUP(D648,'SKU Maintenance'!L:O,3,0),"BP not found")</f>
        <v>C-UTX002</v>
      </c>
    </row>
    <row r="649" spans="1:8" x14ac:dyDescent="0.25">
      <c r="A649" t="str">
        <f>IFERROR(VLOOKUP(B649&amp; "*",'SKU Maintenance'!D:H,5,0),"not found")</f>
        <v>2010020198220007</v>
      </c>
      <c r="B649">
        <v>40019099</v>
      </c>
      <c r="C649" t="s">
        <v>313</v>
      </c>
      <c r="D649" t="s">
        <v>233</v>
      </c>
      <c r="E649" s="3">
        <v>44762</v>
      </c>
      <c r="F649" s="49">
        <v>1</v>
      </c>
      <c r="G649" s="49">
        <v>699.75</v>
      </c>
      <c r="H649" t="str">
        <f>IFERROR(VLOOKUP(D649,'SKU Maintenance'!L:O,3,0),"BP not found")</f>
        <v>C-UTX002</v>
      </c>
    </row>
    <row r="650" spans="1:8" x14ac:dyDescent="0.25">
      <c r="A650" t="str">
        <f>IFERROR(VLOOKUP(B650&amp; "*",'SKU Maintenance'!D:H,5,0),"not found")</f>
        <v>2010020198220007</v>
      </c>
      <c r="B650">
        <v>40019099</v>
      </c>
      <c r="C650" t="s">
        <v>313</v>
      </c>
      <c r="D650" t="s">
        <v>233</v>
      </c>
      <c r="E650" s="3">
        <v>44769</v>
      </c>
      <c r="F650" s="49">
        <v>1</v>
      </c>
      <c r="G650" s="49">
        <v>699.75</v>
      </c>
      <c r="H650" t="str">
        <f>IFERROR(VLOOKUP(D650,'SKU Maintenance'!L:O,3,0),"BP not found")</f>
        <v>C-UTX002</v>
      </c>
    </row>
    <row r="651" spans="1:8" x14ac:dyDescent="0.25">
      <c r="A651" t="str">
        <f>IFERROR(VLOOKUP(B651&amp; "*",'SKU Maintenance'!D:H,5,0),"not found")</f>
        <v>2010020198220008</v>
      </c>
      <c r="B651">
        <v>40019100</v>
      </c>
      <c r="C651" t="s">
        <v>152</v>
      </c>
      <c r="D651" t="s">
        <v>48</v>
      </c>
      <c r="E651" s="3">
        <v>44757</v>
      </c>
      <c r="F651" s="49">
        <v>2</v>
      </c>
      <c r="G651" s="49">
        <v>2999.5</v>
      </c>
      <c r="H651" t="str">
        <f>IFERROR(VLOOKUP(D651,'SKU Maintenance'!L:O,3,0),"BP not found")</f>
        <v>C-UTX001</v>
      </c>
    </row>
    <row r="652" spans="1:8" x14ac:dyDescent="0.25">
      <c r="A652" t="str">
        <f>IFERROR(VLOOKUP(B652&amp; "*",'SKU Maintenance'!D:H,5,0),"not found")</f>
        <v>2010020198220008</v>
      </c>
      <c r="B652">
        <v>40019100</v>
      </c>
      <c r="C652" t="s">
        <v>152</v>
      </c>
      <c r="D652" t="s">
        <v>233</v>
      </c>
      <c r="E652" s="3">
        <v>44763</v>
      </c>
      <c r="F652" s="49">
        <v>1</v>
      </c>
      <c r="G652" s="49">
        <v>1499.75</v>
      </c>
      <c r="H652" t="str">
        <f>IFERROR(VLOOKUP(D652,'SKU Maintenance'!L:O,3,0),"BP not found")</f>
        <v>C-UTX002</v>
      </c>
    </row>
    <row r="653" spans="1:8" x14ac:dyDescent="0.25">
      <c r="A653" t="str">
        <f>IFERROR(VLOOKUP(B653&amp; "*",'SKU Maintenance'!D:H,5,0),"not found")</f>
        <v>2010020198030008</v>
      </c>
      <c r="B653">
        <v>40019101</v>
      </c>
      <c r="C653" t="s">
        <v>150</v>
      </c>
      <c r="D653" t="s">
        <v>48</v>
      </c>
      <c r="E653" s="3">
        <v>44757</v>
      </c>
      <c r="F653" s="49">
        <v>2</v>
      </c>
      <c r="G653" s="49">
        <v>2999.5</v>
      </c>
      <c r="H653" t="str">
        <f>IFERROR(VLOOKUP(D653,'SKU Maintenance'!L:O,3,0),"BP not found")</f>
        <v>C-UTX001</v>
      </c>
    </row>
    <row r="654" spans="1:8" x14ac:dyDescent="0.25">
      <c r="A654" t="str">
        <f>IFERROR(VLOOKUP(B654&amp; "*",'SKU Maintenance'!D:H,5,0),"not found")</f>
        <v>2010020198030008</v>
      </c>
      <c r="B654">
        <v>40019101</v>
      </c>
      <c r="C654" t="s">
        <v>150</v>
      </c>
      <c r="D654" t="s">
        <v>433</v>
      </c>
      <c r="E654" s="3">
        <v>44746</v>
      </c>
      <c r="F654" s="49">
        <v>2</v>
      </c>
      <c r="G654" s="49">
        <v>2999.5</v>
      </c>
      <c r="H654" t="str">
        <f>IFERROR(VLOOKUP(D654,'SKU Maintenance'!L:O,3,0),"BP not found")</f>
        <v>C-UTX004</v>
      </c>
    </row>
    <row r="655" spans="1:8" x14ac:dyDescent="0.25">
      <c r="A655" t="str">
        <f>IFERROR(VLOOKUP(B655&amp; "*",'SKU Maintenance'!D:H,5,0),"not found")</f>
        <v>2010020198040008</v>
      </c>
      <c r="B655">
        <v>40019102</v>
      </c>
      <c r="C655" t="s">
        <v>149</v>
      </c>
      <c r="D655" t="s">
        <v>48</v>
      </c>
      <c r="E655" s="3">
        <v>44757</v>
      </c>
      <c r="F655" s="49">
        <v>2</v>
      </c>
      <c r="G655" s="49">
        <v>2999.5</v>
      </c>
      <c r="H655" t="str">
        <f>IFERROR(VLOOKUP(D655,'SKU Maintenance'!L:O,3,0),"BP not found")</f>
        <v>C-UTX001</v>
      </c>
    </row>
    <row r="656" spans="1:8" x14ac:dyDescent="0.25">
      <c r="A656" t="str">
        <f>IFERROR(VLOOKUP(B656&amp; "*",'SKU Maintenance'!D:H,5,0),"not found")</f>
        <v>2010020198040008</v>
      </c>
      <c r="B656">
        <v>40019102</v>
      </c>
      <c r="C656" t="s">
        <v>149</v>
      </c>
      <c r="D656" t="s">
        <v>433</v>
      </c>
      <c r="E656" s="3">
        <v>44770</v>
      </c>
      <c r="F656" s="49">
        <v>1</v>
      </c>
      <c r="G656" s="49">
        <v>1499.75</v>
      </c>
      <c r="H656" t="str">
        <f>IFERROR(VLOOKUP(D656,'SKU Maintenance'!L:O,3,0),"BP not found")</f>
        <v>C-UTX004</v>
      </c>
    </row>
    <row r="657" spans="1:8" x14ac:dyDescent="0.25">
      <c r="A657" t="str">
        <f>IFERROR(VLOOKUP(B657&amp; "*",'SKU Maintenance'!D:H,5,0),"not found")</f>
        <v>2010020198030009</v>
      </c>
      <c r="B657">
        <v>40019104</v>
      </c>
      <c r="C657" t="s">
        <v>420</v>
      </c>
      <c r="D657" t="s">
        <v>351</v>
      </c>
      <c r="E657" s="3">
        <v>44766</v>
      </c>
      <c r="F657" s="49">
        <v>1</v>
      </c>
      <c r="G657" s="49">
        <v>1299.75</v>
      </c>
      <c r="H657" t="str">
        <f>IFERROR(VLOOKUP(D657,'SKU Maintenance'!L:O,3,0),"BP not found")</f>
        <v>C-UTX003</v>
      </c>
    </row>
    <row r="658" spans="1:8" x14ac:dyDescent="0.25">
      <c r="A658" t="str">
        <f>IFERROR(VLOOKUP(B658&amp; "*",'SKU Maintenance'!D:H,5,0),"not found")</f>
        <v>2010020198040009</v>
      </c>
      <c r="B658">
        <v>40019105</v>
      </c>
      <c r="C658" t="s">
        <v>241</v>
      </c>
      <c r="D658" t="s">
        <v>233</v>
      </c>
      <c r="E658" s="3">
        <v>44743</v>
      </c>
      <c r="F658" s="49">
        <v>2</v>
      </c>
      <c r="G658" s="49">
        <v>2599.5</v>
      </c>
      <c r="H658" t="str">
        <f>IFERROR(VLOOKUP(D658,'SKU Maintenance'!L:O,3,0),"BP not found")</f>
        <v>C-UTX002</v>
      </c>
    </row>
    <row r="659" spans="1:8" x14ac:dyDescent="0.25">
      <c r="A659" t="str">
        <f>IFERROR(VLOOKUP(B659&amp; "*",'SKU Maintenance'!D:H,5,0),"not found")</f>
        <v>2010030102181189</v>
      </c>
      <c r="B659">
        <v>40019106</v>
      </c>
      <c r="C659" t="s">
        <v>92</v>
      </c>
      <c r="D659" t="s">
        <v>48</v>
      </c>
      <c r="E659" s="3">
        <v>44747</v>
      </c>
      <c r="F659" s="49">
        <v>1</v>
      </c>
      <c r="G659" s="49">
        <v>329.75</v>
      </c>
      <c r="H659" t="str">
        <f>IFERROR(VLOOKUP(D659,'SKU Maintenance'!L:O,3,0),"BP not found")</f>
        <v>C-UTX001</v>
      </c>
    </row>
    <row r="660" spans="1:8" x14ac:dyDescent="0.25">
      <c r="A660" t="str">
        <f>IFERROR(VLOOKUP(B660&amp; "*",'SKU Maintenance'!D:H,5,0),"not found")</f>
        <v>2010030102181189</v>
      </c>
      <c r="B660">
        <v>40019106</v>
      </c>
      <c r="C660" t="s">
        <v>92</v>
      </c>
      <c r="D660" t="s">
        <v>233</v>
      </c>
      <c r="E660" s="3">
        <v>44761</v>
      </c>
      <c r="F660" s="49">
        <v>1</v>
      </c>
      <c r="G660" s="49">
        <v>329.75</v>
      </c>
      <c r="H660" t="str">
        <f>IFERROR(VLOOKUP(D660,'SKU Maintenance'!L:O,3,0),"BP not found")</f>
        <v>C-UTX002</v>
      </c>
    </row>
    <row r="661" spans="1:8" x14ac:dyDescent="0.25">
      <c r="A661" t="str">
        <f>IFERROR(VLOOKUP(B661&amp; "*",'SKU Maintenance'!D:H,5,0),"not found")</f>
        <v>2010030102161189</v>
      </c>
      <c r="B661">
        <v>40019107</v>
      </c>
      <c r="C661" t="s">
        <v>467</v>
      </c>
      <c r="D661" t="s">
        <v>433</v>
      </c>
      <c r="E661" s="3">
        <v>44769</v>
      </c>
      <c r="F661" s="49">
        <v>1</v>
      </c>
      <c r="G661" s="49">
        <v>329.75</v>
      </c>
      <c r="H661" t="str">
        <f>IFERROR(VLOOKUP(D661,'SKU Maintenance'!L:O,3,0),"BP not found")</f>
        <v>C-UTX004</v>
      </c>
    </row>
    <row r="662" spans="1:8" x14ac:dyDescent="0.25">
      <c r="A662" t="str">
        <f>IFERROR(VLOOKUP(B662&amp; "*",'SKU Maintenance'!D:H,5,0),"not found")</f>
        <v>2010030102221189</v>
      </c>
      <c r="B662">
        <v>40019108</v>
      </c>
      <c r="C662" t="s">
        <v>344</v>
      </c>
      <c r="D662" t="s">
        <v>233</v>
      </c>
      <c r="E662" s="3">
        <v>44770</v>
      </c>
      <c r="F662" s="49">
        <v>1</v>
      </c>
      <c r="G662" s="49">
        <v>329.75</v>
      </c>
      <c r="H662" t="str">
        <f>IFERROR(VLOOKUP(D662,'SKU Maintenance'!L:O,3,0),"BP not found")</f>
        <v>C-UTX002</v>
      </c>
    </row>
    <row r="663" spans="1:8" x14ac:dyDescent="0.25">
      <c r="A663" t="str">
        <f>IFERROR(VLOOKUP(B663&amp; "*",'SKU Maintenance'!D:H,5,0),"not found")</f>
        <v>2010030102221189</v>
      </c>
      <c r="B663">
        <v>40019108</v>
      </c>
      <c r="C663" t="s">
        <v>344</v>
      </c>
      <c r="D663" t="s">
        <v>233</v>
      </c>
      <c r="E663" s="3">
        <v>44771</v>
      </c>
      <c r="F663" s="49">
        <v>1</v>
      </c>
      <c r="G663" s="49">
        <v>329.75</v>
      </c>
      <c r="H663" t="str">
        <f>IFERROR(VLOOKUP(D663,'SKU Maintenance'!L:O,3,0),"BP not found")</f>
        <v>C-UTX002</v>
      </c>
    </row>
    <row r="664" spans="1:8" x14ac:dyDescent="0.25">
      <c r="A664" t="str">
        <f>IFERROR(VLOOKUP(B664&amp; "*",'SKU Maintenance'!D:H,5,0),"not found")</f>
        <v>2010030102221189</v>
      </c>
      <c r="B664">
        <v>40019108</v>
      </c>
      <c r="C664" t="s">
        <v>344</v>
      </c>
      <c r="D664" t="s">
        <v>233</v>
      </c>
      <c r="E664" s="3">
        <v>44772</v>
      </c>
      <c r="F664" s="49">
        <v>1</v>
      </c>
      <c r="G664" s="49">
        <v>329.75</v>
      </c>
      <c r="H664" t="str">
        <f>IFERROR(VLOOKUP(D664,'SKU Maintenance'!L:O,3,0),"BP not found")</f>
        <v>C-UTX002</v>
      </c>
    </row>
    <row r="665" spans="1:8" x14ac:dyDescent="0.25">
      <c r="A665" t="str">
        <f>IFERROR(VLOOKUP(B665&amp; "*",'SKU Maintenance'!D:H,5,0),"not found")</f>
        <v>2010030102181190</v>
      </c>
      <c r="B665">
        <v>40019109</v>
      </c>
      <c r="C665" t="s">
        <v>296</v>
      </c>
      <c r="D665" t="s">
        <v>233</v>
      </c>
      <c r="E665" s="3">
        <v>44759</v>
      </c>
      <c r="F665" s="49">
        <v>1</v>
      </c>
      <c r="G665" s="49">
        <v>329.75</v>
      </c>
      <c r="H665" t="str">
        <f>IFERROR(VLOOKUP(D665,'SKU Maintenance'!L:O,3,0),"BP not found")</f>
        <v>C-UTX002</v>
      </c>
    </row>
    <row r="666" spans="1:8" x14ac:dyDescent="0.25">
      <c r="A666" t="str">
        <f>IFERROR(VLOOKUP(B666&amp; "*",'SKU Maintenance'!D:H,5,0),"not found")</f>
        <v>2010030102161190</v>
      </c>
      <c r="B666">
        <v>40019110</v>
      </c>
      <c r="C666" t="s">
        <v>444</v>
      </c>
      <c r="D666" t="s">
        <v>433</v>
      </c>
      <c r="E666" s="3">
        <v>44757</v>
      </c>
      <c r="F666" s="49">
        <v>2</v>
      </c>
      <c r="G666" s="49">
        <v>659.5</v>
      </c>
      <c r="H666" t="str">
        <f>IFERROR(VLOOKUP(D666,'SKU Maintenance'!L:O,3,0),"BP not found")</f>
        <v>C-UTX004</v>
      </c>
    </row>
    <row r="667" spans="1:8" x14ac:dyDescent="0.25">
      <c r="A667" t="str">
        <f>IFERROR(VLOOKUP(B667&amp; "*",'SKU Maintenance'!D:H,5,0),"not found")</f>
        <v>2010030102221190</v>
      </c>
      <c r="B667">
        <v>40019111</v>
      </c>
      <c r="C667" t="s">
        <v>123</v>
      </c>
      <c r="D667" t="s">
        <v>48</v>
      </c>
      <c r="E667" s="3">
        <v>44754</v>
      </c>
      <c r="F667" s="49">
        <v>1</v>
      </c>
      <c r="G667" s="49">
        <v>329.75</v>
      </c>
      <c r="H667" t="str">
        <f>IFERROR(VLOOKUP(D667,'SKU Maintenance'!L:O,3,0),"BP not found")</f>
        <v>C-UTX001</v>
      </c>
    </row>
    <row r="668" spans="1:8" x14ac:dyDescent="0.25">
      <c r="A668" t="str">
        <f>IFERROR(VLOOKUP(B668&amp; "*",'SKU Maintenance'!D:H,5,0),"not found")</f>
        <v>2010030102221190</v>
      </c>
      <c r="B668">
        <v>40019111</v>
      </c>
      <c r="C668" t="s">
        <v>123</v>
      </c>
      <c r="D668" t="s">
        <v>233</v>
      </c>
      <c r="E668" s="3">
        <v>44763</v>
      </c>
      <c r="F668" s="49">
        <v>1</v>
      </c>
      <c r="G668" s="49">
        <v>329.75</v>
      </c>
      <c r="H668" t="str">
        <f>IFERROR(VLOOKUP(D668,'SKU Maintenance'!L:O,3,0),"BP not found")</f>
        <v>C-UTX002</v>
      </c>
    </row>
    <row r="669" spans="1:8" x14ac:dyDescent="0.25">
      <c r="A669" t="str">
        <f>IFERROR(VLOOKUP(B669&amp; "*",'SKU Maintenance'!D:H,5,0),"not found")</f>
        <v>2010030102221190</v>
      </c>
      <c r="B669">
        <v>40019111</v>
      </c>
      <c r="C669" t="s">
        <v>123</v>
      </c>
      <c r="D669" t="s">
        <v>433</v>
      </c>
      <c r="E669" s="3">
        <v>44757</v>
      </c>
      <c r="F669" s="49">
        <v>1</v>
      </c>
      <c r="G669" s="49">
        <v>329.75</v>
      </c>
      <c r="H669" t="str">
        <f>IFERROR(VLOOKUP(D669,'SKU Maintenance'!L:O,3,0),"BP not found")</f>
        <v>C-UTX004</v>
      </c>
    </row>
    <row r="670" spans="1:8" x14ac:dyDescent="0.25">
      <c r="A670" t="str">
        <f>IFERROR(VLOOKUP(B670&amp; "*",'SKU Maintenance'!D:H,5,0),"not found")</f>
        <v>2010030498263402</v>
      </c>
      <c r="B670">
        <v>40019118</v>
      </c>
      <c r="C670" t="s">
        <v>412</v>
      </c>
      <c r="D670" t="s">
        <v>351</v>
      </c>
      <c r="E670" s="3">
        <v>44764</v>
      </c>
      <c r="F670" s="49">
        <v>1</v>
      </c>
      <c r="G670" s="49">
        <v>599.75</v>
      </c>
      <c r="H670" t="str">
        <f>IFERROR(VLOOKUP(D670,'SKU Maintenance'!L:O,3,0),"BP not found")</f>
        <v>C-UTX003</v>
      </c>
    </row>
    <row r="671" spans="1:8" x14ac:dyDescent="0.25">
      <c r="A671" t="str">
        <f>IFERROR(VLOOKUP(B671&amp; "*",'SKU Maintenance'!D:H,5,0),"not found")</f>
        <v>2010030498263402</v>
      </c>
      <c r="B671">
        <v>40019118</v>
      </c>
      <c r="C671" t="s">
        <v>412</v>
      </c>
      <c r="D671" t="s">
        <v>351</v>
      </c>
      <c r="E671" s="3">
        <v>44769</v>
      </c>
      <c r="F671" s="49">
        <v>1</v>
      </c>
      <c r="G671" s="49">
        <v>599.75</v>
      </c>
      <c r="H671" t="str">
        <f>IFERROR(VLOOKUP(D671,'SKU Maintenance'!L:O,3,0),"BP not found")</f>
        <v>C-UTX003</v>
      </c>
    </row>
    <row r="672" spans="1:8" x14ac:dyDescent="0.25">
      <c r="A672" t="str">
        <f>IFERROR(VLOOKUP(B672&amp; "*",'SKU Maintenance'!D:H,5,0),"not found")</f>
        <v>2010030403183440</v>
      </c>
      <c r="B672">
        <v>40019122</v>
      </c>
      <c r="C672" t="s">
        <v>248</v>
      </c>
      <c r="D672" t="s">
        <v>233</v>
      </c>
      <c r="E672" s="3">
        <v>44745</v>
      </c>
      <c r="F672" s="49">
        <v>1</v>
      </c>
      <c r="G672" s="49">
        <v>500</v>
      </c>
      <c r="H672" t="str">
        <f>IFERROR(VLOOKUP(D672,'SKU Maintenance'!L:O,3,0),"BP not found")</f>
        <v>C-UTX002</v>
      </c>
    </row>
    <row r="673" spans="1:8" x14ac:dyDescent="0.25">
      <c r="A673" t="str">
        <f>IFERROR(VLOOKUP(B673&amp; "*",'SKU Maintenance'!D:H,5,0),"not found")</f>
        <v>2010030403183440</v>
      </c>
      <c r="B673">
        <v>40019122</v>
      </c>
      <c r="C673" t="s">
        <v>248</v>
      </c>
      <c r="D673" t="s">
        <v>233</v>
      </c>
      <c r="E673" s="3">
        <v>44747</v>
      </c>
      <c r="F673" s="49">
        <v>1</v>
      </c>
      <c r="G673" s="49">
        <v>500</v>
      </c>
      <c r="H673" t="str">
        <f>IFERROR(VLOOKUP(D673,'SKU Maintenance'!L:O,3,0),"BP not found")</f>
        <v>C-UTX002</v>
      </c>
    </row>
    <row r="674" spans="1:8" x14ac:dyDescent="0.25">
      <c r="A674" t="str">
        <f>IFERROR(VLOOKUP(B674&amp; "*",'SKU Maintenance'!D:H,5,0),"not found")</f>
        <v>2010030403183440</v>
      </c>
      <c r="B674">
        <v>40019122</v>
      </c>
      <c r="C674" t="s">
        <v>248</v>
      </c>
      <c r="D674" t="s">
        <v>233</v>
      </c>
      <c r="E674" s="3">
        <v>44749</v>
      </c>
      <c r="F674" s="49">
        <v>1</v>
      </c>
      <c r="G674" s="49">
        <v>500</v>
      </c>
      <c r="H674" t="str">
        <f>IFERROR(VLOOKUP(D674,'SKU Maintenance'!L:O,3,0),"BP not found")</f>
        <v>C-UTX002</v>
      </c>
    </row>
    <row r="675" spans="1:8" x14ac:dyDescent="0.25">
      <c r="A675" t="str">
        <f>IFERROR(VLOOKUP(B675&amp; "*",'SKU Maintenance'!D:H,5,0),"not found")</f>
        <v>2010030403183440</v>
      </c>
      <c r="B675">
        <v>40019122</v>
      </c>
      <c r="C675" t="s">
        <v>248</v>
      </c>
      <c r="D675" t="s">
        <v>233</v>
      </c>
      <c r="E675" s="3">
        <v>44757</v>
      </c>
      <c r="F675" s="49">
        <v>1</v>
      </c>
      <c r="G675" s="49">
        <v>500</v>
      </c>
      <c r="H675" t="str">
        <f>IFERROR(VLOOKUP(D675,'SKU Maintenance'!L:O,3,0),"BP not found")</f>
        <v>C-UTX002</v>
      </c>
    </row>
    <row r="676" spans="1:8" x14ac:dyDescent="0.25">
      <c r="A676" t="str">
        <f>IFERROR(VLOOKUP(B676&amp; "*",'SKU Maintenance'!D:H,5,0),"not found")</f>
        <v>2010030402163445</v>
      </c>
      <c r="B676">
        <v>40019133</v>
      </c>
      <c r="C676" t="s">
        <v>238</v>
      </c>
      <c r="D676" t="s">
        <v>233</v>
      </c>
      <c r="E676" s="3">
        <v>44743</v>
      </c>
      <c r="F676" s="49">
        <v>1</v>
      </c>
      <c r="G676" s="49">
        <v>249.75</v>
      </c>
      <c r="H676" t="str">
        <f>IFERROR(VLOOKUP(D676,'SKU Maintenance'!L:O,3,0),"BP not found")</f>
        <v>C-UTX002</v>
      </c>
    </row>
    <row r="677" spans="1:8" x14ac:dyDescent="0.25">
      <c r="A677" t="str">
        <f>IFERROR(VLOOKUP(B677&amp; "*",'SKU Maintenance'!D:H,5,0),"not found")</f>
        <v>2010030402263445</v>
      </c>
      <c r="B677">
        <v>40019134</v>
      </c>
      <c r="C677" t="s">
        <v>124</v>
      </c>
      <c r="D677" t="s">
        <v>48</v>
      </c>
      <c r="E677" s="3">
        <v>44755</v>
      </c>
      <c r="F677" s="49">
        <v>1</v>
      </c>
      <c r="G677" s="49">
        <v>249.75</v>
      </c>
      <c r="H677" t="str">
        <f>IFERROR(VLOOKUP(D677,'SKU Maintenance'!L:O,3,0),"BP not found")</f>
        <v>C-UTX001</v>
      </c>
    </row>
    <row r="678" spans="1:8" x14ac:dyDescent="0.25">
      <c r="A678" t="str">
        <f>IFERROR(VLOOKUP(B678&amp; "*",'SKU Maintenance'!D:H,5,0),"not found")</f>
        <v>2010030402263445</v>
      </c>
      <c r="B678">
        <v>40019134</v>
      </c>
      <c r="C678" t="s">
        <v>124</v>
      </c>
      <c r="D678" t="s">
        <v>48</v>
      </c>
      <c r="E678" s="3">
        <v>44772</v>
      </c>
      <c r="F678" s="49">
        <v>1</v>
      </c>
      <c r="G678" s="49">
        <v>249.75</v>
      </c>
      <c r="H678" t="str">
        <f>IFERROR(VLOOKUP(D678,'SKU Maintenance'!L:O,3,0),"BP not found")</f>
        <v>C-UTX001</v>
      </c>
    </row>
    <row r="679" spans="1:8" x14ac:dyDescent="0.25">
      <c r="A679" t="str">
        <f>IFERROR(VLOOKUP(B679&amp; "*",'SKU Maintenance'!D:H,5,0),"not found")</f>
        <v>2010030402263445</v>
      </c>
      <c r="B679">
        <v>40019134</v>
      </c>
      <c r="C679" t="s">
        <v>124</v>
      </c>
      <c r="D679" t="s">
        <v>233</v>
      </c>
      <c r="E679" s="3">
        <v>44747</v>
      </c>
      <c r="F679" s="49">
        <v>1</v>
      </c>
      <c r="G679" s="49">
        <v>249.75</v>
      </c>
      <c r="H679" t="str">
        <f>IFERROR(VLOOKUP(D679,'SKU Maintenance'!L:O,3,0),"BP not found")</f>
        <v>C-UTX002</v>
      </c>
    </row>
    <row r="680" spans="1:8" x14ac:dyDescent="0.25">
      <c r="A680" t="str">
        <f>IFERROR(VLOOKUP(B680&amp; "*",'SKU Maintenance'!D:H,5,0),"not found")</f>
        <v>2010030402183445</v>
      </c>
      <c r="B680">
        <v>40019135</v>
      </c>
      <c r="C680" t="s">
        <v>128</v>
      </c>
      <c r="D680" t="s">
        <v>48</v>
      </c>
      <c r="E680" s="3">
        <v>44755</v>
      </c>
      <c r="F680" s="49">
        <v>2</v>
      </c>
      <c r="G680" s="49">
        <v>499.5</v>
      </c>
      <c r="H680" t="str">
        <f>IFERROR(VLOOKUP(D680,'SKU Maintenance'!L:O,3,0),"BP not found")</f>
        <v>C-UTX001</v>
      </c>
    </row>
    <row r="681" spans="1:8" x14ac:dyDescent="0.25">
      <c r="A681" t="str">
        <f>IFERROR(VLOOKUP(B681&amp; "*",'SKU Maintenance'!D:H,5,0),"not found")</f>
        <v>2010030402183445</v>
      </c>
      <c r="B681">
        <v>40019135</v>
      </c>
      <c r="C681" t="s">
        <v>128</v>
      </c>
      <c r="D681" t="s">
        <v>48</v>
      </c>
      <c r="E681" s="3">
        <v>44765</v>
      </c>
      <c r="F681" s="49">
        <v>1</v>
      </c>
      <c r="G681" s="49">
        <v>249.75</v>
      </c>
      <c r="H681" t="str">
        <f>IFERROR(VLOOKUP(D681,'SKU Maintenance'!L:O,3,0),"BP not found")</f>
        <v>C-UTX001</v>
      </c>
    </row>
    <row r="682" spans="1:8" x14ac:dyDescent="0.25">
      <c r="A682" t="str">
        <f>IFERROR(VLOOKUP(B682&amp; "*",'SKU Maintenance'!D:H,5,0),"not found")</f>
        <v>2010030402183445</v>
      </c>
      <c r="B682">
        <v>40019135</v>
      </c>
      <c r="C682" t="s">
        <v>128</v>
      </c>
      <c r="D682" t="s">
        <v>233</v>
      </c>
      <c r="E682" s="3">
        <v>44743</v>
      </c>
      <c r="F682" s="49">
        <v>1</v>
      </c>
      <c r="G682" s="49">
        <v>249.75</v>
      </c>
      <c r="H682" t="str">
        <f>IFERROR(VLOOKUP(D682,'SKU Maintenance'!L:O,3,0),"BP not found")</f>
        <v>C-UTX002</v>
      </c>
    </row>
    <row r="683" spans="1:8" x14ac:dyDescent="0.25">
      <c r="A683" t="str">
        <f>IFERROR(VLOOKUP(B683&amp; "*",'SKU Maintenance'!D:H,5,0),"not found")</f>
        <v>2010030402223446</v>
      </c>
      <c r="B683">
        <v>40019136</v>
      </c>
      <c r="C683" t="s">
        <v>260</v>
      </c>
      <c r="D683" t="s">
        <v>233</v>
      </c>
      <c r="E683" s="3">
        <v>44747</v>
      </c>
      <c r="F683" s="49">
        <v>1</v>
      </c>
      <c r="G683" s="49">
        <v>249.75</v>
      </c>
      <c r="H683" t="str">
        <f>IFERROR(VLOOKUP(D683,'SKU Maintenance'!L:O,3,0),"BP not found")</f>
        <v>C-UTX002</v>
      </c>
    </row>
    <row r="684" spans="1:8" x14ac:dyDescent="0.25">
      <c r="A684" t="str">
        <f>IFERROR(VLOOKUP(B684&amp; "*",'SKU Maintenance'!D:H,5,0),"not found")</f>
        <v>2010030402223446</v>
      </c>
      <c r="B684">
        <v>40019136</v>
      </c>
      <c r="C684" t="s">
        <v>260</v>
      </c>
      <c r="D684" t="s">
        <v>233</v>
      </c>
      <c r="E684" s="3">
        <v>44748</v>
      </c>
      <c r="F684" s="49">
        <v>1</v>
      </c>
      <c r="G684" s="49">
        <v>249.75</v>
      </c>
      <c r="H684" t="str">
        <f>IFERROR(VLOOKUP(D684,'SKU Maintenance'!L:O,3,0),"BP not found")</f>
        <v>C-UTX002</v>
      </c>
    </row>
    <row r="685" spans="1:8" x14ac:dyDescent="0.25">
      <c r="A685" t="str">
        <f>IFERROR(VLOOKUP(B685&amp; "*",'SKU Maintenance'!D:H,5,0),"not found")</f>
        <v>2010030402223446</v>
      </c>
      <c r="B685">
        <v>40019136</v>
      </c>
      <c r="C685" t="s">
        <v>260</v>
      </c>
      <c r="D685" t="s">
        <v>233</v>
      </c>
      <c r="E685" s="3">
        <v>44753</v>
      </c>
      <c r="F685" s="49">
        <v>1</v>
      </c>
      <c r="G685" s="49">
        <v>249.75</v>
      </c>
      <c r="H685" t="str">
        <f>IFERROR(VLOOKUP(D685,'SKU Maintenance'!L:O,3,0),"BP not found")</f>
        <v>C-UTX002</v>
      </c>
    </row>
    <row r="686" spans="1:8" x14ac:dyDescent="0.25">
      <c r="A686" t="str">
        <f>IFERROR(VLOOKUP(B686&amp; "*",'SKU Maintenance'!D:H,5,0),"not found")</f>
        <v>2010030402223446</v>
      </c>
      <c r="B686">
        <v>40019136</v>
      </c>
      <c r="C686" t="s">
        <v>260</v>
      </c>
      <c r="D686" t="s">
        <v>233</v>
      </c>
      <c r="E686" s="3">
        <v>44754</v>
      </c>
      <c r="F686" s="49">
        <v>1</v>
      </c>
      <c r="G686" s="49">
        <v>249.75</v>
      </c>
      <c r="H686" t="str">
        <f>IFERROR(VLOOKUP(D686,'SKU Maintenance'!L:O,3,0),"BP not found")</f>
        <v>C-UTX002</v>
      </c>
    </row>
    <row r="687" spans="1:8" x14ac:dyDescent="0.25">
      <c r="A687" t="str">
        <f>IFERROR(VLOOKUP(B687&amp; "*",'SKU Maintenance'!D:H,5,0),"not found")</f>
        <v>2010030402223446</v>
      </c>
      <c r="B687">
        <v>40019136</v>
      </c>
      <c r="C687" t="s">
        <v>260</v>
      </c>
      <c r="D687" t="s">
        <v>233</v>
      </c>
      <c r="E687" s="3">
        <v>44755</v>
      </c>
      <c r="F687" s="49">
        <v>2</v>
      </c>
      <c r="G687" s="49">
        <v>499.5</v>
      </c>
      <c r="H687" t="str">
        <f>IFERROR(VLOOKUP(D687,'SKU Maintenance'!L:O,3,0),"BP not found")</f>
        <v>C-UTX002</v>
      </c>
    </row>
    <row r="688" spans="1:8" x14ac:dyDescent="0.25">
      <c r="A688" t="str">
        <f>IFERROR(VLOOKUP(B688&amp; "*",'SKU Maintenance'!D:H,5,0),"not found")</f>
        <v>2010030402223446</v>
      </c>
      <c r="B688">
        <v>40019136</v>
      </c>
      <c r="C688" t="s">
        <v>260</v>
      </c>
      <c r="D688" t="s">
        <v>233</v>
      </c>
      <c r="E688" s="3">
        <v>44764</v>
      </c>
      <c r="F688" s="49">
        <v>1</v>
      </c>
      <c r="G688" s="49">
        <v>249.75</v>
      </c>
      <c r="H688" t="str">
        <f>IFERROR(VLOOKUP(D688,'SKU Maintenance'!L:O,3,0),"BP not found")</f>
        <v>C-UTX002</v>
      </c>
    </row>
    <row r="689" spans="1:8" x14ac:dyDescent="0.25">
      <c r="A689" t="str">
        <f>IFERROR(VLOOKUP(B689&amp; "*",'SKU Maintenance'!D:H,5,0),"not found")</f>
        <v>2010030402173446</v>
      </c>
      <c r="B689">
        <v>40019137</v>
      </c>
      <c r="C689" t="s">
        <v>107</v>
      </c>
      <c r="D689" t="s">
        <v>48</v>
      </c>
      <c r="E689" s="3">
        <v>44752</v>
      </c>
      <c r="F689" s="49">
        <v>1</v>
      </c>
      <c r="G689" s="49">
        <v>249.75</v>
      </c>
      <c r="H689" t="str">
        <f>IFERROR(VLOOKUP(D689,'SKU Maintenance'!L:O,3,0),"BP not found")</f>
        <v>C-UTX001</v>
      </c>
    </row>
    <row r="690" spans="1:8" x14ac:dyDescent="0.25">
      <c r="A690" t="str">
        <f>IFERROR(VLOOKUP(B690&amp; "*",'SKU Maintenance'!D:H,5,0),"not found")</f>
        <v>2010030402183446</v>
      </c>
      <c r="B690">
        <v>40019138</v>
      </c>
      <c r="C690" t="s">
        <v>162</v>
      </c>
      <c r="D690" t="s">
        <v>48</v>
      </c>
      <c r="E690" s="3">
        <v>44758</v>
      </c>
      <c r="F690" s="49">
        <v>1</v>
      </c>
      <c r="G690" s="49">
        <v>249.75</v>
      </c>
      <c r="H690" t="str">
        <f>IFERROR(VLOOKUP(D690,'SKU Maintenance'!L:O,3,0),"BP not found")</f>
        <v>C-UTX001</v>
      </c>
    </row>
    <row r="691" spans="1:8" x14ac:dyDescent="0.25">
      <c r="A691" t="str">
        <f>IFERROR(VLOOKUP(B691&amp; "*",'SKU Maintenance'!D:H,5,0),"not found")</f>
        <v>2010030402183446</v>
      </c>
      <c r="B691">
        <v>40019138</v>
      </c>
      <c r="C691" t="s">
        <v>162</v>
      </c>
      <c r="D691" t="s">
        <v>48</v>
      </c>
      <c r="E691" s="3">
        <v>44773</v>
      </c>
      <c r="F691" s="49">
        <v>1</v>
      </c>
      <c r="G691" s="49">
        <v>249.75</v>
      </c>
      <c r="H691" t="str">
        <f>IFERROR(VLOOKUP(D691,'SKU Maintenance'!L:O,3,0),"BP not found")</f>
        <v>C-UTX001</v>
      </c>
    </row>
    <row r="692" spans="1:8" x14ac:dyDescent="0.25">
      <c r="A692" t="str">
        <f>IFERROR(VLOOKUP(B692&amp; "*",'SKU Maintenance'!D:H,5,0),"not found")</f>
        <v>2010030403263447</v>
      </c>
      <c r="B692">
        <v>40019140</v>
      </c>
      <c r="C692" t="s">
        <v>285</v>
      </c>
      <c r="D692" t="s">
        <v>233</v>
      </c>
      <c r="E692" s="3">
        <v>44756</v>
      </c>
      <c r="F692" s="49">
        <v>1</v>
      </c>
      <c r="G692" s="49">
        <v>499.75</v>
      </c>
      <c r="H692" t="str">
        <f>IFERROR(VLOOKUP(D692,'SKU Maintenance'!L:O,3,0),"BP not found")</f>
        <v>C-UTX002</v>
      </c>
    </row>
    <row r="693" spans="1:8" x14ac:dyDescent="0.25">
      <c r="A693" t="str">
        <f>IFERROR(VLOOKUP(B693&amp; "*",'SKU Maintenance'!D:H,5,0),"not found")</f>
        <v>2010030403263447</v>
      </c>
      <c r="B693">
        <v>40019140</v>
      </c>
      <c r="C693" t="s">
        <v>285</v>
      </c>
      <c r="D693" t="s">
        <v>233</v>
      </c>
      <c r="E693" s="3">
        <v>44759</v>
      </c>
      <c r="F693" s="49">
        <v>1</v>
      </c>
      <c r="G693" s="49">
        <v>499.75</v>
      </c>
      <c r="H693" t="str">
        <f>IFERROR(VLOOKUP(D693,'SKU Maintenance'!L:O,3,0),"BP not found")</f>
        <v>C-UTX002</v>
      </c>
    </row>
    <row r="694" spans="1:8" x14ac:dyDescent="0.25">
      <c r="A694" t="str">
        <f>IFERROR(VLOOKUP(B694&amp; "*",'SKU Maintenance'!D:H,5,0),"not found")</f>
        <v>2010030403263447</v>
      </c>
      <c r="B694">
        <v>40019140</v>
      </c>
      <c r="C694" t="s">
        <v>285</v>
      </c>
      <c r="D694" t="s">
        <v>233</v>
      </c>
      <c r="E694" s="3">
        <v>44760</v>
      </c>
      <c r="F694" s="49">
        <v>1</v>
      </c>
      <c r="G694" s="49">
        <v>499.75</v>
      </c>
      <c r="H694" t="str">
        <f>IFERROR(VLOOKUP(D694,'SKU Maintenance'!L:O,3,0),"BP not found")</f>
        <v>C-UTX002</v>
      </c>
    </row>
    <row r="695" spans="1:8" x14ac:dyDescent="0.25">
      <c r="A695" t="str">
        <f>IFERROR(VLOOKUP(B695&amp; "*",'SKU Maintenance'!D:H,5,0),"not found")</f>
        <v>2010030403263447</v>
      </c>
      <c r="B695">
        <v>40019140</v>
      </c>
      <c r="C695" t="s">
        <v>285</v>
      </c>
      <c r="D695" t="s">
        <v>351</v>
      </c>
      <c r="E695" s="3">
        <v>44756</v>
      </c>
      <c r="F695" s="49">
        <v>1</v>
      </c>
      <c r="G695" s="49">
        <v>499.75</v>
      </c>
      <c r="H695" t="str">
        <f>IFERROR(VLOOKUP(D695,'SKU Maintenance'!L:O,3,0),"BP not found")</f>
        <v>C-UTX003</v>
      </c>
    </row>
    <row r="696" spans="1:8" x14ac:dyDescent="0.25">
      <c r="A696" t="str">
        <f>IFERROR(VLOOKUP(B696&amp; "*",'SKU Maintenance'!D:H,5,0),"not found")</f>
        <v>2010030403263447</v>
      </c>
      <c r="B696">
        <v>40019140</v>
      </c>
      <c r="C696" t="s">
        <v>285</v>
      </c>
      <c r="D696" t="s">
        <v>351</v>
      </c>
      <c r="E696" s="3">
        <v>44766</v>
      </c>
      <c r="F696" s="49">
        <v>1</v>
      </c>
      <c r="G696" s="49">
        <v>499.75</v>
      </c>
      <c r="H696" t="str">
        <f>IFERROR(VLOOKUP(D696,'SKU Maintenance'!L:O,3,0),"BP not found")</f>
        <v>C-UTX003</v>
      </c>
    </row>
    <row r="697" spans="1:8" x14ac:dyDescent="0.25">
      <c r="A697" t="str">
        <f>IFERROR(VLOOKUP(B697&amp; "*",'SKU Maintenance'!D:H,5,0),"not found")</f>
        <v>2010030403263447</v>
      </c>
      <c r="B697">
        <v>40019140</v>
      </c>
      <c r="C697" t="s">
        <v>285</v>
      </c>
      <c r="D697" t="s">
        <v>351</v>
      </c>
      <c r="E697" s="3">
        <v>44773</v>
      </c>
      <c r="F697" s="49">
        <v>1</v>
      </c>
      <c r="G697" s="49">
        <v>499.75</v>
      </c>
      <c r="H697" t="str">
        <f>IFERROR(VLOOKUP(D697,'SKU Maintenance'!L:O,3,0),"BP not found")</f>
        <v>C-UTX003</v>
      </c>
    </row>
    <row r="698" spans="1:8" x14ac:dyDescent="0.25">
      <c r="A698" t="str">
        <f>IFERROR(VLOOKUP(B698&amp; "*",'SKU Maintenance'!D:H,5,0),"not found")</f>
        <v>2010030403183448</v>
      </c>
      <c r="B698">
        <v>40019141</v>
      </c>
      <c r="C698" t="s">
        <v>272</v>
      </c>
      <c r="D698" t="s">
        <v>233</v>
      </c>
      <c r="E698" s="3">
        <v>44750</v>
      </c>
      <c r="F698" s="49">
        <v>1</v>
      </c>
      <c r="G698" s="49">
        <v>499.75</v>
      </c>
      <c r="H698" t="str">
        <f>IFERROR(VLOOKUP(D698,'SKU Maintenance'!L:O,3,0),"BP not found")</f>
        <v>C-UTX002</v>
      </c>
    </row>
    <row r="699" spans="1:8" x14ac:dyDescent="0.25">
      <c r="A699" t="str">
        <f>IFERROR(VLOOKUP(B699&amp; "*",'SKU Maintenance'!D:H,5,0),"not found")</f>
        <v>2010030403183448</v>
      </c>
      <c r="B699">
        <v>40019141</v>
      </c>
      <c r="C699" t="s">
        <v>272</v>
      </c>
      <c r="D699" t="s">
        <v>351</v>
      </c>
      <c r="E699" s="3">
        <v>44755</v>
      </c>
      <c r="F699" s="49">
        <v>1</v>
      </c>
      <c r="G699" s="49">
        <v>499.75</v>
      </c>
      <c r="H699" t="str">
        <f>IFERROR(VLOOKUP(D699,'SKU Maintenance'!L:O,3,0),"BP not found")</f>
        <v>C-UTX003</v>
      </c>
    </row>
    <row r="700" spans="1:8" x14ac:dyDescent="0.25">
      <c r="A700" t="str">
        <f>IFERROR(VLOOKUP(B700&amp; "*",'SKU Maintenance'!D:H,5,0),"not found")</f>
        <v>2010030403183448</v>
      </c>
      <c r="B700">
        <v>40019141</v>
      </c>
      <c r="C700" t="s">
        <v>272</v>
      </c>
      <c r="D700" t="s">
        <v>351</v>
      </c>
      <c r="E700" s="3">
        <v>44756</v>
      </c>
      <c r="F700" s="49">
        <v>1</v>
      </c>
      <c r="G700" s="49">
        <v>499.75</v>
      </c>
      <c r="H700" t="str">
        <f>IFERROR(VLOOKUP(D700,'SKU Maintenance'!L:O,3,0),"BP not found")</f>
        <v>C-UTX003</v>
      </c>
    </row>
    <row r="701" spans="1:8" x14ac:dyDescent="0.25">
      <c r="A701" t="str">
        <f>IFERROR(VLOOKUP(B701&amp; "*",'SKU Maintenance'!D:H,5,0),"not found")</f>
        <v>2010030403183448</v>
      </c>
      <c r="B701">
        <v>40019141</v>
      </c>
      <c r="C701" t="s">
        <v>272</v>
      </c>
      <c r="D701" t="s">
        <v>351</v>
      </c>
      <c r="E701" s="3">
        <v>44759</v>
      </c>
      <c r="F701" s="49">
        <v>1</v>
      </c>
      <c r="G701" s="49">
        <v>499.75</v>
      </c>
      <c r="H701" t="str">
        <f>IFERROR(VLOOKUP(D701,'SKU Maintenance'!L:O,3,0),"BP not found")</f>
        <v>C-UTX003</v>
      </c>
    </row>
    <row r="702" spans="1:8" x14ac:dyDescent="0.25">
      <c r="A702" t="str">
        <f>IFERROR(VLOOKUP(B702&amp; "*",'SKU Maintenance'!D:H,5,0),"not found")</f>
        <v>2010030403263448</v>
      </c>
      <c r="B702">
        <v>40019142</v>
      </c>
      <c r="C702" t="s">
        <v>284</v>
      </c>
      <c r="D702" t="s">
        <v>233</v>
      </c>
      <c r="E702" s="3">
        <v>44756</v>
      </c>
      <c r="F702" s="49">
        <v>1</v>
      </c>
      <c r="G702" s="49">
        <v>499.75</v>
      </c>
      <c r="H702" t="str">
        <f>IFERROR(VLOOKUP(D702,'SKU Maintenance'!L:O,3,0),"BP not found")</f>
        <v>C-UTX002</v>
      </c>
    </row>
    <row r="703" spans="1:8" x14ac:dyDescent="0.25">
      <c r="A703" t="str">
        <f>IFERROR(VLOOKUP(B703&amp; "*",'SKU Maintenance'!D:H,5,0),"not found")</f>
        <v>2010030403263448</v>
      </c>
      <c r="B703">
        <v>40019142</v>
      </c>
      <c r="C703" t="s">
        <v>284</v>
      </c>
      <c r="D703" t="s">
        <v>233</v>
      </c>
      <c r="E703" s="3">
        <v>44760</v>
      </c>
      <c r="F703" s="49">
        <v>1</v>
      </c>
      <c r="G703" s="49">
        <v>499.75</v>
      </c>
      <c r="H703" t="str">
        <f>IFERROR(VLOOKUP(D703,'SKU Maintenance'!L:O,3,0),"BP not found")</f>
        <v>C-UTX002</v>
      </c>
    </row>
    <row r="704" spans="1:8" x14ac:dyDescent="0.25">
      <c r="A704" t="str">
        <f>IFERROR(VLOOKUP(B704&amp; "*",'SKU Maintenance'!D:H,5,0),"not found")</f>
        <v>2010030403263448</v>
      </c>
      <c r="B704">
        <v>40019142</v>
      </c>
      <c r="C704" t="s">
        <v>284</v>
      </c>
      <c r="D704" t="s">
        <v>233</v>
      </c>
      <c r="E704" s="3">
        <v>44761</v>
      </c>
      <c r="F704" s="49">
        <v>1</v>
      </c>
      <c r="G704" s="49">
        <v>499.75</v>
      </c>
      <c r="H704" t="str">
        <f>IFERROR(VLOOKUP(D704,'SKU Maintenance'!L:O,3,0),"BP not found")</f>
        <v>C-UTX002</v>
      </c>
    </row>
    <row r="705" spans="1:8" x14ac:dyDescent="0.25">
      <c r="A705" t="str">
        <f>IFERROR(VLOOKUP(B705&amp; "*",'SKU Maintenance'!D:H,5,0),"not found")</f>
        <v>2010030403263448</v>
      </c>
      <c r="B705">
        <v>40019142</v>
      </c>
      <c r="C705" t="s">
        <v>284</v>
      </c>
      <c r="D705" t="s">
        <v>351</v>
      </c>
      <c r="E705" s="3">
        <v>44753</v>
      </c>
      <c r="F705" s="49">
        <v>1</v>
      </c>
      <c r="G705" s="49">
        <v>499.75</v>
      </c>
      <c r="H705" t="str">
        <f>IFERROR(VLOOKUP(D705,'SKU Maintenance'!L:O,3,0),"BP not found")</f>
        <v>C-UTX003</v>
      </c>
    </row>
    <row r="706" spans="1:8" x14ac:dyDescent="0.25">
      <c r="A706" t="str">
        <f>IFERROR(VLOOKUP(B706&amp; "*",'SKU Maintenance'!D:H,5,0),"not found")</f>
        <v>2010030403263448</v>
      </c>
      <c r="B706">
        <v>40019142</v>
      </c>
      <c r="C706" t="s">
        <v>284</v>
      </c>
      <c r="D706" t="s">
        <v>351</v>
      </c>
      <c r="E706" s="3">
        <v>44767</v>
      </c>
      <c r="F706" s="49">
        <v>1</v>
      </c>
      <c r="G706" s="49">
        <v>499.75</v>
      </c>
      <c r="H706" t="str">
        <f>IFERROR(VLOOKUP(D706,'SKU Maintenance'!L:O,3,0),"BP not found")</f>
        <v>C-UTX003</v>
      </c>
    </row>
    <row r="707" spans="1:8" x14ac:dyDescent="0.25">
      <c r="A707" t="str">
        <f>IFERROR(VLOOKUP(B707&amp; "*",'SKU Maintenance'!D:H,5,0),"not found")</f>
        <v>2010030403263448</v>
      </c>
      <c r="B707">
        <v>40019142</v>
      </c>
      <c r="C707" t="s">
        <v>284</v>
      </c>
      <c r="D707" t="s">
        <v>351</v>
      </c>
      <c r="E707" s="3">
        <v>44768</v>
      </c>
      <c r="F707" s="49">
        <v>1</v>
      </c>
      <c r="G707" s="49">
        <v>499.75</v>
      </c>
      <c r="H707" t="str">
        <f>IFERROR(VLOOKUP(D707,'SKU Maintenance'!L:O,3,0),"BP not found")</f>
        <v>C-UTX003</v>
      </c>
    </row>
    <row r="708" spans="1:8" x14ac:dyDescent="0.25">
      <c r="A708" t="str">
        <f>IFERROR(VLOOKUP(B708&amp; "*",'SKU Maintenance'!D:H,5,0),"not found")</f>
        <v>2010030403223449</v>
      </c>
      <c r="B708">
        <v>40019143</v>
      </c>
      <c r="C708" t="s">
        <v>168</v>
      </c>
      <c r="D708" t="s">
        <v>48</v>
      </c>
      <c r="E708" s="3">
        <v>44760</v>
      </c>
      <c r="F708" s="49">
        <v>1</v>
      </c>
      <c r="G708" s="49">
        <v>449.75</v>
      </c>
      <c r="H708" t="str">
        <f>IFERROR(VLOOKUP(D708,'SKU Maintenance'!L:O,3,0),"BP not found")</f>
        <v>C-UTX001</v>
      </c>
    </row>
    <row r="709" spans="1:8" x14ac:dyDescent="0.25">
      <c r="A709" t="str">
        <f>IFERROR(VLOOKUP(B709&amp; "*",'SKU Maintenance'!D:H,5,0),"not found")</f>
        <v>2010030403223449</v>
      </c>
      <c r="B709">
        <v>40019143</v>
      </c>
      <c r="C709" t="s">
        <v>168</v>
      </c>
      <c r="D709" t="s">
        <v>233</v>
      </c>
      <c r="E709" s="3">
        <v>44769</v>
      </c>
      <c r="F709" s="49">
        <v>2</v>
      </c>
      <c r="G709" s="49">
        <v>899.5</v>
      </c>
      <c r="H709" t="str">
        <f>IFERROR(VLOOKUP(D709,'SKU Maintenance'!L:O,3,0),"BP not found")</f>
        <v>C-UTX002</v>
      </c>
    </row>
    <row r="710" spans="1:8" x14ac:dyDescent="0.25">
      <c r="A710" t="str">
        <f>IFERROR(VLOOKUP(B710&amp; "*",'SKU Maintenance'!D:H,5,0),"not found")</f>
        <v>2010030403223449</v>
      </c>
      <c r="B710">
        <v>40019143</v>
      </c>
      <c r="C710" t="s">
        <v>168</v>
      </c>
      <c r="D710" t="s">
        <v>433</v>
      </c>
      <c r="E710" s="3">
        <v>44760</v>
      </c>
      <c r="F710" s="49">
        <v>1</v>
      </c>
      <c r="G710" s="49">
        <v>449.75</v>
      </c>
      <c r="H710" t="str">
        <f>IFERROR(VLOOKUP(D710,'SKU Maintenance'!L:O,3,0),"BP not found")</f>
        <v>C-UTX004</v>
      </c>
    </row>
    <row r="711" spans="1:8" x14ac:dyDescent="0.25">
      <c r="A711" t="str">
        <f>IFERROR(VLOOKUP(B711&amp; "*",'SKU Maintenance'!D:H,5,0),"not found")</f>
        <v>2010030403223449</v>
      </c>
      <c r="B711">
        <v>40019143</v>
      </c>
      <c r="C711" t="s">
        <v>168</v>
      </c>
      <c r="D711" t="s">
        <v>433</v>
      </c>
      <c r="E711" s="3">
        <v>44761</v>
      </c>
      <c r="F711" s="49">
        <v>1</v>
      </c>
      <c r="G711" s="49">
        <v>449.75</v>
      </c>
      <c r="H711" t="str">
        <f>IFERROR(VLOOKUP(D711,'SKU Maintenance'!L:O,3,0),"BP not found")</f>
        <v>C-UTX004</v>
      </c>
    </row>
    <row r="712" spans="1:8" x14ac:dyDescent="0.25">
      <c r="A712" t="str">
        <f>IFERROR(VLOOKUP(B712&amp; "*",'SKU Maintenance'!D:H,5,0),"not found")</f>
        <v>2010030403173449</v>
      </c>
      <c r="B712">
        <v>40019144</v>
      </c>
      <c r="C712" t="s">
        <v>244</v>
      </c>
      <c r="D712" t="s">
        <v>233</v>
      </c>
      <c r="E712" s="3">
        <v>44744</v>
      </c>
      <c r="F712" s="49">
        <v>1</v>
      </c>
      <c r="G712" s="49">
        <v>449.75</v>
      </c>
      <c r="H712" t="str">
        <f>IFERROR(VLOOKUP(D712,'SKU Maintenance'!L:O,3,0),"BP not found")</f>
        <v>C-UTX002</v>
      </c>
    </row>
    <row r="713" spans="1:8" x14ac:dyDescent="0.25">
      <c r="A713" t="str">
        <f>IFERROR(VLOOKUP(B713&amp; "*",'SKU Maintenance'!D:H,5,0),"not found")</f>
        <v>2010030403173449</v>
      </c>
      <c r="B713">
        <v>40019144</v>
      </c>
      <c r="C713" t="s">
        <v>244</v>
      </c>
      <c r="D713" t="s">
        <v>433</v>
      </c>
      <c r="E713" s="3">
        <v>44766</v>
      </c>
      <c r="F713" s="49">
        <v>1</v>
      </c>
      <c r="G713" s="49">
        <v>449.75</v>
      </c>
      <c r="H713" t="str">
        <f>IFERROR(VLOOKUP(D713,'SKU Maintenance'!L:O,3,0),"BP not found")</f>
        <v>C-UTX004</v>
      </c>
    </row>
    <row r="714" spans="1:8" x14ac:dyDescent="0.25">
      <c r="A714" t="str">
        <f>IFERROR(VLOOKUP(B714&amp; "*",'SKU Maintenance'!D:H,5,0),"not found")</f>
        <v>2010030403183449</v>
      </c>
      <c r="B714">
        <v>40019145</v>
      </c>
      <c r="C714" t="s">
        <v>462</v>
      </c>
      <c r="D714" t="s">
        <v>433</v>
      </c>
      <c r="E714" s="3">
        <v>44765</v>
      </c>
      <c r="F714" s="49">
        <v>1</v>
      </c>
      <c r="G714" s="49">
        <v>449.75</v>
      </c>
      <c r="H714" t="str">
        <f>IFERROR(VLOOKUP(D714,'SKU Maintenance'!L:O,3,0),"BP not found")</f>
        <v>C-UTX004</v>
      </c>
    </row>
    <row r="715" spans="1:8" x14ac:dyDescent="0.25">
      <c r="A715" t="str">
        <f>IFERROR(VLOOKUP(B715&amp; "*",'SKU Maintenance'!D:H,5,0),"not found")</f>
        <v>2010030403183449</v>
      </c>
      <c r="B715">
        <v>40019145</v>
      </c>
      <c r="C715" t="s">
        <v>462</v>
      </c>
      <c r="D715" t="s">
        <v>433</v>
      </c>
      <c r="E715" s="3">
        <v>44771</v>
      </c>
      <c r="F715" s="49">
        <v>1</v>
      </c>
      <c r="G715" s="49">
        <v>449.75</v>
      </c>
      <c r="H715" t="str">
        <f>IFERROR(VLOOKUP(D715,'SKU Maintenance'!L:O,3,0),"BP not found")</f>
        <v>C-UTX004</v>
      </c>
    </row>
    <row r="716" spans="1:8" x14ac:dyDescent="0.25">
      <c r="A716" t="str">
        <f>IFERROR(VLOOKUP(B716&amp; "*",'SKU Maintenance'!D:H,5,0),"not found")</f>
        <v>2010030403223450</v>
      </c>
      <c r="B716">
        <v>40019146</v>
      </c>
      <c r="C716" t="s">
        <v>169</v>
      </c>
      <c r="D716" t="s">
        <v>48</v>
      </c>
      <c r="E716" s="3">
        <v>44760</v>
      </c>
      <c r="F716" s="49">
        <v>1</v>
      </c>
      <c r="G716" s="49">
        <v>399.75</v>
      </c>
      <c r="H716" t="str">
        <f>IFERROR(VLOOKUP(D716,'SKU Maintenance'!L:O,3,0),"BP not found")</f>
        <v>C-UTX001</v>
      </c>
    </row>
    <row r="717" spans="1:8" x14ac:dyDescent="0.25">
      <c r="A717" t="str">
        <f>IFERROR(VLOOKUP(B717&amp; "*",'SKU Maintenance'!D:H,5,0),"not found")</f>
        <v>2010030403223450</v>
      </c>
      <c r="B717">
        <v>40019146</v>
      </c>
      <c r="C717" t="s">
        <v>169</v>
      </c>
      <c r="D717" t="s">
        <v>351</v>
      </c>
      <c r="E717" s="3">
        <v>44765</v>
      </c>
      <c r="F717" s="49">
        <v>1</v>
      </c>
      <c r="G717" s="49">
        <v>399.75</v>
      </c>
      <c r="H717" t="str">
        <f>IFERROR(VLOOKUP(D717,'SKU Maintenance'!L:O,3,0),"BP not found")</f>
        <v>C-UTX003</v>
      </c>
    </row>
    <row r="718" spans="1:8" x14ac:dyDescent="0.25">
      <c r="A718" t="str">
        <f>IFERROR(VLOOKUP(B718&amp; "*",'SKU Maintenance'!D:H,5,0),"not found")</f>
        <v>2010030403173450</v>
      </c>
      <c r="B718">
        <v>40019147</v>
      </c>
      <c r="C718" t="s">
        <v>441</v>
      </c>
      <c r="D718" t="s">
        <v>433</v>
      </c>
      <c r="E718" s="3">
        <v>44751</v>
      </c>
      <c r="F718" s="49">
        <v>1</v>
      </c>
      <c r="G718" s="49">
        <v>399.75</v>
      </c>
      <c r="H718" t="str">
        <f>IFERROR(VLOOKUP(D718,'SKU Maintenance'!L:O,3,0),"BP not found")</f>
        <v>C-UTX004</v>
      </c>
    </row>
    <row r="719" spans="1:8" x14ac:dyDescent="0.25">
      <c r="A719" t="str">
        <f>IFERROR(VLOOKUP(B719&amp; "*",'SKU Maintenance'!D:H,5,0),"not found")</f>
        <v>2010030403183450</v>
      </c>
      <c r="B719">
        <v>40019148</v>
      </c>
      <c r="C719" t="s">
        <v>59</v>
      </c>
      <c r="D719" t="s">
        <v>48</v>
      </c>
      <c r="E719" s="3">
        <v>44743</v>
      </c>
      <c r="F719" s="49">
        <v>1</v>
      </c>
      <c r="G719" s="49">
        <v>399.75</v>
      </c>
      <c r="H719" t="str">
        <f>IFERROR(VLOOKUP(D719,'SKU Maintenance'!L:O,3,0),"BP not found")</f>
        <v>C-UTX001</v>
      </c>
    </row>
    <row r="720" spans="1:8" x14ac:dyDescent="0.25">
      <c r="A720" t="str">
        <f>IFERROR(VLOOKUP(B720&amp; "*",'SKU Maintenance'!D:H,5,0),"not found")</f>
        <v>2010030403183450</v>
      </c>
      <c r="B720">
        <v>40019148</v>
      </c>
      <c r="C720" t="s">
        <v>59</v>
      </c>
      <c r="D720" t="s">
        <v>48</v>
      </c>
      <c r="E720" s="3">
        <v>44757</v>
      </c>
      <c r="F720" s="49">
        <v>1</v>
      </c>
      <c r="G720" s="49">
        <v>399.75</v>
      </c>
      <c r="H720" t="str">
        <f>IFERROR(VLOOKUP(D720,'SKU Maintenance'!L:O,3,0),"BP not found")</f>
        <v>C-UTX001</v>
      </c>
    </row>
    <row r="721" spans="1:8" x14ac:dyDescent="0.25">
      <c r="A721" t="str">
        <f>IFERROR(VLOOKUP(B721&amp; "*",'SKU Maintenance'!D:H,5,0),"not found")</f>
        <v>2010030403183450</v>
      </c>
      <c r="B721">
        <v>40019148</v>
      </c>
      <c r="C721" t="s">
        <v>59</v>
      </c>
      <c r="D721" t="s">
        <v>351</v>
      </c>
      <c r="E721" s="3">
        <v>44760</v>
      </c>
      <c r="F721" s="49">
        <v>1</v>
      </c>
      <c r="G721" s="49">
        <v>399.75</v>
      </c>
      <c r="H721" t="str">
        <f>IFERROR(VLOOKUP(D721,'SKU Maintenance'!L:O,3,0),"BP not found")</f>
        <v>C-UTX003</v>
      </c>
    </row>
    <row r="722" spans="1:8" x14ac:dyDescent="0.25">
      <c r="A722" t="str">
        <f>IFERROR(VLOOKUP(B722&amp; "*",'SKU Maintenance'!D:H,5,0),"not found")</f>
        <v>2010030403183450</v>
      </c>
      <c r="B722">
        <v>40019148</v>
      </c>
      <c r="C722" t="s">
        <v>59</v>
      </c>
      <c r="D722" t="s">
        <v>433</v>
      </c>
      <c r="E722" s="3">
        <v>44743</v>
      </c>
      <c r="F722" s="49">
        <v>1</v>
      </c>
      <c r="G722" s="49">
        <v>399.75</v>
      </c>
      <c r="H722" t="str">
        <f>IFERROR(VLOOKUP(D722,'SKU Maintenance'!L:O,3,0),"BP not found")</f>
        <v>C-UTX004</v>
      </c>
    </row>
    <row r="723" spans="1:8" x14ac:dyDescent="0.25">
      <c r="A723" t="str">
        <f>IFERROR(VLOOKUP(B723&amp; "*",'SKU Maintenance'!D:H,5,0),"not found")</f>
        <v>2010030403183450</v>
      </c>
      <c r="B723">
        <v>40019148</v>
      </c>
      <c r="C723" t="s">
        <v>59</v>
      </c>
      <c r="D723" t="s">
        <v>433</v>
      </c>
      <c r="E723" s="3">
        <v>44755</v>
      </c>
      <c r="F723" s="49">
        <v>1</v>
      </c>
      <c r="G723" s="49">
        <v>399.75</v>
      </c>
      <c r="H723" t="str">
        <f>IFERROR(VLOOKUP(D723,'SKU Maintenance'!L:O,3,0),"BP not found")</f>
        <v>C-UTX004</v>
      </c>
    </row>
    <row r="724" spans="1:8" x14ac:dyDescent="0.25">
      <c r="A724" t="str">
        <f>IFERROR(VLOOKUP(B724&amp; "*",'SKU Maintenance'!D:H,5,0),"not found")</f>
        <v>2010030403183450</v>
      </c>
      <c r="B724">
        <v>40019148</v>
      </c>
      <c r="C724" t="s">
        <v>59</v>
      </c>
      <c r="D724" t="s">
        <v>433</v>
      </c>
      <c r="E724" s="3">
        <v>44771</v>
      </c>
      <c r="F724" s="49">
        <v>1</v>
      </c>
      <c r="G724" s="49">
        <v>399.75</v>
      </c>
      <c r="H724" t="str">
        <f>IFERROR(VLOOKUP(D724,'SKU Maintenance'!L:O,3,0),"BP not found")</f>
        <v>C-UTX004</v>
      </c>
    </row>
    <row r="725" spans="1:8" x14ac:dyDescent="0.25">
      <c r="A725" t="str">
        <f>IFERROR(VLOOKUP(B725&amp; "*",'SKU Maintenance'!D:H,5,0),"not found")</f>
        <v>2010030402223451</v>
      </c>
      <c r="B725">
        <v>40019149</v>
      </c>
      <c r="C725" t="s">
        <v>370</v>
      </c>
      <c r="D725" t="s">
        <v>351</v>
      </c>
      <c r="E725" s="3">
        <v>44750</v>
      </c>
      <c r="F725" s="49">
        <v>1</v>
      </c>
      <c r="G725" s="49">
        <v>399.75</v>
      </c>
      <c r="H725" t="str">
        <f>IFERROR(VLOOKUP(D725,'SKU Maintenance'!L:O,3,0),"BP not found")</f>
        <v>C-UTX003</v>
      </c>
    </row>
    <row r="726" spans="1:8" x14ac:dyDescent="0.25">
      <c r="A726" t="str">
        <f>IFERROR(VLOOKUP(B726&amp; "*",'SKU Maintenance'!D:H,5,0),"not found")</f>
        <v>2010030402173451</v>
      </c>
      <c r="B726">
        <v>40019150</v>
      </c>
      <c r="C726" t="s">
        <v>139</v>
      </c>
      <c r="D726" t="s">
        <v>48</v>
      </c>
      <c r="E726" s="3">
        <v>44757</v>
      </c>
      <c r="F726" s="49">
        <v>1</v>
      </c>
      <c r="G726" s="49">
        <v>399.75</v>
      </c>
      <c r="H726" t="str">
        <f>IFERROR(VLOOKUP(D726,'SKU Maintenance'!L:O,3,0),"BP not found")</f>
        <v>C-UTX001</v>
      </c>
    </row>
    <row r="727" spans="1:8" x14ac:dyDescent="0.25">
      <c r="A727" t="str">
        <f>IFERROR(VLOOKUP(B727&amp; "*",'SKU Maintenance'!D:H,5,0),"not found")</f>
        <v>2010030402173451</v>
      </c>
      <c r="B727">
        <v>40019150</v>
      </c>
      <c r="C727" t="s">
        <v>139</v>
      </c>
      <c r="D727" t="s">
        <v>351</v>
      </c>
      <c r="E727" s="3">
        <v>44747</v>
      </c>
      <c r="F727" s="49">
        <v>1</v>
      </c>
      <c r="G727" s="49">
        <v>399.75</v>
      </c>
      <c r="H727" t="str">
        <f>IFERROR(VLOOKUP(D727,'SKU Maintenance'!L:O,3,0),"BP not found")</f>
        <v>C-UTX003</v>
      </c>
    </row>
    <row r="728" spans="1:8" x14ac:dyDescent="0.25">
      <c r="A728" t="str">
        <f>IFERROR(VLOOKUP(B728&amp; "*",'SKU Maintenance'!D:H,5,0),"not found")</f>
        <v>2010030402173451</v>
      </c>
      <c r="B728">
        <v>40019150</v>
      </c>
      <c r="C728" t="s">
        <v>139</v>
      </c>
      <c r="D728" t="s">
        <v>351</v>
      </c>
      <c r="E728" s="3">
        <v>44758</v>
      </c>
      <c r="F728" s="49">
        <v>1</v>
      </c>
      <c r="G728" s="49">
        <v>399.75</v>
      </c>
      <c r="H728" t="str">
        <f>IFERROR(VLOOKUP(D728,'SKU Maintenance'!L:O,3,0),"BP not found")</f>
        <v>C-UTX003</v>
      </c>
    </row>
    <row r="729" spans="1:8" x14ac:dyDescent="0.25">
      <c r="A729" t="str">
        <f>IFERROR(VLOOKUP(B729&amp; "*",'SKU Maintenance'!D:H,5,0),"not found")</f>
        <v>2010030402173451</v>
      </c>
      <c r="B729">
        <v>40019150</v>
      </c>
      <c r="C729" t="s">
        <v>139</v>
      </c>
      <c r="D729" t="s">
        <v>433</v>
      </c>
      <c r="E729" s="3">
        <v>44744</v>
      </c>
      <c r="F729" s="49">
        <v>2</v>
      </c>
      <c r="G729" s="49">
        <v>799.5</v>
      </c>
      <c r="H729" t="str">
        <f>IFERROR(VLOOKUP(D729,'SKU Maintenance'!L:O,3,0),"BP not found")</f>
        <v>C-UTX004</v>
      </c>
    </row>
    <row r="730" spans="1:8" x14ac:dyDescent="0.25">
      <c r="A730" t="str">
        <f>IFERROR(VLOOKUP(B730&amp; "*",'SKU Maintenance'!D:H,5,0),"not found")</f>
        <v>2010030402173451</v>
      </c>
      <c r="B730">
        <v>40019150</v>
      </c>
      <c r="C730" t="s">
        <v>139</v>
      </c>
      <c r="D730" t="s">
        <v>433</v>
      </c>
      <c r="E730" s="3">
        <v>44756</v>
      </c>
      <c r="F730" s="49">
        <v>1</v>
      </c>
      <c r="G730" s="49">
        <v>399.75</v>
      </c>
      <c r="H730" t="str">
        <f>IFERROR(VLOOKUP(D730,'SKU Maintenance'!L:O,3,0),"BP not found")</f>
        <v>C-UTX004</v>
      </c>
    </row>
    <row r="731" spans="1:8" x14ac:dyDescent="0.25">
      <c r="A731" t="str">
        <f>IFERROR(VLOOKUP(B731&amp; "*",'SKU Maintenance'!D:H,5,0),"not found")</f>
        <v>2010030402173451</v>
      </c>
      <c r="B731">
        <v>40019150</v>
      </c>
      <c r="C731" t="s">
        <v>139</v>
      </c>
      <c r="D731" t="s">
        <v>433</v>
      </c>
      <c r="E731" s="3">
        <v>44761</v>
      </c>
      <c r="F731" s="49">
        <v>1</v>
      </c>
      <c r="G731" s="49">
        <v>399.75</v>
      </c>
      <c r="H731" t="str">
        <f>IFERROR(VLOOKUP(D731,'SKU Maintenance'!L:O,3,0),"BP not found")</f>
        <v>C-UTX004</v>
      </c>
    </row>
    <row r="732" spans="1:8" x14ac:dyDescent="0.25">
      <c r="A732" t="str">
        <f>IFERROR(VLOOKUP(B732&amp; "*",'SKU Maintenance'!D:H,5,0),"not found")</f>
        <v>2010030402183451</v>
      </c>
      <c r="B732">
        <v>40019151</v>
      </c>
      <c r="C732" t="s">
        <v>399</v>
      </c>
      <c r="D732" t="s">
        <v>351</v>
      </c>
      <c r="E732" s="3">
        <v>44755</v>
      </c>
      <c r="F732" s="49">
        <v>1</v>
      </c>
      <c r="G732" s="49">
        <v>399.75</v>
      </c>
      <c r="H732" t="str">
        <f>IFERROR(VLOOKUP(D732,'SKU Maintenance'!L:O,3,0),"BP not found")</f>
        <v>C-UTX003</v>
      </c>
    </row>
    <row r="733" spans="1:8" x14ac:dyDescent="0.25">
      <c r="A733" t="str">
        <f>IFERROR(VLOOKUP(B733&amp; "*",'SKU Maintenance'!D:H,5,0),"not found")</f>
        <v>2010030402183451</v>
      </c>
      <c r="B733">
        <v>40019151</v>
      </c>
      <c r="C733" t="s">
        <v>399</v>
      </c>
      <c r="D733" t="s">
        <v>433</v>
      </c>
      <c r="E733" s="3">
        <v>44746</v>
      </c>
      <c r="F733" s="49">
        <v>1</v>
      </c>
      <c r="G733" s="49">
        <v>399.75</v>
      </c>
      <c r="H733" t="str">
        <f>IFERROR(VLOOKUP(D733,'SKU Maintenance'!L:O,3,0),"BP not found")</f>
        <v>C-UTX004</v>
      </c>
    </row>
    <row r="734" spans="1:8" x14ac:dyDescent="0.25">
      <c r="A734" t="str">
        <f>IFERROR(VLOOKUP(B734&amp; "*",'SKU Maintenance'!D:H,5,0),"not found")</f>
        <v>2010030401223452</v>
      </c>
      <c r="B734">
        <v>40019152</v>
      </c>
      <c r="C734" t="s">
        <v>184</v>
      </c>
      <c r="D734" t="s">
        <v>48</v>
      </c>
      <c r="E734" s="3">
        <v>44765</v>
      </c>
      <c r="F734" s="49">
        <v>1</v>
      </c>
      <c r="G734" s="49">
        <v>199.75</v>
      </c>
      <c r="H734" t="str">
        <f>IFERROR(VLOOKUP(D734,'SKU Maintenance'!L:O,3,0),"BP not found")</f>
        <v>C-UTX001</v>
      </c>
    </row>
    <row r="735" spans="1:8" x14ac:dyDescent="0.25">
      <c r="A735" t="str">
        <f>IFERROR(VLOOKUP(B735&amp; "*",'SKU Maintenance'!D:H,5,0),"not found")</f>
        <v>2010030401223452</v>
      </c>
      <c r="B735">
        <v>40019152</v>
      </c>
      <c r="C735" t="s">
        <v>184</v>
      </c>
      <c r="D735" t="s">
        <v>233</v>
      </c>
      <c r="E735" s="3">
        <v>44762</v>
      </c>
      <c r="F735" s="49">
        <v>1</v>
      </c>
      <c r="G735" s="49">
        <v>199.75</v>
      </c>
      <c r="H735" t="str">
        <f>IFERROR(VLOOKUP(D735,'SKU Maintenance'!L:O,3,0),"BP not found")</f>
        <v>C-UTX002</v>
      </c>
    </row>
    <row r="736" spans="1:8" x14ac:dyDescent="0.25">
      <c r="A736" t="str">
        <f>IFERROR(VLOOKUP(B736&amp; "*",'SKU Maintenance'!D:H,5,0),"not found")</f>
        <v>2010030401223452</v>
      </c>
      <c r="B736">
        <v>40019152</v>
      </c>
      <c r="C736" t="s">
        <v>184</v>
      </c>
      <c r="D736" t="s">
        <v>433</v>
      </c>
      <c r="E736" s="3">
        <v>44762</v>
      </c>
      <c r="F736" s="49">
        <v>1</v>
      </c>
      <c r="G736" s="49">
        <v>199.75</v>
      </c>
      <c r="H736" t="str">
        <f>IFERROR(VLOOKUP(D736,'SKU Maintenance'!L:O,3,0),"BP not found")</f>
        <v>C-UTX004</v>
      </c>
    </row>
    <row r="737" spans="1:8" x14ac:dyDescent="0.25">
      <c r="A737" t="str">
        <f>IFERROR(VLOOKUP(B737&amp; "*",'SKU Maintenance'!D:H,5,0),"not found")</f>
        <v>2010030401163453</v>
      </c>
      <c r="B737">
        <v>40019155</v>
      </c>
      <c r="C737" t="s">
        <v>249</v>
      </c>
      <c r="D737" t="s">
        <v>233</v>
      </c>
      <c r="E737" s="3">
        <v>44745</v>
      </c>
      <c r="F737" s="49">
        <v>1</v>
      </c>
      <c r="G737" s="49">
        <v>199.75</v>
      </c>
      <c r="H737" t="str">
        <f>IFERROR(VLOOKUP(D737,'SKU Maintenance'!L:O,3,0),"BP not found")</f>
        <v>C-UTX002</v>
      </c>
    </row>
    <row r="738" spans="1:8" x14ac:dyDescent="0.25">
      <c r="A738" t="str">
        <f>IFERROR(VLOOKUP(B738&amp; "*",'SKU Maintenance'!D:H,5,0),"not found")</f>
        <v>2010030401163453</v>
      </c>
      <c r="B738">
        <v>40019155</v>
      </c>
      <c r="C738" t="s">
        <v>249</v>
      </c>
      <c r="D738" t="s">
        <v>233</v>
      </c>
      <c r="E738" s="3">
        <v>44766</v>
      </c>
      <c r="F738" s="49">
        <v>1</v>
      </c>
      <c r="G738" s="49">
        <v>199.75</v>
      </c>
      <c r="H738" t="str">
        <f>IFERROR(VLOOKUP(D738,'SKU Maintenance'!L:O,3,0),"BP not found")</f>
        <v>C-UTX002</v>
      </c>
    </row>
    <row r="739" spans="1:8" x14ac:dyDescent="0.25">
      <c r="A739" t="str">
        <f>IFERROR(VLOOKUP(B739&amp; "*",'SKU Maintenance'!D:H,5,0),"not found")</f>
        <v>2010030401183454</v>
      </c>
      <c r="B739">
        <v>40019156</v>
      </c>
      <c r="C739" t="s">
        <v>250</v>
      </c>
      <c r="D739" t="s">
        <v>233</v>
      </c>
      <c r="E739" s="3">
        <v>44745</v>
      </c>
      <c r="F739" s="49">
        <v>1</v>
      </c>
      <c r="G739" s="49">
        <v>199.75</v>
      </c>
      <c r="H739" t="str">
        <f>IFERROR(VLOOKUP(D739,'SKU Maintenance'!L:O,3,0),"BP not found")</f>
        <v>C-UTX002</v>
      </c>
    </row>
    <row r="740" spans="1:8" x14ac:dyDescent="0.25">
      <c r="A740" t="str">
        <f>IFERROR(VLOOKUP(B740&amp; "*",'SKU Maintenance'!D:H,5,0),"not found")</f>
        <v>2010030401183454</v>
      </c>
      <c r="B740">
        <v>40019156</v>
      </c>
      <c r="C740" t="s">
        <v>250</v>
      </c>
      <c r="D740" t="s">
        <v>233</v>
      </c>
      <c r="E740" s="3">
        <v>44771</v>
      </c>
      <c r="F740" s="49">
        <v>1</v>
      </c>
      <c r="G740" s="49">
        <v>199.75</v>
      </c>
      <c r="H740" t="str">
        <f>IFERROR(VLOOKUP(D740,'SKU Maintenance'!L:O,3,0),"BP not found")</f>
        <v>C-UTX002</v>
      </c>
    </row>
    <row r="741" spans="1:8" x14ac:dyDescent="0.25">
      <c r="A741" t="str">
        <f>IFERROR(VLOOKUP(B741&amp; "*",'SKU Maintenance'!D:H,5,0),"not found")</f>
        <v>2010030401223454</v>
      </c>
      <c r="B741">
        <v>40019158</v>
      </c>
      <c r="C741" t="s">
        <v>251</v>
      </c>
      <c r="D741" t="s">
        <v>233</v>
      </c>
      <c r="E741" s="3">
        <v>44745</v>
      </c>
      <c r="F741" s="49">
        <v>1</v>
      </c>
      <c r="G741" s="49">
        <v>199.75</v>
      </c>
      <c r="H741" t="str">
        <f>IFERROR(VLOOKUP(D741,'SKU Maintenance'!L:O,3,0),"BP not found")</f>
        <v>C-UTX002</v>
      </c>
    </row>
    <row r="742" spans="1:8" x14ac:dyDescent="0.25">
      <c r="A742" t="str">
        <f>IFERROR(VLOOKUP(B742&amp; "*",'SKU Maintenance'!D:H,5,0),"not found")</f>
        <v>2010030401223454</v>
      </c>
      <c r="B742">
        <v>40019158</v>
      </c>
      <c r="C742" t="s">
        <v>251</v>
      </c>
      <c r="D742" t="s">
        <v>233</v>
      </c>
      <c r="E742" s="3">
        <v>44750</v>
      </c>
      <c r="F742" s="49">
        <v>5</v>
      </c>
      <c r="G742" s="49">
        <v>998.75</v>
      </c>
      <c r="H742" t="str">
        <f>IFERROR(VLOOKUP(D742,'SKU Maintenance'!L:O,3,0),"BP not found")</f>
        <v>C-UTX002</v>
      </c>
    </row>
    <row r="743" spans="1:8" x14ac:dyDescent="0.25">
      <c r="A743" t="str">
        <f>IFERROR(VLOOKUP(B743&amp; "*",'SKU Maintenance'!D:H,5,0),"not found")</f>
        <v>2010030401173454</v>
      </c>
      <c r="B743">
        <v>40019159</v>
      </c>
      <c r="C743" t="s">
        <v>250</v>
      </c>
      <c r="D743" t="s">
        <v>233</v>
      </c>
      <c r="E743" s="3">
        <v>44771</v>
      </c>
      <c r="F743" s="49">
        <v>1</v>
      </c>
      <c r="G743" s="49">
        <v>199.75</v>
      </c>
      <c r="H743" t="str">
        <f>IFERROR(VLOOKUP(D743,'SKU Maintenance'!L:O,3,0),"BP not found")</f>
        <v>C-UTX002</v>
      </c>
    </row>
    <row r="744" spans="1:8" x14ac:dyDescent="0.25">
      <c r="A744" t="str">
        <f>IFERROR(VLOOKUP(B744&amp; "*",'SKU Maintenance'!D:H,5,0),"not found")</f>
        <v>2010030402163455</v>
      </c>
      <c r="B744">
        <v>40019161</v>
      </c>
      <c r="C744" t="s">
        <v>299</v>
      </c>
      <c r="D744" t="s">
        <v>233</v>
      </c>
      <c r="E744" s="3">
        <v>44759</v>
      </c>
      <c r="F744" s="49">
        <v>1</v>
      </c>
      <c r="G744" s="49">
        <v>499.75</v>
      </c>
      <c r="H744" t="str">
        <f>IFERROR(VLOOKUP(D744,'SKU Maintenance'!L:O,3,0),"BP not found")</f>
        <v>C-UTX002</v>
      </c>
    </row>
    <row r="745" spans="1:8" x14ac:dyDescent="0.25">
      <c r="A745" t="str">
        <f>IFERROR(VLOOKUP(B745&amp; "*",'SKU Maintenance'!D:H,5,0),"not found")</f>
        <v>2010030402163455</v>
      </c>
      <c r="B745">
        <v>40019161</v>
      </c>
      <c r="C745" t="s">
        <v>299</v>
      </c>
      <c r="D745" t="s">
        <v>233</v>
      </c>
      <c r="E745" s="3">
        <v>44768</v>
      </c>
      <c r="F745" s="49">
        <v>1</v>
      </c>
      <c r="G745" s="49">
        <v>499.75</v>
      </c>
      <c r="H745" t="str">
        <f>IFERROR(VLOOKUP(D745,'SKU Maintenance'!L:O,3,0),"BP not found")</f>
        <v>C-UTX002</v>
      </c>
    </row>
    <row r="746" spans="1:8" x14ac:dyDescent="0.25">
      <c r="A746" t="str">
        <f>IFERROR(VLOOKUP(B746&amp; "*",'SKU Maintenance'!D:H,5,0),"X9998")</f>
        <v>X9998</v>
      </c>
      <c r="B746">
        <v>40019253</v>
      </c>
      <c r="C746" t="s">
        <v>110</v>
      </c>
      <c r="D746" t="s">
        <v>48</v>
      </c>
      <c r="E746" s="3">
        <v>44752</v>
      </c>
      <c r="F746" s="49">
        <v>2</v>
      </c>
      <c r="G746" s="49">
        <v>999.5</v>
      </c>
      <c r="H746" t="str">
        <f>IFERROR(VLOOKUP(D746,'SKU Maintenance'!L:O,3,0),"BP not found")</f>
        <v>C-UTX001</v>
      </c>
    </row>
    <row r="747" spans="1:8" x14ac:dyDescent="0.25">
      <c r="A747" t="str">
        <f>IFERROR(VLOOKUP(B747&amp; "*",'SKU Maintenance'!D:H,5,0),"X9998")</f>
        <v>X9998</v>
      </c>
      <c r="B747">
        <v>40019258</v>
      </c>
      <c r="C747" t="s">
        <v>331</v>
      </c>
      <c r="D747" t="s">
        <v>233</v>
      </c>
      <c r="E747" s="3">
        <v>44766</v>
      </c>
      <c r="F747" s="49">
        <v>1</v>
      </c>
      <c r="G747" s="49">
        <v>249.75</v>
      </c>
      <c r="H747" t="str">
        <f>IFERROR(VLOOKUP(D747,'SKU Maintenance'!L:O,3,0),"BP not found")</f>
        <v>C-UTX002</v>
      </c>
    </row>
    <row r="748" spans="1:8" x14ac:dyDescent="0.25">
      <c r="A748" t="str">
        <f>IFERROR(VLOOKUP(B748&amp; "*",'SKU Maintenance'!D:H,5,0),"X9998")</f>
        <v>X9998</v>
      </c>
      <c r="B748">
        <v>40019260</v>
      </c>
      <c r="C748" t="s">
        <v>394</v>
      </c>
      <c r="D748" t="s">
        <v>351</v>
      </c>
      <c r="E748" s="3">
        <v>44754</v>
      </c>
      <c r="F748" s="49">
        <v>1</v>
      </c>
      <c r="G748" s="49">
        <v>349.75</v>
      </c>
      <c r="H748" t="str">
        <f>IFERROR(VLOOKUP(D748,'SKU Maintenance'!L:O,3,0),"BP not found")</f>
        <v>C-UTX003</v>
      </c>
    </row>
    <row r="749" spans="1:8" x14ac:dyDescent="0.25">
      <c r="A749" t="str">
        <f>IFERROR(VLOOKUP(B749&amp; "*",'SKU Maintenance'!D:H,5,0),"X9998")</f>
        <v>X9998</v>
      </c>
      <c r="B749">
        <v>40019262</v>
      </c>
      <c r="C749" t="s">
        <v>395</v>
      </c>
      <c r="D749" t="s">
        <v>351</v>
      </c>
      <c r="E749" s="3">
        <v>44754</v>
      </c>
      <c r="F749" s="49">
        <v>1</v>
      </c>
      <c r="G749" s="49">
        <v>349.75</v>
      </c>
      <c r="H749" t="str">
        <f>IFERROR(VLOOKUP(D749,'SKU Maintenance'!L:O,3,0),"BP not found")</f>
        <v>C-UTX003</v>
      </c>
    </row>
    <row r="750" spans="1:8" x14ac:dyDescent="0.25">
      <c r="A750" t="str">
        <f>IFERROR(VLOOKUP(B750&amp; "*",'SKU Maintenance'!D:H,5,0),"X9998")</f>
        <v>X9998</v>
      </c>
      <c r="B750">
        <v>40019264</v>
      </c>
      <c r="C750" t="s">
        <v>360</v>
      </c>
      <c r="D750" t="s">
        <v>351</v>
      </c>
      <c r="E750" s="3">
        <v>44748</v>
      </c>
      <c r="F750" s="49">
        <v>1</v>
      </c>
      <c r="G750" s="49">
        <v>499.75</v>
      </c>
      <c r="H750" t="str">
        <f>IFERROR(VLOOKUP(D750,'SKU Maintenance'!L:O,3,0),"BP not found")</f>
        <v>C-UTX003</v>
      </c>
    </row>
    <row r="751" spans="1:8" x14ac:dyDescent="0.25">
      <c r="A751" t="str">
        <f>IFERROR(VLOOKUP(B751&amp; "*",'SKU Maintenance'!D:H,5,0),"X9998")</f>
        <v>X9998</v>
      </c>
      <c r="B751">
        <v>40019264</v>
      </c>
      <c r="C751" t="s">
        <v>360</v>
      </c>
      <c r="D751" t="s">
        <v>351</v>
      </c>
      <c r="E751" s="3">
        <v>44754</v>
      </c>
      <c r="F751" s="49">
        <v>1</v>
      </c>
      <c r="G751" s="49">
        <v>499.75</v>
      </c>
      <c r="H751" t="str">
        <f>IFERROR(VLOOKUP(D751,'SKU Maintenance'!L:O,3,0),"BP not found")</f>
        <v>C-UTX003</v>
      </c>
    </row>
    <row r="752" spans="1:8" x14ac:dyDescent="0.25">
      <c r="A752" t="str">
        <f>IFERROR(VLOOKUP(B752&amp; "*",'SKU Maintenance'!D:H,5,0),"X9998")</f>
        <v>X9998</v>
      </c>
      <c r="B752">
        <v>40019266</v>
      </c>
      <c r="C752" t="s">
        <v>393</v>
      </c>
      <c r="D752" t="s">
        <v>351</v>
      </c>
      <c r="E752" s="3">
        <v>44754</v>
      </c>
      <c r="F752" s="49">
        <v>1</v>
      </c>
      <c r="G752" s="49">
        <v>499.75</v>
      </c>
      <c r="H752" t="str">
        <f>IFERROR(VLOOKUP(D752,'SKU Maintenance'!L:O,3,0),"BP not found")</f>
        <v>C-UTX003</v>
      </c>
    </row>
    <row r="753" spans="1:8" x14ac:dyDescent="0.25">
      <c r="A753" t="str">
        <f>IFERROR(VLOOKUP(B753&amp; "*",'SKU Maintenance'!D:H,5,0),"X9998")</f>
        <v>X9998</v>
      </c>
      <c r="B753">
        <v>40019269</v>
      </c>
      <c r="C753" t="s">
        <v>215</v>
      </c>
      <c r="D753" t="s">
        <v>48</v>
      </c>
      <c r="E753" s="3">
        <v>44771</v>
      </c>
      <c r="F753" s="49">
        <v>1</v>
      </c>
      <c r="G753" s="49">
        <v>699.75</v>
      </c>
      <c r="H753" t="str">
        <f>IFERROR(VLOOKUP(D753,'SKU Maintenance'!L:O,3,0),"BP not found")</f>
        <v>C-UTX001</v>
      </c>
    </row>
    <row r="754" spans="1:8" x14ac:dyDescent="0.25">
      <c r="A754" t="str">
        <f>IFERROR(VLOOKUP(B754&amp; "*",'SKU Maintenance'!D:H,5,0),"not found")</f>
        <v>2010041001220231</v>
      </c>
      <c r="B754">
        <v>40019273</v>
      </c>
      <c r="C754" t="s">
        <v>379</v>
      </c>
      <c r="D754" t="s">
        <v>351</v>
      </c>
      <c r="E754" s="3">
        <v>44754</v>
      </c>
      <c r="F754" s="49">
        <v>1</v>
      </c>
      <c r="G754" s="49">
        <v>649.75</v>
      </c>
      <c r="H754" t="str">
        <f>IFERROR(VLOOKUP(D754,'SKU Maintenance'!L:O,3,0),"BP not found")</f>
        <v>C-UTX003</v>
      </c>
    </row>
    <row r="755" spans="1:8" x14ac:dyDescent="0.25">
      <c r="A755" t="str">
        <f>IFERROR(VLOOKUP(B755&amp; "*",'SKU Maintenance'!D:H,5,0),"not found")</f>
        <v>2010020298220003</v>
      </c>
      <c r="B755">
        <v>40019274</v>
      </c>
      <c r="C755" t="s">
        <v>419</v>
      </c>
      <c r="D755" t="s">
        <v>351</v>
      </c>
      <c r="E755" s="3">
        <v>44766</v>
      </c>
      <c r="F755" s="49">
        <v>1</v>
      </c>
      <c r="G755" s="49">
        <v>349.75</v>
      </c>
      <c r="H755" t="str">
        <f>IFERROR(VLOOKUP(D755,'SKU Maintenance'!L:O,3,0),"BP not found")</f>
        <v>C-UTX003</v>
      </c>
    </row>
    <row r="756" spans="1:8" x14ac:dyDescent="0.25">
      <c r="A756" t="str">
        <f>IFERROR(VLOOKUP(B756&amp; "*",'SKU Maintenance'!D:H,5,0),"not found")</f>
        <v>2010020298220004</v>
      </c>
      <c r="B756">
        <v>40019276</v>
      </c>
      <c r="C756" t="s">
        <v>290</v>
      </c>
      <c r="D756" t="s">
        <v>233</v>
      </c>
      <c r="E756" s="3">
        <v>44757</v>
      </c>
      <c r="F756" s="49">
        <v>1</v>
      </c>
      <c r="G756" s="49">
        <v>399.75</v>
      </c>
      <c r="H756" t="str">
        <f>IFERROR(VLOOKUP(D756,'SKU Maintenance'!L:O,3,0),"BP not found")</f>
        <v>C-UTX002</v>
      </c>
    </row>
    <row r="757" spans="1:8" x14ac:dyDescent="0.25">
      <c r="A757" t="str">
        <f>IFERROR(VLOOKUP(B757&amp; "*",'SKU Maintenance'!D:H,5,0),"not found")</f>
        <v>2010020298220004</v>
      </c>
      <c r="B757">
        <v>40019276</v>
      </c>
      <c r="C757" t="s">
        <v>290</v>
      </c>
      <c r="D757" t="s">
        <v>433</v>
      </c>
      <c r="E757" s="3">
        <v>44753</v>
      </c>
      <c r="F757" s="49">
        <v>1</v>
      </c>
      <c r="G757" s="49">
        <v>399.75</v>
      </c>
      <c r="H757" t="str">
        <f>IFERROR(VLOOKUP(D757,'SKU Maintenance'!L:O,3,0),"BP not found")</f>
        <v>C-UTX004</v>
      </c>
    </row>
    <row r="758" spans="1:8" x14ac:dyDescent="0.25">
      <c r="A758" t="str">
        <f>IFERROR(VLOOKUP(B758&amp; "*",'SKU Maintenance'!D:H,5,0),"not found")</f>
        <v>2010020298160004</v>
      </c>
      <c r="B758">
        <v>40019277</v>
      </c>
      <c r="C758" t="s">
        <v>270</v>
      </c>
      <c r="D758" t="s">
        <v>233</v>
      </c>
      <c r="E758" s="3">
        <v>44750</v>
      </c>
      <c r="F758" s="49">
        <v>1</v>
      </c>
      <c r="G758" s="49">
        <v>399.75</v>
      </c>
      <c r="H758" t="str">
        <f>IFERROR(VLOOKUP(D758,'SKU Maintenance'!L:O,3,0),"BP not found")</f>
        <v>C-UTX002</v>
      </c>
    </row>
    <row r="759" spans="1:8" x14ac:dyDescent="0.25">
      <c r="A759" t="str">
        <f>IFERROR(VLOOKUP(B759&amp; "*",'SKU Maintenance'!D:H,5,0),"not found")</f>
        <v>2010020298160004</v>
      </c>
      <c r="B759">
        <v>40019277</v>
      </c>
      <c r="C759" t="s">
        <v>270</v>
      </c>
      <c r="D759" t="s">
        <v>351</v>
      </c>
      <c r="E759" s="3">
        <v>44743</v>
      </c>
      <c r="F759" s="49">
        <v>1</v>
      </c>
      <c r="G759" s="49">
        <v>399.75</v>
      </c>
      <c r="H759" t="str">
        <f>IFERROR(VLOOKUP(D759,'SKU Maintenance'!L:O,3,0),"BP not found")</f>
        <v>C-UTX003</v>
      </c>
    </row>
    <row r="760" spans="1:8" x14ac:dyDescent="0.25">
      <c r="A760" t="str">
        <f>IFERROR(VLOOKUP(B760&amp; "*",'SKU Maintenance'!D:H,5,0),"not found")</f>
        <v>2010010102200043</v>
      </c>
      <c r="B760">
        <v>40019361</v>
      </c>
      <c r="C760" t="s">
        <v>309</v>
      </c>
      <c r="D760" t="s">
        <v>233</v>
      </c>
      <c r="E760" s="3">
        <v>44761</v>
      </c>
      <c r="F760" s="49">
        <v>2</v>
      </c>
      <c r="G760" s="49">
        <v>359.5</v>
      </c>
      <c r="H760" t="str">
        <f>IFERROR(VLOOKUP(D760,'SKU Maintenance'!L:O,3,0),"BP not found")</f>
        <v>C-UTX002</v>
      </c>
    </row>
    <row r="761" spans="1:8" x14ac:dyDescent="0.25">
      <c r="A761" t="str">
        <f>IFERROR(VLOOKUP(B761&amp; "*",'SKU Maintenance'!D:H,5,0),"not found")</f>
        <v>2010010102200043</v>
      </c>
      <c r="B761">
        <v>40019361</v>
      </c>
      <c r="C761" t="s">
        <v>309</v>
      </c>
      <c r="D761" t="s">
        <v>433</v>
      </c>
      <c r="E761" s="3">
        <v>44769</v>
      </c>
      <c r="F761" s="49">
        <v>1</v>
      </c>
      <c r="G761" s="49">
        <v>179.75</v>
      </c>
      <c r="H761" t="str">
        <f>IFERROR(VLOOKUP(D761,'SKU Maintenance'!L:O,3,0),"BP not found")</f>
        <v>C-UTX004</v>
      </c>
    </row>
    <row r="762" spans="1:8" x14ac:dyDescent="0.25">
      <c r="A762" t="str">
        <f>IFERROR(VLOOKUP(B762&amp; "*",'SKU Maintenance'!D:H,5,0),"not found")</f>
        <v>2010010298130023</v>
      </c>
      <c r="B762">
        <v>40019362</v>
      </c>
      <c r="C762" t="s">
        <v>361</v>
      </c>
      <c r="D762" t="s">
        <v>351</v>
      </c>
      <c r="E762" s="3">
        <v>44749</v>
      </c>
      <c r="F762" s="49">
        <v>1</v>
      </c>
      <c r="G762" s="49">
        <v>599.75</v>
      </c>
      <c r="H762" t="str">
        <f>IFERROR(VLOOKUP(D762,'SKU Maintenance'!L:O,3,0),"BP not found")</f>
        <v>C-UTX003</v>
      </c>
    </row>
    <row r="763" spans="1:8" x14ac:dyDescent="0.25">
      <c r="A763" t="str">
        <f>IFERROR(VLOOKUP(B763&amp; "*",'SKU Maintenance'!D:H,5,0),"not found")</f>
        <v>2010010102130044</v>
      </c>
      <c r="B763">
        <v>40019363</v>
      </c>
      <c r="C763" t="s">
        <v>133</v>
      </c>
      <c r="D763" t="s">
        <v>48</v>
      </c>
      <c r="E763" s="3">
        <v>44756</v>
      </c>
      <c r="F763" s="49">
        <v>1</v>
      </c>
      <c r="G763" s="49">
        <v>179.75</v>
      </c>
      <c r="H763" t="str">
        <f>IFERROR(VLOOKUP(D763,'SKU Maintenance'!L:O,3,0),"BP not found")</f>
        <v>C-UTX001</v>
      </c>
    </row>
    <row r="764" spans="1:8" x14ac:dyDescent="0.25">
      <c r="A764" t="str">
        <f>IFERROR(VLOOKUP(B764&amp; "*",'SKU Maintenance'!D:H,5,0),"not found")</f>
        <v>2010010102130044</v>
      </c>
      <c r="B764">
        <v>40019363</v>
      </c>
      <c r="C764" t="s">
        <v>133</v>
      </c>
      <c r="D764" t="s">
        <v>433</v>
      </c>
      <c r="E764" s="3">
        <v>44757</v>
      </c>
      <c r="F764" s="49">
        <v>3</v>
      </c>
      <c r="G764" s="49">
        <v>485.32500000000005</v>
      </c>
      <c r="H764" t="str">
        <f>IFERROR(VLOOKUP(D764,'SKU Maintenance'!L:O,3,0),"BP not found")</f>
        <v>C-UTX004</v>
      </c>
    </row>
    <row r="765" spans="1:8" x14ac:dyDescent="0.25">
      <c r="A765" t="str">
        <f>IFERROR(VLOOKUP(B765&amp; "*",'SKU Maintenance'!D:H,5,0),"not found")</f>
        <v>2010010104130044</v>
      </c>
      <c r="B765">
        <v>40019364</v>
      </c>
      <c r="C765" t="s">
        <v>436</v>
      </c>
      <c r="D765" t="s">
        <v>433</v>
      </c>
      <c r="E765" s="3">
        <v>44748</v>
      </c>
      <c r="F765" s="49">
        <v>1</v>
      </c>
      <c r="G765" s="49">
        <v>279.75</v>
      </c>
      <c r="H765" t="str">
        <f>IFERROR(VLOOKUP(D765,'SKU Maintenance'!L:O,3,0),"BP not found")</f>
        <v>C-UTX004</v>
      </c>
    </row>
    <row r="766" spans="1:8" x14ac:dyDescent="0.25">
      <c r="A766" t="str">
        <f>IFERROR(VLOOKUP(B766&amp; "*",'SKU Maintenance'!D:H,5,0),"not found")</f>
        <v>2010010104130044</v>
      </c>
      <c r="B766">
        <v>40019364</v>
      </c>
      <c r="C766" t="s">
        <v>436</v>
      </c>
      <c r="D766" t="s">
        <v>433</v>
      </c>
      <c r="E766" s="3">
        <v>44763</v>
      </c>
      <c r="F766" s="49">
        <v>2</v>
      </c>
      <c r="G766" s="49">
        <v>559.5</v>
      </c>
      <c r="H766" t="str">
        <f>IFERROR(VLOOKUP(D766,'SKU Maintenance'!L:O,3,0),"BP not found")</f>
        <v>C-UTX004</v>
      </c>
    </row>
    <row r="767" spans="1:8" x14ac:dyDescent="0.25">
      <c r="A767" t="str">
        <f>IFERROR(VLOOKUP(B767&amp; "*",'SKU Maintenance'!D:H,5,0),"not found")</f>
        <v>2010010104200043</v>
      </c>
      <c r="B767">
        <v>40019367</v>
      </c>
      <c r="C767" t="s">
        <v>277</v>
      </c>
      <c r="D767" t="s">
        <v>233</v>
      </c>
      <c r="E767" s="3">
        <v>44752</v>
      </c>
      <c r="F767" s="49">
        <v>1</v>
      </c>
      <c r="G767" s="49">
        <v>279.75</v>
      </c>
      <c r="H767" t="str">
        <f>IFERROR(VLOOKUP(D767,'SKU Maintenance'!L:O,3,0),"BP not found")</f>
        <v>C-UTX002</v>
      </c>
    </row>
    <row r="768" spans="1:8" x14ac:dyDescent="0.25">
      <c r="A768" t="str">
        <f>IFERROR(VLOOKUP(B768&amp; "*",'SKU Maintenance'!D:H,5,0),"not found")</f>
        <v>2010010104200043</v>
      </c>
      <c r="B768">
        <v>40019367</v>
      </c>
      <c r="C768" t="s">
        <v>277</v>
      </c>
      <c r="D768" t="s">
        <v>433</v>
      </c>
      <c r="E768" s="3">
        <v>44748</v>
      </c>
      <c r="F768" s="49">
        <v>1</v>
      </c>
      <c r="G768" s="49">
        <v>279.75</v>
      </c>
      <c r="H768" t="str">
        <f>IFERROR(VLOOKUP(D768,'SKU Maintenance'!L:O,3,0),"BP not found")</f>
        <v>C-UTX004</v>
      </c>
    </row>
    <row r="769" spans="1:8" x14ac:dyDescent="0.25">
      <c r="A769" t="str">
        <f>IFERROR(VLOOKUP(B769&amp; "*",'SKU Maintenance'!D:H,5,0),"not found")</f>
        <v>2010010102220043</v>
      </c>
      <c r="B769">
        <v>40019368</v>
      </c>
      <c r="C769" t="s">
        <v>309</v>
      </c>
      <c r="D769" t="s">
        <v>433</v>
      </c>
      <c r="E769" s="3">
        <v>44769</v>
      </c>
      <c r="F769" s="49">
        <v>1</v>
      </c>
      <c r="G769" s="49">
        <v>179.75</v>
      </c>
      <c r="H769" t="str">
        <f>IFERROR(VLOOKUP(D769,'SKU Maintenance'!L:O,3,0),"BP not found")</f>
        <v>C-UTX004</v>
      </c>
    </row>
    <row r="770" spans="1:8" x14ac:dyDescent="0.25">
      <c r="A770" t="str">
        <f>IFERROR(VLOOKUP(B770&amp; "*",'SKU Maintenance'!D:H,5,0),"not found")</f>
        <v>2010010104130042</v>
      </c>
      <c r="B770">
        <v>40019369</v>
      </c>
      <c r="C770" t="s">
        <v>193</v>
      </c>
      <c r="D770" t="s">
        <v>48</v>
      </c>
      <c r="E770" s="3">
        <v>44766</v>
      </c>
      <c r="F770" s="49">
        <v>1</v>
      </c>
      <c r="G770" s="49">
        <v>299.75</v>
      </c>
      <c r="H770" t="str">
        <f>IFERROR(VLOOKUP(D770,'SKU Maintenance'!L:O,3,0),"BP not found")</f>
        <v>C-UTX001</v>
      </c>
    </row>
    <row r="771" spans="1:8" x14ac:dyDescent="0.25">
      <c r="A771" t="str">
        <f>IFERROR(VLOOKUP(B771&amp; "*",'SKU Maintenance'!D:H,5,0),"not found")</f>
        <v>2010020198180011</v>
      </c>
      <c r="B771">
        <v>40019372</v>
      </c>
      <c r="C771" t="s">
        <v>118</v>
      </c>
      <c r="D771" t="s">
        <v>48</v>
      </c>
      <c r="E771" s="3">
        <v>44753</v>
      </c>
      <c r="F771" s="49">
        <v>1</v>
      </c>
      <c r="G771" s="49">
        <v>1299.75</v>
      </c>
      <c r="H771" t="str">
        <f>IFERROR(VLOOKUP(D771,'SKU Maintenance'!L:O,3,0),"BP not found")</f>
        <v>C-UTX001</v>
      </c>
    </row>
    <row r="772" spans="1:8" x14ac:dyDescent="0.25">
      <c r="A772" t="str">
        <f>IFERROR(VLOOKUP(B772&amp; "*",'SKU Maintenance'!D:H,5,0),"not found")</f>
        <v>2010020198180011</v>
      </c>
      <c r="B772">
        <v>40019372</v>
      </c>
      <c r="C772" t="s">
        <v>118</v>
      </c>
      <c r="D772" t="s">
        <v>233</v>
      </c>
      <c r="E772" s="3">
        <v>44751</v>
      </c>
      <c r="F772" s="49">
        <v>1</v>
      </c>
      <c r="G772" s="49">
        <v>1299.75</v>
      </c>
      <c r="H772" t="str">
        <f>IFERROR(VLOOKUP(D772,'SKU Maintenance'!L:O,3,0),"BP not found")</f>
        <v>C-UTX002</v>
      </c>
    </row>
    <row r="773" spans="1:8" x14ac:dyDescent="0.25">
      <c r="A773" t="str">
        <f>IFERROR(VLOOKUP(B773&amp; "*",'SKU Maintenance'!D:H,5,0),"not found")</f>
        <v>2010020198180017</v>
      </c>
      <c r="B773">
        <v>40019380</v>
      </c>
      <c r="C773" t="s">
        <v>52</v>
      </c>
      <c r="D773" t="s">
        <v>48</v>
      </c>
      <c r="E773" s="3">
        <v>44743</v>
      </c>
      <c r="F773" s="49">
        <v>1</v>
      </c>
      <c r="G773" s="49">
        <v>749.75</v>
      </c>
      <c r="H773" t="str">
        <f>IFERROR(VLOOKUP(D773,'SKU Maintenance'!L:O,3,0),"BP not found")</f>
        <v>C-UTX001</v>
      </c>
    </row>
    <row r="774" spans="1:8" x14ac:dyDescent="0.25">
      <c r="A774" t="str">
        <f>IFERROR(VLOOKUP(B774&amp; "*",'SKU Maintenance'!D:H,5,0),"not found")</f>
        <v>2010010104200035</v>
      </c>
      <c r="B774">
        <v>40019381</v>
      </c>
      <c r="C774" t="s">
        <v>94</v>
      </c>
      <c r="D774" t="s">
        <v>48</v>
      </c>
      <c r="E774" s="3">
        <v>44748</v>
      </c>
      <c r="F774" s="49">
        <v>1</v>
      </c>
      <c r="G774" s="49">
        <v>299.75</v>
      </c>
      <c r="H774" t="str">
        <f>IFERROR(VLOOKUP(D774,'SKU Maintenance'!L:O,3,0),"BP not found")</f>
        <v>C-UTX001</v>
      </c>
    </row>
    <row r="775" spans="1:8" x14ac:dyDescent="0.25">
      <c r="A775" t="str">
        <f>IFERROR(VLOOKUP(B775&amp; "*",'SKU Maintenance'!D:H,5,0),"not found")</f>
        <v>2010020198220017</v>
      </c>
      <c r="B775">
        <v>40019383</v>
      </c>
      <c r="C775" t="s">
        <v>52</v>
      </c>
      <c r="D775" t="s">
        <v>48</v>
      </c>
      <c r="E775" s="3">
        <v>44773</v>
      </c>
      <c r="F775" s="49">
        <v>1</v>
      </c>
      <c r="G775" s="49">
        <v>749.75</v>
      </c>
      <c r="H775" t="str">
        <f>IFERROR(VLOOKUP(D775,'SKU Maintenance'!L:O,3,0),"BP not found")</f>
        <v>C-UTX001</v>
      </c>
    </row>
    <row r="776" spans="1:8" x14ac:dyDescent="0.25">
      <c r="A776" t="str">
        <f>IFERROR(VLOOKUP(B776&amp; "*",'SKU Maintenance'!D:H,5,0),"not found")</f>
        <v>2010020198220017</v>
      </c>
      <c r="B776">
        <v>40019383</v>
      </c>
      <c r="C776" t="s">
        <v>52</v>
      </c>
      <c r="D776" t="s">
        <v>433</v>
      </c>
      <c r="E776" s="3">
        <v>44757</v>
      </c>
      <c r="F776" s="49">
        <v>1</v>
      </c>
      <c r="G776" s="49">
        <v>749.75</v>
      </c>
      <c r="H776" t="str">
        <f>IFERROR(VLOOKUP(D776,'SKU Maintenance'!L:O,3,0),"BP not found")</f>
        <v>C-UTX004</v>
      </c>
    </row>
    <row r="777" spans="1:8" x14ac:dyDescent="0.25">
      <c r="A777" t="str">
        <f>IFERROR(VLOOKUP(B777&amp; "*",'SKU Maintenance'!D:H,5,0),"not found")</f>
        <v>2010020198220017</v>
      </c>
      <c r="B777">
        <v>40019383</v>
      </c>
      <c r="C777" t="s">
        <v>52</v>
      </c>
      <c r="D777" t="s">
        <v>433</v>
      </c>
      <c r="E777" s="3">
        <v>44772</v>
      </c>
      <c r="F777" s="49">
        <v>1</v>
      </c>
      <c r="G777" s="49">
        <v>749.75</v>
      </c>
      <c r="H777" t="str">
        <f>IFERROR(VLOOKUP(D777,'SKU Maintenance'!L:O,3,0),"BP not found")</f>
        <v>C-UTX004</v>
      </c>
    </row>
    <row r="778" spans="1:8" x14ac:dyDescent="0.25">
      <c r="A778" t="str">
        <f>IFERROR(VLOOKUP(B778&amp; "*",'SKU Maintenance'!D:H,5,0),"not found")</f>
        <v>2010020198230018</v>
      </c>
      <c r="B778">
        <v>40019385</v>
      </c>
      <c r="C778" t="s">
        <v>474</v>
      </c>
      <c r="D778" t="s">
        <v>433</v>
      </c>
      <c r="E778" s="3">
        <v>44772</v>
      </c>
      <c r="F778" s="49">
        <v>1</v>
      </c>
      <c r="G778" s="49">
        <v>749.75</v>
      </c>
      <c r="H778" t="str">
        <f>IFERROR(VLOOKUP(D778,'SKU Maintenance'!L:O,3,0),"BP not found")</f>
        <v>C-UTX004</v>
      </c>
    </row>
    <row r="779" spans="1:8" x14ac:dyDescent="0.25">
      <c r="A779" t="str">
        <f>IFERROR(VLOOKUP(B779&amp; "*",'SKU Maintenance'!D:H,5,0),"not found")</f>
        <v>2010020198220018</v>
      </c>
      <c r="B779">
        <v>40019386</v>
      </c>
      <c r="C779" t="s">
        <v>368</v>
      </c>
      <c r="D779" t="s">
        <v>351</v>
      </c>
      <c r="E779" s="3">
        <v>44749</v>
      </c>
      <c r="F779" s="49">
        <v>2</v>
      </c>
      <c r="G779" s="49">
        <v>1499.5</v>
      </c>
      <c r="H779" t="str">
        <f>IFERROR(VLOOKUP(D779,'SKU Maintenance'!L:O,3,0),"BP not found")</f>
        <v>C-UTX003</v>
      </c>
    </row>
    <row r="780" spans="1:8" x14ac:dyDescent="0.25">
      <c r="A780" t="str">
        <f>IFERROR(VLOOKUP(B780&amp; "*",'SKU Maintenance'!D:H,5,0),"not found")</f>
        <v>2010010298160019</v>
      </c>
      <c r="B780">
        <v>40019391</v>
      </c>
      <c r="C780" t="s">
        <v>253</v>
      </c>
      <c r="D780" t="s">
        <v>233</v>
      </c>
      <c r="E780" s="3">
        <v>44746</v>
      </c>
      <c r="F780" s="49">
        <v>1</v>
      </c>
      <c r="G780" s="49">
        <v>199.75</v>
      </c>
      <c r="H780" t="str">
        <f>IFERROR(VLOOKUP(D780,'SKU Maintenance'!L:O,3,0),"BP not found")</f>
        <v>C-UTX002</v>
      </c>
    </row>
    <row r="781" spans="1:8" x14ac:dyDescent="0.25">
      <c r="A781" t="str">
        <f>IFERROR(VLOOKUP(B781&amp; "*",'SKU Maintenance'!D:H,5,0),"not found")</f>
        <v>2010010298160020</v>
      </c>
      <c r="B781">
        <v>40019392</v>
      </c>
      <c r="C781" t="s">
        <v>156</v>
      </c>
      <c r="D781" t="s">
        <v>48</v>
      </c>
      <c r="E781" s="3">
        <v>44758</v>
      </c>
      <c r="F781" s="49">
        <v>1</v>
      </c>
      <c r="G781" s="49">
        <v>269.77500000000003</v>
      </c>
      <c r="H781" t="str">
        <f>IFERROR(VLOOKUP(D781,'SKU Maintenance'!L:O,3,0),"BP not found")</f>
        <v>C-UTX001</v>
      </c>
    </row>
    <row r="782" spans="1:8" x14ac:dyDescent="0.25">
      <c r="A782" t="str">
        <f>IFERROR(VLOOKUP(B782&amp; "*",'SKU Maintenance'!D:H,5,0),"not found")</f>
        <v>2010010298220020</v>
      </c>
      <c r="B782">
        <v>40019395</v>
      </c>
      <c r="C782" t="s">
        <v>214</v>
      </c>
      <c r="D782" t="s">
        <v>48</v>
      </c>
      <c r="E782" s="3">
        <v>44770</v>
      </c>
      <c r="F782" s="49">
        <v>1</v>
      </c>
      <c r="G782" s="49">
        <v>299.75</v>
      </c>
      <c r="H782" t="str">
        <f>IFERROR(VLOOKUP(D782,'SKU Maintenance'!L:O,3,0),"BP not found")</f>
        <v>C-UTX001</v>
      </c>
    </row>
    <row r="783" spans="1:8" x14ac:dyDescent="0.25">
      <c r="A783" t="str">
        <f>IFERROR(VLOOKUP(B783&amp; "*",'SKU Maintenance'!D:H,5,0),"not found")</f>
        <v>2010010298220020</v>
      </c>
      <c r="B783">
        <v>40019395</v>
      </c>
      <c r="C783" t="s">
        <v>214</v>
      </c>
      <c r="D783" t="s">
        <v>233</v>
      </c>
      <c r="E783" s="3">
        <v>44765</v>
      </c>
      <c r="F783" s="49">
        <v>1</v>
      </c>
      <c r="G783" s="49">
        <v>299.75</v>
      </c>
      <c r="H783" t="str">
        <f>IFERROR(VLOOKUP(D783,'SKU Maintenance'!L:O,3,0),"BP not found")</f>
        <v>C-UTX002</v>
      </c>
    </row>
    <row r="784" spans="1:8" x14ac:dyDescent="0.25">
      <c r="A784" t="str">
        <f>IFERROR(VLOOKUP(B784&amp; "*",'SKU Maintenance'!D:H,5,0),"not found")</f>
        <v>2010010298220020</v>
      </c>
      <c r="B784">
        <v>40019395</v>
      </c>
      <c r="C784" t="s">
        <v>214</v>
      </c>
      <c r="D784" t="s">
        <v>433</v>
      </c>
      <c r="E784" s="3">
        <v>44757</v>
      </c>
      <c r="F784" s="49">
        <v>2</v>
      </c>
      <c r="G784" s="49">
        <v>539.55000000000007</v>
      </c>
      <c r="H784" t="str">
        <f>IFERROR(VLOOKUP(D784,'SKU Maintenance'!L:O,3,0),"BP not found")</f>
        <v>C-UTX004</v>
      </c>
    </row>
    <row r="785" spans="1:8" x14ac:dyDescent="0.25">
      <c r="A785" t="str">
        <f>IFERROR(VLOOKUP(B785&amp; "*",'SKU Maintenance'!D:H,5,0),"not found")</f>
        <v>2010010298180019</v>
      </c>
      <c r="B785">
        <v>40019398</v>
      </c>
      <c r="C785" t="s">
        <v>253</v>
      </c>
      <c r="D785" t="s">
        <v>233</v>
      </c>
      <c r="E785" s="3">
        <v>44746</v>
      </c>
      <c r="F785" s="49">
        <v>1</v>
      </c>
      <c r="G785" s="49">
        <v>199.75</v>
      </c>
      <c r="H785" t="str">
        <f>IFERROR(VLOOKUP(D785,'SKU Maintenance'!L:O,3,0),"BP not found")</f>
        <v>C-UTX002</v>
      </c>
    </row>
    <row r="786" spans="1:8" x14ac:dyDescent="0.25">
      <c r="A786" t="str">
        <f>IFERROR(VLOOKUP(B786&amp; "*",'SKU Maintenance'!D:H,5,0),"not found")</f>
        <v>2010010104190039</v>
      </c>
      <c r="B786">
        <v>40019404</v>
      </c>
      <c r="C786" t="s">
        <v>97</v>
      </c>
      <c r="D786" t="s">
        <v>48</v>
      </c>
      <c r="E786" s="3">
        <v>44750</v>
      </c>
      <c r="F786" s="49">
        <v>1</v>
      </c>
      <c r="G786" s="49">
        <v>299.75</v>
      </c>
      <c r="H786" t="str">
        <f>IFERROR(VLOOKUP(D786,'SKU Maintenance'!L:O,3,0),"BP not found")</f>
        <v>C-UTX001</v>
      </c>
    </row>
    <row r="787" spans="1:8" x14ac:dyDescent="0.25">
      <c r="A787" t="str">
        <f>IFERROR(VLOOKUP(B787&amp; "*",'SKU Maintenance'!D:H,5,0),"not found")</f>
        <v>2010010104980037</v>
      </c>
      <c r="B787">
        <v>40019406</v>
      </c>
      <c r="C787" t="s">
        <v>273</v>
      </c>
      <c r="D787" t="s">
        <v>233</v>
      </c>
      <c r="E787" s="3">
        <v>44751</v>
      </c>
      <c r="F787" s="49">
        <v>1</v>
      </c>
      <c r="G787" s="49">
        <v>799.75</v>
      </c>
      <c r="H787" t="str">
        <f>IFERROR(VLOOKUP(D787,'SKU Maintenance'!L:O,3,0),"BP not found")</f>
        <v>C-UTX002</v>
      </c>
    </row>
    <row r="788" spans="1:8" x14ac:dyDescent="0.25">
      <c r="A788" t="str">
        <f>IFERROR(VLOOKUP(B788&amp; "*",'SKU Maintenance'!D:H,5,0),"not found")</f>
        <v>2010010103980037</v>
      </c>
      <c r="B788">
        <v>40019409</v>
      </c>
      <c r="C788" t="s">
        <v>208</v>
      </c>
      <c r="D788" t="s">
        <v>48</v>
      </c>
      <c r="E788" s="3">
        <v>44769</v>
      </c>
      <c r="F788" s="49">
        <v>2</v>
      </c>
      <c r="G788" s="49">
        <v>1199.5</v>
      </c>
      <c r="H788" t="str">
        <f>IFERROR(VLOOKUP(D788,'SKU Maintenance'!L:O,3,0),"BP not found")</f>
        <v>C-UTX001</v>
      </c>
    </row>
    <row r="789" spans="1:8" x14ac:dyDescent="0.25">
      <c r="A789" t="str">
        <f>IFERROR(VLOOKUP(B789&amp; "*",'SKU Maintenance'!D:H,5,0),"not found")</f>
        <v>2010010102980036</v>
      </c>
      <c r="B789">
        <v>40019410</v>
      </c>
      <c r="C789" t="s">
        <v>252</v>
      </c>
      <c r="D789" t="s">
        <v>233</v>
      </c>
      <c r="E789" s="3">
        <v>44746</v>
      </c>
      <c r="F789" s="49">
        <v>1</v>
      </c>
      <c r="G789" s="49">
        <v>499.75</v>
      </c>
      <c r="H789" t="str">
        <f>IFERROR(VLOOKUP(D789,'SKU Maintenance'!L:O,3,0),"BP not found")</f>
        <v>C-UTX002</v>
      </c>
    </row>
    <row r="790" spans="1:8" x14ac:dyDescent="0.25">
      <c r="A790" t="str">
        <f>IFERROR(VLOOKUP(B790&amp; "*",'SKU Maintenance'!D:H,5,0),"not found")</f>
        <v>2010010103980036</v>
      </c>
      <c r="B790">
        <v>40019413</v>
      </c>
      <c r="C790" t="s">
        <v>190</v>
      </c>
      <c r="D790" t="s">
        <v>48</v>
      </c>
      <c r="E790" s="3">
        <v>44766</v>
      </c>
      <c r="F790" s="49">
        <v>1</v>
      </c>
      <c r="G790" s="49">
        <v>599.75</v>
      </c>
      <c r="H790" t="str">
        <f>IFERROR(VLOOKUP(D790,'SKU Maintenance'!L:O,3,0),"BP not found")</f>
        <v>C-UTX001</v>
      </c>
    </row>
    <row r="791" spans="1:8" x14ac:dyDescent="0.25">
      <c r="A791" t="str">
        <f>IFERROR(VLOOKUP(B791&amp; "*",'SKU Maintenance'!D:H,5,0),"not found")</f>
        <v>2010010103980036</v>
      </c>
      <c r="B791">
        <v>40019413</v>
      </c>
      <c r="C791" t="s">
        <v>190</v>
      </c>
      <c r="D791" t="s">
        <v>48</v>
      </c>
      <c r="E791" s="3">
        <v>44769</v>
      </c>
      <c r="F791" s="49">
        <v>2</v>
      </c>
      <c r="G791" s="49">
        <v>1199.5</v>
      </c>
      <c r="H791" t="str">
        <f>IFERROR(VLOOKUP(D791,'SKU Maintenance'!L:O,3,0),"BP not found")</f>
        <v>C-UTX001</v>
      </c>
    </row>
    <row r="792" spans="1:8" x14ac:dyDescent="0.25">
      <c r="A792" t="str">
        <f>IFERROR(VLOOKUP(B792&amp; "*",'SKU Maintenance'!D:H,5,0),"not found")</f>
        <v>2010010298200021</v>
      </c>
      <c r="B792">
        <v>40019428</v>
      </c>
      <c r="C792" t="s">
        <v>116</v>
      </c>
      <c r="D792" t="s">
        <v>48</v>
      </c>
      <c r="E792" s="3">
        <v>44753</v>
      </c>
      <c r="F792" s="49">
        <v>1</v>
      </c>
      <c r="G792" s="49">
        <v>699.75</v>
      </c>
      <c r="H792" t="str">
        <f>IFERROR(VLOOKUP(D792,'SKU Maintenance'!L:O,3,0),"BP not found")</f>
        <v>C-UTX001</v>
      </c>
    </row>
    <row r="793" spans="1:8" x14ac:dyDescent="0.25">
      <c r="A793" t="str">
        <f>IFERROR(VLOOKUP(B793&amp; "*",'SKU Maintenance'!D:H,5,0),"not found")</f>
        <v>2010010103130042</v>
      </c>
      <c r="B793">
        <v>40019431</v>
      </c>
      <c r="C793" t="s">
        <v>106</v>
      </c>
      <c r="D793" t="s">
        <v>48</v>
      </c>
      <c r="E793" s="3">
        <v>44752</v>
      </c>
      <c r="F793" s="49">
        <v>2</v>
      </c>
      <c r="G793" s="49">
        <v>399.5</v>
      </c>
      <c r="H793" t="str">
        <f>IFERROR(VLOOKUP(D793,'SKU Maintenance'!L:O,3,0),"BP not found")</f>
        <v>C-UTX001</v>
      </c>
    </row>
    <row r="794" spans="1:8" x14ac:dyDescent="0.25">
      <c r="A794" t="str">
        <f>IFERROR(VLOOKUP(B794&amp; "*",'SKU Maintenance'!D:H,5,0),"not found")</f>
        <v>2010010103130042</v>
      </c>
      <c r="B794">
        <v>40019431</v>
      </c>
      <c r="C794" t="s">
        <v>106</v>
      </c>
      <c r="D794" t="s">
        <v>48</v>
      </c>
      <c r="E794" s="3">
        <v>44766</v>
      </c>
      <c r="F794" s="49">
        <v>1</v>
      </c>
      <c r="G794" s="49">
        <v>199.75</v>
      </c>
      <c r="H794" t="str">
        <f>IFERROR(VLOOKUP(D794,'SKU Maintenance'!L:O,3,0),"BP not found")</f>
        <v>C-UTX001</v>
      </c>
    </row>
    <row r="795" spans="1:8" x14ac:dyDescent="0.25">
      <c r="A795" t="str">
        <f>IFERROR(VLOOKUP(B795&amp; "*",'SKU Maintenance'!D:H,5,0),"not found")</f>
        <v>2010010103130042</v>
      </c>
      <c r="B795">
        <v>40019431</v>
      </c>
      <c r="C795" t="s">
        <v>106</v>
      </c>
      <c r="D795" t="s">
        <v>233</v>
      </c>
      <c r="E795" s="3">
        <v>44760</v>
      </c>
      <c r="F795" s="49">
        <v>1</v>
      </c>
      <c r="G795" s="49">
        <v>199.75</v>
      </c>
      <c r="H795" t="str">
        <f>IFERROR(VLOOKUP(D795,'SKU Maintenance'!L:O,3,0),"BP not found")</f>
        <v>C-UTX002</v>
      </c>
    </row>
    <row r="796" spans="1:8" x14ac:dyDescent="0.25">
      <c r="A796" t="str">
        <f>IFERROR(VLOOKUP(B796&amp; "*",'SKU Maintenance'!D:H,5,0),"not found")</f>
        <v>2010010103040042</v>
      </c>
      <c r="B796">
        <v>40019432</v>
      </c>
      <c r="C796" t="s">
        <v>106</v>
      </c>
      <c r="D796" t="s">
        <v>233</v>
      </c>
      <c r="E796" s="3">
        <v>44745</v>
      </c>
      <c r="F796" s="49">
        <v>1</v>
      </c>
      <c r="G796" s="49">
        <v>179.77500000000001</v>
      </c>
      <c r="H796" t="str">
        <f>IFERROR(VLOOKUP(D796,'SKU Maintenance'!L:O,3,0),"BP not found")</f>
        <v>C-UTX002</v>
      </c>
    </row>
    <row r="797" spans="1:8" x14ac:dyDescent="0.25">
      <c r="A797" t="str">
        <f>IFERROR(VLOOKUP(B797&amp; "*",'SKU Maintenance'!D:H,5,0),"not found")</f>
        <v>2010010103040042</v>
      </c>
      <c r="B797">
        <v>40019432</v>
      </c>
      <c r="C797" t="s">
        <v>106</v>
      </c>
      <c r="D797" t="s">
        <v>233</v>
      </c>
      <c r="E797" s="3">
        <v>44757</v>
      </c>
      <c r="F797" s="49">
        <v>1</v>
      </c>
      <c r="G797" s="49">
        <v>179.77500000000001</v>
      </c>
      <c r="H797" t="str">
        <f>IFERROR(VLOOKUP(D797,'SKU Maintenance'!L:O,3,0),"BP not found")</f>
        <v>C-UTX002</v>
      </c>
    </row>
    <row r="798" spans="1:8" x14ac:dyDescent="0.25">
      <c r="A798" t="str">
        <f>IFERROR(VLOOKUP(B798&amp; "*",'SKU Maintenance'!D:H,5,0),"not found")</f>
        <v>2010041801240009</v>
      </c>
      <c r="B798">
        <v>40019621</v>
      </c>
      <c r="C798" t="s">
        <v>340</v>
      </c>
      <c r="D798" t="s">
        <v>233</v>
      </c>
      <c r="E798" s="3">
        <v>44769</v>
      </c>
      <c r="F798" s="49">
        <v>1</v>
      </c>
      <c r="G798" s="49">
        <v>229.75</v>
      </c>
      <c r="H798" t="str">
        <f>IFERROR(VLOOKUP(D798,'SKU Maintenance'!L:O,3,0),"BP not found")</f>
        <v>C-UTX002</v>
      </c>
    </row>
    <row r="799" spans="1:8" x14ac:dyDescent="0.25">
      <c r="A799" t="str">
        <f>IFERROR(VLOOKUP(B799&amp; "*",'SKU Maintenance'!D:H,5,0),"X9998")</f>
        <v>X9998</v>
      </c>
      <c r="B799">
        <v>40019626</v>
      </c>
      <c r="C799" t="s">
        <v>327</v>
      </c>
      <c r="D799" t="s">
        <v>233</v>
      </c>
      <c r="E799" s="3">
        <v>44766</v>
      </c>
      <c r="F799" s="49">
        <v>1</v>
      </c>
      <c r="G799" s="49">
        <v>499.75</v>
      </c>
      <c r="H799" t="str">
        <f>IFERROR(VLOOKUP(D799,'SKU Maintenance'!L:O,3,0),"BP not found")</f>
        <v>C-UTX002</v>
      </c>
    </row>
    <row r="800" spans="1:8" x14ac:dyDescent="0.25">
      <c r="A800" t="str">
        <f>IFERROR(VLOOKUP(B800&amp; "*",'SKU Maintenance'!D:H,5,0),"X9998")</f>
        <v>X9998</v>
      </c>
      <c r="B800">
        <v>40019627</v>
      </c>
      <c r="C800" t="s">
        <v>328</v>
      </c>
      <c r="D800" t="s">
        <v>233</v>
      </c>
      <c r="E800" s="3">
        <v>44766</v>
      </c>
      <c r="F800" s="49">
        <v>1</v>
      </c>
      <c r="G800" s="49">
        <v>699.75</v>
      </c>
      <c r="H800" t="str">
        <f>IFERROR(VLOOKUP(D800,'SKU Maintenance'!L:O,3,0),"BP not found")</f>
        <v>C-UTX002</v>
      </c>
    </row>
    <row r="801" spans="1:8" x14ac:dyDescent="0.25">
      <c r="A801" t="str">
        <f>IFERROR(VLOOKUP(B801&amp; "*",'SKU Maintenance'!D:H,5,0),"X9998")</f>
        <v>X9998</v>
      </c>
      <c r="B801">
        <v>40019630</v>
      </c>
      <c r="C801" t="s">
        <v>329</v>
      </c>
      <c r="D801" t="s">
        <v>233</v>
      </c>
      <c r="E801" s="3">
        <v>44766</v>
      </c>
      <c r="F801" s="49">
        <v>1</v>
      </c>
      <c r="G801" s="49">
        <v>1299.75</v>
      </c>
      <c r="H801" t="str">
        <f>IFERROR(VLOOKUP(D801,'SKU Maintenance'!L:O,3,0),"BP not found")</f>
        <v>C-UTX002</v>
      </c>
    </row>
    <row r="802" spans="1:8" x14ac:dyDescent="0.25">
      <c r="A802" t="str">
        <f>IFERROR(VLOOKUP(B802&amp; "*",'SKU Maintenance'!D:H,5,0),"not found")</f>
        <v>2010041098250234</v>
      </c>
      <c r="B802">
        <v>40020371</v>
      </c>
      <c r="C802" t="s">
        <v>115</v>
      </c>
      <c r="D802" t="s">
        <v>48</v>
      </c>
      <c r="E802" s="3">
        <v>44752</v>
      </c>
      <c r="F802" s="49">
        <v>2</v>
      </c>
      <c r="G802" s="49">
        <v>799.5</v>
      </c>
      <c r="H802" t="str">
        <f>IFERROR(VLOOKUP(D802,'SKU Maintenance'!L:O,3,0),"BP not found")</f>
        <v>C-UTX001</v>
      </c>
    </row>
    <row r="803" spans="1:8" x14ac:dyDescent="0.25">
      <c r="A803" t="str">
        <f>IFERROR(VLOOKUP(B803&amp; "*",'SKU Maintenance'!D:H,5,0),"not found")</f>
        <v>2010041903180005</v>
      </c>
      <c r="B803">
        <v>40020388</v>
      </c>
      <c r="C803" t="s">
        <v>454</v>
      </c>
      <c r="D803" t="s">
        <v>433</v>
      </c>
      <c r="E803" s="3">
        <v>44758</v>
      </c>
      <c r="F803" s="49">
        <v>1</v>
      </c>
      <c r="G803" s="49">
        <v>1299.75</v>
      </c>
      <c r="H803" t="str">
        <f>IFERROR(VLOOKUP(D803,'SKU Maintenance'!L:O,3,0),"BP not found")</f>
        <v>C-UTX004</v>
      </c>
    </row>
    <row r="804" spans="1:8" x14ac:dyDescent="0.25">
      <c r="A804" t="str">
        <f>IFERROR(VLOOKUP(B804&amp; "*",'SKU Maintenance'!D:H,5,0),"not found")</f>
        <v>2010041901180005</v>
      </c>
      <c r="B804">
        <v>40020389</v>
      </c>
      <c r="C804" t="s">
        <v>455</v>
      </c>
      <c r="D804" t="s">
        <v>433</v>
      </c>
      <c r="E804" s="3">
        <v>44758</v>
      </c>
      <c r="F804" s="49">
        <v>1</v>
      </c>
      <c r="G804" s="49">
        <v>799.75</v>
      </c>
      <c r="H804" t="str">
        <f>IFERROR(VLOOKUP(D804,'SKU Maintenance'!L:O,3,0),"BP not found")</f>
        <v>C-UTX004</v>
      </c>
    </row>
    <row r="805" spans="1:8" x14ac:dyDescent="0.25">
      <c r="A805" t="str">
        <f>IFERROR(VLOOKUP(B805&amp; "*",'SKU Maintenance'!D:H,5,0),"not found")</f>
        <v>2010041903160005</v>
      </c>
      <c r="B805">
        <v>40020390</v>
      </c>
      <c r="C805" t="s">
        <v>454</v>
      </c>
      <c r="D805" t="s">
        <v>433</v>
      </c>
      <c r="E805" s="3">
        <v>44758</v>
      </c>
      <c r="F805" s="49">
        <v>1</v>
      </c>
      <c r="G805" s="49">
        <v>1299.75</v>
      </c>
      <c r="H805" t="str">
        <f>IFERROR(VLOOKUP(D805,'SKU Maintenance'!L:O,3,0),"BP not found")</f>
        <v>C-UTX004</v>
      </c>
    </row>
    <row r="806" spans="1:8" x14ac:dyDescent="0.25">
      <c r="A806" t="str">
        <f>IFERROR(VLOOKUP(B806&amp; "*",'SKU Maintenance'!D:H,5,0),"not found")</f>
        <v>2010041901160005</v>
      </c>
      <c r="B806">
        <v>40020391</v>
      </c>
      <c r="C806" t="s">
        <v>455</v>
      </c>
      <c r="D806" t="s">
        <v>433</v>
      </c>
      <c r="E806" s="3">
        <v>44758</v>
      </c>
      <c r="F806" s="49">
        <v>1</v>
      </c>
      <c r="G806" s="49">
        <v>799.75</v>
      </c>
      <c r="H806" t="str">
        <f>IFERROR(VLOOKUP(D806,'SKU Maintenance'!L:O,3,0),"BP not found")</f>
        <v>C-UTX004</v>
      </c>
    </row>
    <row r="807" spans="1:8" x14ac:dyDescent="0.25">
      <c r="A807" t="str">
        <f>IFERROR(VLOOKUP(B807&amp; "*",'SKU Maintenance'!D:H,5,0),"X9998")</f>
        <v>X9998</v>
      </c>
      <c r="B807">
        <v>40020434</v>
      </c>
      <c r="C807" t="s">
        <v>325</v>
      </c>
      <c r="D807" t="s">
        <v>233</v>
      </c>
      <c r="E807" s="3">
        <v>44766</v>
      </c>
      <c r="F807" s="49">
        <v>1</v>
      </c>
      <c r="G807" s="49">
        <v>449.75</v>
      </c>
      <c r="H807" t="str">
        <f>IFERROR(VLOOKUP(D807,'SKU Maintenance'!L:O,3,0),"BP not found")</f>
        <v>C-UTX002</v>
      </c>
    </row>
    <row r="808" spans="1:8" x14ac:dyDescent="0.25">
      <c r="A808" t="str">
        <f>IFERROR(VLOOKUP(B808&amp; "*",'SKU Maintenance'!D:H,5,0),"X9998")</f>
        <v>X9998</v>
      </c>
      <c r="B808">
        <v>40020435</v>
      </c>
      <c r="C808" t="s">
        <v>319</v>
      </c>
      <c r="D808" t="s">
        <v>233</v>
      </c>
      <c r="E808" s="3">
        <v>44765</v>
      </c>
      <c r="F808" s="49">
        <v>1</v>
      </c>
      <c r="G808" s="49">
        <v>599.75</v>
      </c>
      <c r="H808" t="str">
        <f>IFERROR(VLOOKUP(D808,'SKU Maintenance'!L:O,3,0),"BP not found")</f>
        <v>C-UTX002</v>
      </c>
    </row>
    <row r="809" spans="1:8" x14ac:dyDescent="0.25">
      <c r="A809" t="str">
        <f>IFERROR(VLOOKUP(B809&amp; "*",'SKU Maintenance'!D:H,5,0),"X9998")</f>
        <v>X9998</v>
      </c>
      <c r="B809">
        <v>40020436</v>
      </c>
      <c r="C809" t="s">
        <v>326</v>
      </c>
      <c r="D809" t="s">
        <v>233</v>
      </c>
      <c r="E809" s="3">
        <v>44766</v>
      </c>
      <c r="F809" s="49">
        <v>1</v>
      </c>
      <c r="G809" s="49">
        <v>449.75</v>
      </c>
      <c r="H809" t="str">
        <f>IFERROR(VLOOKUP(D809,'SKU Maintenance'!L:O,3,0),"BP not found")</f>
        <v>C-UTX002</v>
      </c>
    </row>
    <row r="810" spans="1:8" x14ac:dyDescent="0.25">
      <c r="A810" t="str">
        <f>IFERROR(VLOOKUP(B810&amp; "*",'SKU Maintenance'!D:H,5,0),"X9998")</f>
        <v>X9998</v>
      </c>
      <c r="B810">
        <v>40020440</v>
      </c>
      <c r="C810" t="s">
        <v>237</v>
      </c>
      <c r="D810" t="s">
        <v>233</v>
      </c>
      <c r="E810" s="3">
        <v>44743</v>
      </c>
      <c r="F810" s="49">
        <v>1</v>
      </c>
      <c r="G810" s="49">
        <v>349.75</v>
      </c>
      <c r="H810" t="str">
        <f>IFERROR(VLOOKUP(D810,'SKU Maintenance'!L:O,3,0),"BP not found")</f>
        <v>C-UTX002</v>
      </c>
    </row>
    <row r="811" spans="1:8" x14ac:dyDescent="0.25">
      <c r="A811" t="str">
        <f>IFERROR(VLOOKUP(B811&amp; "*",'SKU Maintenance'!D:H,5,0),"not found")</f>
        <v>2010030403133457</v>
      </c>
      <c r="B811">
        <v>40020447</v>
      </c>
      <c r="C811" t="s">
        <v>469</v>
      </c>
      <c r="D811" t="s">
        <v>433</v>
      </c>
      <c r="E811" s="3">
        <v>44771</v>
      </c>
      <c r="F811" s="49">
        <v>1</v>
      </c>
      <c r="G811" s="49">
        <v>499.75</v>
      </c>
      <c r="H811" t="str">
        <f>IFERROR(VLOOKUP(D811,'SKU Maintenance'!L:O,3,0),"BP not found")</f>
        <v>C-UTX004</v>
      </c>
    </row>
    <row r="812" spans="1:8" x14ac:dyDescent="0.25">
      <c r="A812" t="str">
        <f>IFERROR(VLOOKUP(B812&amp; "*",'SKU Maintenance'!D:H,5,0),"not found")</f>
        <v>2010030403173457</v>
      </c>
      <c r="B812">
        <v>40020448</v>
      </c>
      <c r="C812" t="s">
        <v>62</v>
      </c>
      <c r="D812" t="s">
        <v>48</v>
      </c>
      <c r="E812" s="3">
        <v>44744</v>
      </c>
      <c r="F812" s="49">
        <v>1</v>
      </c>
      <c r="G812" s="49">
        <v>499.75</v>
      </c>
      <c r="H812" t="str">
        <f>IFERROR(VLOOKUP(D812,'SKU Maintenance'!L:O,3,0),"BP not found")</f>
        <v>C-UTX001</v>
      </c>
    </row>
    <row r="813" spans="1:8" x14ac:dyDescent="0.25">
      <c r="A813" t="str">
        <f>IFERROR(VLOOKUP(B813&amp; "*",'SKU Maintenance'!D:H,5,0),"not found")</f>
        <v>2010030403173457</v>
      </c>
      <c r="B813">
        <v>40020448</v>
      </c>
      <c r="C813" t="s">
        <v>62</v>
      </c>
      <c r="D813" t="s">
        <v>48</v>
      </c>
      <c r="E813" s="3">
        <v>44745</v>
      </c>
      <c r="F813" s="49">
        <v>1</v>
      </c>
      <c r="G813" s="49">
        <v>499.75</v>
      </c>
      <c r="H813" t="str">
        <f>IFERROR(VLOOKUP(D813,'SKU Maintenance'!L:O,3,0),"BP not found")</f>
        <v>C-UTX001</v>
      </c>
    </row>
    <row r="814" spans="1:8" x14ac:dyDescent="0.25">
      <c r="A814" t="str">
        <f>IFERROR(VLOOKUP(B814&amp; "*",'SKU Maintenance'!D:H,5,0),"not found")</f>
        <v>2010030403173457</v>
      </c>
      <c r="B814">
        <v>40020448</v>
      </c>
      <c r="C814" t="s">
        <v>62</v>
      </c>
      <c r="D814" t="s">
        <v>48</v>
      </c>
      <c r="E814" s="3">
        <v>44766</v>
      </c>
      <c r="F814" s="49">
        <v>1</v>
      </c>
      <c r="G814" s="49">
        <v>499.75</v>
      </c>
      <c r="H814" t="str">
        <f>IFERROR(VLOOKUP(D814,'SKU Maintenance'!L:O,3,0),"BP not found")</f>
        <v>C-UTX001</v>
      </c>
    </row>
    <row r="815" spans="1:8" x14ac:dyDescent="0.25">
      <c r="A815" t="str">
        <f>IFERROR(VLOOKUP(B815&amp; "*",'SKU Maintenance'!D:H,5,0),"not found")</f>
        <v>2010030403173457</v>
      </c>
      <c r="B815">
        <v>40020448</v>
      </c>
      <c r="C815" t="s">
        <v>62</v>
      </c>
      <c r="D815" t="s">
        <v>48</v>
      </c>
      <c r="E815" s="3">
        <v>44769</v>
      </c>
      <c r="F815" s="49">
        <v>1</v>
      </c>
      <c r="G815" s="49">
        <v>499.75</v>
      </c>
      <c r="H815" t="str">
        <f>IFERROR(VLOOKUP(D815,'SKU Maintenance'!L:O,3,0),"BP not found")</f>
        <v>C-UTX001</v>
      </c>
    </row>
    <row r="816" spans="1:8" x14ac:dyDescent="0.25">
      <c r="A816" t="str">
        <f>IFERROR(VLOOKUP(B816&amp; "*",'SKU Maintenance'!D:H,5,0),"not found")</f>
        <v>2010030403173457</v>
      </c>
      <c r="B816">
        <v>40020448</v>
      </c>
      <c r="C816" t="s">
        <v>62</v>
      </c>
      <c r="D816" t="s">
        <v>233</v>
      </c>
      <c r="E816" s="3">
        <v>44748</v>
      </c>
      <c r="F816" s="49">
        <v>1</v>
      </c>
      <c r="G816" s="49">
        <v>499.75</v>
      </c>
      <c r="H816" t="str">
        <f>IFERROR(VLOOKUP(D816,'SKU Maintenance'!L:O,3,0),"BP not found")</f>
        <v>C-UTX002</v>
      </c>
    </row>
    <row r="817" spans="1:8" x14ac:dyDescent="0.25">
      <c r="A817" t="str">
        <f>IFERROR(VLOOKUP(B817&amp; "*",'SKU Maintenance'!D:H,5,0),"not found")</f>
        <v>2010030403173457</v>
      </c>
      <c r="B817">
        <v>40020448</v>
      </c>
      <c r="C817" t="s">
        <v>62</v>
      </c>
      <c r="D817" t="s">
        <v>233</v>
      </c>
      <c r="E817" s="3">
        <v>44750</v>
      </c>
      <c r="F817" s="49">
        <v>1</v>
      </c>
      <c r="G817" s="49">
        <v>499.75</v>
      </c>
      <c r="H817" t="str">
        <f>IFERROR(VLOOKUP(D817,'SKU Maintenance'!L:O,3,0),"BP not found")</f>
        <v>C-UTX002</v>
      </c>
    </row>
    <row r="818" spans="1:8" x14ac:dyDescent="0.25">
      <c r="A818" t="str">
        <f>IFERROR(VLOOKUP(B818&amp; "*",'SKU Maintenance'!D:H,5,0),"not found")</f>
        <v>2010030403173457</v>
      </c>
      <c r="B818">
        <v>40020448</v>
      </c>
      <c r="C818" t="s">
        <v>62</v>
      </c>
      <c r="D818" t="s">
        <v>233</v>
      </c>
      <c r="E818" s="3">
        <v>44760</v>
      </c>
      <c r="F818" s="49">
        <v>1</v>
      </c>
      <c r="G818" s="49">
        <v>499.75</v>
      </c>
      <c r="H818" t="str">
        <f>IFERROR(VLOOKUP(D818,'SKU Maintenance'!L:O,3,0),"BP not found")</f>
        <v>C-UTX002</v>
      </c>
    </row>
    <row r="819" spans="1:8" x14ac:dyDescent="0.25">
      <c r="A819" t="str">
        <f>IFERROR(VLOOKUP(B819&amp; "*",'SKU Maintenance'!D:H,5,0),"not found")</f>
        <v>2010030403133456</v>
      </c>
      <c r="B819">
        <v>40020449</v>
      </c>
      <c r="C819" t="s">
        <v>255</v>
      </c>
      <c r="D819" t="s">
        <v>233</v>
      </c>
      <c r="E819" s="3">
        <v>44746</v>
      </c>
      <c r="F819" s="49">
        <v>1</v>
      </c>
      <c r="G819" s="49">
        <v>499.75</v>
      </c>
      <c r="H819" t="str">
        <f>IFERROR(VLOOKUP(D819,'SKU Maintenance'!L:O,3,0),"BP not found")</f>
        <v>C-UTX002</v>
      </c>
    </row>
    <row r="820" spans="1:8" x14ac:dyDescent="0.25">
      <c r="A820" t="str">
        <f>IFERROR(VLOOKUP(B820&amp; "*",'SKU Maintenance'!D:H,5,0),"not found")</f>
        <v>2010030403173456</v>
      </c>
      <c r="B820">
        <v>40020450</v>
      </c>
      <c r="C820" t="s">
        <v>240</v>
      </c>
      <c r="D820" t="s">
        <v>233</v>
      </c>
      <c r="E820" s="3">
        <v>44743</v>
      </c>
      <c r="F820" s="49">
        <v>1</v>
      </c>
      <c r="G820" s="49">
        <v>499.75</v>
      </c>
      <c r="H820" t="str">
        <f>IFERROR(VLOOKUP(D820,'SKU Maintenance'!L:O,3,0),"BP not found")</f>
        <v>C-UTX002</v>
      </c>
    </row>
    <row r="821" spans="1:8" x14ac:dyDescent="0.25">
      <c r="A821" t="str">
        <f>IFERROR(VLOOKUP(B821&amp; "*",'SKU Maintenance'!D:H,5,0),"not found")</f>
        <v>2010030402043462</v>
      </c>
      <c r="B821">
        <v>40020451</v>
      </c>
      <c r="C821" t="s">
        <v>196</v>
      </c>
      <c r="D821" t="s">
        <v>48</v>
      </c>
      <c r="E821" s="3">
        <v>44766</v>
      </c>
      <c r="F821" s="49">
        <v>1</v>
      </c>
      <c r="G821" s="49">
        <v>399.75</v>
      </c>
      <c r="H821" t="str">
        <f>IFERROR(VLOOKUP(D821,'SKU Maintenance'!L:O,3,0),"BP not found")</f>
        <v>C-UTX001</v>
      </c>
    </row>
    <row r="822" spans="1:8" x14ac:dyDescent="0.25">
      <c r="A822" t="str">
        <f>IFERROR(VLOOKUP(B822&amp; "*",'SKU Maintenance'!D:H,5,0),"not found")</f>
        <v>2010030402043462</v>
      </c>
      <c r="B822">
        <v>40020451</v>
      </c>
      <c r="C822" t="s">
        <v>196</v>
      </c>
      <c r="D822" t="s">
        <v>233</v>
      </c>
      <c r="E822" s="3">
        <v>44763</v>
      </c>
      <c r="F822" s="49">
        <v>1</v>
      </c>
      <c r="G822" s="49">
        <v>399.75</v>
      </c>
      <c r="H822" t="str">
        <f>IFERROR(VLOOKUP(D822,'SKU Maintenance'!L:O,3,0),"BP not found")</f>
        <v>C-UTX002</v>
      </c>
    </row>
    <row r="823" spans="1:8" x14ac:dyDescent="0.25">
      <c r="A823" t="str">
        <f>IFERROR(VLOOKUP(B823&amp; "*",'SKU Maintenance'!D:H,5,0),"not found")</f>
        <v>2010030402043462</v>
      </c>
      <c r="B823">
        <v>40020451</v>
      </c>
      <c r="C823" t="s">
        <v>196</v>
      </c>
      <c r="D823" t="s">
        <v>233</v>
      </c>
      <c r="E823" s="3">
        <v>44773</v>
      </c>
      <c r="F823" s="49">
        <v>1</v>
      </c>
      <c r="G823" s="49">
        <v>399.75</v>
      </c>
      <c r="H823" t="str">
        <f>IFERROR(VLOOKUP(D823,'SKU Maintenance'!L:O,3,0),"BP not found")</f>
        <v>C-UTX002</v>
      </c>
    </row>
    <row r="824" spans="1:8" x14ac:dyDescent="0.25">
      <c r="A824" t="str">
        <f>IFERROR(VLOOKUP(B824&amp; "*",'SKU Maintenance'!D:H,5,0),"not found")</f>
        <v>2010030402043462</v>
      </c>
      <c r="B824">
        <v>40020451</v>
      </c>
      <c r="C824" t="s">
        <v>196</v>
      </c>
      <c r="D824" t="s">
        <v>351</v>
      </c>
      <c r="E824" s="3">
        <v>44773</v>
      </c>
      <c r="F824" s="49">
        <v>1</v>
      </c>
      <c r="G824" s="49">
        <v>399.75</v>
      </c>
      <c r="H824" t="str">
        <f>IFERROR(VLOOKUP(D824,'SKU Maintenance'!L:O,3,0),"BP not found")</f>
        <v>C-UTX003</v>
      </c>
    </row>
    <row r="825" spans="1:8" x14ac:dyDescent="0.25">
      <c r="A825" t="str">
        <f>IFERROR(VLOOKUP(B825&amp; "*",'SKU Maintenance'!D:H,5,0),"not found")</f>
        <v>2010030402223462</v>
      </c>
      <c r="B825">
        <v>40020452</v>
      </c>
      <c r="C825" t="s">
        <v>320</v>
      </c>
      <c r="D825" t="s">
        <v>233</v>
      </c>
      <c r="E825" s="3">
        <v>44765</v>
      </c>
      <c r="F825" s="49">
        <v>1</v>
      </c>
      <c r="G825" s="49">
        <v>399.75</v>
      </c>
      <c r="H825" t="str">
        <f>IFERROR(VLOOKUP(D825,'SKU Maintenance'!L:O,3,0),"BP not found")</f>
        <v>C-UTX002</v>
      </c>
    </row>
    <row r="826" spans="1:8" x14ac:dyDescent="0.25">
      <c r="A826" t="str">
        <f>IFERROR(VLOOKUP(B826&amp; "*",'SKU Maintenance'!D:H,5,0),"not found")</f>
        <v>2010030402223462</v>
      </c>
      <c r="B826">
        <v>40020452</v>
      </c>
      <c r="C826" t="s">
        <v>320</v>
      </c>
      <c r="D826" t="s">
        <v>433</v>
      </c>
      <c r="E826" s="3">
        <v>44752</v>
      </c>
      <c r="F826" s="49">
        <v>1</v>
      </c>
      <c r="G826" s="49">
        <v>399.75</v>
      </c>
      <c r="H826" t="str">
        <f>IFERROR(VLOOKUP(D826,'SKU Maintenance'!L:O,3,0),"BP not found")</f>
        <v>C-UTX004</v>
      </c>
    </row>
    <row r="827" spans="1:8" x14ac:dyDescent="0.25">
      <c r="A827" t="str">
        <f>IFERROR(VLOOKUP(B827&amp; "*",'SKU Maintenance'!D:H,5,0),"not found")</f>
        <v>2010030402223462</v>
      </c>
      <c r="B827">
        <v>40020452</v>
      </c>
      <c r="C827" t="s">
        <v>320</v>
      </c>
      <c r="D827" t="s">
        <v>433</v>
      </c>
      <c r="E827" s="3">
        <v>44758</v>
      </c>
      <c r="F827" s="49">
        <v>1</v>
      </c>
      <c r="G827" s="49">
        <v>399.75</v>
      </c>
      <c r="H827" t="str">
        <f>IFERROR(VLOOKUP(D827,'SKU Maintenance'!L:O,3,0),"BP not found")</f>
        <v>C-UTX004</v>
      </c>
    </row>
    <row r="828" spans="1:8" x14ac:dyDescent="0.25">
      <c r="A828" t="str">
        <f>IFERROR(VLOOKUP(B828&amp; "*",'SKU Maintenance'!D:H,5,0),"not found")</f>
        <v>2010030402223462</v>
      </c>
      <c r="B828">
        <v>40020452</v>
      </c>
      <c r="C828" t="s">
        <v>320</v>
      </c>
      <c r="D828" t="s">
        <v>433</v>
      </c>
      <c r="E828" s="3">
        <v>44762</v>
      </c>
      <c r="F828" s="49">
        <v>1</v>
      </c>
      <c r="G828" s="49">
        <v>399.75</v>
      </c>
      <c r="H828" t="str">
        <f>IFERROR(VLOOKUP(D828,'SKU Maintenance'!L:O,3,0),"BP not found")</f>
        <v>C-UTX004</v>
      </c>
    </row>
    <row r="829" spans="1:8" x14ac:dyDescent="0.25">
      <c r="A829" t="str">
        <f>IFERROR(VLOOKUP(B829&amp; "*",'SKU Maintenance'!D:H,5,0),"not found")</f>
        <v>2010030402223462</v>
      </c>
      <c r="B829">
        <v>40020452</v>
      </c>
      <c r="C829" t="s">
        <v>320</v>
      </c>
      <c r="D829" t="s">
        <v>433</v>
      </c>
      <c r="E829" s="3">
        <v>44771</v>
      </c>
      <c r="F829" s="49">
        <v>1</v>
      </c>
      <c r="G829" s="49">
        <v>399.75</v>
      </c>
      <c r="H829" t="str">
        <f>IFERROR(VLOOKUP(D829,'SKU Maintenance'!L:O,3,0),"BP not found")</f>
        <v>C-UTX004</v>
      </c>
    </row>
    <row r="830" spans="1:8" x14ac:dyDescent="0.25">
      <c r="A830" t="str">
        <f>IFERROR(VLOOKUP(B830&amp; "*",'SKU Maintenance'!D:H,5,0),"not found")</f>
        <v>2010030402173462</v>
      </c>
      <c r="B830">
        <v>40020453</v>
      </c>
      <c r="C830" t="s">
        <v>458</v>
      </c>
      <c r="D830" t="s">
        <v>433</v>
      </c>
      <c r="E830" s="3">
        <v>44760</v>
      </c>
      <c r="F830" s="49">
        <v>1</v>
      </c>
      <c r="G830" s="49">
        <v>399.75</v>
      </c>
      <c r="H830" t="str">
        <f>IFERROR(VLOOKUP(D830,'SKU Maintenance'!L:O,3,0),"BP not found")</f>
        <v>C-UTX004</v>
      </c>
    </row>
    <row r="831" spans="1:8" x14ac:dyDescent="0.25">
      <c r="A831" t="str">
        <f>IFERROR(VLOOKUP(B831&amp; "*",'SKU Maintenance'!D:H,5,0),"not found")</f>
        <v>2010030402153461</v>
      </c>
      <c r="B831">
        <v>40020454</v>
      </c>
      <c r="C831" t="s">
        <v>291</v>
      </c>
      <c r="D831" t="s">
        <v>233</v>
      </c>
      <c r="E831" s="3">
        <v>44757</v>
      </c>
      <c r="F831" s="49">
        <v>1</v>
      </c>
      <c r="G831" s="49">
        <v>399.75</v>
      </c>
      <c r="H831" t="str">
        <f>IFERROR(VLOOKUP(D831,'SKU Maintenance'!L:O,3,0),"BP not found")</f>
        <v>C-UTX002</v>
      </c>
    </row>
    <row r="832" spans="1:8" x14ac:dyDescent="0.25">
      <c r="A832" t="str">
        <f>IFERROR(VLOOKUP(B832&amp; "*",'SKU Maintenance'!D:H,5,0),"not found")</f>
        <v>2010030403223464</v>
      </c>
      <c r="B832">
        <v>40020456</v>
      </c>
      <c r="C832" t="s">
        <v>199</v>
      </c>
      <c r="D832" t="s">
        <v>48</v>
      </c>
      <c r="E832" s="3">
        <v>44766</v>
      </c>
      <c r="F832" s="49">
        <v>2</v>
      </c>
      <c r="G832" s="49">
        <v>899.5</v>
      </c>
      <c r="H832" t="str">
        <f>IFERROR(VLOOKUP(D832,'SKU Maintenance'!L:O,3,0),"BP not found")</f>
        <v>C-UTX001</v>
      </c>
    </row>
    <row r="833" spans="1:8" x14ac:dyDescent="0.25">
      <c r="A833" t="str">
        <f>IFERROR(VLOOKUP(B833&amp; "*",'SKU Maintenance'!D:H,5,0),"not found")</f>
        <v>2010030403223464</v>
      </c>
      <c r="B833">
        <v>40020456</v>
      </c>
      <c r="C833" t="s">
        <v>199</v>
      </c>
      <c r="D833" t="s">
        <v>233</v>
      </c>
      <c r="E833" s="3">
        <v>44757</v>
      </c>
      <c r="F833" s="49">
        <v>1</v>
      </c>
      <c r="G833" s="49">
        <v>449.75</v>
      </c>
      <c r="H833" t="str">
        <f>IFERROR(VLOOKUP(D833,'SKU Maintenance'!L:O,3,0),"BP not found")</f>
        <v>C-UTX002</v>
      </c>
    </row>
    <row r="834" spans="1:8" x14ac:dyDescent="0.25">
      <c r="A834" t="str">
        <f>IFERROR(VLOOKUP(B834&amp; "*",'SKU Maintenance'!D:H,5,0),"not found")</f>
        <v>2010030403223464</v>
      </c>
      <c r="B834">
        <v>40020456</v>
      </c>
      <c r="C834" t="s">
        <v>199</v>
      </c>
      <c r="D834" t="s">
        <v>233</v>
      </c>
      <c r="E834" s="3">
        <v>44771</v>
      </c>
      <c r="F834" s="49">
        <v>1</v>
      </c>
      <c r="G834" s="49">
        <v>449.75</v>
      </c>
      <c r="H834" t="str">
        <f>IFERROR(VLOOKUP(D834,'SKU Maintenance'!L:O,3,0),"BP not found")</f>
        <v>C-UTX002</v>
      </c>
    </row>
    <row r="835" spans="1:8" x14ac:dyDescent="0.25">
      <c r="A835" t="str">
        <f>IFERROR(VLOOKUP(B835&amp; "*",'SKU Maintenance'!D:H,5,0),"not found")</f>
        <v>2010030403223464</v>
      </c>
      <c r="B835">
        <v>40020456</v>
      </c>
      <c r="C835" t="s">
        <v>199</v>
      </c>
      <c r="D835" t="s">
        <v>433</v>
      </c>
      <c r="E835" s="3">
        <v>44749</v>
      </c>
      <c r="F835" s="49">
        <v>1</v>
      </c>
      <c r="G835" s="49">
        <v>449.75</v>
      </c>
      <c r="H835" t="str">
        <f>IFERROR(VLOOKUP(D835,'SKU Maintenance'!L:O,3,0),"BP not found")</f>
        <v>C-UTX004</v>
      </c>
    </row>
    <row r="836" spans="1:8" x14ac:dyDescent="0.25">
      <c r="A836" t="str">
        <f>IFERROR(VLOOKUP(B836&amp; "*",'SKU Maintenance'!D:H,5,0),"not found")</f>
        <v>2010030403223464</v>
      </c>
      <c r="B836">
        <v>40020456</v>
      </c>
      <c r="C836" t="s">
        <v>199</v>
      </c>
      <c r="D836" t="s">
        <v>433</v>
      </c>
      <c r="E836" s="3">
        <v>44766</v>
      </c>
      <c r="F836" s="49">
        <v>1</v>
      </c>
      <c r="G836" s="49">
        <v>449.75</v>
      </c>
      <c r="H836" t="str">
        <f>IFERROR(VLOOKUP(D836,'SKU Maintenance'!L:O,3,0),"BP not found")</f>
        <v>C-UTX004</v>
      </c>
    </row>
    <row r="837" spans="1:8" x14ac:dyDescent="0.25">
      <c r="A837" t="str">
        <f>IFERROR(VLOOKUP(B837&amp; "*",'SKU Maintenance'!D:H,5,0),"not found")</f>
        <v>2010030403223464</v>
      </c>
      <c r="B837">
        <v>40020456</v>
      </c>
      <c r="C837" t="s">
        <v>199</v>
      </c>
      <c r="D837" t="s">
        <v>433</v>
      </c>
      <c r="E837" s="3">
        <v>44768</v>
      </c>
      <c r="F837" s="49">
        <v>1</v>
      </c>
      <c r="G837" s="49">
        <v>449.75</v>
      </c>
      <c r="H837" t="str">
        <f>IFERROR(VLOOKUP(D837,'SKU Maintenance'!L:O,3,0),"BP not found")</f>
        <v>C-UTX004</v>
      </c>
    </row>
    <row r="838" spans="1:8" x14ac:dyDescent="0.25">
      <c r="A838" t="str">
        <f>IFERROR(VLOOKUP(B838&amp; "*",'SKU Maintenance'!D:H,5,0),"not found")</f>
        <v>2010030403173464</v>
      </c>
      <c r="B838">
        <v>40020457</v>
      </c>
      <c r="C838" t="s">
        <v>185</v>
      </c>
      <c r="D838" t="s">
        <v>48</v>
      </c>
      <c r="E838" s="3">
        <v>44765</v>
      </c>
      <c r="F838" s="49">
        <v>1</v>
      </c>
      <c r="G838" s="49">
        <v>449.75</v>
      </c>
      <c r="H838" t="str">
        <f>IFERROR(VLOOKUP(D838,'SKU Maintenance'!L:O,3,0),"BP not found")</f>
        <v>C-UTX001</v>
      </c>
    </row>
    <row r="839" spans="1:8" x14ac:dyDescent="0.25">
      <c r="A839" t="str">
        <f>IFERROR(VLOOKUP(B839&amp; "*",'SKU Maintenance'!D:H,5,0),"not found")</f>
        <v>2010030403173464</v>
      </c>
      <c r="B839">
        <v>40020457</v>
      </c>
      <c r="C839" t="s">
        <v>185</v>
      </c>
      <c r="D839" t="s">
        <v>48</v>
      </c>
      <c r="E839" s="3">
        <v>44773</v>
      </c>
      <c r="F839" s="49">
        <v>1</v>
      </c>
      <c r="G839" s="49">
        <v>449.75</v>
      </c>
      <c r="H839" t="str">
        <f>IFERROR(VLOOKUP(D839,'SKU Maintenance'!L:O,3,0),"BP not found")</f>
        <v>C-UTX001</v>
      </c>
    </row>
    <row r="840" spans="1:8" x14ac:dyDescent="0.25">
      <c r="A840" t="str">
        <f>IFERROR(VLOOKUP(B840&amp; "*",'SKU Maintenance'!D:H,5,0),"not found")</f>
        <v>2010030403173464</v>
      </c>
      <c r="B840">
        <v>40020457</v>
      </c>
      <c r="C840" t="s">
        <v>185</v>
      </c>
      <c r="D840" t="s">
        <v>233</v>
      </c>
      <c r="E840" s="3">
        <v>44768</v>
      </c>
      <c r="F840" s="49">
        <v>1</v>
      </c>
      <c r="G840" s="49">
        <v>449.75</v>
      </c>
      <c r="H840" t="str">
        <f>IFERROR(VLOOKUP(D840,'SKU Maintenance'!L:O,3,0),"BP not found")</f>
        <v>C-UTX002</v>
      </c>
    </row>
    <row r="841" spans="1:8" x14ac:dyDescent="0.25">
      <c r="A841" t="str">
        <f>IFERROR(VLOOKUP(B841&amp; "*",'SKU Maintenance'!D:H,5,0),"not found")</f>
        <v>2010030403173464</v>
      </c>
      <c r="B841">
        <v>40020457</v>
      </c>
      <c r="C841" t="s">
        <v>185</v>
      </c>
      <c r="D841" t="s">
        <v>233</v>
      </c>
      <c r="E841" s="3">
        <v>44771</v>
      </c>
      <c r="F841" s="49">
        <v>1</v>
      </c>
      <c r="G841" s="49">
        <v>449.75</v>
      </c>
      <c r="H841" t="str">
        <f>IFERROR(VLOOKUP(D841,'SKU Maintenance'!L:O,3,0),"BP not found")</f>
        <v>C-UTX002</v>
      </c>
    </row>
    <row r="842" spans="1:8" x14ac:dyDescent="0.25">
      <c r="A842" t="str">
        <f>IFERROR(VLOOKUP(B842&amp; "*",'SKU Maintenance'!D:H,5,0),"not found")</f>
        <v>2010030403173464</v>
      </c>
      <c r="B842">
        <v>40020457</v>
      </c>
      <c r="C842" t="s">
        <v>185</v>
      </c>
      <c r="D842" t="s">
        <v>351</v>
      </c>
      <c r="E842" s="3">
        <v>44745</v>
      </c>
      <c r="F842" s="49">
        <v>4</v>
      </c>
      <c r="G842" s="49">
        <v>1799</v>
      </c>
      <c r="H842" t="str">
        <f>IFERROR(VLOOKUP(D842,'SKU Maintenance'!L:O,3,0),"BP not found")</f>
        <v>C-UTX003</v>
      </c>
    </row>
    <row r="843" spans="1:8" x14ac:dyDescent="0.25">
      <c r="A843" t="str">
        <f>IFERROR(VLOOKUP(B843&amp; "*",'SKU Maintenance'!D:H,5,0),"not found")</f>
        <v>2010030403173464</v>
      </c>
      <c r="B843">
        <v>40020457</v>
      </c>
      <c r="C843" t="s">
        <v>185</v>
      </c>
      <c r="D843" t="s">
        <v>433</v>
      </c>
      <c r="E843" s="3">
        <v>44743</v>
      </c>
      <c r="F843" s="49">
        <v>1</v>
      </c>
      <c r="G843" s="49">
        <v>404.78</v>
      </c>
      <c r="H843" t="str">
        <f>IFERROR(VLOOKUP(D843,'SKU Maintenance'!L:O,3,0),"BP not found")</f>
        <v>C-UTX004</v>
      </c>
    </row>
    <row r="844" spans="1:8" x14ac:dyDescent="0.25">
      <c r="A844" t="str">
        <f>IFERROR(VLOOKUP(B844&amp; "*",'SKU Maintenance'!D:H,5,0),"not found")</f>
        <v>2010030403173464</v>
      </c>
      <c r="B844">
        <v>40020457</v>
      </c>
      <c r="C844" t="s">
        <v>185</v>
      </c>
      <c r="D844" t="s">
        <v>433</v>
      </c>
      <c r="E844" s="3">
        <v>44744</v>
      </c>
      <c r="F844" s="49">
        <v>1</v>
      </c>
      <c r="G844" s="49">
        <v>449.75</v>
      </c>
      <c r="H844" t="str">
        <f>IFERROR(VLOOKUP(D844,'SKU Maintenance'!L:O,3,0),"BP not found")</f>
        <v>C-UTX004</v>
      </c>
    </row>
    <row r="845" spans="1:8" x14ac:dyDescent="0.25">
      <c r="A845" t="str">
        <f>IFERROR(VLOOKUP(B845&amp; "*",'SKU Maintenance'!D:H,5,0),"not found")</f>
        <v>2010030403173464</v>
      </c>
      <c r="B845">
        <v>40020457</v>
      </c>
      <c r="C845" t="s">
        <v>185</v>
      </c>
      <c r="D845" t="s">
        <v>433</v>
      </c>
      <c r="E845" s="3">
        <v>44769</v>
      </c>
      <c r="F845" s="49">
        <v>1</v>
      </c>
      <c r="G845" s="49">
        <v>449.75</v>
      </c>
      <c r="H845" t="str">
        <f>IFERROR(VLOOKUP(D845,'SKU Maintenance'!L:O,3,0),"BP not found")</f>
        <v>C-UTX004</v>
      </c>
    </row>
    <row r="846" spans="1:8" x14ac:dyDescent="0.25">
      <c r="A846" t="str">
        <f>IFERROR(VLOOKUP(B846&amp; "*",'SKU Maintenance'!D:H,5,0),"not found")</f>
        <v>2010030402043463</v>
      </c>
      <c r="B846">
        <v>40020458</v>
      </c>
      <c r="C846" t="s">
        <v>346</v>
      </c>
      <c r="D846" t="s">
        <v>233</v>
      </c>
      <c r="E846" s="3">
        <v>44771</v>
      </c>
      <c r="F846" s="49">
        <v>1</v>
      </c>
      <c r="G846" s="49">
        <v>399.75</v>
      </c>
      <c r="H846" t="str">
        <f>IFERROR(VLOOKUP(D846,'SKU Maintenance'!L:O,3,0),"BP not found")</f>
        <v>C-UTX002</v>
      </c>
    </row>
    <row r="847" spans="1:8" x14ac:dyDescent="0.25">
      <c r="A847" t="str">
        <f>IFERROR(VLOOKUP(B847&amp; "*",'SKU Maintenance'!D:H,5,0),"not found")</f>
        <v>2010030402043463</v>
      </c>
      <c r="B847">
        <v>40020458</v>
      </c>
      <c r="C847" t="s">
        <v>346</v>
      </c>
      <c r="D847" t="s">
        <v>351</v>
      </c>
      <c r="E847" s="3">
        <v>44749</v>
      </c>
      <c r="F847" s="49">
        <v>1</v>
      </c>
      <c r="G847" s="49">
        <v>399.75</v>
      </c>
      <c r="H847" t="str">
        <f>IFERROR(VLOOKUP(D847,'SKU Maintenance'!L:O,3,0),"BP not found")</f>
        <v>C-UTX003</v>
      </c>
    </row>
    <row r="848" spans="1:8" x14ac:dyDescent="0.25">
      <c r="A848" t="str">
        <f>IFERROR(VLOOKUP(B848&amp; "*",'SKU Maintenance'!D:H,5,0),"not found")</f>
        <v>2010030402043463</v>
      </c>
      <c r="B848">
        <v>40020458</v>
      </c>
      <c r="C848" t="s">
        <v>346</v>
      </c>
      <c r="D848" t="s">
        <v>351</v>
      </c>
      <c r="E848" s="3">
        <v>44752</v>
      </c>
      <c r="F848" s="49">
        <v>1</v>
      </c>
      <c r="G848" s="49">
        <v>399.75</v>
      </c>
      <c r="H848" t="str">
        <f>IFERROR(VLOOKUP(D848,'SKU Maintenance'!L:O,3,0),"BP not found")</f>
        <v>C-UTX003</v>
      </c>
    </row>
    <row r="849" spans="1:8" x14ac:dyDescent="0.25">
      <c r="A849" t="str">
        <f>IFERROR(VLOOKUP(B849&amp; "*",'SKU Maintenance'!D:H,5,0),"not found")</f>
        <v>2010030402043463</v>
      </c>
      <c r="B849">
        <v>40020458</v>
      </c>
      <c r="C849" t="s">
        <v>346</v>
      </c>
      <c r="D849" t="s">
        <v>351</v>
      </c>
      <c r="E849" s="3">
        <v>44757</v>
      </c>
      <c r="F849" s="49">
        <v>1</v>
      </c>
      <c r="G849" s="49">
        <v>399.75</v>
      </c>
      <c r="H849" t="str">
        <f>IFERROR(VLOOKUP(D849,'SKU Maintenance'!L:O,3,0),"BP not found")</f>
        <v>C-UTX003</v>
      </c>
    </row>
    <row r="850" spans="1:8" x14ac:dyDescent="0.25">
      <c r="A850" t="str">
        <f>IFERROR(VLOOKUP(B850&amp; "*",'SKU Maintenance'!D:H,5,0),"not found")</f>
        <v>2010030402043463</v>
      </c>
      <c r="B850">
        <v>40020458</v>
      </c>
      <c r="C850" t="s">
        <v>346</v>
      </c>
      <c r="D850" t="s">
        <v>433</v>
      </c>
      <c r="E850" s="3">
        <v>44765</v>
      </c>
      <c r="F850" s="49">
        <v>1</v>
      </c>
      <c r="G850" s="49">
        <v>399.75</v>
      </c>
      <c r="H850" t="str">
        <f>IFERROR(VLOOKUP(D850,'SKU Maintenance'!L:O,3,0),"BP not found")</f>
        <v>C-UTX004</v>
      </c>
    </row>
    <row r="851" spans="1:8" x14ac:dyDescent="0.25">
      <c r="A851" t="str">
        <f>IFERROR(VLOOKUP(B851&amp; "*",'SKU Maintenance'!D:H,5,0),"not found")</f>
        <v>2010030402043463</v>
      </c>
      <c r="B851">
        <v>40020458</v>
      </c>
      <c r="C851" t="s">
        <v>346</v>
      </c>
      <c r="D851" t="s">
        <v>433</v>
      </c>
      <c r="E851" s="3">
        <v>44771</v>
      </c>
      <c r="F851" s="49">
        <v>1</v>
      </c>
      <c r="G851" s="49">
        <v>399.75</v>
      </c>
      <c r="H851" t="str">
        <f>IFERROR(VLOOKUP(D851,'SKU Maintenance'!L:O,3,0),"BP not found")</f>
        <v>C-UTX004</v>
      </c>
    </row>
    <row r="852" spans="1:8" x14ac:dyDescent="0.25">
      <c r="A852" t="str">
        <f>IFERROR(VLOOKUP(B852&amp; "*",'SKU Maintenance'!D:H,5,0),"not found")</f>
        <v>2010030402223463</v>
      </c>
      <c r="B852">
        <v>40020459</v>
      </c>
      <c r="C852" t="s">
        <v>265</v>
      </c>
      <c r="D852" t="s">
        <v>233</v>
      </c>
      <c r="E852" s="3">
        <v>44748</v>
      </c>
      <c r="F852" s="49">
        <v>1</v>
      </c>
      <c r="G852" s="49">
        <v>399.75</v>
      </c>
      <c r="H852" t="str">
        <f>IFERROR(VLOOKUP(D852,'SKU Maintenance'!L:O,3,0),"BP not found")</f>
        <v>C-UTX002</v>
      </c>
    </row>
    <row r="853" spans="1:8" x14ac:dyDescent="0.25">
      <c r="A853" t="str">
        <f>IFERROR(VLOOKUP(B853&amp; "*",'SKU Maintenance'!D:H,5,0),"not found")</f>
        <v>2010030402223463</v>
      </c>
      <c r="B853">
        <v>40020459</v>
      </c>
      <c r="C853" t="s">
        <v>265</v>
      </c>
      <c r="D853" t="s">
        <v>351</v>
      </c>
      <c r="E853" s="3">
        <v>44743</v>
      </c>
      <c r="F853" s="49">
        <v>1</v>
      </c>
      <c r="G853" s="49">
        <v>399.75</v>
      </c>
      <c r="H853" t="str">
        <f>IFERROR(VLOOKUP(D853,'SKU Maintenance'!L:O,3,0),"BP not found")</f>
        <v>C-UTX003</v>
      </c>
    </row>
    <row r="854" spans="1:8" x14ac:dyDescent="0.25">
      <c r="A854" t="str">
        <f>IFERROR(VLOOKUP(B854&amp; "*",'SKU Maintenance'!D:H,5,0),"not found")</f>
        <v>2010030402223463</v>
      </c>
      <c r="B854">
        <v>40020459</v>
      </c>
      <c r="C854" t="s">
        <v>265</v>
      </c>
      <c r="D854" t="s">
        <v>351</v>
      </c>
      <c r="E854" s="3">
        <v>44773</v>
      </c>
      <c r="F854" s="49">
        <v>1</v>
      </c>
      <c r="G854" s="49">
        <v>399.75</v>
      </c>
      <c r="H854" t="str">
        <f>IFERROR(VLOOKUP(D854,'SKU Maintenance'!L:O,3,0),"BP not found")</f>
        <v>C-UTX003</v>
      </c>
    </row>
    <row r="855" spans="1:8" x14ac:dyDescent="0.25">
      <c r="A855" t="str">
        <f>IFERROR(VLOOKUP(B855&amp; "*",'SKU Maintenance'!D:H,5,0),"not found")</f>
        <v>2010030402223463</v>
      </c>
      <c r="B855">
        <v>40020459</v>
      </c>
      <c r="C855" t="s">
        <v>265</v>
      </c>
      <c r="D855" t="s">
        <v>433</v>
      </c>
      <c r="E855" s="3">
        <v>44762</v>
      </c>
      <c r="F855" s="49">
        <v>1</v>
      </c>
      <c r="G855" s="49">
        <v>399.75</v>
      </c>
      <c r="H855" t="str">
        <f>IFERROR(VLOOKUP(D855,'SKU Maintenance'!L:O,3,0),"BP not found")</f>
        <v>C-UTX004</v>
      </c>
    </row>
    <row r="856" spans="1:8" x14ac:dyDescent="0.25">
      <c r="A856" t="str">
        <f>IFERROR(VLOOKUP(B856&amp; "*",'SKU Maintenance'!D:H,5,0),"not found")</f>
        <v>2010030402223463</v>
      </c>
      <c r="B856">
        <v>40020459</v>
      </c>
      <c r="C856" t="s">
        <v>265</v>
      </c>
      <c r="D856" t="s">
        <v>433</v>
      </c>
      <c r="E856" s="3">
        <v>44764</v>
      </c>
      <c r="F856" s="49">
        <v>1</v>
      </c>
      <c r="G856" s="49">
        <v>399.75</v>
      </c>
      <c r="H856" t="str">
        <f>IFERROR(VLOOKUP(D856,'SKU Maintenance'!L:O,3,0),"BP not found")</f>
        <v>C-UTX004</v>
      </c>
    </row>
    <row r="857" spans="1:8" x14ac:dyDescent="0.25">
      <c r="A857" t="str">
        <f>IFERROR(VLOOKUP(B857&amp; "*",'SKU Maintenance'!D:H,5,0),"not found")</f>
        <v>2010030402173463</v>
      </c>
      <c r="B857">
        <v>40020460</v>
      </c>
      <c r="C857" t="s">
        <v>261</v>
      </c>
      <c r="D857" t="s">
        <v>233</v>
      </c>
      <c r="E857" s="3">
        <v>44747</v>
      </c>
      <c r="F857" s="49">
        <v>1</v>
      </c>
      <c r="G857" s="49">
        <v>399.75</v>
      </c>
      <c r="H857" t="str">
        <f>IFERROR(VLOOKUP(D857,'SKU Maintenance'!L:O,3,0),"BP not found")</f>
        <v>C-UTX002</v>
      </c>
    </row>
    <row r="858" spans="1:8" x14ac:dyDescent="0.25">
      <c r="A858" t="str">
        <f>IFERROR(VLOOKUP(B858&amp; "*",'SKU Maintenance'!D:H,5,0),"not found")</f>
        <v>2010030402173463</v>
      </c>
      <c r="B858">
        <v>40020460</v>
      </c>
      <c r="C858" t="s">
        <v>261</v>
      </c>
      <c r="D858" t="s">
        <v>233</v>
      </c>
      <c r="E858" s="3">
        <v>44756</v>
      </c>
      <c r="F858" s="49">
        <v>1</v>
      </c>
      <c r="G858" s="49">
        <v>399.75</v>
      </c>
      <c r="H858" t="str">
        <f>IFERROR(VLOOKUP(D858,'SKU Maintenance'!L:O,3,0),"BP not found")</f>
        <v>C-UTX002</v>
      </c>
    </row>
    <row r="859" spans="1:8" x14ac:dyDescent="0.25">
      <c r="A859" t="str">
        <f>IFERROR(VLOOKUP(B859&amp; "*",'SKU Maintenance'!D:H,5,0),"not found")</f>
        <v>2010030402173463</v>
      </c>
      <c r="B859">
        <v>40020460</v>
      </c>
      <c r="C859" t="s">
        <v>261</v>
      </c>
      <c r="D859" t="s">
        <v>233</v>
      </c>
      <c r="E859" s="3">
        <v>44759</v>
      </c>
      <c r="F859" s="49">
        <v>1</v>
      </c>
      <c r="G859" s="49">
        <v>399.75</v>
      </c>
      <c r="H859" t="str">
        <f>IFERROR(VLOOKUP(D859,'SKU Maintenance'!L:O,3,0),"BP not found")</f>
        <v>C-UTX002</v>
      </c>
    </row>
    <row r="860" spans="1:8" x14ac:dyDescent="0.25">
      <c r="A860" t="str">
        <f>IFERROR(VLOOKUP(B860&amp; "*",'SKU Maintenance'!D:H,5,0),"not found")</f>
        <v>2010030402173463</v>
      </c>
      <c r="B860">
        <v>40020460</v>
      </c>
      <c r="C860" t="s">
        <v>261</v>
      </c>
      <c r="D860" t="s">
        <v>351</v>
      </c>
      <c r="E860" s="3">
        <v>44757</v>
      </c>
      <c r="F860" s="49">
        <v>1</v>
      </c>
      <c r="G860" s="49">
        <v>399.75</v>
      </c>
      <c r="H860" t="str">
        <f>IFERROR(VLOOKUP(D860,'SKU Maintenance'!L:O,3,0),"BP not found")</f>
        <v>C-UTX003</v>
      </c>
    </row>
    <row r="861" spans="1:8" x14ac:dyDescent="0.25">
      <c r="A861" t="str">
        <f>IFERROR(VLOOKUP(B861&amp; "*",'SKU Maintenance'!D:H,5,0),"not found")</f>
        <v>2010030402173463</v>
      </c>
      <c r="B861">
        <v>40020460</v>
      </c>
      <c r="C861" t="s">
        <v>261</v>
      </c>
      <c r="D861" t="s">
        <v>433</v>
      </c>
      <c r="E861" s="3">
        <v>44769</v>
      </c>
      <c r="F861" s="49">
        <v>2</v>
      </c>
      <c r="G861" s="49">
        <v>799.5</v>
      </c>
      <c r="H861" t="str">
        <f>IFERROR(VLOOKUP(D861,'SKU Maintenance'!L:O,3,0),"BP not found")</f>
        <v>C-UTX004</v>
      </c>
    </row>
    <row r="862" spans="1:8" x14ac:dyDescent="0.25">
      <c r="A862" t="str">
        <f>IFERROR(VLOOKUP(B862&amp; "*",'SKU Maintenance'!D:H,5,0),"not found")</f>
        <v>2010030402173463</v>
      </c>
      <c r="B862">
        <v>40020460</v>
      </c>
      <c r="C862" t="s">
        <v>261</v>
      </c>
      <c r="D862" t="s">
        <v>433</v>
      </c>
      <c r="E862" s="3">
        <v>44772</v>
      </c>
      <c r="F862" s="49">
        <v>1</v>
      </c>
      <c r="G862" s="49">
        <v>399.75</v>
      </c>
      <c r="H862" t="str">
        <f>IFERROR(VLOOKUP(D862,'SKU Maintenance'!L:O,3,0),"BP not found")</f>
        <v>C-UTX004</v>
      </c>
    </row>
    <row r="863" spans="1:8" x14ac:dyDescent="0.25">
      <c r="A863" t="str">
        <f>IFERROR(VLOOKUP(B863&amp; "*",'SKU Maintenance'!D:H,5,0),"not found")</f>
        <v>2010030403043464</v>
      </c>
      <c r="B863">
        <v>40020461</v>
      </c>
      <c r="C863" t="s">
        <v>76</v>
      </c>
      <c r="D863" t="s">
        <v>48</v>
      </c>
      <c r="E863" s="3">
        <v>44745</v>
      </c>
      <c r="F863" s="49">
        <v>1</v>
      </c>
      <c r="G863" s="49">
        <v>449.75</v>
      </c>
      <c r="H863" t="str">
        <f>IFERROR(VLOOKUP(D863,'SKU Maintenance'!L:O,3,0),"BP not found")</f>
        <v>C-UTX001</v>
      </c>
    </row>
    <row r="864" spans="1:8" x14ac:dyDescent="0.25">
      <c r="A864" t="str">
        <f>IFERROR(VLOOKUP(B864&amp; "*",'SKU Maintenance'!D:H,5,0),"not found")</f>
        <v>2010030403043464</v>
      </c>
      <c r="B864">
        <v>40020461</v>
      </c>
      <c r="C864" t="s">
        <v>76</v>
      </c>
      <c r="D864" t="s">
        <v>48</v>
      </c>
      <c r="E864" s="3">
        <v>44770</v>
      </c>
      <c r="F864" s="49">
        <v>1</v>
      </c>
      <c r="G864" s="49">
        <v>449.75</v>
      </c>
      <c r="H864" t="str">
        <f>IFERROR(VLOOKUP(D864,'SKU Maintenance'!L:O,3,0),"BP not found")</f>
        <v>C-UTX001</v>
      </c>
    </row>
    <row r="865" spans="1:8" x14ac:dyDescent="0.25">
      <c r="A865" t="str">
        <f>IFERROR(VLOOKUP(B865&amp; "*",'SKU Maintenance'!D:H,5,0),"not found")</f>
        <v>2010030403043464</v>
      </c>
      <c r="B865">
        <v>40020461</v>
      </c>
      <c r="C865" t="s">
        <v>76</v>
      </c>
      <c r="D865" t="s">
        <v>233</v>
      </c>
      <c r="E865" s="3">
        <v>44750</v>
      </c>
      <c r="F865" s="49">
        <v>1</v>
      </c>
      <c r="G865" s="49">
        <v>449.75</v>
      </c>
      <c r="H865" t="str">
        <f>IFERROR(VLOOKUP(D865,'SKU Maintenance'!L:O,3,0),"BP not found")</f>
        <v>C-UTX002</v>
      </c>
    </row>
    <row r="866" spans="1:8" x14ac:dyDescent="0.25">
      <c r="A866" t="str">
        <f>IFERROR(VLOOKUP(B866&amp; "*",'SKU Maintenance'!D:H,5,0),"not found")</f>
        <v>2010030403043464</v>
      </c>
      <c r="B866">
        <v>40020461</v>
      </c>
      <c r="C866" t="s">
        <v>76</v>
      </c>
      <c r="D866" t="s">
        <v>233</v>
      </c>
      <c r="E866" s="3">
        <v>44769</v>
      </c>
      <c r="F866" s="49">
        <v>1</v>
      </c>
      <c r="G866" s="49">
        <v>449.75</v>
      </c>
      <c r="H866" t="str">
        <f>IFERROR(VLOOKUP(D866,'SKU Maintenance'!L:O,3,0),"BP not found")</f>
        <v>C-UTX002</v>
      </c>
    </row>
    <row r="867" spans="1:8" x14ac:dyDescent="0.25">
      <c r="A867" t="str">
        <f>IFERROR(VLOOKUP(B867&amp; "*",'SKU Maintenance'!D:H,5,0),"not found")</f>
        <v>2010030403043464</v>
      </c>
      <c r="B867">
        <v>40020461</v>
      </c>
      <c r="C867" t="s">
        <v>76</v>
      </c>
      <c r="D867" t="s">
        <v>351</v>
      </c>
      <c r="E867" s="3">
        <v>44745</v>
      </c>
      <c r="F867" s="49">
        <v>3</v>
      </c>
      <c r="G867" s="49">
        <v>1349.25</v>
      </c>
      <c r="H867" t="str">
        <f>IFERROR(VLOOKUP(D867,'SKU Maintenance'!L:O,3,0),"BP not found")</f>
        <v>C-UTX003</v>
      </c>
    </row>
    <row r="868" spans="1:8" x14ac:dyDescent="0.25">
      <c r="A868" t="str">
        <f>IFERROR(VLOOKUP(B868&amp; "*",'SKU Maintenance'!D:H,5,0),"not found")</f>
        <v>2010030403043464</v>
      </c>
      <c r="B868">
        <v>40020461</v>
      </c>
      <c r="C868" t="s">
        <v>76</v>
      </c>
      <c r="D868" t="s">
        <v>351</v>
      </c>
      <c r="E868" s="3">
        <v>44771</v>
      </c>
      <c r="F868" s="49">
        <v>1</v>
      </c>
      <c r="G868" s="49">
        <v>449.75</v>
      </c>
      <c r="H868" t="str">
        <f>IFERROR(VLOOKUP(D868,'SKU Maintenance'!L:O,3,0),"BP not found")</f>
        <v>C-UTX003</v>
      </c>
    </row>
    <row r="869" spans="1:8" x14ac:dyDescent="0.25">
      <c r="A869" t="str">
        <f>IFERROR(VLOOKUP(B869&amp; "*",'SKU Maintenance'!D:H,5,0),"not found")</f>
        <v>2010030403043464</v>
      </c>
      <c r="B869">
        <v>40020461</v>
      </c>
      <c r="C869" t="s">
        <v>76</v>
      </c>
      <c r="D869" t="s">
        <v>433</v>
      </c>
      <c r="E869" s="3">
        <v>44745</v>
      </c>
      <c r="F869" s="49">
        <v>1</v>
      </c>
      <c r="G869" s="49">
        <v>449.75</v>
      </c>
      <c r="H869" t="str">
        <f>IFERROR(VLOOKUP(D869,'SKU Maintenance'!L:O,3,0),"BP not found")</f>
        <v>C-UTX004</v>
      </c>
    </row>
    <row r="870" spans="1:8" x14ac:dyDescent="0.25">
      <c r="A870" t="str">
        <f>IFERROR(VLOOKUP(B870&amp; "*",'SKU Maintenance'!D:H,5,0),"not found")</f>
        <v>2010030403043464</v>
      </c>
      <c r="B870">
        <v>40020461</v>
      </c>
      <c r="C870" t="s">
        <v>76</v>
      </c>
      <c r="D870" t="s">
        <v>433</v>
      </c>
      <c r="E870" s="3">
        <v>44746</v>
      </c>
      <c r="F870" s="49">
        <v>1</v>
      </c>
      <c r="G870" s="49">
        <v>449.75</v>
      </c>
      <c r="H870" t="str">
        <f>IFERROR(VLOOKUP(D870,'SKU Maintenance'!L:O,3,0),"BP not found")</f>
        <v>C-UTX004</v>
      </c>
    </row>
    <row r="871" spans="1:8" x14ac:dyDescent="0.25">
      <c r="A871" t="str">
        <f>IFERROR(VLOOKUP(B871&amp; "*",'SKU Maintenance'!D:H,5,0),"not found")</f>
        <v>2010030403043464</v>
      </c>
      <c r="B871">
        <v>40020461</v>
      </c>
      <c r="C871" t="s">
        <v>76</v>
      </c>
      <c r="D871" t="s">
        <v>433</v>
      </c>
      <c r="E871" s="3">
        <v>44773</v>
      </c>
      <c r="F871" s="49">
        <v>1</v>
      </c>
      <c r="G871" s="49">
        <v>449.75</v>
      </c>
      <c r="H871" t="str">
        <f>IFERROR(VLOOKUP(D871,'SKU Maintenance'!L:O,3,0),"BP not found")</f>
        <v>C-UTX004</v>
      </c>
    </row>
    <row r="872" spans="1:8" x14ac:dyDescent="0.25">
      <c r="A872" t="str">
        <f>IFERROR(VLOOKUP(B872&amp; "*",'SKU Maintenance'!D:H,5,0),"not found")</f>
        <v>2010021198181282</v>
      </c>
      <c r="B872">
        <v>40020876</v>
      </c>
      <c r="C872" t="s">
        <v>220</v>
      </c>
      <c r="D872" t="s">
        <v>48</v>
      </c>
      <c r="E872" s="3">
        <v>44772</v>
      </c>
      <c r="F872" s="49">
        <v>1</v>
      </c>
      <c r="G872" s="49">
        <v>799.75</v>
      </c>
      <c r="H872" t="str">
        <f>IFERROR(VLOOKUP(D872,'SKU Maintenance'!L:O,3,0),"BP not found")</f>
        <v>C-UTX001</v>
      </c>
    </row>
    <row r="873" spans="1:8" x14ac:dyDescent="0.25">
      <c r="A873" t="str">
        <f>IFERROR(VLOOKUP(B873&amp; "*",'SKU Maintenance'!D:H,5,0),"not found")</f>
        <v>2010060498030003</v>
      </c>
      <c r="B873">
        <v>40021264</v>
      </c>
      <c r="C873" t="s">
        <v>364</v>
      </c>
      <c r="D873" t="s">
        <v>351</v>
      </c>
      <c r="E873" s="3">
        <v>44749</v>
      </c>
      <c r="F873" s="49">
        <v>1</v>
      </c>
      <c r="G873" s="49">
        <v>129.75</v>
      </c>
      <c r="H873" t="str">
        <f>IFERROR(VLOOKUP(D873,'SKU Maintenance'!L:O,3,0),"BP not found")</f>
        <v>C-UTX003</v>
      </c>
    </row>
    <row r="874" spans="1:8" x14ac:dyDescent="0.25">
      <c r="A874" t="str">
        <f>IFERROR(VLOOKUP(B874&amp; "*",'SKU Maintenance'!D:H,5,0),"not found")</f>
        <v>2010060498020003</v>
      </c>
      <c r="B874">
        <v>40021265</v>
      </c>
      <c r="C874" t="s">
        <v>217</v>
      </c>
      <c r="D874" t="s">
        <v>48</v>
      </c>
      <c r="E874" s="3">
        <v>44771</v>
      </c>
      <c r="F874" s="49">
        <v>1</v>
      </c>
      <c r="G874" s="49">
        <v>129.75</v>
      </c>
      <c r="H874" t="str">
        <f>IFERROR(VLOOKUP(D874,'SKU Maintenance'!L:O,3,0),"BP not found")</f>
        <v>C-UTX001</v>
      </c>
    </row>
    <row r="875" spans="1:8" x14ac:dyDescent="0.25">
      <c r="A875" t="str">
        <f>IFERROR(VLOOKUP(B875&amp; "*",'SKU Maintenance'!D:H,5,0),"not found")</f>
        <v>2010060498020003</v>
      </c>
      <c r="B875">
        <v>40021265</v>
      </c>
      <c r="C875" t="s">
        <v>217</v>
      </c>
      <c r="D875" t="s">
        <v>351</v>
      </c>
      <c r="E875" s="3">
        <v>44754</v>
      </c>
      <c r="F875" s="49">
        <v>1</v>
      </c>
      <c r="G875" s="49">
        <v>129.75</v>
      </c>
      <c r="H875" t="str">
        <f>IFERROR(VLOOKUP(D875,'SKU Maintenance'!L:O,3,0),"BP not found")</f>
        <v>C-UTX003</v>
      </c>
    </row>
    <row r="876" spans="1:8" x14ac:dyDescent="0.25">
      <c r="A876" t="str">
        <f>IFERROR(VLOOKUP(B876&amp; "*",'SKU Maintenance'!D:H,5,0),"not found")</f>
        <v>2010060499130003</v>
      </c>
      <c r="B876">
        <v>40021266</v>
      </c>
      <c r="C876" t="s">
        <v>70</v>
      </c>
      <c r="D876" t="s">
        <v>48</v>
      </c>
      <c r="E876" s="3">
        <v>44745</v>
      </c>
      <c r="F876" s="49">
        <v>1</v>
      </c>
      <c r="G876" s="49">
        <v>129.75</v>
      </c>
      <c r="H876" t="str">
        <f>IFERROR(VLOOKUP(D876,'SKU Maintenance'!L:O,3,0),"BP not found")</f>
        <v>C-UTX001</v>
      </c>
    </row>
    <row r="877" spans="1:8" x14ac:dyDescent="0.25">
      <c r="A877" t="str">
        <f>IFERROR(VLOOKUP(B877&amp; "*",'SKU Maintenance'!D:H,5,0),"not found")</f>
        <v>2010060499130003</v>
      </c>
      <c r="B877">
        <v>40021266</v>
      </c>
      <c r="C877" t="s">
        <v>70</v>
      </c>
      <c r="D877" t="s">
        <v>351</v>
      </c>
      <c r="E877" s="3">
        <v>44752</v>
      </c>
      <c r="F877" s="49">
        <v>1</v>
      </c>
      <c r="G877" s="49">
        <v>129.75</v>
      </c>
      <c r="H877" t="str">
        <f>IFERROR(VLOOKUP(D877,'SKU Maintenance'!L:O,3,0),"BP not found")</f>
        <v>C-UTX003</v>
      </c>
    </row>
    <row r="878" spans="1:8" x14ac:dyDescent="0.25">
      <c r="A878" t="str">
        <f>IFERROR(VLOOKUP(B878&amp; "*",'SKU Maintenance'!D:H,5,0),"not found")</f>
        <v>2010060499130003</v>
      </c>
      <c r="B878">
        <v>40021266</v>
      </c>
      <c r="C878" t="s">
        <v>70</v>
      </c>
      <c r="D878" t="s">
        <v>351</v>
      </c>
      <c r="E878" s="3">
        <v>44754</v>
      </c>
      <c r="F878" s="49">
        <v>1</v>
      </c>
      <c r="G878" s="49">
        <v>129.75</v>
      </c>
      <c r="H878" t="str">
        <f>IFERROR(VLOOKUP(D878,'SKU Maintenance'!L:O,3,0),"BP not found")</f>
        <v>C-UTX003</v>
      </c>
    </row>
    <row r="879" spans="1:8" x14ac:dyDescent="0.25">
      <c r="A879" t="str">
        <f>IFERROR(VLOOKUP(B879&amp; "*",'SKU Maintenance'!D:H,5,0),"not found")</f>
        <v>2010060499040003</v>
      </c>
      <c r="B879">
        <v>40021267</v>
      </c>
      <c r="C879" t="s">
        <v>314</v>
      </c>
      <c r="D879" t="s">
        <v>233</v>
      </c>
      <c r="E879" s="3">
        <v>44763</v>
      </c>
      <c r="F879" s="49">
        <v>1</v>
      </c>
      <c r="G879" s="49">
        <v>129.75</v>
      </c>
      <c r="H879" t="str">
        <f>IFERROR(VLOOKUP(D879,'SKU Maintenance'!L:O,3,0),"BP not found")</f>
        <v>C-UTX002</v>
      </c>
    </row>
    <row r="880" spans="1:8" x14ac:dyDescent="0.25">
      <c r="A880" t="str">
        <f>IFERROR(VLOOKUP(B880&amp; "*",'SKU Maintenance'!D:H,5,0),"not found")</f>
        <v>2010060499040003</v>
      </c>
      <c r="B880">
        <v>40021267</v>
      </c>
      <c r="C880" t="s">
        <v>314</v>
      </c>
      <c r="D880" t="s">
        <v>351</v>
      </c>
      <c r="E880" s="3">
        <v>44770</v>
      </c>
      <c r="F880" s="49">
        <v>2</v>
      </c>
      <c r="G880" s="49">
        <v>259.5</v>
      </c>
      <c r="H880" t="str">
        <f>IFERROR(VLOOKUP(D880,'SKU Maintenance'!L:O,3,0),"BP not found")</f>
        <v>C-UTX003</v>
      </c>
    </row>
    <row r="881" spans="1:8" x14ac:dyDescent="0.25">
      <c r="A881" t="str">
        <f>IFERROR(VLOOKUP(B881&amp; "*",'SKU Maintenance'!D:H,5,0),"not found")</f>
        <v>2010060498170003</v>
      </c>
      <c r="B881">
        <v>40021268</v>
      </c>
      <c r="C881" t="s">
        <v>170</v>
      </c>
      <c r="D881" t="s">
        <v>48</v>
      </c>
      <c r="E881" s="3">
        <v>44760</v>
      </c>
      <c r="F881" s="49">
        <v>1</v>
      </c>
      <c r="G881" s="49">
        <v>129.75</v>
      </c>
      <c r="H881" t="str">
        <f>IFERROR(VLOOKUP(D881,'SKU Maintenance'!L:O,3,0),"BP not found")</f>
        <v>C-UTX001</v>
      </c>
    </row>
    <row r="882" spans="1:8" x14ac:dyDescent="0.25">
      <c r="A882" t="str">
        <f>IFERROR(VLOOKUP(B882&amp; "*",'SKU Maintenance'!D:H,5,0),"not found")</f>
        <v>2010060498170003</v>
      </c>
      <c r="B882">
        <v>40021268</v>
      </c>
      <c r="C882" t="s">
        <v>170</v>
      </c>
      <c r="D882" t="s">
        <v>351</v>
      </c>
      <c r="E882" s="3">
        <v>44758</v>
      </c>
      <c r="F882" s="49">
        <v>2</v>
      </c>
      <c r="G882" s="49">
        <v>259.5</v>
      </c>
      <c r="H882" t="str">
        <f>IFERROR(VLOOKUP(D882,'SKU Maintenance'!L:O,3,0),"BP not found")</f>
        <v>C-UTX003</v>
      </c>
    </row>
    <row r="883" spans="1:8" x14ac:dyDescent="0.25">
      <c r="A883" t="str">
        <f>IFERROR(VLOOKUP(B883&amp; "*",'SKU Maintenance'!D:H,5,0),"not found")</f>
        <v>2010060498170003</v>
      </c>
      <c r="B883">
        <v>40021268</v>
      </c>
      <c r="C883" t="s">
        <v>170</v>
      </c>
      <c r="D883" t="s">
        <v>351</v>
      </c>
      <c r="E883" s="3">
        <v>44761</v>
      </c>
      <c r="F883" s="49">
        <v>1</v>
      </c>
      <c r="G883" s="49">
        <v>129.75</v>
      </c>
      <c r="H883" t="str">
        <f>IFERROR(VLOOKUP(D883,'SKU Maintenance'!L:O,3,0),"BP not found")</f>
        <v>C-UTX003</v>
      </c>
    </row>
    <row r="884" spans="1:8" x14ac:dyDescent="0.25">
      <c r="A884" t="str">
        <f>IFERROR(VLOOKUP(B884&amp; "*",'SKU Maintenance'!D:H,5,0),"not found")</f>
        <v>2010060498160003</v>
      </c>
      <c r="B884">
        <v>40021269</v>
      </c>
      <c r="C884" t="s">
        <v>311</v>
      </c>
      <c r="D884" t="s">
        <v>233</v>
      </c>
      <c r="E884" s="3">
        <v>44761</v>
      </c>
      <c r="F884" s="49">
        <v>1</v>
      </c>
      <c r="G884" s="49">
        <v>129.75</v>
      </c>
      <c r="H884" t="str">
        <f>IFERROR(VLOOKUP(D884,'SKU Maintenance'!L:O,3,0),"BP not found")</f>
        <v>C-UTX002</v>
      </c>
    </row>
    <row r="885" spans="1:8" x14ac:dyDescent="0.25">
      <c r="A885" t="str">
        <f>IFERROR(VLOOKUP(B885&amp; "*",'SKU Maintenance'!D:H,5,0),"not found")</f>
        <v>2010060498100003</v>
      </c>
      <c r="B885">
        <v>40021271</v>
      </c>
      <c r="C885" t="s">
        <v>365</v>
      </c>
      <c r="D885" t="s">
        <v>351</v>
      </c>
      <c r="E885" s="3">
        <v>44749</v>
      </c>
      <c r="F885" s="49">
        <v>1</v>
      </c>
      <c r="G885" s="49">
        <v>129.75</v>
      </c>
      <c r="H885" t="str">
        <f>IFERROR(VLOOKUP(D885,'SKU Maintenance'!L:O,3,0),"BP not found")</f>
        <v>C-UTX003</v>
      </c>
    </row>
    <row r="886" spans="1:8" x14ac:dyDescent="0.25">
      <c r="A886" t="str">
        <f>IFERROR(VLOOKUP(B886&amp; "*",'SKU Maintenance'!D:H,5,0),"not found")</f>
        <v>2010060498070003</v>
      </c>
      <c r="B886">
        <v>40021272</v>
      </c>
      <c r="C886" t="s">
        <v>127</v>
      </c>
      <c r="D886" t="s">
        <v>48</v>
      </c>
      <c r="E886" s="3">
        <v>44755</v>
      </c>
      <c r="F886" s="49">
        <v>1</v>
      </c>
      <c r="G886" s="49">
        <v>129.75</v>
      </c>
      <c r="H886" t="str">
        <f>IFERROR(VLOOKUP(D886,'SKU Maintenance'!L:O,3,0),"BP not found")</f>
        <v>C-UTX001</v>
      </c>
    </row>
    <row r="887" spans="1:8" x14ac:dyDescent="0.25">
      <c r="A887" t="str">
        <f>IFERROR(VLOOKUP(B887&amp; "*",'SKU Maintenance'!D:H,5,0),"not found")</f>
        <v>2010060498040003</v>
      </c>
      <c r="B887">
        <v>40021273</v>
      </c>
      <c r="C887" t="s">
        <v>226</v>
      </c>
      <c r="D887" t="s">
        <v>48</v>
      </c>
      <c r="E887" s="3">
        <v>44773</v>
      </c>
      <c r="F887" s="49">
        <v>1</v>
      </c>
      <c r="G887" s="49">
        <v>129.75</v>
      </c>
      <c r="H887" t="str">
        <f>IFERROR(VLOOKUP(D887,'SKU Maintenance'!L:O,3,0),"BP not found")</f>
        <v>C-UTX001</v>
      </c>
    </row>
    <row r="888" spans="1:8" x14ac:dyDescent="0.25">
      <c r="A888" t="str">
        <f>IFERROR(VLOOKUP(B888&amp; "*",'SKU Maintenance'!D:H,5,0),"not found")</f>
        <v>2010030698160006</v>
      </c>
      <c r="B888">
        <v>40021824</v>
      </c>
      <c r="C888" t="s">
        <v>324</v>
      </c>
      <c r="D888" t="s">
        <v>233</v>
      </c>
      <c r="E888" s="3">
        <v>44765</v>
      </c>
      <c r="F888" s="49">
        <v>1</v>
      </c>
      <c r="G888" s="49">
        <v>599.75</v>
      </c>
      <c r="H888" t="str">
        <f>IFERROR(VLOOKUP(D888,'SKU Maintenance'!L:O,3,0),"BP not found")</f>
        <v>C-UTX002</v>
      </c>
    </row>
    <row r="889" spans="1:8" x14ac:dyDescent="0.25">
      <c r="A889" t="str">
        <f>IFERROR(VLOOKUP(B889&amp; "*",'SKU Maintenance'!D:H,5,0),"not found")</f>
        <v>2010050202100005</v>
      </c>
      <c r="B889">
        <v>40021959</v>
      </c>
      <c r="C889" t="s">
        <v>333</v>
      </c>
      <c r="D889" t="s">
        <v>233</v>
      </c>
      <c r="E889" s="3">
        <v>44767</v>
      </c>
      <c r="F889" s="49">
        <v>1</v>
      </c>
      <c r="G889" s="49">
        <v>149.75</v>
      </c>
      <c r="H889" t="str">
        <f>IFERROR(VLOOKUP(D889,'SKU Maintenance'!L:O,3,0),"BP not found")</f>
        <v>C-UTX002</v>
      </c>
    </row>
    <row r="890" spans="1:8" x14ac:dyDescent="0.25">
      <c r="A890" t="str">
        <f>IFERROR(VLOOKUP(B890&amp; "*",'SKU Maintenance'!D:H,5,0),"not found")</f>
        <v>2010050204100006</v>
      </c>
      <c r="B890">
        <v>40021960</v>
      </c>
      <c r="C890" t="s">
        <v>113</v>
      </c>
      <c r="D890" t="s">
        <v>48</v>
      </c>
      <c r="E890" s="3">
        <v>44752</v>
      </c>
      <c r="F890" s="49">
        <v>1</v>
      </c>
      <c r="G890" s="49">
        <v>229.75</v>
      </c>
      <c r="H890" t="str">
        <f>IFERROR(VLOOKUP(D890,'SKU Maintenance'!L:O,3,0),"BP not found")</f>
        <v>C-UTX001</v>
      </c>
    </row>
    <row r="891" spans="1:8" x14ac:dyDescent="0.25">
      <c r="A891" t="str">
        <f>IFERROR(VLOOKUP(B891&amp; "*",'SKU Maintenance'!D:H,5,0),"not found")</f>
        <v>2010050204100006</v>
      </c>
      <c r="B891">
        <v>40021960</v>
      </c>
      <c r="C891" t="s">
        <v>113</v>
      </c>
      <c r="D891" t="s">
        <v>233</v>
      </c>
      <c r="E891" s="3">
        <v>44769</v>
      </c>
      <c r="F891" s="49">
        <v>1</v>
      </c>
      <c r="G891" s="49">
        <v>229.75</v>
      </c>
      <c r="H891" t="str">
        <f>IFERROR(VLOOKUP(D891,'SKU Maintenance'!L:O,3,0),"BP not found")</f>
        <v>C-UTX002</v>
      </c>
    </row>
    <row r="892" spans="1:8" x14ac:dyDescent="0.25">
      <c r="A892" t="str">
        <f>IFERROR(VLOOKUP(B892&amp; "*",'SKU Maintenance'!D:H,5,0),"not found")</f>
        <v>2010050202100006</v>
      </c>
      <c r="B892">
        <v>40021961</v>
      </c>
      <c r="C892" t="s">
        <v>104</v>
      </c>
      <c r="D892" t="s">
        <v>48</v>
      </c>
      <c r="E892" s="3">
        <v>44751</v>
      </c>
      <c r="F892" s="49">
        <v>1</v>
      </c>
      <c r="G892" s="49">
        <v>149.75</v>
      </c>
      <c r="H892" t="str">
        <f>IFERROR(VLOOKUP(D892,'SKU Maintenance'!L:O,3,0),"BP not found")</f>
        <v>C-UTX001</v>
      </c>
    </row>
    <row r="893" spans="1:8" x14ac:dyDescent="0.25">
      <c r="A893" t="str">
        <f>IFERROR(VLOOKUP(B893&amp; "*",'SKU Maintenance'!D:H,5,0),"not found")</f>
        <v>2010050202100006</v>
      </c>
      <c r="B893">
        <v>40021961</v>
      </c>
      <c r="C893" t="s">
        <v>104</v>
      </c>
      <c r="D893" t="s">
        <v>233</v>
      </c>
      <c r="E893" s="3">
        <v>44771</v>
      </c>
      <c r="F893" s="49">
        <v>1</v>
      </c>
      <c r="G893" s="49">
        <v>149.75</v>
      </c>
      <c r="H893" t="str">
        <f>IFERROR(VLOOKUP(D893,'SKU Maintenance'!L:O,3,0),"BP not found")</f>
        <v>C-UTX002</v>
      </c>
    </row>
    <row r="894" spans="1:8" x14ac:dyDescent="0.25">
      <c r="A894" t="str">
        <f>IFERROR(VLOOKUP(B894&amp; "*",'SKU Maintenance'!D:H,5,0),"not found")</f>
        <v>2010050201100006</v>
      </c>
      <c r="B894">
        <v>40021962</v>
      </c>
      <c r="C894" t="s">
        <v>207</v>
      </c>
      <c r="D894" t="s">
        <v>48</v>
      </c>
      <c r="E894" s="3">
        <v>44768</v>
      </c>
      <c r="F894" s="49">
        <v>1</v>
      </c>
      <c r="G894" s="49">
        <v>129.75</v>
      </c>
      <c r="H894" t="str">
        <f>IFERROR(VLOOKUP(D894,'SKU Maintenance'!L:O,3,0),"BP not found")</f>
        <v>C-UTX001</v>
      </c>
    </row>
    <row r="895" spans="1:8" x14ac:dyDescent="0.25">
      <c r="A895" t="str">
        <f>IFERROR(VLOOKUP(B895&amp; "*",'SKU Maintenance'!D:H,5,0),"not found")</f>
        <v>2010050201100006</v>
      </c>
      <c r="B895">
        <v>40021962</v>
      </c>
      <c r="C895" t="s">
        <v>207</v>
      </c>
      <c r="D895" t="s">
        <v>351</v>
      </c>
      <c r="E895" s="3">
        <v>44743</v>
      </c>
      <c r="F895" s="49">
        <v>1</v>
      </c>
      <c r="G895" s="49">
        <v>129.75</v>
      </c>
      <c r="H895" t="str">
        <f>IFERROR(VLOOKUP(D895,'SKU Maintenance'!L:O,3,0),"BP not found")</f>
        <v>C-UTX003</v>
      </c>
    </row>
    <row r="896" spans="1:8" x14ac:dyDescent="0.25">
      <c r="A896" t="str">
        <f>IFERROR(VLOOKUP(B896&amp; "*",'SKU Maintenance'!D:H,5,0),"not found")</f>
        <v>2010050201100006</v>
      </c>
      <c r="B896">
        <v>40021962</v>
      </c>
      <c r="C896" t="s">
        <v>207</v>
      </c>
      <c r="D896" t="s">
        <v>433</v>
      </c>
      <c r="E896" s="3">
        <v>44757</v>
      </c>
      <c r="F896" s="49">
        <v>1</v>
      </c>
      <c r="G896" s="49">
        <v>129.75</v>
      </c>
      <c r="H896" t="str">
        <f>IFERROR(VLOOKUP(D896,'SKU Maintenance'!L:O,3,0),"BP not found")</f>
        <v>C-UTX004</v>
      </c>
    </row>
    <row r="897" spans="1:8" x14ac:dyDescent="0.25">
      <c r="A897" t="str">
        <f>IFERROR(VLOOKUP(B897&amp; "*",'SKU Maintenance'!D:H,5,0),"not found")</f>
        <v>2010050204040006</v>
      </c>
      <c r="B897">
        <v>40021963</v>
      </c>
      <c r="C897" t="s">
        <v>266</v>
      </c>
      <c r="D897" t="s">
        <v>233</v>
      </c>
      <c r="E897" s="3">
        <v>44748</v>
      </c>
      <c r="F897" s="49">
        <v>1</v>
      </c>
      <c r="G897" s="49">
        <v>229.75</v>
      </c>
      <c r="H897" t="str">
        <f>IFERROR(VLOOKUP(D897,'SKU Maintenance'!L:O,3,0),"BP not found")</f>
        <v>C-UTX002</v>
      </c>
    </row>
    <row r="898" spans="1:8" x14ac:dyDescent="0.25">
      <c r="A898" t="str">
        <f>IFERROR(VLOOKUP(B898&amp; "*",'SKU Maintenance'!D:H,5,0),"not found")</f>
        <v>2010050204040006</v>
      </c>
      <c r="B898">
        <v>40021963</v>
      </c>
      <c r="C898" t="s">
        <v>266</v>
      </c>
      <c r="D898" t="s">
        <v>233</v>
      </c>
      <c r="E898" s="3">
        <v>44760</v>
      </c>
      <c r="F898" s="49">
        <v>1</v>
      </c>
      <c r="G898" s="49">
        <v>229.75</v>
      </c>
      <c r="H898" t="str">
        <f>IFERROR(VLOOKUP(D898,'SKU Maintenance'!L:O,3,0),"BP not found")</f>
        <v>C-UTX002</v>
      </c>
    </row>
    <row r="899" spans="1:8" x14ac:dyDescent="0.25">
      <c r="A899" t="str">
        <f>IFERROR(VLOOKUP(B899&amp; "*",'SKU Maintenance'!D:H,5,0),"not found")</f>
        <v>2010050201040006</v>
      </c>
      <c r="B899">
        <v>40021965</v>
      </c>
      <c r="C899" t="s">
        <v>316</v>
      </c>
      <c r="D899" t="s">
        <v>233</v>
      </c>
      <c r="E899" s="3">
        <v>44764</v>
      </c>
      <c r="F899" s="49">
        <v>1</v>
      </c>
      <c r="G899" s="49">
        <v>129.75</v>
      </c>
      <c r="H899" t="str">
        <f>IFERROR(VLOOKUP(D899,'SKU Maintenance'!L:O,3,0),"BP not found")</f>
        <v>C-UTX002</v>
      </c>
    </row>
    <row r="900" spans="1:8" x14ac:dyDescent="0.25">
      <c r="A900" t="str">
        <f>IFERROR(VLOOKUP(B900&amp; "*",'SKU Maintenance'!D:H,5,0),"not found")</f>
        <v>2010050201040006</v>
      </c>
      <c r="B900">
        <v>40021965</v>
      </c>
      <c r="C900" t="s">
        <v>316</v>
      </c>
      <c r="D900" t="s">
        <v>233</v>
      </c>
      <c r="E900" s="3">
        <v>44768</v>
      </c>
      <c r="F900" s="49">
        <v>1</v>
      </c>
      <c r="G900" s="49">
        <v>129.75</v>
      </c>
      <c r="H900" t="str">
        <f>IFERROR(VLOOKUP(D900,'SKU Maintenance'!L:O,3,0),"BP not found")</f>
        <v>C-UTX002</v>
      </c>
    </row>
    <row r="901" spans="1:8" x14ac:dyDescent="0.25">
      <c r="A901" t="str">
        <f>IFERROR(VLOOKUP(B901&amp; "*",'SKU Maintenance'!D:H,5,0),"not found")</f>
        <v>2010050201040006</v>
      </c>
      <c r="B901">
        <v>40021965</v>
      </c>
      <c r="C901" t="s">
        <v>316</v>
      </c>
      <c r="D901" t="s">
        <v>351</v>
      </c>
      <c r="E901" s="3">
        <v>44743</v>
      </c>
      <c r="F901" s="49">
        <v>1</v>
      </c>
      <c r="G901" s="49">
        <v>129.75</v>
      </c>
      <c r="H901" t="str">
        <f>IFERROR(VLOOKUP(D901,'SKU Maintenance'!L:O,3,0),"BP not found")</f>
        <v>C-UTX003</v>
      </c>
    </row>
    <row r="902" spans="1:8" x14ac:dyDescent="0.25">
      <c r="A902" t="str">
        <f>IFERROR(VLOOKUP(B902&amp; "*",'SKU Maintenance'!D:H,5,0),"not found")</f>
        <v>2010050201040006</v>
      </c>
      <c r="B902">
        <v>40021965</v>
      </c>
      <c r="C902" t="s">
        <v>316</v>
      </c>
      <c r="D902" t="s">
        <v>433</v>
      </c>
      <c r="E902" s="3">
        <v>44751</v>
      </c>
      <c r="F902" s="49">
        <v>1</v>
      </c>
      <c r="G902" s="49">
        <v>129.75</v>
      </c>
      <c r="H902" t="str">
        <f>IFERROR(VLOOKUP(D902,'SKU Maintenance'!L:O,3,0),"BP not found")</f>
        <v>C-UTX004</v>
      </c>
    </row>
    <row r="903" spans="1:8" x14ac:dyDescent="0.25">
      <c r="A903" t="str">
        <f>IFERROR(VLOOKUP(B903&amp; "*",'SKU Maintenance'!D:H,5,0),"not found")</f>
        <v>2010050202020006</v>
      </c>
      <c r="B903">
        <v>40021967</v>
      </c>
      <c r="C903" t="s">
        <v>347</v>
      </c>
      <c r="D903" t="s">
        <v>233</v>
      </c>
      <c r="E903" s="3">
        <v>44771</v>
      </c>
      <c r="F903" s="49">
        <v>2</v>
      </c>
      <c r="G903" s="49">
        <v>299.5</v>
      </c>
      <c r="H903" t="str">
        <f>IFERROR(VLOOKUP(D903,'SKU Maintenance'!L:O,3,0),"BP not found")</f>
        <v>C-UTX002</v>
      </c>
    </row>
    <row r="904" spans="1:8" x14ac:dyDescent="0.25">
      <c r="A904" t="str">
        <f>IFERROR(VLOOKUP(B904&amp; "*",'SKU Maintenance'!D:H,5,0),"not found")</f>
        <v>2010050201020006</v>
      </c>
      <c r="B904">
        <v>40021968</v>
      </c>
      <c r="C904" t="s">
        <v>339</v>
      </c>
      <c r="D904" t="s">
        <v>233</v>
      </c>
      <c r="E904" s="3">
        <v>44768</v>
      </c>
      <c r="F904" s="49">
        <v>1</v>
      </c>
      <c r="G904" s="49">
        <v>129.75</v>
      </c>
      <c r="H904" t="str">
        <f>IFERROR(VLOOKUP(D904,'SKU Maintenance'!L:O,3,0),"BP not found")</f>
        <v>C-UTX002</v>
      </c>
    </row>
    <row r="905" spans="1:8" x14ac:dyDescent="0.25">
      <c r="A905" t="str">
        <f>IFERROR(VLOOKUP(B905&amp; "*",'SKU Maintenance'!D:H,5,0),"not found")</f>
        <v>2010050201020006</v>
      </c>
      <c r="B905">
        <v>40021968</v>
      </c>
      <c r="C905" t="s">
        <v>339</v>
      </c>
      <c r="D905" t="s">
        <v>433</v>
      </c>
      <c r="E905" s="3">
        <v>44757</v>
      </c>
      <c r="F905" s="49">
        <v>1</v>
      </c>
      <c r="G905" s="49">
        <v>129.75</v>
      </c>
      <c r="H905" t="str">
        <f>IFERROR(VLOOKUP(D905,'SKU Maintenance'!L:O,3,0),"BP not found")</f>
        <v>C-UTX004</v>
      </c>
    </row>
    <row r="906" spans="1:8" x14ac:dyDescent="0.25">
      <c r="A906" t="str">
        <f>IFERROR(VLOOKUP(B906&amp; "*",'SKU Maintenance'!D:H,5,0),"not found")</f>
        <v>2010050204100005</v>
      </c>
      <c r="B906">
        <v>40021969</v>
      </c>
      <c r="C906" t="s">
        <v>71</v>
      </c>
      <c r="D906" t="s">
        <v>48</v>
      </c>
      <c r="E906" s="3">
        <v>44745</v>
      </c>
      <c r="F906" s="49">
        <v>1</v>
      </c>
      <c r="G906" s="49">
        <v>229.75</v>
      </c>
      <c r="H906" t="str">
        <f>IFERROR(VLOOKUP(D906,'SKU Maintenance'!L:O,3,0),"BP not found")</f>
        <v>C-UTX001</v>
      </c>
    </row>
    <row r="907" spans="1:8" x14ac:dyDescent="0.25">
      <c r="A907" t="str">
        <f>IFERROR(VLOOKUP(B907&amp; "*",'SKU Maintenance'!D:H,5,0),"not found")</f>
        <v>2010050204100005</v>
      </c>
      <c r="B907">
        <v>40021969</v>
      </c>
      <c r="C907" t="s">
        <v>71</v>
      </c>
      <c r="D907" t="s">
        <v>48</v>
      </c>
      <c r="E907" s="3">
        <v>44769</v>
      </c>
      <c r="F907" s="49">
        <v>2</v>
      </c>
      <c r="G907" s="49">
        <v>459.5</v>
      </c>
      <c r="H907" t="str">
        <f>IFERROR(VLOOKUP(D907,'SKU Maintenance'!L:O,3,0),"BP not found")</f>
        <v>C-UTX001</v>
      </c>
    </row>
    <row r="908" spans="1:8" x14ac:dyDescent="0.25">
      <c r="A908" t="str">
        <f>IFERROR(VLOOKUP(B908&amp; "*",'SKU Maintenance'!D:H,5,0),"not found")</f>
        <v>2010050204100005</v>
      </c>
      <c r="B908">
        <v>40021969</v>
      </c>
      <c r="C908" t="s">
        <v>71</v>
      </c>
      <c r="D908" t="s">
        <v>351</v>
      </c>
      <c r="E908" s="3">
        <v>44754</v>
      </c>
      <c r="F908" s="49">
        <v>1</v>
      </c>
      <c r="G908" s="49">
        <v>229.75</v>
      </c>
      <c r="H908" t="str">
        <f>IFERROR(VLOOKUP(D908,'SKU Maintenance'!L:O,3,0),"BP not found")</f>
        <v>C-UTX003</v>
      </c>
    </row>
    <row r="909" spans="1:8" x14ac:dyDescent="0.25">
      <c r="A909" t="str">
        <f>IFERROR(VLOOKUP(B909&amp; "*",'SKU Maintenance'!D:H,5,0),"not found")</f>
        <v>2010050201100005</v>
      </c>
      <c r="B909">
        <v>40021970</v>
      </c>
      <c r="C909" t="s">
        <v>338</v>
      </c>
      <c r="D909" t="s">
        <v>233</v>
      </c>
      <c r="E909" s="3">
        <v>44768</v>
      </c>
      <c r="F909" s="49">
        <v>1</v>
      </c>
      <c r="G909" s="49">
        <v>129.75</v>
      </c>
      <c r="H909" t="str">
        <f>IFERROR(VLOOKUP(D909,'SKU Maintenance'!L:O,3,0),"BP not found")</f>
        <v>C-UTX002</v>
      </c>
    </row>
    <row r="910" spans="1:8" x14ac:dyDescent="0.25">
      <c r="A910" t="str">
        <f>IFERROR(VLOOKUP(B910&amp; "*",'SKU Maintenance'!D:H,5,0),"not found")</f>
        <v>2010050201100005</v>
      </c>
      <c r="B910">
        <v>40021970</v>
      </c>
      <c r="C910" t="s">
        <v>338</v>
      </c>
      <c r="D910" t="s">
        <v>233</v>
      </c>
      <c r="E910" s="3">
        <v>44773</v>
      </c>
      <c r="F910" s="49">
        <v>1</v>
      </c>
      <c r="G910" s="49">
        <v>129.75</v>
      </c>
      <c r="H910" t="str">
        <f>IFERROR(VLOOKUP(D910,'SKU Maintenance'!L:O,3,0),"BP not found")</f>
        <v>C-UTX002</v>
      </c>
    </row>
    <row r="911" spans="1:8" x14ac:dyDescent="0.25">
      <c r="A911" t="str">
        <f>IFERROR(VLOOKUP(B911&amp; "*",'SKU Maintenance'!D:H,5,0),"not found")</f>
        <v>2010050201100005</v>
      </c>
      <c r="B911">
        <v>40021970</v>
      </c>
      <c r="C911" t="s">
        <v>338</v>
      </c>
      <c r="D911" t="s">
        <v>433</v>
      </c>
      <c r="E911" s="3">
        <v>44743</v>
      </c>
      <c r="F911" s="49">
        <v>1</v>
      </c>
      <c r="G911" s="49">
        <v>129.75</v>
      </c>
      <c r="H911" t="str">
        <f>IFERROR(VLOOKUP(D911,'SKU Maintenance'!L:O,3,0),"BP not found")</f>
        <v>C-UTX004</v>
      </c>
    </row>
    <row r="912" spans="1:8" x14ac:dyDescent="0.25">
      <c r="A912" t="str">
        <f>IFERROR(VLOOKUP(B912&amp; "*",'SKU Maintenance'!D:H,5,0),"not found")</f>
        <v>2010050204040005</v>
      </c>
      <c r="B912">
        <v>40021971</v>
      </c>
      <c r="C912" t="s">
        <v>79</v>
      </c>
      <c r="D912" t="s">
        <v>48</v>
      </c>
      <c r="E912" s="3">
        <v>44745</v>
      </c>
      <c r="F912" s="49">
        <v>1</v>
      </c>
      <c r="G912" s="49">
        <v>229.75</v>
      </c>
      <c r="H912" t="str">
        <f>IFERROR(VLOOKUP(D912,'SKU Maintenance'!L:O,3,0),"BP not found")</f>
        <v>C-UTX001</v>
      </c>
    </row>
    <row r="913" spans="1:8" x14ac:dyDescent="0.25">
      <c r="A913" t="str">
        <f>IFERROR(VLOOKUP(B913&amp; "*",'SKU Maintenance'!D:H,5,0),"not found")</f>
        <v>2010050204040005</v>
      </c>
      <c r="B913">
        <v>40021971</v>
      </c>
      <c r="C913" t="s">
        <v>79</v>
      </c>
      <c r="D913" t="s">
        <v>233</v>
      </c>
      <c r="E913" s="3">
        <v>44764</v>
      </c>
      <c r="F913" s="49">
        <v>1</v>
      </c>
      <c r="G913" s="49">
        <v>229.75</v>
      </c>
      <c r="H913" t="str">
        <f>IFERROR(VLOOKUP(D913,'SKU Maintenance'!L:O,3,0),"BP not found")</f>
        <v>C-UTX002</v>
      </c>
    </row>
    <row r="914" spans="1:8" x14ac:dyDescent="0.25">
      <c r="A914" t="str">
        <f>IFERROR(VLOOKUP(B914&amp; "*",'SKU Maintenance'!D:H,5,0),"not found")</f>
        <v>2010050202040005</v>
      </c>
      <c r="B914">
        <v>40021972</v>
      </c>
      <c r="C914" t="s">
        <v>345</v>
      </c>
      <c r="D914" t="s">
        <v>233</v>
      </c>
      <c r="E914" s="3">
        <v>44771</v>
      </c>
      <c r="F914" s="49">
        <v>1</v>
      </c>
      <c r="G914" s="49">
        <v>149.75</v>
      </c>
      <c r="H914" t="str">
        <f>IFERROR(VLOOKUP(D914,'SKU Maintenance'!L:O,3,0),"BP not found")</f>
        <v>C-UTX002</v>
      </c>
    </row>
    <row r="915" spans="1:8" x14ac:dyDescent="0.25">
      <c r="A915" t="str">
        <f>IFERROR(VLOOKUP(B915&amp; "*",'SKU Maintenance'!D:H,5,0),"not found")</f>
        <v>2010050201040005</v>
      </c>
      <c r="B915">
        <v>40021973</v>
      </c>
      <c r="C915" t="s">
        <v>247</v>
      </c>
      <c r="D915" t="s">
        <v>233</v>
      </c>
      <c r="E915" s="3">
        <v>44745</v>
      </c>
      <c r="F915" s="49">
        <v>1</v>
      </c>
      <c r="G915" s="49">
        <v>129.75</v>
      </c>
      <c r="H915" t="str">
        <f>IFERROR(VLOOKUP(D915,'SKU Maintenance'!L:O,3,0),"BP not found")</f>
        <v>C-UTX002</v>
      </c>
    </row>
    <row r="916" spans="1:8" x14ac:dyDescent="0.25">
      <c r="A916" t="str">
        <f>IFERROR(VLOOKUP(B916&amp; "*",'SKU Maintenance'!D:H,5,0),"not found")</f>
        <v>2010050201040005</v>
      </c>
      <c r="B916">
        <v>40021973</v>
      </c>
      <c r="C916" t="s">
        <v>247</v>
      </c>
      <c r="D916" t="s">
        <v>233</v>
      </c>
      <c r="E916" s="3">
        <v>44747</v>
      </c>
      <c r="F916" s="49">
        <v>1</v>
      </c>
      <c r="G916" s="49">
        <v>129.75</v>
      </c>
      <c r="H916" t="str">
        <f>IFERROR(VLOOKUP(D916,'SKU Maintenance'!L:O,3,0),"BP not found")</f>
        <v>C-UTX002</v>
      </c>
    </row>
    <row r="917" spans="1:8" x14ac:dyDescent="0.25">
      <c r="A917" t="str">
        <f>IFERROR(VLOOKUP(B917&amp; "*",'SKU Maintenance'!D:H,5,0),"not found")</f>
        <v>2010050201040005</v>
      </c>
      <c r="B917">
        <v>40021973</v>
      </c>
      <c r="C917" t="s">
        <v>247</v>
      </c>
      <c r="D917" t="s">
        <v>233</v>
      </c>
      <c r="E917" s="3">
        <v>44758</v>
      </c>
      <c r="F917" s="49">
        <v>1</v>
      </c>
      <c r="G917" s="49">
        <v>129.75</v>
      </c>
      <c r="H917" t="str">
        <f>IFERROR(VLOOKUP(D917,'SKU Maintenance'!L:O,3,0),"BP not found")</f>
        <v>C-UTX002</v>
      </c>
    </row>
    <row r="918" spans="1:8" x14ac:dyDescent="0.25">
      <c r="A918" t="str">
        <f>IFERROR(VLOOKUP(B918&amp; "*",'SKU Maintenance'!D:H,5,0),"not found")</f>
        <v>2010050201040005</v>
      </c>
      <c r="B918">
        <v>40021973</v>
      </c>
      <c r="C918" t="s">
        <v>247</v>
      </c>
      <c r="D918" t="s">
        <v>233</v>
      </c>
      <c r="E918" s="3">
        <v>44768</v>
      </c>
      <c r="F918" s="49">
        <v>1</v>
      </c>
      <c r="G918" s="49">
        <v>129.75</v>
      </c>
      <c r="H918" t="str">
        <f>IFERROR(VLOOKUP(D918,'SKU Maintenance'!L:O,3,0),"BP not found")</f>
        <v>C-UTX002</v>
      </c>
    </row>
    <row r="919" spans="1:8" x14ac:dyDescent="0.25">
      <c r="A919" t="str">
        <f>IFERROR(VLOOKUP(B919&amp; "*",'SKU Maintenance'!D:H,5,0),"not found")</f>
        <v>2010050204020005</v>
      </c>
      <c r="B919">
        <v>40021974</v>
      </c>
      <c r="C919" t="s">
        <v>78</v>
      </c>
      <c r="D919" t="s">
        <v>48</v>
      </c>
      <c r="E919" s="3">
        <v>44745</v>
      </c>
      <c r="F919" s="49">
        <v>1</v>
      </c>
      <c r="G919" s="49">
        <v>229.75</v>
      </c>
      <c r="H919" t="str">
        <f>IFERROR(VLOOKUP(D919,'SKU Maintenance'!L:O,3,0),"BP not found")</f>
        <v>C-UTX001</v>
      </c>
    </row>
    <row r="920" spans="1:8" x14ac:dyDescent="0.25">
      <c r="A920" t="str">
        <f>IFERROR(VLOOKUP(B920&amp; "*",'SKU Maintenance'!D:H,5,0),"not found")</f>
        <v>2010050204020005</v>
      </c>
      <c r="B920">
        <v>40021974</v>
      </c>
      <c r="C920" t="s">
        <v>78</v>
      </c>
      <c r="D920" t="s">
        <v>48</v>
      </c>
      <c r="E920" s="3">
        <v>44751</v>
      </c>
      <c r="F920" s="49">
        <v>1</v>
      </c>
      <c r="G920" s="49">
        <v>229.75</v>
      </c>
      <c r="H920" t="str">
        <f>IFERROR(VLOOKUP(D920,'SKU Maintenance'!L:O,3,0),"BP not found")</f>
        <v>C-UTX001</v>
      </c>
    </row>
    <row r="921" spans="1:8" x14ac:dyDescent="0.25">
      <c r="A921" t="str">
        <f>IFERROR(VLOOKUP(B921&amp; "*",'SKU Maintenance'!D:H,5,0),"not found")</f>
        <v>2010050204020005</v>
      </c>
      <c r="B921">
        <v>40021974</v>
      </c>
      <c r="C921" t="s">
        <v>78</v>
      </c>
      <c r="D921" t="s">
        <v>351</v>
      </c>
      <c r="E921" s="3">
        <v>44755</v>
      </c>
      <c r="F921" s="49">
        <v>1</v>
      </c>
      <c r="G921" s="49">
        <v>229.75</v>
      </c>
      <c r="H921" t="str">
        <f>IFERROR(VLOOKUP(D921,'SKU Maintenance'!L:O,3,0),"BP not found")</f>
        <v>C-UTX003</v>
      </c>
    </row>
    <row r="922" spans="1:8" x14ac:dyDescent="0.25">
      <c r="A922" t="str">
        <f>IFERROR(VLOOKUP(B922&amp; "*",'SKU Maintenance'!D:H,5,0),"not found")</f>
        <v>2010050204020005</v>
      </c>
      <c r="B922">
        <v>40021974</v>
      </c>
      <c r="C922" t="s">
        <v>78</v>
      </c>
      <c r="D922" t="s">
        <v>433</v>
      </c>
      <c r="E922" s="3">
        <v>44751</v>
      </c>
      <c r="F922" s="49">
        <v>1</v>
      </c>
      <c r="G922" s="49">
        <v>229.75</v>
      </c>
      <c r="H922" t="str">
        <f>IFERROR(VLOOKUP(D922,'SKU Maintenance'!L:O,3,0),"BP not found")</f>
        <v>C-UTX004</v>
      </c>
    </row>
    <row r="923" spans="1:8" x14ac:dyDescent="0.25">
      <c r="A923" t="str">
        <f>IFERROR(VLOOKUP(B923&amp; "*",'SKU Maintenance'!D:H,5,0),"not found")</f>
        <v>2010050204020005</v>
      </c>
      <c r="B923">
        <v>40021974</v>
      </c>
      <c r="C923" t="s">
        <v>78</v>
      </c>
      <c r="D923" t="s">
        <v>433</v>
      </c>
      <c r="E923" s="3">
        <v>44758</v>
      </c>
      <c r="F923" s="49">
        <v>1</v>
      </c>
      <c r="G923" s="49">
        <v>229.75</v>
      </c>
      <c r="H923" t="str">
        <f>IFERROR(VLOOKUP(D923,'SKU Maintenance'!L:O,3,0),"BP not found")</f>
        <v>C-UTX004</v>
      </c>
    </row>
    <row r="924" spans="1:8" x14ac:dyDescent="0.25">
      <c r="A924" t="str">
        <f>IFERROR(VLOOKUP(B924&amp; "*",'SKU Maintenance'!D:H,5,0),"not found")</f>
        <v>2010050202020005</v>
      </c>
      <c r="B924">
        <v>40021975</v>
      </c>
      <c r="C924" t="s">
        <v>259</v>
      </c>
      <c r="D924" t="s">
        <v>233</v>
      </c>
      <c r="E924" s="3">
        <v>44747</v>
      </c>
      <c r="F924" s="49">
        <v>1</v>
      </c>
      <c r="G924" s="49">
        <v>149.75</v>
      </c>
      <c r="H924" t="str">
        <f>IFERROR(VLOOKUP(D924,'SKU Maintenance'!L:O,3,0),"BP not found")</f>
        <v>C-UTX002</v>
      </c>
    </row>
    <row r="925" spans="1:8" x14ac:dyDescent="0.25">
      <c r="A925" t="str">
        <f>IFERROR(VLOOKUP(B925&amp; "*",'SKU Maintenance'!D:H,5,0),"not found")</f>
        <v>2010050202020005</v>
      </c>
      <c r="B925">
        <v>40021975</v>
      </c>
      <c r="C925" t="s">
        <v>259</v>
      </c>
      <c r="D925" t="s">
        <v>233</v>
      </c>
      <c r="E925" s="3">
        <v>44773</v>
      </c>
      <c r="F925" s="49">
        <v>2</v>
      </c>
      <c r="G925" s="49">
        <v>299.5</v>
      </c>
      <c r="H925" t="str">
        <f>IFERROR(VLOOKUP(D925,'SKU Maintenance'!L:O,3,0),"BP not found")</f>
        <v>C-UTX002</v>
      </c>
    </row>
    <row r="926" spans="1:8" x14ac:dyDescent="0.25">
      <c r="A926" t="str">
        <f>IFERROR(VLOOKUP(B926&amp; "*",'SKU Maintenance'!D:H,5,0),"not found")</f>
        <v>2010050201020005</v>
      </c>
      <c r="B926">
        <v>40021976</v>
      </c>
      <c r="C926" t="s">
        <v>186</v>
      </c>
      <c r="D926" t="s">
        <v>48</v>
      </c>
      <c r="E926" s="3">
        <v>44765</v>
      </c>
      <c r="F926" s="49">
        <v>1</v>
      </c>
      <c r="G926" s="49">
        <v>129.75</v>
      </c>
      <c r="H926" t="str">
        <f>IFERROR(VLOOKUP(D926,'SKU Maintenance'!L:O,3,0),"BP not found")</f>
        <v>C-UTX001</v>
      </c>
    </row>
    <row r="927" spans="1:8" x14ac:dyDescent="0.25">
      <c r="A927" t="str">
        <f>IFERROR(VLOOKUP(B927&amp; "*",'SKU Maintenance'!D:H,5,0),"not found")</f>
        <v>2010050201020005</v>
      </c>
      <c r="B927">
        <v>40021976</v>
      </c>
      <c r="C927" t="s">
        <v>186</v>
      </c>
      <c r="D927" t="s">
        <v>233</v>
      </c>
      <c r="E927" s="3">
        <v>44745</v>
      </c>
      <c r="F927" s="49">
        <v>1</v>
      </c>
      <c r="G927" s="49">
        <v>129.75</v>
      </c>
      <c r="H927" t="str">
        <f>IFERROR(VLOOKUP(D927,'SKU Maintenance'!L:O,3,0),"BP not found")</f>
        <v>C-UTX002</v>
      </c>
    </row>
    <row r="928" spans="1:8" x14ac:dyDescent="0.25">
      <c r="A928" t="str">
        <f>IFERROR(VLOOKUP(B928&amp; "*",'SKU Maintenance'!D:H,5,0),"not found")</f>
        <v>2010050201020005</v>
      </c>
      <c r="B928">
        <v>40021976</v>
      </c>
      <c r="C928" t="s">
        <v>186</v>
      </c>
      <c r="D928" t="s">
        <v>233</v>
      </c>
      <c r="E928" s="3">
        <v>44752</v>
      </c>
      <c r="F928" s="49">
        <v>1</v>
      </c>
      <c r="G928" s="49">
        <v>129.75</v>
      </c>
      <c r="H928" t="str">
        <f>IFERROR(VLOOKUP(D928,'SKU Maintenance'!L:O,3,0),"BP not found")</f>
        <v>C-UTX002</v>
      </c>
    </row>
    <row r="929" spans="1:8" x14ac:dyDescent="0.25">
      <c r="A929" t="str">
        <f>IFERROR(VLOOKUP(B929&amp; "*",'SKU Maintenance'!D:H,5,0),"not found")</f>
        <v>2010050201020005</v>
      </c>
      <c r="B929">
        <v>40021976</v>
      </c>
      <c r="C929" t="s">
        <v>186</v>
      </c>
      <c r="D929" t="s">
        <v>233</v>
      </c>
      <c r="E929" s="3">
        <v>44768</v>
      </c>
      <c r="F929" s="49">
        <v>1</v>
      </c>
      <c r="G929" s="49">
        <v>129.75</v>
      </c>
      <c r="H929" t="str">
        <f>IFERROR(VLOOKUP(D929,'SKU Maintenance'!L:O,3,0),"BP not found")</f>
        <v>C-UTX002</v>
      </c>
    </row>
    <row r="930" spans="1:8" x14ac:dyDescent="0.25">
      <c r="A930" t="str">
        <f>IFERROR(VLOOKUP(B930&amp; "*",'SKU Maintenance'!D:H,5,0),"not found")</f>
        <v>2010050201020005</v>
      </c>
      <c r="B930">
        <v>40021976</v>
      </c>
      <c r="C930" t="s">
        <v>186</v>
      </c>
      <c r="D930" t="s">
        <v>351</v>
      </c>
      <c r="E930" s="3">
        <v>44771</v>
      </c>
      <c r="F930" s="49">
        <v>2</v>
      </c>
      <c r="G930" s="49">
        <v>259.5</v>
      </c>
      <c r="H930" t="str">
        <f>IFERROR(VLOOKUP(D930,'SKU Maintenance'!L:O,3,0),"BP not found")</f>
        <v>C-UTX003</v>
      </c>
    </row>
    <row r="931" spans="1:8" x14ac:dyDescent="0.25">
      <c r="A931" t="str">
        <f>IFERROR(VLOOKUP(B931&amp; "*",'SKU Maintenance'!D:H,5,0),"not found")</f>
        <v>2010050201020005</v>
      </c>
      <c r="B931">
        <v>40021976</v>
      </c>
      <c r="C931" t="s">
        <v>186</v>
      </c>
      <c r="D931" t="s">
        <v>433</v>
      </c>
      <c r="E931" s="3">
        <v>44757</v>
      </c>
      <c r="F931" s="49">
        <v>1</v>
      </c>
      <c r="G931" s="49">
        <v>129.75</v>
      </c>
      <c r="H931" t="str">
        <f>IFERROR(VLOOKUP(D931,'SKU Maintenance'!L:O,3,0),"BP not found")</f>
        <v>C-UTX004</v>
      </c>
    </row>
  </sheetData>
  <autoFilter ref="A3:H931"/>
  <pageMargins left="0.7" right="0.7" top="0.75" bottom="0.75" header="0.3" footer="0.3"/>
  <pageSetup paperSize="256" orientation="portrait" horizontalDpi="203" verticalDpi="203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70"/>
  <sheetViews>
    <sheetView topLeftCell="B1" workbookViewId="0">
      <selection activeCell="M1" sqref="M1:N1048576"/>
    </sheetView>
  </sheetViews>
  <sheetFormatPr defaultRowHeight="15" x14ac:dyDescent="0.25"/>
  <cols>
    <col min="1" max="1" width="23.85546875" style="49" customWidth="1"/>
    <col min="2" max="2" width="17.28515625" bestFit="1" customWidth="1"/>
    <col min="3" max="3" width="80.7109375" bestFit="1" customWidth="1"/>
    <col min="4" max="4" width="9.7109375" bestFit="1" customWidth="1"/>
    <col min="5" max="5" width="13.140625" bestFit="1" customWidth="1"/>
    <col min="7" max="7" width="21" bestFit="1" customWidth="1"/>
    <col min="8" max="8" width="17.28515625" bestFit="1" customWidth="1"/>
    <col min="13" max="13" width="16.7109375" style="49" customWidth="1"/>
    <col min="14" max="14" width="15.28515625" style="49" customWidth="1"/>
    <col min="15" max="15" width="23.85546875" customWidth="1"/>
  </cols>
  <sheetData>
    <row r="1" spans="1:15" x14ac:dyDescent="0.25">
      <c r="A1" s="49" t="s">
        <v>476</v>
      </c>
      <c r="B1" t="s">
        <v>477</v>
      </c>
      <c r="C1" t="s">
        <v>478</v>
      </c>
      <c r="D1" t="s">
        <v>476</v>
      </c>
      <c r="E1" t="s">
        <v>479</v>
      </c>
      <c r="F1" t="s">
        <v>480</v>
      </c>
      <c r="G1" t="s">
        <v>481</v>
      </c>
      <c r="H1" t="s">
        <v>477</v>
      </c>
      <c r="M1" s="49" t="s">
        <v>30</v>
      </c>
      <c r="N1" s="49" t="s">
        <v>6936</v>
      </c>
      <c r="O1" t="s">
        <v>6937</v>
      </c>
    </row>
    <row r="2" spans="1:15" x14ac:dyDescent="0.25">
      <c r="B2" t="s">
        <v>482</v>
      </c>
      <c r="C2" t="s">
        <v>483</v>
      </c>
      <c r="D2" t="s">
        <v>484</v>
      </c>
      <c r="E2" t="s">
        <v>484</v>
      </c>
      <c r="H2" t="s">
        <v>482</v>
      </c>
      <c r="L2" t="s">
        <v>48</v>
      </c>
      <c r="M2" s="49" t="s">
        <v>6938</v>
      </c>
      <c r="N2" s="49" t="s">
        <v>6939</v>
      </c>
      <c r="O2" t="s">
        <v>6940</v>
      </c>
    </row>
    <row r="3" spans="1:15" x14ac:dyDescent="0.25">
      <c r="B3" t="s">
        <v>485</v>
      </c>
      <c r="C3" t="s">
        <v>483</v>
      </c>
      <c r="D3" t="s">
        <v>486</v>
      </c>
      <c r="E3" t="s">
        <v>486</v>
      </c>
      <c r="H3" t="s">
        <v>485</v>
      </c>
      <c r="L3" t="s">
        <v>233</v>
      </c>
      <c r="N3" s="49" t="s">
        <v>6941</v>
      </c>
      <c r="O3" t="s">
        <v>6942</v>
      </c>
    </row>
    <row r="4" spans="1:15" x14ac:dyDescent="0.25">
      <c r="B4" t="s">
        <v>487</v>
      </c>
      <c r="C4" t="s">
        <v>483</v>
      </c>
      <c r="D4" t="s">
        <v>488</v>
      </c>
      <c r="E4" t="s">
        <v>488</v>
      </c>
      <c r="H4" t="s">
        <v>487</v>
      </c>
      <c r="L4" t="s">
        <v>351</v>
      </c>
      <c r="N4" s="49" t="s">
        <v>6943</v>
      </c>
      <c r="O4" t="s">
        <v>6944</v>
      </c>
    </row>
    <row r="5" spans="1:15" x14ac:dyDescent="0.25">
      <c r="B5" t="s">
        <v>489</v>
      </c>
      <c r="C5" t="s">
        <v>490</v>
      </c>
      <c r="D5" t="s">
        <v>491</v>
      </c>
      <c r="E5" t="s">
        <v>491</v>
      </c>
      <c r="H5" t="s">
        <v>489</v>
      </c>
      <c r="L5" t="s">
        <v>433</v>
      </c>
      <c r="N5" s="49" t="s">
        <v>6945</v>
      </c>
      <c r="O5" t="s">
        <v>6946</v>
      </c>
    </row>
    <row r="6" spans="1:15" x14ac:dyDescent="0.25">
      <c r="B6" t="s">
        <v>492</v>
      </c>
      <c r="C6" t="s">
        <v>490</v>
      </c>
      <c r="D6" t="s">
        <v>493</v>
      </c>
      <c r="E6" t="s">
        <v>493</v>
      </c>
      <c r="H6" t="s">
        <v>492</v>
      </c>
    </row>
    <row r="7" spans="1:15" x14ac:dyDescent="0.25">
      <c r="B7" t="s">
        <v>494</v>
      </c>
      <c r="C7" t="s">
        <v>490</v>
      </c>
      <c r="D7" t="s">
        <v>495</v>
      </c>
      <c r="E7" t="s">
        <v>495</v>
      </c>
      <c r="H7" t="s">
        <v>494</v>
      </c>
    </row>
    <row r="8" spans="1:15" x14ac:dyDescent="0.25">
      <c r="B8" t="s">
        <v>496</v>
      </c>
      <c r="C8" t="s">
        <v>497</v>
      </c>
      <c r="D8" t="s">
        <v>498</v>
      </c>
      <c r="E8" t="s">
        <v>498</v>
      </c>
      <c r="H8" t="s">
        <v>496</v>
      </c>
    </row>
    <row r="9" spans="1:15" x14ac:dyDescent="0.25">
      <c r="B9" t="s">
        <v>499</v>
      </c>
      <c r="C9" t="s">
        <v>497</v>
      </c>
      <c r="D9" t="s">
        <v>500</v>
      </c>
      <c r="E9" t="s">
        <v>500</v>
      </c>
      <c r="H9" t="s">
        <v>499</v>
      </c>
    </row>
    <row r="10" spans="1:15" x14ac:dyDescent="0.25">
      <c r="B10" t="s">
        <v>501</v>
      </c>
      <c r="C10" t="s">
        <v>497</v>
      </c>
      <c r="D10" t="s">
        <v>502</v>
      </c>
      <c r="E10" t="s">
        <v>502</v>
      </c>
      <c r="H10" t="s">
        <v>501</v>
      </c>
    </row>
    <row r="11" spans="1:15" x14ac:dyDescent="0.25">
      <c r="B11" t="s">
        <v>503</v>
      </c>
      <c r="C11" t="s">
        <v>504</v>
      </c>
      <c r="D11" t="s">
        <v>505</v>
      </c>
      <c r="E11" t="s">
        <v>505</v>
      </c>
      <c r="H11" t="s">
        <v>503</v>
      </c>
    </row>
    <row r="12" spans="1:15" x14ac:dyDescent="0.25">
      <c r="B12" t="s">
        <v>506</v>
      </c>
      <c r="C12" t="s">
        <v>504</v>
      </c>
      <c r="D12" t="s">
        <v>507</v>
      </c>
      <c r="E12" t="s">
        <v>507</v>
      </c>
      <c r="H12" t="s">
        <v>506</v>
      </c>
    </row>
    <row r="13" spans="1:15" x14ac:dyDescent="0.25">
      <c r="B13" t="s">
        <v>508</v>
      </c>
      <c r="C13" t="s">
        <v>504</v>
      </c>
      <c r="D13" t="s">
        <v>509</v>
      </c>
      <c r="E13" t="s">
        <v>509</v>
      </c>
      <c r="H13" t="s">
        <v>508</v>
      </c>
    </row>
    <row r="14" spans="1:15" x14ac:dyDescent="0.25">
      <c r="B14" t="s">
        <v>510</v>
      </c>
      <c r="C14" t="s">
        <v>511</v>
      </c>
      <c r="D14" t="s">
        <v>512</v>
      </c>
      <c r="E14" t="s">
        <v>512</v>
      </c>
      <c r="H14" t="s">
        <v>510</v>
      </c>
    </row>
    <row r="15" spans="1:15" x14ac:dyDescent="0.25">
      <c r="B15" t="s">
        <v>513</v>
      </c>
      <c r="C15" t="s">
        <v>511</v>
      </c>
      <c r="D15" t="s">
        <v>514</v>
      </c>
      <c r="E15" t="s">
        <v>514</v>
      </c>
      <c r="H15" t="s">
        <v>513</v>
      </c>
    </row>
    <row r="16" spans="1:15" x14ac:dyDescent="0.25">
      <c r="B16" t="s">
        <v>515</v>
      </c>
      <c r="C16" t="s">
        <v>516</v>
      </c>
      <c r="D16" t="s">
        <v>517</v>
      </c>
      <c r="E16" t="s">
        <v>517</v>
      </c>
      <c r="H16" t="s">
        <v>515</v>
      </c>
    </row>
    <row r="17" spans="2:8" x14ac:dyDescent="0.25">
      <c r="B17" t="s">
        <v>518</v>
      </c>
      <c r="C17" t="s">
        <v>516</v>
      </c>
      <c r="D17" t="s">
        <v>519</v>
      </c>
      <c r="E17" t="s">
        <v>519</v>
      </c>
      <c r="H17" t="s">
        <v>518</v>
      </c>
    </row>
    <row r="18" spans="2:8" x14ac:dyDescent="0.25">
      <c r="B18" t="s">
        <v>520</v>
      </c>
      <c r="C18" t="s">
        <v>521</v>
      </c>
      <c r="D18" t="s">
        <v>522</v>
      </c>
      <c r="E18" t="s">
        <v>522</v>
      </c>
      <c r="H18" t="s">
        <v>520</v>
      </c>
    </row>
    <row r="19" spans="2:8" x14ac:dyDescent="0.25">
      <c r="B19" t="s">
        <v>523</v>
      </c>
      <c r="C19" t="s">
        <v>521</v>
      </c>
      <c r="D19" t="s">
        <v>524</v>
      </c>
      <c r="E19" t="s">
        <v>524</v>
      </c>
      <c r="H19" t="s">
        <v>523</v>
      </c>
    </row>
    <row r="20" spans="2:8" x14ac:dyDescent="0.25">
      <c r="B20" t="s">
        <v>525</v>
      </c>
      <c r="C20" t="s">
        <v>526</v>
      </c>
      <c r="D20" t="s">
        <v>527</v>
      </c>
      <c r="E20" t="s">
        <v>527</v>
      </c>
      <c r="H20" t="s">
        <v>525</v>
      </c>
    </row>
    <row r="21" spans="2:8" x14ac:dyDescent="0.25">
      <c r="B21" t="s">
        <v>528</v>
      </c>
      <c r="C21" t="s">
        <v>526</v>
      </c>
      <c r="D21" t="s">
        <v>529</v>
      </c>
      <c r="E21" t="s">
        <v>529</v>
      </c>
      <c r="H21" t="s">
        <v>528</v>
      </c>
    </row>
    <row r="22" spans="2:8" x14ac:dyDescent="0.25">
      <c r="B22" t="s">
        <v>530</v>
      </c>
      <c r="C22" t="s">
        <v>526</v>
      </c>
      <c r="D22" t="s">
        <v>531</v>
      </c>
      <c r="E22" t="s">
        <v>531</v>
      </c>
      <c r="H22" t="s">
        <v>530</v>
      </c>
    </row>
    <row r="23" spans="2:8" x14ac:dyDescent="0.25">
      <c r="B23" t="s">
        <v>532</v>
      </c>
      <c r="C23" t="s">
        <v>533</v>
      </c>
      <c r="D23" t="s">
        <v>534</v>
      </c>
      <c r="E23" t="s">
        <v>534</v>
      </c>
      <c r="H23" t="s">
        <v>532</v>
      </c>
    </row>
    <row r="24" spans="2:8" x14ac:dyDescent="0.25">
      <c r="B24" t="s">
        <v>535</v>
      </c>
      <c r="C24" t="s">
        <v>533</v>
      </c>
      <c r="D24" t="s">
        <v>536</v>
      </c>
      <c r="E24" t="s">
        <v>536</v>
      </c>
      <c r="H24" t="s">
        <v>535</v>
      </c>
    </row>
    <row r="25" spans="2:8" x14ac:dyDescent="0.25">
      <c r="B25" t="s">
        <v>537</v>
      </c>
      <c r="C25" t="s">
        <v>533</v>
      </c>
      <c r="D25" t="s">
        <v>538</v>
      </c>
      <c r="E25" t="s">
        <v>538</v>
      </c>
      <c r="H25" t="s">
        <v>537</v>
      </c>
    </row>
    <row r="26" spans="2:8" x14ac:dyDescent="0.25">
      <c r="B26" t="s">
        <v>539</v>
      </c>
      <c r="C26" t="s">
        <v>540</v>
      </c>
      <c r="D26" t="s">
        <v>541</v>
      </c>
      <c r="E26" t="s">
        <v>541</v>
      </c>
      <c r="H26" t="s">
        <v>539</v>
      </c>
    </row>
    <row r="27" spans="2:8" x14ac:dyDescent="0.25">
      <c r="B27" t="s">
        <v>542</v>
      </c>
      <c r="C27" t="s">
        <v>540</v>
      </c>
      <c r="D27" t="s">
        <v>543</v>
      </c>
      <c r="E27" t="s">
        <v>543</v>
      </c>
      <c r="H27" t="s">
        <v>542</v>
      </c>
    </row>
    <row r="28" spans="2:8" x14ac:dyDescent="0.25">
      <c r="B28" t="s">
        <v>544</v>
      </c>
      <c r="C28" t="s">
        <v>540</v>
      </c>
      <c r="D28" t="s">
        <v>545</v>
      </c>
      <c r="E28" t="s">
        <v>545</v>
      </c>
      <c r="H28" t="s">
        <v>544</v>
      </c>
    </row>
    <row r="29" spans="2:8" x14ac:dyDescent="0.25">
      <c r="B29" t="s">
        <v>546</v>
      </c>
      <c r="C29" t="s">
        <v>547</v>
      </c>
      <c r="D29" t="s">
        <v>548</v>
      </c>
      <c r="E29" t="s">
        <v>548</v>
      </c>
      <c r="H29" t="s">
        <v>546</v>
      </c>
    </row>
    <row r="30" spans="2:8" x14ac:dyDescent="0.25">
      <c r="B30" t="s">
        <v>549</v>
      </c>
      <c r="C30" t="s">
        <v>547</v>
      </c>
      <c r="D30" t="s">
        <v>550</v>
      </c>
      <c r="E30" t="s">
        <v>550</v>
      </c>
      <c r="H30" t="s">
        <v>549</v>
      </c>
    </row>
    <row r="31" spans="2:8" x14ac:dyDescent="0.25">
      <c r="B31" t="s">
        <v>551</v>
      </c>
      <c r="C31" t="s">
        <v>547</v>
      </c>
      <c r="D31" t="s">
        <v>552</v>
      </c>
      <c r="E31" t="s">
        <v>552</v>
      </c>
      <c r="H31" t="s">
        <v>551</v>
      </c>
    </row>
    <row r="32" spans="2:8" x14ac:dyDescent="0.25">
      <c r="B32" t="s">
        <v>553</v>
      </c>
      <c r="C32" t="s">
        <v>554</v>
      </c>
      <c r="D32" t="s">
        <v>555</v>
      </c>
      <c r="E32" t="s">
        <v>555</v>
      </c>
      <c r="H32" t="s">
        <v>553</v>
      </c>
    </row>
    <row r="33" spans="2:8" x14ac:dyDescent="0.25">
      <c r="B33" t="s">
        <v>556</v>
      </c>
      <c r="C33" t="s">
        <v>554</v>
      </c>
      <c r="D33" t="s">
        <v>557</v>
      </c>
      <c r="E33" t="s">
        <v>557</v>
      </c>
      <c r="H33" t="s">
        <v>556</v>
      </c>
    </row>
    <row r="34" spans="2:8" x14ac:dyDescent="0.25">
      <c r="B34" t="s">
        <v>558</v>
      </c>
      <c r="C34" t="s">
        <v>559</v>
      </c>
      <c r="D34" t="s">
        <v>560</v>
      </c>
      <c r="E34" t="s">
        <v>560</v>
      </c>
      <c r="H34" t="s">
        <v>558</v>
      </c>
    </row>
    <row r="35" spans="2:8" x14ac:dyDescent="0.25">
      <c r="B35" t="s">
        <v>561</v>
      </c>
      <c r="C35" t="s">
        <v>559</v>
      </c>
      <c r="D35" t="s">
        <v>562</v>
      </c>
      <c r="E35" t="s">
        <v>562</v>
      </c>
      <c r="H35" t="s">
        <v>561</v>
      </c>
    </row>
    <row r="36" spans="2:8" x14ac:dyDescent="0.25">
      <c r="B36" t="s">
        <v>563</v>
      </c>
      <c r="C36" t="s">
        <v>564</v>
      </c>
      <c r="D36" t="s">
        <v>565</v>
      </c>
      <c r="E36" t="s">
        <v>565</v>
      </c>
      <c r="H36" t="s">
        <v>563</v>
      </c>
    </row>
    <row r="37" spans="2:8" x14ac:dyDescent="0.25">
      <c r="B37" t="s">
        <v>566</v>
      </c>
      <c r="C37" t="s">
        <v>567</v>
      </c>
      <c r="D37" t="s">
        <v>568</v>
      </c>
      <c r="E37" t="s">
        <v>568</v>
      </c>
      <c r="H37" t="s">
        <v>566</v>
      </c>
    </row>
    <row r="38" spans="2:8" x14ac:dyDescent="0.25">
      <c r="B38" t="s">
        <v>569</v>
      </c>
      <c r="C38" t="s">
        <v>567</v>
      </c>
      <c r="D38" t="s">
        <v>570</v>
      </c>
      <c r="E38" t="s">
        <v>570</v>
      </c>
      <c r="H38" t="s">
        <v>569</v>
      </c>
    </row>
    <row r="39" spans="2:8" x14ac:dyDescent="0.25">
      <c r="B39" t="s">
        <v>571</v>
      </c>
      <c r="C39" t="s">
        <v>572</v>
      </c>
      <c r="D39" t="s">
        <v>573</v>
      </c>
      <c r="E39" t="s">
        <v>573</v>
      </c>
      <c r="H39" t="s">
        <v>571</v>
      </c>
    </row>
    <row r="40" spans="2:8" x14ac:dyDescent="0.25">
      <c r="B40" t="s">
        <v>574</v>
      </c>
      <c r="C40" t="s">
        <v>575</v>
      </c>
      <c r="D40" t="s">
        <v>576</v>
      </c>
      <c r="E40" t="s">
        <v>576</v>
      </c>
      <c r="H40" t="s">
        <v>574</v>
      </c>
    </row>
    <row r="41" spans="2:8" x14ac:dyDescent="0.25">
      <c r="B41" t="s">
        <v>577</v>
      </c>
      <c r="C41" t="s">
        <v>578</v>
      </c>
      <c r="D41" t="s">
        <v>579</v>
      </c>
      <c r="E41" t="s">
        <v>579</v>
      </c>
      <c r="H41" t="s">
        <v>577</v>
      </c>
    </row>
    <row r="42" spans="2:8" x14ac:dyDescent="0.25">
      <c r="B42" t="s">
        <v>580</v>
      </c>
      <c r="C42" t="s">
        <v>578</v>
      </c>
      <c r="D42" t="s">
        <v>581</v>
      </c>
      <c r="E42" t="s">
        <v>581</v>
      </c>
      <c r="H42" t="s">
        <v>580</v>
      </c>
    </row>
    <row r="43" spans="2:8" x14ac:dyDescent="0.25">
      <c r="B43" t="s">
        <v>582</v>
      </c>
      <c r="C43" t="s">
        <v>583</v>
      </c>
      <c r="D43" t="s">
        <v>584</v>
      </c>
      <c r="E43" t="s">
        <v>584</v>
      </c>
      <c r="H43" t="s">
        <v>582</v>
      </c>
    </row>
    <row r="44" spans="2:8" x14ac:dyDescent="0.25">
      <c r="B44" t="s">
        <v>585</v>
      </c>
      <c r="C44" t="s">
        <v>586</v>
      </c>
      <c r="D44" t="s">
        <v>587</v>
      </c>
      <c r="E44" t="s">
        <v>587</v>
      </c>
      <c r="H44" t="s">
        <v>585</v>
      </c>
    </row>
    <row r="45" spans="2:8" x14ac:dyDescent="0.25">
      <c r="B45" t="s">
        <v>588</v>
      </c>
      <c r="C45" t="s">
        <v>589</v>
      </c>
      <c r="D45" t="s">
        <v>590</v>
      </c>
      <c r="E45" t="s">
        <v>590</v>
      </c>
      <c r="H45" t="s">
        <v>588</v>
      </c>
    </row>
    <row r="46" spans="2:8" x14ac:dyDescent="0.25">
      <c r="B46" t="s">
        <v>591</v>
      </c>
      <c r="C46" t="s">
        <v>592</v>
      </c>
      <c r="D46" t="s">
        <v>593</v>
      </c>
      <c r="E46" t="s">
        <v>593</v>
      </c>
      <c r="H46" t="s">
        <v>591</v>
      </c>
    </row>
    <row r="47" spans="2:8" x14ac:dyDescent="0.25">
      <c r="B47" t="s">
        <v>594</v>
      </c>
      <c r="C47" t="s">
        <v>595</v>
      </c>
      <c r="D47" t="s">
        <v>596</v>
      </c>
      <c r="E47" t="s">
        <v>596</v>
      </c>
      <c r="H47" t="s">
        <v>594</v>
      </c>
    </row>
    <row r="48" spans="2:8" x14ac:dyDescent="0.25">
      <c r="B48" t="s">
        <v>597</v>
      </c>
      <c r="C48" t="s">
        <v>598</v>
      </c>
      <c r="D48" t="s">
        <v>599</v>
      </c>
      <c r="E48" t="s">
        <v>599</v>
      </c>
      <c r="H48" t="s">
        <v>597</v>
      </c>
    </row>
    <row r="49" spans="2:8" x14ac:dyDescent="0.25">
      <c r="B49" t="s">
        <v>600</v>
      </c>
      <c r="C49" t="s">
        <v>601</v>
      </c>
      <c r="D49" t="s">
        <v>602</v>
      </c>
      <c r="E49" t="s">
        <v>602</v>
      </c>
      <c r="H49" t="s">
        <v>600</v>
      </c>
    </row>
    <row r="50" spans="2:8" x14ac:dyDescent="0.25">
      <c r="B50" t="s">
        <v>603</v>
      </c>
      <c r="C50" t="s">
        <v>604</v>
      </c>
      <c r="D50" t="s">
        <v>605</v>
      </c>
      <c r="E50" t="s">
        <v>605</v>
      </c>
      <c r="H50" t="s">
        <v>603</v>
      </c>
    </row>
    <row r="51" spans="2:8" x14ac:dyDescent="0.25">
      <c r="B51" t="s">
        <v>606</v>
      </c>
      <c r="C51" t="s">
        <v>607</v>
      </c>
      <c r="D51" t="s">
        <v>608</v>
      </c>
      <c r="E51" t="s">
        <v>608</v>
      </c>
      <c r="H51" t="s">
        <v>606</v>
      </c>
    </row>
    <row r="52" spans="2:8" x14ac:dyDescent="0.25">
      <c r="B52" t="s">
        <v>609</v>
      </c>
      <c r="C52" t="s">
        <v>604</v>
      </c>
      <c r="D52" t="s">
        <v>610</v>
      </c>
      <c r="E52" t="s">
        <v>610</v>
      </c>
      <c r="H52" t="s">
        <v>609</v>
      </c>
    </row>
    <row r="53" spans="2:8" x14ac:dyDescent="0.25">
      <c r="B53" t="s">
        <v>611</v>
      </c>
      <c r="C53" t="s">
        <v>607</v>
      </c>
      <c r="D53" t="s">
        <v>612</v>
      </c>
      <c r="E53" t="s">
        <v>612</v>
      </c>
      <c r="H53" t="s">
        <v>611</v>
      </c>
    </row>
    <row r="54" spans="2:8" x14ac:dyDescent="0.25">
      <c r="B54" t="s">
        <v>613</v>
      </c>
      <c r="C54" t="s">
        <v>614</v>
      </c>
      <c r="D54" t="s">
        <v>615</v>
      </c>
      <c r="E54" t="s">
        <v>615</v>
      </c>
      <c r="H54" t="s">
        <v>613</v>
      </c>
    </row>
    <row r="55" spans="2:8" x14ac:dyDescent="0.25">
      <c r="B55" t="s">
        <v>616</v>
      </c>
      <c r="C55" t="s">
        <v>614</v>
      </c>
      <c r="D55" t="s">
        <v>617</v>
      </c>
      <c r="E55" t="s">
        <v>617</v>
      </c>
      <c r="H55" t="s">
        <v>616</v>
      </c>
    </row>
    <row r="56" spans="2:8" x14ac:dyDescent="0.25">
      <c r="B56" t="s">
        <v>618</v>
      </c>
      <c r="C56" t="s">
        <v>619</v>
      </c>
      <c r="D56" t="s">
        <v>620</v>
      </c>
      <c r="E56" t="s">
        <v>620</v>
      </c>
      <c r="H56" t="s">
        <v>618</v>
      </c>
    </row>
    <row r="57" spans="2:8" x14ac:dyDescent="0.25">
      <c r="B57" t="s">
        <v>621</v>
      </c>
      <c r="C57" t="s">
        <v>619</v>
      </c>
      <c r="D57" t="s">
        <v>622</v>
      </c>
      <c r="E57" t="s">
        <v>622</v>
      </c>
      <c r="H57" t="s">
        <v>621</v>
      </c>
    </row>
    <row r="58" spans="2:8" x14ac:dyDescent="0.25">
      <c r="B58" t="s">
        <v>623</v>
      </c>
      <c r="C58" t="s">
        <v>624</v>
      </c>
      <c r="D58" t="s">
        <v>625</v>
      </c>
      <c r="E58" t="s">
        <v>625</v>
      </c>
      <c r="H58" t="s">
        <v>623</v>
      </c>
    </row>
    <row r="59" spans="2:8" x14ac:dyDescent="0.25">
      <c r="B59" t="s">
        <v>626</v>
      </c>
      <c r="C59" t="s">
        <v>624</v>
      </c>
      <c r="D59" t="s">
        <v>627</v>
      </c>
      <c r="E59" t="s">
        <v>627</v>
      </c>
      <c r="H59" t="s">
        <v>626</v>
      </c>
    </row>
    <row r="60" spans="2:8" x14ac:dyDescent="0.25">
      <c r="B60" t="s">
        <v>628</v>
      </c>
      <c r="C60" t="s">
        <v>624</v>
      </c>
      <c r="D60" t="s">
        <v>629</v>
      </c>
      <c r="E60" t="s">
        <v>629</v>
      </c>
      <c r="H60" t="s">
        <v>628</v>
      </c>
    </row>
    <row r="61" spans="2:8" x14ac:dyDescent="0.25">
      <c r="B61" t="s">
        <v>630</v>
      </c>
      <c r="C61" t="s">
        <v>624</v>
      </c>
      <c r="D61" t="s">
        <v>631</v>
      </c>
      <c r="E61" t="s">
        <v>631</v>
      </c>
      <c r="H61" t="s">
        <v>630</v>
      </c>
    </row>
    <row r="62" spans="2:8" x14ac:dyDescent="0.25">
      <c r="B62" t="s">
        <v>632</v>
      </c>
      <c r="C62" t="s">
        <v>624</v>
      </c>
      <c r="D62" t="s">
        <v>633</v>
      </c>
      <c r="E62" t="s">
        <v>633</v>
      </c>
      <c r="H62" t="s">
        <v>632</v>
      </c>
    </row>
    <row r="63" spans="2:8" x14ac:dyDescent="0.25">
      <c r="B63" t="s">
        <v>634</v>
      </c>
      <c r="C63" t="s">
        <v>624</v>
      </c>
      <c r="D63" t="s">
        <v>635</v>
      </c>
      <c r="E63" t="s">
        <v>635</v>
      </c>
      <c r="H63" t="s">
        <v>634</v>
      </c>
    </row>
    <row r="64" spans="2:8" x14ac:dyDescent="0.25">
      <c r="B64" t="s">
        <v>636</v>
      </c>
      <c r="C64" t="s">
        <v>637</v>
      </c>
      <c r="D64" t="s">
        <v>638</v>
      </c>
      <c r="E64" t="s">
        <v>638</v>
      </c>
      <c r="H64" t="s">
        <v>636</v>
      </c>
    </row>
    <row r="65" spans="2:8" x14ac:dyDescent="0.25">
      <c r="B65" t="s">
        <v>639</v>
      </c>
      <c r="C65" t="s">
        <v>637</v>
      </c>
      <c r="D65" t="s">
        <v>640</v>
      </c>
      <c r="E65" t="s">
        <v>640</v>
      </c>
      <c r="H65" t="s">
        <v>639</v>
      </c>
    </row>
    <row r="66" spans="2:8" x14ac:dyDescent="0.25">
      <c r="B66" t="s">
        <v>641</v>
      </c>
      <c r="C66" t="s">
        <v>637</v>
      </c>
      <c r="D66" t="s">
        <v>642</v>
      </c>
      <c r="E66" t="s">
        <v>642</v>
      </c>
      <c r="H66" t="s">
        <v>641</v>
      </c>
    </row>
    <row r="67" spans="2:8" x14ac:dyDescent="0.25">
      <c r="B67" t="s">
        <v>643</v>
      </c>
      <c r="C67" t="s">
        <v>637</v>
      </c>
      <c r="D67" t="s">
        <v>644</v>
      </c>
      <c r="E67" t="s">
        <v>644</v>
      </c>
      <c r="H67" t="s">
        <v>643</v>
      </c>
    </row>
    <row r="68" spans="2:8" x14ac:dyDescent="0.25">
      <c r="B68" t="s">
        <v>645</v>
      </c>
      <c r="C68" t="s">
        <v>637</v>
      </c>
      <c r="D68" t="s">
        <v>646</v>
      </c>
      <c r="E68" t="s">
        <v>646</v>
      </c>
      <c r="H68" t="s">
        <v>645</v>
      </c>
    </row>
    <row r="69" spans="2:8" x14ac:dyDescent="0.25">
      <c r="B69" t="s">
        <v>647</v>
      </c>
      <c r="C69" t="s">
        <v>637</v>
      </c>
      <c r="D69" t="s">
        <v>648</v>
      </c>
      <c r="E69" t="s">
        <v>648</v>
      </c>
      <c r="H69" t="s">
        <v>647</v>
      </c>
    </row>
    <row r="70" spans="2:8" x14ac:dyDescent="0.25">
      <c r="B70" t="s">
        <v>649</v>
      </c>
      <c r="C70" t="s">
        <v>650</v>
      </c>
      <c r="D70" t="s">
        <v>651</v>
      </c>
      <c r="E70" t="s">
        <v>651</v>
      </c>
      <c r="H70" t="s">
        <v>649</v>
      </c>
    </row>
    <row r="71" spans="2:8" x14ac:dyDescent="0.25">
      <c r="B71" t="s">
        <v>652</v>
      </c>
      <c r="C71" t="s">
        <v>650</v>
      </c>
      <c r="D71" t="s">
        <v>653</v>
      </c>
      <c r="E71" t="s">
        <v>653</v>
      </c>
      <c r="H71" t="s">
        <v>652</v>
      </c>
    </row>
    <row r="72" spans="2:8" x14ac:dyDescent="0.25">
      <c r="B72" t="s">
        <v>654</v>
      </c>
      <c r="C72" t="s">
        <v>650</v>
      </c>
      <c r="D72" t="s">
        <v>655</v>
      </c>
      <c r="E72" t="s">
        <v>655</v>
      </c>
      <c r="H72" t="s">
        <v>654</v>
      </c>
    </row>
    <row r="73" spans="2:8" x14ac:dyDescent="0.25">
      <c r="B73" t="s">
        <v>656</v>
      </c>
      <c r="C73" t="s">
        <v>650</v>
      </c>
      <c r="D73" t="s">
        <v>657</v>
      </c>
      <c r="E73" t="s">
        <v>657</v>
      </c>
      <c r="H73" t="s">
        <v>656</v>
      </c>
    </row>
    <row r="74" spans="2:8" x14ac:dyDescent="0.25">
      <c r="B74" t="s">
        <v>658</v>
      </c>
      <c r="C74" t="s">
        <v>650</v>
      </c>
      <c r="D74" t="s">
        <v>659</v>
      </c>
      <c r="E74" t="s">
        <v>659</v>
      </c>
      <c r="H74" t="s">
        <v>658</v>
      </c>
    </row>
    <row r="75" spans="2:8" x14ac:dyDescent="0.25">
      <c r="B75" t="s">
        <v>660</v>
      </c>
      <c r="C75" t="s">
        <v>650</v>
      </c>
      <c r="D75" t="s">
        <v>661</v>
      </c>
      <c r="E75" t="s">
        <v>661</v>
      </c>
      <c r="H75" t="s">
        <v>660</v>
      </c>
    </row>
    <row r="76" spans="2:8" x14ac:dyDescent="0.25">
      <c r="B76" t="s">
        <v>662</v>
      </c>
      <c r="C76" t="s">
        <v>663</v>
      </c>
      <c r="D76" t="s">
        <v>664</v>
      </c>
      <c r="E76" t="s">
        <v>664</v>
      </c>
      <c r="H76" t="s">
        <v>662</v>
      </c>
    </row>
    <row r="77" spans="2:8" x14ac:dyDescent="0.25">
      <c r="B77" t="s">
        <v>665</v>
      </c>
      <c r="C77" t="s">
        <v>663</v>
      </c>
      <c r="D77" t="s">
        <v>666</v>
      </c>
      <c r="E77" t="s">
        <v>666</v>
      </c>
      <c r="H77" t="s">
        <v>665</v>
      </c>
    </row>
    <row r="78" spans="2:8" x14ac:dyDescent="0.25">
      <c r="B78" t="s">
        <v>667</v>
      </c>
      <c r="C78" t="s">
        <v>663</v>
      </c>
      <c r="D78" t="s">
        <v>668</v>
      </c>
      <c r="E78" t="s">
        <v>668</v>
      </c>
      <c r="H78" t="s">
        <v>667</v>
      </c>
    </row>
    <row r="79" spans="2:8" x14ac:dyDescent="0.25">
      <c r="B79" t="s">
        <v>669</v>
      </c>
      <c r="C79" t="s">
        <v>663</v>
      </c>
      <c r="D79" t="s">
        <v>670</v>
      </c>
      <c r="E79" t="s">
        <v>670</v>
      </c>
      <c r="H79" t="s">
        <v>669</v>
      </c>
    </row>
    <row r="80" spans="2:8" x14ac:dyDescent="0.25">
      <c r="B80" t="s">
        <v>671</v>
      </c>
      <c r="C80" t="s">
        <v>672</v>
      </c>
      <c r="D80" t="s">
        <v>673</v>
      </c>
      <c r="E80" t="s">
        <v>673</v>
      </c>
      <c r="H80" t="s">
        <v>671</v>
      </c>
    </row>
    <row r="81" spans="2:8" x14ac:dyDescent="0.25">
      <c r="B81" t="s">
        <v>674</v>
      </c>
      <c r="C81" t="s">
        <v>672</v>
      </c>
      <c r="D81" t="s">
        <v>675</v>
      </c>
      <c r="E81" t="s">
        <v>675</v>
      </c>
      <c r="H81" t="s">
        <v>674</v>
      </c>
    </row>
    <row r="82" spans="2:8" x14ac:dyDescent="0.25">
      <c r="B82" t="s">
        <v>676</v>
      </c>
      <c r="C82" t="s">
        <v>672</v>
      </c>
      <c r="D82" t="s">
        <v>677</v>
      </c>
      <c r="E82" t="s">
        <v>677</v>
      </c>
      <c r="H82" t="s">
        <v>676</v>
      </c>
    </row>
    <row r="83" spans="2:8" x14ac:dyDescent="0.25">
      <c r="B83" t="s">
        <v>678</v>
      </c>
      <c r="C83" t="s">
        <v>672</v>
      </c>
      <c r="D83" t="s">
        <v>679</v>
      </c>
      <c r="E83" t="s">
        <v>679</v>
      </c>
      <c r="H83" t="s">
        <v>678</v>
      </c>
    </row>
    <row r="84" spans="2:8" x14ac:dyDescent="0.25">
      <c r="B84" t="s">
        <v>680</v>
      </c>
      <c r="C84" t="s">
        <v>681</v>
      </c>
      <c r="D84" t="s">
        <v>682</v>
      </c>
      <c r="E84" t="s">
        <v>682</v>
      </c>
      <c r="H84" t="s">
        <v>680</v>
      </c>
    </row>
    <row r="85" spans="2:8" x14ac:dyDescent="0.25">
      <c r="B85" t="s">
        <v>683</v>
      </c>
      <c r="C85" t="s">
        <v>681</v>
      </c>
      <c r="D85" t="s">
        <v>684</v>
      </c>
      <c r="E85" t="s">
        <v>684</v>
      </c>
      <c r="H85" t="s">
        <v>683</v>
      </c>
    </row>
    <row r="86" spans="2:8" x14ac:dyDescent="0.25">
      <c r="B86" t="s">
        <v>685</v>
      </c>
      <c r="C86" t="s">
        <v>681</v>
      </c>
      <c r="D86" t="s">
        <v>686</v>
      </c>
      <c r="E86" t="s">
        <v>686</v>
      </c>
      <c r="H86" t="s">
        <v>685</v>
      </c>
    </row>
    <row r="87" spans="2:8" x14ac:dyDescent="0.25">
      <c r="B87" t="s">
        <v>687</v>
      </c>
      <c r="C87" t="s">
        <v>681</v>
      </c>
      <c r="D87" t="s">
        <v>688</v>
      </c>
      <c r="E87" t="s">
        <v>688</v>
      </c>
      <c r="H87" t="s">
        <v>687</v>
      </c>
    </row>
    <row r="88" spans="2:8" x14ac:dyDescent="0.25">
      <c r="B88" t="s">
        <v>689</v>
      </c>
      <c r="C88" t="s">
        <v>690</v>
      </c>
      <c r="D88" t="s">
        <v>691</v>
      </c>
      <c r="E88" t="s">
        <v>691</v>
      </c>
      <c r="H88" t="s">
        <v>689</v>
      </c>
    </row>
    <row r="89" spans="2:8" x14ac:dyDescent="0.25">
      <c r="B89" t="s">
        <v>692</v>
      </c>
      <c r="C89" t="s">
        <v>693</v>
      </c>
      <c r="D89" t="s">
        <v>694</v>
      </c>
      <c r="E89" t="s">
        <v>694</v>
      </c>
      <c r="H89" t="s">
        <v>692</v>
      </c>
    </row>
    <row r="90" spans="2:8" x14ac:dyDescent="0.25">
      <c r="B90" t="s">
        <v>695</v>
      </c>
      <c r="C90" t="s">
        <v>696</v>
      </c>
      <c r="D90" t="s">
        <v>697</v>
      </c>
      <c r="E90" t="s">
        <v>697</v>
      </c>
      <c r="H90" t="s">
        <v>695</v>
      </c>
    </row>
    <row r="91" spans="2:8" x14ac:dyDescent="0.25">
      <c r="B91" t="s">
        <v>698</v>
      </c>
      <c r="C91" t="s">
        <v>696</v>
      </c>
      <c r="D91" t="s">
        <v>699</v>
      </c>
      <c r="E91" t="s">
        <v>699</v>
      </c>
      <c r="H91" t="s">
        <v>698</v>
      </c>
    </row>
    <row r="92" spans="2:8" x14ac:dyDescent="0.25">
      <c r="B92" t="s">
        <v>700</v>
      </c>
      <c r="C92" t="s">
        <v>701</v>
      </c>
      <c r="D92" t="s">
        <v>702</v>
      </c>
      <c r="E92" t="s">
        <v>702</v>
      </c>
      <c r="H92" t="s">
        <v>700</v>
      </c>
    </row>
    <row r="93" spans="2:8" x14ac:dyDescent="0.25">
      <c r="B93" t="s">
        <v>703</v>
      </c>
      <c r="C93" t="s">
        <v>704</v>
      </c>
      <c r="D93" t="s">
        <v>705</v>
      </c>
      <c r="E93" t="s">
        <v>705</v>
      </c>
      <c r="H93" t="s">
        <v>703</v>
      </c>
    </row>
    <row r="94" spans="2:8" x14ac:dyDescent="0.25">
      <c r="B94" t="s">
        <v>706</v>
      </c>
      <c r="C94" t="s">
        <v>704</v>
      </c>
      <c r="D94" t="s">
        <v>707</v>
      </c>
      <c r="E94" t="s">
        <v>707</v>
      </c>
      <c r="H94" t="s">
        <v>706</v>
      </c>
    </row>
    <row r="95" spans="2:8" x14ac:dyDescent="0.25">
      <c r="B95" t="s">
        <v>708</v>
      </c>
      <c r="C95" t="s">
        <v>704</v>
      </c>
      <c r="D95" t="s">
        <v>709</v>
      </c>
      <c r="E95" t="s">
        <v>709</v>
      </c>
      <c r="H95" t="s">
        <v>708</v>
      </c>
    </row>
    <row r="96" spans="2:8" x14ac:dyDescent="0.25">
      <c r="B96" t="s">
        <v>710</v>
      </c>
      <c r="C96" t="s">
        <v>704</v>
      </c>
      <c r="D96" t="s">
        <v>711</v>
      </c>
      <c r="E96" t="s">
        <v>711</v>
      </c>
      <c r="H96" t="s">
        <v>710</v>
      </c>
    </row>
    <row r="97" spans="2:8" x14ac:dyDescent="0.25">
      <c r="B97" t="s">
        <v>712</v>
      </c>
      <c r="C97" t="s">
        <v>704</v>
      </c>
      <c r="D97" t="s">
        <v>713</v>
      </c>
      <c r="E97" t="s">
        <v>713</v>
      </c>
      <c r="H97" t="s">
        <v>712</v>
      </c>
    </row>
    <row r="98" spans="2:8" x14ac:dyDescent="0.25">
      <c r="B98" t="s">
        <v>714</v>
      </c>
      <c r="C98" t="s">
        <v>704</v>
      </c>
      <c r="D98" t="s">
        <v>715</v>
      </c>
      <c r="E98" t="s">
        <v>715</v>
      </c>
      <c r="H98" t="s">
        <v>714</v>
      </c>
    </row>
    <row r="99" spans="2:8" x14ac:dyDescent="0.25">
      <c r="B99" t="s">
        <v>716</v>
      </c>
      <c r="C99" t="s">
        <v>717</v>
      </c>
      <c r="D99" t="s">
        <v>718</v>
      </c>
      <c r="E99" t="s">
        <v>718</v>
      </c>
      <c r="H99" t="s">
        <v>716</v>
      </c>
    </row>
    <row r="100" spans="2:8" x14ac:dyDescent="0.25">
      <c r="B100" t="s">
        <v>719</v>
      </c>
      <c r="C100" t="s">
        <v>717</v>
      </c>
      <c r="D100" t="s">
        <v>720</v>
      </c>
      <c r="E100" t="s">
        <v>720</v>
      </c>
      <c r="H100" t="s">
        <v>719</v>
      </c>
    </row>
    <row r="101" spans="2:8" x14ac:dyDescent="0.25">
      <c r="B101" t="s">
        <v>721</v>
      </c>
      <c r="C101" t="s">
        <v>717</v>
      </c>
      <c r="D101" t="s">
        <v>722</v>
      </c>
      <c r="E101" t="s">
        <v>722</v>
      </c>
      <c r="H101" t="s">
        <v>721</v>
      </c>
    </row>
    <row r="102" spans="2:8" x14ac:dyDescent="0.25">
      <c r="B102" t="s">
        <v>723</v>
      </c>
      <c r="C102" t="s">
        <v>717</v>
      </c>
      <c r="D102" t="s">
        <v>724</v>
      </c>
      <c r="E102" t="s">
        <v>724</v>
      </c>
      <c r="H102" t="s">
        <v>723</v>
      </c>
    </row>
    <row r="103" spans="2:8" x14ac:dyDescent="0.25">
      <c r="B103" t="s">
        <v>725</v>
      </c>
      <c r="C103" t="s">
        <v>717</v>
      </c>
      <c r="D103" t="s">
        <v>726</v>
      </c>
      <c r="E103" t="s">
        <v>726</v>
      </c>
      <c r="H103" t="s">
        <v>725</v>
      </c>
    </row>
    <row r="104" spans="2:8" x14ac:dyDescent="0.25">
      <c r="B104" t="s">
        <v>727</v>
      </c>
      <c r="C104" t="s">
        <v>717</v>
      </c>
      <c r="D104" t="s">
        <v>728</v>
      </c>
      <c r="E104" t="s">
        <v>728</v>
      </c>
      <c r="H104" t="s">
        <v>727</v>
      </c>
    </row>
    <row r="105" spans="2:8" x14ac:dyDescent="0.25">
      <c r="B105" t="s">
        <v>729</v>
      </c>
      <c r="C105" t="s">
        <v>730</v>
      </c>
      <c r="D105" t="s">
        <v>731</v>
      </c>
      <c r="E105" t="s">
        <v>731</v>
      </c>
      <c r="H105" t="s">
        <v>729</v>
      </c>
    </row>
    <row r="106" spans="2:8" x14ac:dyDescent="0.25">
      <c r="B106" t="s">
        <v>732</v>
      </c>
      <c r="C106" t="s">
        <v>733</v>
      </c>
      <c r="D106" t="s">
        <v>734</v>
      </c>
      <c r="E106" t="s">
        <v>734</v>
      </c>
      <c r="H106" t="s">
        <v>732</v>
      </c>
    </row>
    <row r="107" spans="2:8" x14ac:dyDescent="0.25">
      <c r="B107" t="s">
        <v>735</v>
      </c>
      <c r="C107" t="s">
        <v>736</v>
      </c>
      <c r="D107" t="s">
        <v>737</v>
      </c>
      <c r="E107" t="s">
        <v>737</v>
      </c>
      <c r="H107" t="s">
        <v>735</v>
      </c>
    </row>
    <row r="108" spans="2:8" x14ac:dyDescent="0.25">
      <c r="B108" t="s">
        <v>739</v>
      </c>
      <c r="C108" t="s">
        <v>738</v>
      </c>
      <c r="D108" t="s">
        <v>740</v>
      </c>
      <c r="E108" t="s">
        <v>740</v>
      </c>
      <c r="H108" t="s">
        <v>739</v>
      </c>
    </row>
    <row r="109" spans="2:8" x14ac:dyDescent="0.25">
      <c r="B109" t="s">
        <v>741</v>
      </c>
      <c r="C109" t="s">
        <v>742</v>
      </c>
      <c r="D109" t="s">
        <v>743</v>
      </c>
      <c r="E109" t="s">
        <v>743</v>
      </c>
      <c r="H109" t="s">
        <v>741</v>
      </c>
    </row>
    <row r="110" spans="2:8" x14ac:dyDescent="0.25">
      <c r="B110" t="s">
        <v>744</v>
      </c>
      <c r="C110" t="s">
        <v>742</v>
      </c>
      <c r="D110" t="s">
        <v>745</v>
      </c>
      <c r="E110" t="s">
        <v>745</v>
      </c>
      <c r="H110" t="s">
        <v>744</v>
      </c>
    </row>
    <row r="111" spans="2:8" x14ac:dyDescent="0.25">
      <c r="B111" t="s">
        <v>746</v>
      </c>
      <c r="C111" t="s">
        <v>742</v>
      </c>
      <c r="D111" t="s">
        <v>747</v>
      </c>
      <c r="E111" t="s">
        <v>747</v>
      </c>
      <c r="H111" t="s">
        <v>746</v>
      </c>
    </row>
    <row r="112" spans="2:8" x14ac:dyDescent="0.25">
      <c r="B112" t="s">
        <v>748</v>
      </c>
      <c r="C112" t="s">
        <v>742</v>
      </c>
      <c r="D112" t="s">
        <v>749</v>
      </c>
      <c r="E112" t="s">
        <v>749</v>
      </c>
      <c r="H112" t="s">
        <v>748</v>
      </c>
    </row>
    <row r="113" spans="2:8" x14ac:dyDescent="0.25">
      <c r="B113" t="s">
        <v>750</v>
      </c>
      <c r="C113" t="s">
        <v>751</v>
      </c>
      <c r="D113" t="s">
        <v>752</v>
      </c>
      <c r="E113" t="s">
        <v>752</v>
      </c>
      <c r="H113" t="s">
        <v>750</v>
      </c>
    </row>
    <row r="114" spans="2:8" x14ac:dyDescent="0.25">
      <c r="B114" t="s">
        <v>753</v>
      </c>
      <c r="C114" t="s">
        <v>751</v>
      </c>
      <c r="D114" t="s">
        <v>754</v>
      </c>
      <c r="E114" t="s">
        <v>754</v>
      </c>
      <c r="H114" t="s">
        <v>753</v>
      </c>
    </row>
    <row r="115" spans="2:8" x14ac:dyDescent="0.25">
      <c r="B115" t="s">
        <v>755</v>
      </c>
      <c r="C115" t="s">
        <v>751</v>
      </c>
      <c r="D115" t="s">
        <v>756</v>
      </c>
      <c r="E115" t="s">
        <v>756</v>
      </c>
      <c r="H115" t="s">
        <v>755</v>
      </c>
    </row>
    <row r="116" spans="2:8" x14ac:dyDescent="0.25">
      <c r="B116" t="s">
        <v>757</v>
      </c>
      <c r="C116" t="s">
        <v>751</v>
      </c>
      <c r="D116" t="s">
        <v>758</v>
      </c>
      <c r="E116" t="s">
        <v>758</v>
      </c>
      <c r="H116" t="s">
        <v>757</v>
      </c>
    </row>
    <row r="117" spans="2:8" x14ac:dyDescent="0.25">
      <c r="B117" t="s">
        <v>759</v>
      </c>
      <c r="C117" t="s">
        <v>760</v>
      </c>
      <c r="D117" t="s">
        <v>761</v>
      </c>
      <c r="E117" t="s">
        <v>761</v>
      </c>
      <c r="H117" t="s">
        <v>759</v>
      </c>
    </row>
    <row r="118" spans="2:8" x14ac:dyDescent="0.25">
      <c r="B118" t="s">
        <v>762</v>
      </c>
      <c r="C118" t="s">
        <v>760</v>
      </c>
      <c r="D118" t="s">
        <v>763</v>
      </c>
      <c r="E118" t="s">
        <v>763</v>
      </c>
      <c r="H118" t="s">
        <v>762</v>
      </c>
    </row>
    <row r="119" spans="2:8" x14ac:dyDescent="0.25">
      <c r="B119" t="s">
        <v>764</v>
      </c>
      <c r="C119" t="s">
        <v>760</v>
      </c>
      <c r="D119" t="s">
        <v>765</v>
      </c>
      <c r="E119" t="s">
        <v>765</v>
      </c>
      <c r="H119" t="s">
        <v>764</v>
      </c>
    </row>
    <row r="120" spans="2:8" x14ac:dyDescent="0.25">
      <c r="B120" t="s">
        <v>766</v>
      </c>
      <c r="C120" t="s">
        <v>760</v>
      </c>
      <c r="D120" t="s">
        <v>767</v>
      </c>
      <c r="E120" t="s">
        <v>767</v>
      </c>
      <c r="H120" t="s">
        <v>766</v>
      </c>
    </row>
    <row r="121" spans="2:8" x14ac:dyDescent="0.25">
      <c r="B121" t="s">
        <v>768</v>
      </c>
      <c r="C121" t="s">
        <v>769</v>
      </c>
      <c r="D121" t="s">
        <v>770</v>
      </c>
      <c r="E121" t="s">
        <v>770</v>
      </c>
      <c r="H121" t="s">
        <v>768</v>
      </c>
    </row>
    <row r="122" spans="2:8" x14ac:dyDescent="0.25">
      <c r="B122" t="s">
        <v>771</v>
      </c>
      <c r="C122" t="s">
        <v>772</v>
      </c>
      <c r="D122" t="s">
        <v>773</v>
      </c>
      <c r="E122" t="s">
        <v>773</v>
      </c>
      <c r="H122" t="s">
        <v>771</v>
      </c>
    </row>
    <row r="123" spans="2:8" x14ac:dyDescent="0.25">
      <c r="B123" t="s">
        <v>774</v>
      </c>
      <c r="C123" t="s">
        <v>775</v>
      </c>
      <c r="D123" t="s">
        <v>776</v>
      </c>
      <c r="E123" t="s">
        <v>776</v>
      </c>
      <c r="H123" t="s">
        <v>774</v>
      </c>
    </row>
    <row r="124" spans="2:8" x14ac:dyDescent="0.25">
      <c r="B124" t="s">
        <v>777</v>
      </c>
      <c r="C124" t="s">
        <v>775</v>
      </c>
      <c r="D124" t="s">
        <v>778</v>
      </c>
      <c r="E124" t="s">
        <v>778</v>
      </c>
      <c r="H124" t="s">
        <v>777</v>
      </c>
    </row>
    <row r="125" spans="2:8" x14ac:dyDescent="0.25">
      <c r="B125" t="s">
        <v>779</v>
      </c>
      <c r="C125" t="s">
        <v>775</v>
      </c>
      <c r="D125" t="s">
        <v>780</v>
      </c>
      <c r="E125" t="s">
        <v>780</v>
      </c>
      <c r="H125" t="s">
        <v>779</v>
      </c>
    </row>
    <row r="126" spans="2:8" x14ac:dyDescent="0.25">
      <c r="B126" t="s">
        <v>781</v>
      </c>
      <c r="C126" t="s">
        <v>782</v>
      </c>
      <c r="D126" t="s">
        <v>783</v>
      </c>
      <c r="E126" t="s">
        <v>783</v>
      </c>
      <c r="H126" t="s">
        <v>781</v>
      </c>
    </row>
    <row r="127" spans="2:8" x14ac:dyDescent="0.25">
      <c r="B127" t="s">
        <v>784</v>
      </c>
      <c r="C127" t="s">
        <v>782</v>
      </c>
      <c r="D127" t="s">
        <v>785</v>
      </c>
      <c r="E127" t="s">
        <v>785</v>
      </c>
      <c r="H127" t="s">
        <v>784</v>
      </c>
    </row>
    <row r="128" spans="2:8" x14ac:dyDescent="0.25">
      <c r="B128" t="s">
        <v>786</v>
      </c>
      <c r="C128" t="s">
        <v>782</v>
      </c>
      <c r="D128" t="s">
        <v>787</v>
      </c>
      <c r="E128" t="s">
        <v>787</v>
      </c>
      <c r="H128" t="s">
        <v>786</v>
      </c>
    </row>
    <row r="129" spans="2:8" x14ac:dyDescent="0.25">
      <c r="B129" t="s">
        <v>788</v>
      </c>
      <c r="C129" t="s">
        <v>789</v>
      </c>
      <c r="D129" t="s">
        <v>790</v>
      </c>
      <c r="E129" t="s">
        <v>790</v>
      </c>
      <c r="H129" t="s">
        <v>788</v>
      </c>
    </row>
    <row r="130" spans="2:8" x14ac:dyDescent="0.25">
      <c r="B130" t="s">
        <v>791</v>
      </c>
      <c r="C130" t="s">
        <v>792</v>
      </c>
      <c r="D130" t="s">
        <v>793</v>
      </c>
      <c r="E130" t="s">
        <v>793</v>
      </c>
      <c r="H130" t="s">
        <v>791</v>
      </c>
    </row>
    <row r="131" spans="2:8" x14ac:dyDescent="0.25">
      <c r="B131" t="s">
        <v>794</v>
      </c>
      <c r="C131" t="s">
        <v>795</v>
      </c>
      <c r="D131" t="s">
        <v>796</v>
      </c>
      <c r="E131" t="s">
        <v>796</v>
      </c>
      <c r="H131" t="s">
        <v>794</v>
      </c>
    </row>
    <row r="132" spans="2:8" x14ac:dyDescent="0.25">
      <c r="B132" t="s">
        <v>797</v>
      </c>
      <c r="C132" t="s">
        <v>795</v>
      </c>
      <c r="D132" t="s">
        <v>798</v>
      </c>
      <c r="E132" t="s">
        <v>798</v>
      </c>
      <c r="H132" t="s">
        <v>797</v>
      </c>
    </row>
    <row r="133" spans="2:8" x14ac:dyDescent="0.25">
      <c r="B133" t="s">
        <v>799</v>
      </c>
      <c r="C133" t="s">
        <v>800</v>
      </c>
      <c r="D133" t="s">
        <v>801</v>
      </c>
      <c r="E133" t="s">
        <v>801</v>
      </c>
      <c r="H133" t="s">
        <v>799</v>
      </c>
    </row>
    <row r="134" spans="2:8" x14ac:dyDescent="0.25">
      <c r="B134" t="s">
        <v>802</v>
      </c>
      <c r="C134" t="s">
        <v>800</v>
      </c>
      <c r="D134" t="s">
        <v>803</v>
      </c>
      <c r="E134" t="s">
        <v>803</v>
      </c>
      <c r="H134" t="s">
        <v>802</v>
      </c>
    </row>
    <row r="135" spans="2:8" x14ac:dyDescent="0.25">
      <c r="B135" t="s">
        <v>804</v>
      </c>
      <c r="C135" t="s">
        <v>800</v>
      </c>
      <c r="D135" t="s">
        <v>805</v>
      </c>
      <c r="E135" t="s">
        <v>805</v>
      </c>
      <c r="H135" t="s">
        <v>804</v>
      </c>
    </row>
    <row r="136" spans="2:8" x14ac:dyDescent="0.25">
      <c r="B136" t="s">
        <v>806</v>
      </c>
      <c r="C136" t="s">
        <v>807</v>
      </c>
      <c r="D136" t="s">
        <v>808</v>
      </c>
      <c r="E136" t="s">
        <v>808</v>
      </c>
      <c r="H136" t="s">
        <v>806</v>
      </c>
    </row>
    <row r="137" spans="2:8" x14ac:dyDescent="0.25">
      <c r="B137" t="s">
        <v>809</v>
      </c>
      <c r="C137" t="s">
        <v>807</v>
      </c>
      <c r="D137" t="s">
        <v>810</v>
      </c>
      <c r="E137" t="s">
        <v>810</v>
      </c>
      <c r="H137" t="s">
        <v>809</v>
      </c>
    </row>
    <row r="138" spans="2:8" x14ac:dyDescent="0.25">
      <c r="B138" t="s">
        <v>811</v>
      </c>
      <c r="C138" t="s">
        <v>807</v>
      </c>
      <c r="D138" t="s">
        <v>812</v>
      </c>
      <c r="E138" t="s">
        <v>812</v>
      </c>
      <c r="H138" t="s">
        <v>811</v>
      </c>
    </row>
    <row r="139" spans="2:8" x14ac:dyDescent="0.25">
      <c r="B139" t="s">
        <v>813</v>
      </c>
      <c r="C139" t="s">
        <v>814</v>
      </c>
      <c r="D139" t="s">
        <v>815</v>
      </c>
      <c r="E139" t="s">
        <v>815</v>
      </c>
      <c r="H139" t="s">
        <v>813</v>
      </c>
    </row>
    <row r="140" spans="2:8" x14ac:dyDescent="0.25">
      <c r="B140" t="s">
        <v>816</v>
      </c>
      <c r="C140" t="s">
        <v>814</v>
      </c>
      <c r="D140" t="s">
        <v>817</v>
      </c>
      <c r="E140" t="s">
        <v>817</v>
      </c>
      <c r="H140" t="s">
        <v>816</v>
      </c>
    </row>
    <row r="141" spans="2:8" x14ac:dyDescent="0.25">
      <c r="B141" t="s">
        <v>818</v>
      </c>
      <c r="C141" t="s">
        <v>819</v>
      </c>
      <c r="D141" t="s">
        <v>820</v>
      </c>
      <c r="E141" t="s">
        <v>820</v>
      </c>
      <c r="H141" t="s">
        <v>818</v>
      </c>
    </row>
    <row r="142" spans="2:8" x14ac:dyDescent="0.25">
      <c r="B142" t="s">
        <v>821</v>
      </c>
      <c r="C142" t="s">
        <v>819</v>
      </c>
      <c r="D142" t="s">
        <v>822</v>
      </c>
      <c r="E142" t="s">
        <v>822</v>
      </c>
      <c r="H142" t="s">
        <v>821</v>
      </c>
    </row>
    <row r="143" spans="2:8" x14ac:dyDescent="0.25">
      <c r="B143" t="s">
        <v>823</v>
      </c>
      <c r="C143" t="s">
        <v>824</v>
      </c>
      <c r="D143" t="s">
        <v>825</v>
      </c>
      <c r="E143" t="s">
        <v>825</v>
      </c>
      <c r="H143" t="s">
        <v>823</v>
      </c>
    </row>
    <row r="144" spans="2:8" x14ac:dyDescent="0.25">
      <c r="B144" t="s">
        <v>826</v>
      </c>
      <c r="C144" t="s">
        <v>824</v>
      </c>
      <c r="D144" t="s">
        <v>827</v>
      </c>
      <c r="E144" t="s">
        <v>827</v>
      </c>
      <c r="H144" t="s">
        <v>826</v>
      </c>
    </row>
    <row r="145" spans="2:8" x14ac:dyDescent="0.25">
      <c r="B145" t="s">
        <v>828</v>
      </c>
      <c r="C145" t="s">
        <v>829</v>
      </c>
      <c r="D145" t="s">
        <v>830</v>
      </c>
      <c r="E145" t="s">
        <v>830</v>
      </c>
      <c r="H145" t="s">
        <v>828</v>
      </c>
    </row>
    <row r="146" spans="2:8" x14ac:dyDescent="0.25">
      <c r="B146" t="s">
        <v>831</v>
      </c>
      <c r="C146" t="s">
        <v>829</v>
      </c>
      <c r="D146" t="s">
        <v>832</v>
      </c>
      <c r="E146" t="s">
        <v>832</v>
      </c>
      <c r="H146" t="s">
        <v>831</v>
      </c>
    </row>
    <row r="147" spans="2:8" x14ac:dyDescent="0.25">
      <c r="B147" t="s">
        <v>833</v>
      </c>
      <c r="C147" t="s">
        <v>834</v>
      </c>
      <c r="D147" t="s">
        <v>835</v>
      </c>
      <c r="E147" t="s">
        <v>835</v>
      </c>
      <c r="H147" t="s">
        <v>833</v>
      </c>
    </row>
    <row r="148" spans="2:8" x14ac:dyDescent="0.25">
      <c r="B148" t="s">
        <v>836</v>
      </c>
      <c r="C148" t="s">
        <v>834</v>
      </c>
      <c r="D148" t="s">
        <v>837</v>
      </c>
      <c r="E148" t="s">
        <v>837</v>
      </c>
      <c r="H148" t="s">
        <v>836</v>
      </c>
    </row>
    <row r="149" spans="2:8" x14ac:dyDescent="0.25">
      <c r="B149" t="s">
        <v>838</v>
      </c>
      <c r="C149" t="s">
        <v>829</v>
      </c>
      <c r="D149" t="s">
        <v>839</v>
      </c>
      <c r="E149" t="s">
        <v>839</v>
      </c>
      <c r="H149" t="s">
        <v>838</v>
      </c>
    </row>
    <row r="150" spans="2:8" x14ac:dyDescent="0.25">
      <c r="B150" t="s">
        <v>840</v>
      </c>
      <c r="C150" t="s">
        <v>834</v>
      </c>
      <c r="D150" t="s">
        <v>841</v>
      </c>
      <c r="E150" t="s">
        <v>841</v>
      </c>
      <c r="H150" t="s">
        <v>840</v>
      </c>
    </row>
    <row r="151" spans="2:8" x14ac:dyDescent="0.25">
      <c r="B151" t="s">
        <v>842</v>
      </c>
      <c r="C151" t="s">
        <v>843</v>
      </c>
      <c r="D151" t="s">
        <v>844</v>
      </c>
      <c r="E151" t="s">
        <v>844</v>
      </c>
      <c r="H151" t="s">
        <v>842</v>
      </c>
    </row>
    <row r="152" spans="2:8" x14ac:dyDescent="0.25">
      <c r="B152" t="s">
        <v>845</v>
      </c>
      <c r="C152" t="s">
        <v>843</v>
      </c>
      <c r="D152" t="s">
        <v>846</v>
      </c>
      <c r="E152" t="s">
        <v>846</v>
      </c>
      <c r="H152" t="s">
        <v>845</v>
      </c>
    </row>
    <row r="153" spans="2:8" x14ac:dyDescent="0.25">
      <c r="B153" t="s">
        <v>847</v>
      </c>
      <c r="C153" t="s">
        <v>843</v>
      </c>
      <c r="D153" t="s">
        <v>848</v>
      </c>
      <c r="E153" t="s">
        <v>848</v>
      </c>
      <c r="H153" t="s">
        <v>847</v>
      </c>
    </row>
    <row r="154" spans="2:8" x14ac:dyDescent="0.25">
      <c r="B154" t="s">
        <v>849</v>
      </c>
      <c r="C154" t="s">
        <v>843</v>
      </c>
      <c r="D154" t="s">
        <v>850</v>
      </c>
      <c r="E154" t="s">
        <v>850</v>
      </c>
      <c r="H154" t="s">
        <v>849</v>
      </c>
    </row>
    <row r="155" spans="2:8" x14ac:dyDescent="0.25">
      <c r="B155" t="s">
        <v>851</v>
      </c>
      <c r="C155" t="s">
        <v>852</v>
      </c>
      <c r="D155" t="s">
        <v>853</v>
      </c>
      <c r="E155" t="s">
        <v>853</v>
      </c>
      <c r="H155" t="s">
        <v>851</v>
      </c>
    </row>
    <row r="156" spans="2:8" x14ac:dyDescent="0.25">
      <c r="B156" t="s">
        <v>854</v>
      </c>
      <c r="C156" t="s">
        <v>855</v>
      </c>
      <c r="D156" t="s">
        <v>856</v>
      </c>
      <c r="E156" t="s">
        <v>856</v>
      </c>
      <c r="H156" t="s">
        <v>854</v>
      </c>
    </row>
    <row r="157" spans="2:8" x14ac:dyDescent="0.25">
      <c r="B157" t="s">
        <v>857</v>
      </c>
      <c r="C157" t="s">
        <v>858</v>
      </c>
      <c r="D157" t="s">
        <v>859</v>
      </c>
      <c r="E157" t="s">
        <v>859</v>
      </c>
      <c r="H157" t="s">
        <v>857</v>
      </c>
    </row>
    <row r="158" spans="2:8" x14ac:dyDescent="0.25">
      <c r="B158" t="s">
        <v>860</v>
      </c>
      <c r="C158" t="s">
        <v>858</v>
      </c>
      <c r="D158" t="s">
        <v>861</v>
      </c>
      <c r="E158" t="s">
        <v>861</v>
      </c>
      <c r="H158" t="s">
        <v>860</v>
      </c>
    </row>
    <row r="159" spans="2:8" x14ac:dyDescent="0.25">
      <c r="B159" t="s">
        <v>862</v>
      </c>
      <c r="C159" t="s">
        <v>863</v>
      </c>
      <c r="D159" t="s">
        <v>864</v>
      </c>
      <c r="E159" t="s">
        <v>864</v>
      </c>
      <c r="H159" t="s">
        <v>862</v>
      </c>
    </row>
    <row r="160" spans="2:8" x14ac:dyDescent="0.25">
      <c r="B160" t="s">
        <v>865</v>
      </c>
      <c r="C160" t="s">
        <v>866</v>
      </c>
      <c r="D160" t="s">
        <v>867</v>
      </c>
      <c r="E160" t="s">
        <v>867</v>
      </c>
      <c r="H160" t="s">
        <v>865</v>
      </c>
    </row>
    <row r="161" spans="2:8" x14ac:dyDescent="0.25">
      <c r="B161" t="s">
        <v>868</v>
      </c>
      <c r="C161" t="s">
        <v>866</v>
      </c>
      <c r="D161" t="s">
        <v>869</v>
      </c>
      <c r="E161" t="s">
        <v>869</v>
      </c>
      <c r="H161" t="s">
        <v>868</v>
      </c>
    </row>
    <row r="162" spans="2:8" x14ac:dyDescent="0.25">
      <c r="B162" t="s">
        <v>870</v>
      </c>
      <c r="C162" t="s">
        <v>871</v>
      </c>
      <c r="D162" t="s">
        <v>872</v>
      </c>
      <c r="E162" t="s">
        <v>872</v>
      </c>
      <c r="H162" t="s">
        <v>870</v>
      </c>
    </row>
    <row r="163" spans="2:8" x14ac:dyDescent="0.25">
      <c r="B163" t="s">
        <v>873</v>
      </c>
      <c r="C163" t="s">
        <v>871</v>
      </c>
      <c r="D163" t="s">
        <v>874</v>
      </c>
      <c r="E163" t="s">
        <v>874</v>
      </c>
      <c r="H163" t="s">
        <v>873</v>
      </c>
    </row>
    <row r="164" spans="2:8" x14ac:dyDescent="0.25">
      <c r="B164" t="s">
        <v>875</v>
      </c>
      <c r="C164" t="s">
        <v>876</v>
      </c>
      <c r="D164" t="s">
        <v>877</v>
      </c>
      <c r="E164" t="s">
        <v>877</v>
      </c>
      <c r="H164" t="s">
        <v>875</v>
      </c>
    </row>
    <row r="165" spans="2:8" x14ac:dyDescent="0.25">
      <c r="B165" t="s">
        <v>878</v>
      </c>
      <c r="C165" t="s">
        <v>876</v>
      </c>
      <c r="D165" t="s">
        <v>879</v>
      </c>
      <c r="E165" t="s">
        <v>879</v>
      </c>
      <c r="H165" t="s">
        <v>878</v>
      </c>
    </row>
    <row r="166" spans="2:8" x14ac:dyDescent="0.25">
      <c r="B166" t="s">
        <v>880</v>
      </c>
      <c r="C166" t="s">
        <v>881</v>
      </c>
      <c r="D166" t="s">
        <v>882</v>
      </c>
      <c r="E166" t="s">
        <v>882</v>
      </c>
      <c r="H166" t="s">
        <v>880</v>
      </c>
    </row>
    <row r="167" spans="2:8" x14ac:dyDescent="0.25">
      <c r="B167" t="s">
        <v>883</v>
      </c>
      <c r="C167" t="s">
        <v>881</v>
      </c>
      <c r="D167" t="s">
        <v>884</v>
      </c>
      <c r="E167" t="s">
        <v>884</v>
      </c>
      <c r="H167" t="s">
        <v>883</v>
      </c>
    </row>
    <row r="168" spans="2:8" x14ac:dyDescent="0.25">
      <c r="B168" t="s">
        <v>885</v>
      </c>
      <c r="C168" t="s">
        <v>886</v>
      </c>
      <c r="D168" t="s">
        <v>887</v>
      </c>
      <c r="E168" t="s">
        <v>887</v>
      </c>
      <c r="H168" t="s">
        <v>885</v>
      </c>
    </row>
    <row r="169" spans="2:8" x14ac:dyDescent="0.25">
      <c r="B169" t="s">
        <v>888</v>
      </c>
      <c r="C169" t="s">
        <v>886</v>
      </c>
      <c r="D169" t="s">
        <v>889</v>
      </c>
      <c r="E169" t="s">
        <v>889</v>
      </c>
      <c r="H169" t="s">
        <v>888</v>
      </c>
    </row>
    <row r="170" spans="2:8" x14ac:dyDescent="0.25">
      <c r="B170" t="s">
        <v>890</v>
      </c>
      <c r="C170" t="s">
        <v>886</v>
      </c>
      <c r="D170" t="s">
        <v>891</v>
      </c>
      <c r="E170" t="s">
        <v>891</v>
      </c>
      <c r="H170" t="s">
        <v>890</v>
      </c>
    </row>
    <row r="171" spans="2:8" x14ac:dyDescent="0.25">
      <c r="B171" t="s">
        <v>892</v>
      </c>
      <c r="C171" t="s">
        <v>886</v>
      </c>
      <c r="D171" t="s">
        <v>893</v>
      </c>
      <c r="E171" t="s">
        <v>893</v>
      </c>
      <c r="H171" t="s">
        <v>892</v>
      </c>
    </row>
    <row r="172" spans="2:8" x14ac:dyDescent="0.25">
      <c r="B172" t="s">
        <v>894</v>
      </c>
      <c r="C172" t="s">
        <v>886</v>
      </c>
      <c r="D172" t="s">
        <v>895</v>
      </c>
      <c r="E172" t="s">
        <v>895</v>
      </c>
      <c r="H172" t="s">
        <v>894</v>
      </c>
    </row>
    <row r="173" spans="2:8" x14ac:dyDescent="0.25">
      <c r="B173" t="s">
        <v>896</v>
      </c>
      <c r="C173" t="s">
        <v>886</v>
      </c>
      <c r="D173" t="s">
        <v>897</v>
      </c>
      <c r="E173" t="s">
        <v>897</v>
      </c>
      <c r="H173" t="s">
        <v>896</v>
      </c>
    </row>
    <row r="174" spans="2:8" x14ac:dyDescent="0.25">
      <c r="B174" t="s">
        <v>898</v>
      </c>
      <c r="C174" t="s">
        <v>899</v>
      </c>
      <c r="D174" t="s">
        <v>900</v>
      </c>
      <c r="E174" t="s">
        <v>900</v>
      </c>
      <c r="H174" t="s">
        <v>898</v>
      </c>
    </row>
    <row r="175" spans="2:8" x14ac:dyDescent="0.25">
      <c r="B175" t="s">
        <v>901</v>
      </c>
      <c r="C175" t="s">
        <v>902</v>
      </c>
      <c r="D175" t="s">
        <v>903</v>
      </c>
      <c r="E175" t="s">
        <v>903</v>
      </c>
      <c r="H175" t="s">
        <v>901</v>
      </c>
    </row>
    <row r="176" spans="2:8" x14ac:dyDescent="0.25">
      <c r="B176" t="s">
        <v>904</v>
      </c>
      <c r="C176" t="s">
        <v>899</v>
      </c>
      <c r="D176" t="s">
        <v>905</v>
      </c>
      <c r="E176" t="s">
        <v>905</v>
      </c>
      <c r="H176" t="s">
        <v>904</v>
      </c>
    </row>
    <row r="177" spans="2:8" x14ac:dyDescent="0.25">
      <c r="B177" t="s">
        <v>906</v>
      </c>
      <c r="C177" t="s">
        <v>907</v>
      </c>
      <c r="D177" t="s">
        <v>908</v>
      </c>
      <c r="E177" t="s">
        <v>908</v>
      </c>
      <c r="H177" t="s">
        <v>906</v>
      </c>
    </row>
    <row r="178" spans="2:8" x14ac:dyDescent="0.25">
      <c r="B178" t="s">
        <v>909</v>
      </c>
      <c r="C178" t="s">
        <v>910</v>
      </c>
      <c r="D178" t="s">
        <v>911</v>
      </c>
      <c r="E178" t="s">
        <v>911</v>
      </c>
      <c r="H178" t="s">
        <v>909</v>
      </c>
    </row>
    <row r="179" spans="2:8" x14ac:dyDescent="0.25">
      <c r="B179" t="s">
        <v>912</v>
      </c>
      <c r="C179" t="s">
        <v>913</v>
      </c>
      <c r="D179" t="s">
        <v>914</v>
      </c>
      <c r="E179" t="s">
        <v>914</v>
      </c>
      <c r="H179" t="s">
        <v>912</v>
      </c>
    </row>
    <row r="180" spans="2:8" x14ac:dyDescent="0.25">
      <c r="B180" t="s">
        <v>915</v>
      </c>
      <c r="C180" t="s">
        <v>913</v>
      </c>
      <c r="D180" t="s">
        <v>916</v>
      </c>
      <c r="E180" t="s">
        <v>916</v>
      </c>
      <c r="H180" t="s">
        <v>915</v>
      </c>
    </row>
    <row r="181" spans="2:8" x14ac:dyDescent="0.25">
      <c r="B181" t="s">
        <v>917</v>
      </c>
      <c r="C181" t="s">
        <v>918</v>
      </c>
      <c r="D181" t="s">
        <v>919</v>
      </c>
      <c r="E181" t="s">
        <v>919</v>
      </c>
      <c r="H181" t="s">
        <v>917</v>
      </c>
    </row>
    <row r="182" spans="2:8" x14ac:dyDescent="0.25">
      <c r="B182" t="s">
        <v>920</v>
      </c>
      <c r="C182" t="s">
        <v>921</v>
      </c>
      <c r="D182" t="s">
        <v>922</v>
      </c>
      <c r="E182" t="s">
        <v>922</v>
      </c>
      <c r="H182" t="s">
        <v>920</v>
      </c>
    </row>
    <row r="183" spans="2:8" x14ac:dyDescent="0.25">
      <c r="B183" t="s">
        <v>923</v>
      </c>
      <c r="C183" t="s">
        <v>910</v>
      </c>
      <c r="D183" t="s">
        <v>924</v>
      </c>
      <c r="E183" t="s">
        <v>924</v>
      </c>
      <c r="H183" t="s">
        <v>923</v>
      </c>
    </row>
    <row r="184" spans="2:8" x14ac:dyDescent="0.25">
      <c r="B184" t="s">
        <v>925</v>
      </c>
      <c r="C184" t="s">
        <v>926</v>
      </c>
      <c r="D184" t="s">
        <v>927</v>
      </c>
      <c r="E184" t="s">
        <v>927</v>
      </c>
      <c r="H184" t="s">
        <v>925</v>
      </c>
    </row>
    <row r="185" spans="2:8" x14ac:dyDescent="0.25">
      <c r="B185" t="s">
        <v>928</v>
      </c>
      <c r="C185" t="s">
        <v>929</v>
      </c>
      <c r="D185" t="s">
        <v>930</v>
      </c>
      <c r="E185" t="s">
        <v>930</v>
      </c>
      <c r="H185" t="s">
        <v>928</v>
      </c>
    </row>
    <row r="186" spans="2:8" x14ac:dyDescent="0.25">
      <c r="B186" t="s">
        <v>931</v>
      </c>
      <c r="C186" t="s">
        <v>926</v>
      </c>
      <c r="D186" t="s">
        <v>932</v>
      </c>
      <c r="E186" t="s">
        <v>932</v>
      </c>
      <c r="H186" t="s">
        <v>931</v>
      </c>
    </row>
    <row r="187" spans="2:8" x14ac:dyDescent="0.25">
      <c r="B187" t="s">
        <v>933</v>
      </c>
      <c r="C187" t="s">
        <v>934</v>
      </c>
      <c r="D187" t="s">
        <v>935</v>
      </c>
      <c r="E187" t="s">
        <v>935</v>
      </c>
      <c r="H187" t="s">
        <v>933</v>
      </c>
    </row>
    <row r="188" spans="2:8" x14ac:dyDescent="0.25">
      <c r="B188" t="s">
        <v>936</v>
      </c>
      <c r="C188" t="s">
        <v>937</v>
      </c>
      <c r="D188" t="s">
        <v>938</v>
      </c>
      <c r="E188" t="s">
        <v>938</v>
      </c>
      <c r="H188" t="s">
        <v>936</v>
      </c>
    </row>
    <row r="189" spans="2:8" x14ac:dyDescent="0.25">
      <c r="B189" t="s">
        <v>939</v>
      </c>
      <c r="C189" t="s">
        <v>934</v>
      </c>
      <c r="D189" t="s">
        <v>940</v>
      </c>
      <c r="E189" t="s">
        <v>940</v>
      </c>
      <c r="H189" t="s">
        <v>939</v>
      </c>
    </row>
    <row r="190" spans="2:8" x14ac:dyDescent="0.25">
      <c r="B190" t="s">
        <v>941</v>
      </c>
      <c r="C190" t="s">
        <v>934</v>
      </c>
      <c r="D190" t="s">
        <v>942</v>
      </c>
      <c r="E190" t="s">
        <v>942</v>
      </c>
      <c r="H190" t="s">
        <v>941</v>
      </c>
    </row>
    <row r="191" spans="2:8" x14ac:dyDescent="0.25">
      <c r="B191" t="s">
        <v>943</v>
      </c>
      <c r="C191" t="s">
        <v>910</v>
      </c>
      <c r="D191" t="s">
        <v>944</v>
      </c>
      <c r="E191" t="s">
        <v>944</v>
      </c>
      <c r="H191" t="s">
        <v>943</v>
      </c>
    </row>
    <row r="192" spans="2:8" x14ac:dyDescent="0.25">
      <c r="B192" t="s">
        <v>945</v>
      </c>
      <c r="C192" t="s">
        <v>946</v>
      </c>
      <c r="D192" t="s">
        <v>947</v>
      </c>
      <c r="E192" t="s">
        <v>947</v>
      </c>
      <c r="H192" t="s">
        <v>945</v>
      </c>
    </row>
    <row r="193" spans="2:8" x14ac:dyDescent="0.25">
      <c r="B193" t="s">
        <v>948</v>
      </c>
      <c r="C193" t="s">
        <v>949</v>
      </c>
      <c r="D193" t="s">
        <v>950</v>
      </c>
      <c r="E193" t="s">
        <v>950</v>
      </c>
      <c r="H193" t="s">
        <v>948</v>
      </c>
    </row>
    <row r="194" spans="2:8" x14ac:dyDescent="0.25">
      <c r="B194" t="s">
        <v>951</v>
      </c>
      <c r="C194" t="s">
        <v>952</v>
      </c>
      <c r="D194" t="s">
        <v>953</v>
      </c>
      <c r="E194" t="s">
        <v>953</v>
      </c>
      <c r="H194" t="s">
        <v>951</v>
      </c>
    </row>
    <row r="195" spans="2:8" x14ac:dyDescent="0.25">
      <c r="B195" t="s">
        <v>954</v>
      </c>
      <c r="C195" t="s">
        <v>955</v>
      </c>
      <c r="D195" t="s">
        <v>956</v>
      </c>
      <c r="E195" t="s">
        <v>956</v>
      </c>
      <c r="H195" t="s">
        <v>954</v>
      </c>
    </row>
    <row r="196" spans="2:8" x14ac:dyDescent="0.25">
      <c r="B196" t="s">
        <v>957</v>
      </c>
      <c r="C196" t="s">
        <v>958</v>
      </c>
      <c r="D196" t="s">
        <v>959</v>
      </c>
      <c r="E196" t="s">
        <v>959</v>
      </c>
      <c r="H196" t="s">
        <v>957</v>
      </c>
    </row>
    <row r="197" spans="2:8" x14ac:dyDescent="0.25">
      <c r="B197" t="s">
        <v>960</v>
      </c>
      <c r="C197" t="s">
        <v>961</v>
      </c>
      <c r="D197" t="s">
        <v>962</v>
      </c>
      <c r="E197" t="s">
        <v>962</v>
      </c>
      <c r="H197" t="s">
        <v>960</v>
      </c>
    </row>
    <row r="198" spans="2:8" x14ac:dyDescent="0.25">
      <c r="B198" t="s">
        <v>963</v>
      </c>
      <c r="C198" t="s">
        <v>961</v>
      </c>
      <c r="D198" t="s">
        <v>964</v>
      </c>
      <c r="E198" t="s">
        <v>964</v>
      </c>
      <c r="H198" t="s">
        <v>963</v>
      </c>
    </row>
    <row r="199" spans="2:8" x14ac:dyDescent="0.25">
      <c r="B199" t="s">
        <v>965</v>
      </c>
      <c r="C199" t="s">
        <v>961</v>
      </c>
      <c r="D199" t="s">
        <v>966</v>
      </c>
      <c r="E199" t="s">
        <v>966</v>
      </c>
      <c r="H199" t="s">
        <v>965</v>
      </c>
    </row>
    <row r="200" spans="2:8" x14ac:dyDescent="0.25">
      <c r="B200" t="s">
        <v>967</v>
      </c>
      <c r="C200" t="s">
        <v>961</v>
      </c>
      <c r="D200" t="s">
        <v>968</v>
      </c>
      <c r="E200" t="s">
        <v>968</v>
      </c>
      <c r="H200" t="s">
        <v>967</v>
      </c>
    </row>
    <row r="201" spans="2:8" x14ac:dyDescent="0.25">
      <c r="B201" t="s">
        <v>969</v>
      </c>
      <c r="C201" t="s">
        <v>961</v>
      </c>
      <c r="D201" t="s">
        <v>970</v>
      </c>
      <c r="E201" t="s">
        <v>970</v>
      </c>
      <c r="H201" t="s">
        <v>969</v>
      </c>
    </row>
    <row r="202" spans="2:8" x14ac:dyDescent="0.25">
      <c r="B202" t="s">
        <v>971</v>
      </c>
      <c r="C202" t="s">
        <v>961</v>
      </c>
      <c r="D202" t="s">
        <v>972</v>
      </c>
      <c r="E202" t="s">
        <v>972</v>
      </c>
      <c r="H202" t="s">
        <v>971</v>
      </c>
    </row>
    <row r="203" spans="2:8" x14ac:dyDescent="0.25">
      <c r="B203" t="s">
        <v>973</v>
      </c>
      <c r="C203" t="s">
        <v>961</v>
      </c>
      <c r="D203" t="s">
        <v>974</v>
      </c>
      <c r="E203" t="s">
        <v>974</v>
      </c>
      <c r="H203" t="s">
        <v>973</v>
      </c>
    </row>
    <row r="204" spans="2:8" x14ac:dyDescent="0.25">
      <c r="B204" t="s">
        <v>975</v>
      </c>
      <c r="C204" t="s">
        <v>961</v>
      </c>
      <c r="D204" t="s">
        <v>976</v>
      </c>
      <c r="E204" t="s">
        <v>976</v>
      </c>
      <c r="H204" t="s">
        <v>975</v>
      </c>
    </row>
    <row r="205" spans="2:8" x14ac:dyDescent="0.25">
      <c r="B205" t="s">
        <v>977</v>
      </c>
      <c r="C205" t="s">
        <v>961</v>
      </c>
      <c r="D205" t="s">
        <v>978</v>
      </c>
      <c r="E205" t="s">
        <v>978</v>
      </c>
      <c r="H205" t="s">
        <v>977</v>
      </c>
    </row>
    <row r="206" spans="2:8" x14ac:dyDescent="0.25">
      <c r="B206" t="s">
        <v>979</v>
      </c>
      <c r="C206" t="s">
        <v>980</v>
      </c>
      <c r="D206" t="s">
        <v>981</v>
      </c>
      <c r="E206" t="s">
        <v>981</v>
      </c>
      <c r="H206" t="s">
        <v>979</v>
      </c>
    </row>
    <row r="207" spans="2:8" x14ac:dyDescent="0.25">
      <c r="B207" t="s">
        <v>982</v>
      </c>
      <c r="C207" t="s">
        <v>980</v>
      </c>
      <c r="D207" t="s">
        <v>983</v>
      </c>
      <c r="E207" t="s">
        <v>983</v>
      </c>
      <c r="H207" t="s">
        <v>982</v>
      </c>
    </row>
    <row r="208" spans="2:8" x14ac:dyDescent="0.25">
      <c r="B208" t="s">
        <v>984</v>
      </c>
      <c r="C208" t="s">
        <v>985</v>
      </c>
      <c r="D208" t="s">
        <v>986</v>
      </c>
      <c r="E208" t="s">
        <v>986</v>
      </c>
      <c r="H208" t="s">
        <v>984</v>
      </c>
    </row>
    <row r="209" spans="2:8" x14ac:dyDescent="0.25">
      <c r="B209" t="s">
        <v>987</v>
      </c>
      <c r="C209" t="s">
        <v>985</v>
      </c>
      <c r="D209" t="s">
        <v>988</v>
      </c>
      <c r="E209" t="s">
        <v>988</v>
      </c>
      <c r="H209" t="s">
        <v>987</v>
      </c>
    </row>
    <row r="210" spans="2:8" x14ac:dyDescent="0.25">
      <c r="B210" t="s">
        <v>989</v>
      </c>
      <c r="C210" t="s">
        <v>985</v>
      </c>
      <c r="D210" t="s">
        <v>990</v>
      </c>
      <c r="E210" t="s">
        <v>990</v>
      </c>
      <c r="H210" t="s">
        <v>989</v>
      </c>
    </row>
    <row r="211" spans="2:8" x14ac:dyDescent="0.25">
      <c r="B211" t="s">
        <v>991</v>
      </c>
      <c r="C211" t="s">
        <v>985</v>
      </c>
      <c r="D211" t="s">
        <v>992</v>
      </c>
      <c r="E211" t="s">
        <v>992</v>
      </c>
      <c r="H211" t="s">
        <v>991</v>
      </c>
    </row>
    <row r="212" spans="2:8" x14ac:dyDescent="0.25">
      <c r="B212" t="s">
        <v>993</v>
      </c>
      <c r="C212" t="s">
        <v>985</v>
      </c>
      <c r="D212" t="s">
        <v>994</v>
      </c>
      <c r="E212" t="s">
        <v>994</v>
      </c>
      <c r="H212" t="s">
        <v>993</v>
      </c>
    </row>
    <row r="213" spans="2:8" x14ac:dyDescent="0.25">
      <c r="B213" t="s">
        <v>995</v>
      </c>
      <c r="C213" t="s">
        <v>985</v>
      </c>
      <c r="D213" t="s">
        <v>996</v>
      </c>
      <c r="E213" t="s">
        <v>996</v>
      </c>
      <c r="H213" t="s">
        <v>995</v>
      </c>
    </row>
    <row r="214" spans="2:8" x14ac:dyDescent="0.25">
      <c r="B214" t="s">
        <v>997</v>
      </c>
      <c r="C214" t="s">
        <v>985</v>
      </c>
      <c r="D214" t="s">
        <v>998</v>
      </c>
      <c r="E214" t="s">
        <v>998</v>
      </c>
      <c r="H214" t="s">
        <v>997</v>
      </c>
    </row>
    <row r="215" spans="2:8" x14ac:dyDescent="0.25">
      <c r="B215" t="s">
        <v>999</v>
      </c>
      <c r="C215" t="s">
        <v>985</v>
      </c>
      <c r="D215" t="s">
        <v>1000</v>
      </c>
      <c r="E215" t="s">
        <v>1000</v>
      </c>
      <c r="H215" t="s">
        <v>999</v>
      </c>
    </row>
    <row r="216" spans="2:8" x14ac:dyDescent="0.25">
      <c r="B216" t="s">
        <v>1001</v>
      </c>
      <c r="C216" t="s">
        <v>985</v>
      </c>
      <c r="D216" t="s">
        <v>1002</v>
      </c>
      <c r="E216" t="s">
        <v>1002</v>
      </c>
      <c r="H216" t="s">
        <v>1001</v>
      </c>
    </row>
    <row r="217" spans="2:8" x14ac:dyDescent="0.25">
      <c r="B217" t="s">
        <v>1003</v>
      </c>
      <c r="C217" t="s">
        <v>1004</v>
      </c>
      <c r="D217" t="s">
        <v>1005</v>
      </c>
      <c r="E217" t="s">
        <v>1005</v>
      </c>
      <c r="H217" t="s">
        <v>1003</v>
      </c>
    </row>
    <row r="218" spans="2:8" x14ac:dyDescent="0.25">
      <c r="B218" t="s">
        <v>1006</v>
      </c>
      <c r="C218" t="s">
        <v>1004</v>
      </c>
      <c r="D218" t="s">
        <v>1007</v>
      </c>
      <c r="E218" t="s">
        <v>1007</v>
      </c>
      <c r="H218" t="s">
        <v>1006</v>
      </c>
    </row>
    <row r="219" spans="2:8" x14ac:dyDescent="0.25">
      <c r="B219" t="s">
        <v>1008</v>
      </c>
      <c r="C219" t="s">
        <v>1009</v>
      </c>
      <c r="D219" t="s">
        <v>1010</v>
      </c>
      <c r="E219" t="s">
        <v>1010</v>
      </c>
      <c r="H219" t="s">
        <v>1008</v>
      </c>
    </row>
    <row r="220" spans="2:8" x14ac:dyDescent="0.25">
      <c r="B220" t="s">
        <v>1011</v>
      </c>
      <c r="C220" t="s">
        <v>1009</v>
      </c>
      <c r="D220" t="s">
        <v>1012</v>
      </c>
      <c r="E220" t="s">
        <v>1012</v>
      </c>
      <c r="H220" t="s">
        <v>1011</v>
      </c>
    </row>
    <row r="221" spans="2:8" x14ac:dyDescent="0.25">
      <c r="B221" t="s">
        <v>1013</v>
      </c>
      <c r="C221" t="s">
        <v>1014</v>
      </c>
      <c r="D221" t="s">
        <v>1015</v>
      </c>
      <c r="E221" t="s">
        <v>1015</v>
      </c>
      <c r="H221" t="s">
        <v>1013</v>
      </c>
    </row>
    <row r="222" spans="2:8" x14ac:dyDescent="0.25">
      <c r="B222" t="s">
        <v>1016</v>
      </c>
      <c r="C222" t="s">
        <v>1017</v>
      </c>
      <c r="D222" t="s">
        <v>1018</v>
      </c>
      <c r="E222" t="s">
        <v>1018</v>
      </c>
      <c r="H222" t="s">
        <v>1016</v>
      </c>
    </row>
    <row r="223" spans="2:8" x14ac:dyDescent="0.25">
      <c r="B223" t="s">
        <v>1019</v>
      </c>
      <c r="C223" t="s">
        <v>1020</v>
      </c>
      <c r="D223" t="s">
        <v>1021</v>
      </c>
      <c r="E223" t="s">
        <v>1021</v>
      </c>
      <c r="H223" t="s">
        <v>1019</v>
      </c>
    </row>
    <row r="224" spans="2:8" x14ac:dyDescent="0.25">
      <c r="B224" t="s">
        <v>1022</v>
      </c>
      <c r="C224" t="s">
        <v>1023</v>
      </c>
      <c r="D224" t="s">
        <v>1024</v>
      </c>
      <c r="E224" t="s">
        <v>1024</v>
      </c>
      <c r="H224" t="s">
        <v>1022</v>
      </c>
    </row>
    <row r="225" spans="2:8" x14ac:dyDescent="0.25">
      <c r="B225" t="s">
        <v>1025</v>
      </c>
      <c r="C225" t="s">
        <v>1023</v>
      </c>
      <c r="D225" t="s">
        <v>1026</v>
      </c>
      <c r="E225" t="s">
        <v>1026</v>
      </c>
      <c r="H225" t="s">
        <v>1025</v>
      </c>
    </row>
    <row r="226" spans="2:8" x14ac:dyDescent="0.25">
      <c r="B226" t="s">
        <v>1027</v>
      </c>
      <c r="C226" t="s">
        <v>1028</v>
      </c>
      <c r="D226" t="s">
        <v>1029</v>
      </c>
      <c r="E226" t="s">
        <v>1029</v>
      </c>
      <c r="H226" t="s">
        <v>1027</v>
      </c>
    </row>
    <row r="227" spans="2:8" x14ac:dyDescent="0.25">
      <c r="B227" t="s">
        <v>1030</v>
      </c>
      <c r="C227" t="s">
        <v>1028</v>
      </c>
      <c r="D227" t="s">
        <v>1031</v>
      </c>
      <c r="E227" t="s">
        <v>1031</v>
      </c>
      <c r="H227" t="s">
        <v>1030</v>
      </c>
    </row>
    <row r="228" spans="2:8" x14ac:dyDescent="0.25">
      <c r="B228" t="s">
        <v>1032</v>
      </c>
      <c r="C228" t="s">
        <v>1033</v>
      </c>
      <c r="D228" t="s">
        <v>1034</v>
      </c>
      <c r="E228" t="s">
        <v>1034</v>
      </c>
      <c r="H228" t="s">
        <v>1032</v>
      </c>
    </row>
    <row r="229" spans="2:8" x14ac:dyDescent="0.25">
      <c r="B229" t="s">
        <v>1035</v>
      </c>
      <c r="C229" t="s">
        <v>1033</v>
      </c>
      <c r="D229" t="s">
        <v>1036</v>
      </c>
      <c r="E229" t="s">
        <v>1036</v>
      </c>
      <c r="H229" t="s">
        <v>1035</v>
      </c>
    </row>
    <row r="230" spans="2:8" x14ac:dyDescent="0.25">
      <c r="B230" t="s">
        <v>1037</v>
      </c>
      <c r="C230" t="s">
        <v>1038</v>
      </c>
      <c r="D230" t="s">
        <v>1039</v>
      </c>
      <c r="E230" t="s">
        <v>1039</v>
      </c>
      <c r="H230" t="s">
        <v>1037</v>
      </c>
    </row>
    <row r="231" spans="2:8" x14ac:dyDescent="0.25">
      <c r="B231" t="s">
        <v>1040</v>
      </c>
      <c r="C231" t="s">
        <v>1038</v>
      </c>
      <c r="D231" t="s">
        <v>1041</v>
      </c>
      <c r="E231" t="s">
        <v>1041</v>
      </c>
      <c r="H231" t="s">
        <v>1040</v>
      </c>
    </row>
    <row r="232" spans="2:8" x14ac:dyDescent="0.25">
      <c r="B232" t="s">
        <v>1042</v>
      </c>
      <c r="C232" t="s">
        <v>1043</v>
      </c>
      <c r="D232" t="s">
        <v>1044</v>
      </c>
      <c r="E232" t="s">
        <v>1044</v>
      </c>
      <c r="H232" t="s">
        <v>1042</v>
      </c>
    </row>
    <row r="233" spans="2:8" x14ac:dyDescent="0.25">
      <c r="B233" t="s">
        <v>1045</v>
      </c>
      <c r="C233" t="s">
        <v>1043</v>
      </c>
      <c r="D233" t="s">
        <v>1046</v>
      </c>
      <c r="E233" t="s">
        <v>1046</v>
      </c>
      <c r="H233" t="s">
        <v>1045</v>
      </c>
    </row>
    <row r="234" spans="2:8" x14ac:dyDescent="0.25">
      <c r="B234" t="s">
        <v>1047</v>
      </c>
      <c r="C234" t="s">
        <v>1043</v>
      </c>
      <c r="D234" t="s">
        <v>1048</v>
      </c>
      <c r="E234" t="s">
        <v>1048</v>
      </c>
      <c r="H234" t="s">
        <v>1047</v>
      </c>
    </row>
    <row r="235" spans="2:8" x14ac:dyDescent="0.25">
      <c r="B235" t="s">
        <v>1049</v>
      </c>
      <c r="C235" t="s">
        <v>1043</v>
      </c>
      <c r="D235" t="s">
        <v>1050</v>
      </c>
      <c r="E235" t="s">
        <v>1050</v>
      </c>
      <c r="H235" t="s">
        <v>1049</v>
      </c>
    </row>
    <row r="236" spans="2:8" x14ac:dyDescent="0.25">
      <c r="B236" t="s">
        <v>1051</v>
      </c>
      <c r="C236" t="s">
        <v>1043</v>
      </c>
      <c r="D236" t="s">
        <v>1052</v>
      </c>
      <c r="E236" t="s">
        <v>1052</v>
      </c>
      <c r="H236" t="s">
        <v>1051</v>
      </c>
    </row>
    <row r="237" spans="2:8" x14ac:dyDescent="0.25">
      <c r="B237" t="s">
        <v>1053</v>
      </c>
      <c r="C237" t="s">
        <v>1043</v>
      </c>
      <c r="D237" t="s">
        <v>1054</v>
      </c>
      <c r="E237" t="s">
        <v>1054</v>
      </c>
      <c r="H237" t="s">
        <v>1053</v>
      </c>
    </row>
    <row r="238" spans="2:8" x14ac:dyDescent="0.25">
      <c r="B238" t="s">
        <v>1055</v>
      </c>
      <c r="C238" t="s">
        <v>1056</v>
      </c>
      <c r="D238" t="s">
        <v>1057</v>
      </c>
      <c r="E238" t="s">
        <v>1057</v>
      </c>
      <c r="H238" t="s">
        <v>1055</v>
      </c>
    </row>
    <row r="239" spans="2:8" x14ac:dyDescent="0.25">
      <c r="B239" t="s">
        <v>1058</v>
      </c>
      <c r="C239" t="s">
        <v>1056</v>
      </c>
      <c r="D239" t="s">
        <v>1059</v>
      </c>
      <c r="E239" t="s">
        <v>1059</v>
      </c>
      <c r="H239" t="s">
        <v>1058</v>
      </c>
    </row>
    <row r="240" spans="2:8" x14ac:dyDescent="0.25">
      <c r="B240" t="s">
        <v>1060</v>
      </c>
      <c r="C240" t="s">
        <v>1061</v>
      </c>
      <c r="D240" t="s">
        <v>1062</v>
      </c>
      <c r="E240" t="s">
        <v>1062</v>
      </c>
      <c r="H240" t="s">
        <v>1060</v>
      </c>
    </row>
    <row r="241" spans="2:8" x14ac:dyDescent="0.25">
      <c r="B241" t="s">
        <v>1063</v>
      </c>
      <c r="C241" t="s">
        <v>1064</v>
      </c>
      <c r="D241" t="s">
        <v>1065</v>
      </c>
      <c r="E241" t="s">
        <v>1065</v>
      </c>
      <c r="H241" t="s">
        <v>1063</v>
      </c>
    </row>
    <row r="242" spans="2:8" x14ac:dyDescent="0.25">
      <c r="B242" t="s">
        <v>1066</v>
      </c>
      <c r="C242" t="s">
        <v>1067</v>
      </c>
      <c r="D242" t="s">
        <v>1068</v>
      </c>
      <c r="E242" t="s">
        <v>1068</v>
      </c>
      <c r="H242" t="s">
        <v>1066</v>
      </c>
    </row>
    <row r="243" spans="2:8" x14ac:dyDescent="0.25">
      <c r="B243" t="s">
        <v>1069</v>
      </c>
      <c r="C243" t="s">
        <v>1070</v>
      </c>
      <c r="D243" t="s">
        <v>1071</v>
      </c>
      <c r="E243" t="s">
        <v>1071</v>
      </c>
      <c r="H243" t="s">
        <v>1069</v>
      </c>
    </row>
    <row r="244" spans="2:8" x14ac:dyDescent="0.25">
      <c r="B244" t="s">
        <v>1072</v>
      </c>
      <c r="C244" t="s">
        <v>1070</v>
      </c>
      <c r="D244" t="s">
        <v>1073</v>
      </c>
      <c r="E244" t="s">
        <v>1073</v>
      </c>
      <c r="H244" t="s">
        <v>1072</v>
      </c>
    </row>
    <row r="245" spans="2:8" x14ac:dyDescent="0.25">
      <c r="B245" t="s">
        <v>1074</v>
      </c>
      <c r="C245" t="s">
        <v>1075</v>
      </c>
      <c r="D245" t="s">
        <v>1076</v>
      </c>
      <c r="E245" t="s">
        <v>1076</v>
      </c>
      <c r="H245" t="s">
        <v>1074</v>
      </c>
    </row>
    <row r="246" spans="2:8" x14ac:dyDescent="0.25">
      <c r="B246" t="s">
        <v>1077</v>
      </c>
      <c r="C246" t="s">
        <v>1078</v>
      </c>
      <c r="D246" t="s">
        <v>1079</v>
      </c>
      <c r="E246" t="s">
        <v>1079</v>
      </c>
      <c r="H246" t="s">
        <v>1077</v>
      </c>
    </row>
    <row r="247" spans="2:8" x14ac:dyDescent="0.25">
      <c r="B247" t="s">
        <v>1080</v>
      </c>
      <c r="C247" t="s">
        <v>1078</v>
      </c>
      <c r="D247" t="s">
        <v>1081</v>
      </c>
      <c r="E247" t="s">
        <v>1081</v>
      </c>
      <c r="H247" t="s">
        <v>1080</v>
      </c>
    </row>
    <row r="248" spans="2:8" x14ac:dyDescent="0.25">
      <c r="B248" t="s">
        <v>1082</v>
      </c>
      <c r="C248" t="s">
        <v>1078</v>
      </c>
      <c r="D248" t="s">
        <v>1083</v>
      </c>
      <c r="E248" t="s">
        <v>1083</v>
      </c>
      <c r="H248" t="s">
        <v>1082</v>
      </c>
    </row>
    <row r="249" spans="2:8" x14ac:dyDescent="0.25">
      <c r="B249" t="s">
        <v>1084</v>
      </c>
      <c r="C249" t="s">
        <v>1078</v>
      </c>
      <c r="D249" t="s">
        <v>1085</v>
      </c>
      <c r="E249" t="s">
        <v>1085</v>
      </c>
      <c r="H249" t="s">
        <v>1084</v>
      </c>
    </row>
    <row r="250" spans="2:8" x14ac:dyDescent="0.25">
      <c r="B250" t="s">
        <v>1086</v>
      </c>
      <c r="C250" t="s">
        <v>1078</v>
      </c>
      <c r="D250" t="s">
        <v>1087</v>
      </c>
      <c r="E250" t="s">
        <v>1087</v>
      </c>
      <c r="H250" t="s">
        <v>1086</v>
      </c>
    </row>
    <row r="251" spans="2:8" x14ac:dyDescent="0.25">
      <c r="B251" t="s">
        <v>1088</v>
      </c>
      <c r="C251" t="s">
        <v>1078</v>
      </c>
      <c r="D251" t="s">
        <v>1089</v>
      </c>
      <c r="E251" t="s">
        <v>1089</v>
      </c>
      <c r="H251" t="s">
        <v>1088</v>
      </c>
    </row>
    <row r="252" spans="2:8" x14ac:dyDescent="0.25">
      <c r="B252" t="s">
        <v>1090</v>
      </c>
      <c r="C252" t="s">
        <v>1078</v>
      </c>
      <c r="D252" t="s">
        <v>1091</v>
      </c>
      <c r="E252" t="s">
        <v>1091</v>
      </c>
      <c r="H252" t="s">
        <v>1090</v>
      </c>
    </row>
    <row r="253" spans="2:8" x14ac:dyDescent="0.25">
      <c r="B253" t="s">
        <v>1092</v>
      </c>
      <c r="C253" t="s">
        <v>1078</v>
      </c>
      <c r="D253" t="s">
        <v>1093</v>
      </c>
      <c r="E253" t="s">
        <v>1093</v>
      </c>
      <c r="H253" t="s">
        <v>1092</v>
      </c>
    </row>
    <row r="254" spans="2:8" x14ac:dyDescent="0.25">
      <c r="B254" t="s">
        <v>1094</v>
      </c>
      <c r="C254" t="s">
        <v>1095</v>
      </c>
      <c r="D254" t="s">
        <v>1096</v>
      </c>
      <c r="E254" t="s">
        <v>1096</v>
      </c>
      <c r="H254" t="s">
        <v>1094</v>
      </c>
    </row>
    <row r="255" spans="2:8" x14ac:dyDescent="0.25">
      <c r="B255" t="s">
        <v>1097</v>
      </c>
      <c r="C255" t="s">
        <v>1098</v>
      </c>
      <c r="D255" t="s">
        <v>1099</v>
      </c>
      <c r="E255" t="s">
        <v>1099</v>
      </c>
      <c r="H255" t="s">
        <v>1097</v>
      </c>
    </row>
    <row r="256" spans="2:8" x14ac:dyDescent="0.25">
      <c r="B256" t="s">
        <v>1100</v>
      </c>
      <c r="C256" t="s">
        <v>1101</v>
      </c>
      <c r="D256" t="s">
        <v>1102</v>
      </c>
      <c r="E256" t="s">
        <v>1102</v>
      </c>
      <c r="H256" t="s">
        <v>1100</v>
      </c>
    </row>
    <row r="257" spans="2:8" x14ac:dyDescent="0.25">
      <c r="B257" t="s">
        <v>1103</v>
      </c>
      <c r="C257" t="s">
        <v>1104</v>
      </c>
      <c r="D257" t="s">
        <v>1105</v>
      </c>
      <c r="E257" t="s">
        <v>1105</v>
      </c>
      <c r="H257" t="s">
        <v>1103</v>
      </c>
    </row>
    <row r="258" spans="2:8" x14ac:dyDescent="0.25">
      <c r="B258" t="s">
        <v>1106</v>
      </c>
      <c r="C258" t="s">
        <v>1107</v>
      </c>
      <c r="D258" t="s">
        <v>1108</v>
      </c>
      <c r="E258" t="s">
        <v>1108</v>
      </c>
      <c r="H258" t="s">
        <v>1106</v>
      </c>
    </row>
    <row r="259" spans="2:8" x14ac:dyDescent="0.25">
      <c r="B259" t="s">
        <v>1109</v>
      </c>
      <c r="C259" t="s">
        <v>1107</v>
      </c>
      <c r="D259" t="s">
        <v>1110</v>
      </c>
      <c r="E259" t="s">
        <v>1110</v>
      </c>
      <c r="H259" t="s">
        <v>1109</v>
      </c>
    </row>
    <row r="260" spans="2:8" x14ac:dyDescent="0.25">
      <c r="B260" t="s">
        <v>1111</v>
      </c>
      <c r="C260" t="s">
        <v>1107</v>
      </c>
      <c r="D260" t="s">
        <v>1112</v>
      </c>
      <c r="E260" t="s">
        <v>1112</v>
      </c>
      <c r="H260" t="s">
        <v>1111</v>
      </c>
    </row>
    <row r="261" spans="2:8" x14ac:dyDescent="0.25">
      <c r="B261" t="s">
        <v>1113</v>
      </c>
      <c r="C261" t="s">
        <v>1107</v>
      </c>
      <c r="D261" t="s">
        <v>1114</v>
      </c>
      <c r="E261" t="s">
        <v>1114</v>
      </c>
      <c r="H261" t="s">
        <v>1113</v>
      </c>
    </row>
    <row r="262" spans="2:8" x14ac:dyDescent="0.25">
      <c r="B262" t="s">
        <v>1115</v>
      </c>
      <c r="C262" t="s">
        <v>1107</v>
      </c>
      <c r="D262" t="s">
        <v>1116</v>
      </c>
      <c r="E262" t="s">
        <v>1116</v>
      </c>
      <c r="H262" t="s">
        <v>1115</v>
      </c>
    </row>
    <row r="263" spans="2:8" x14ac:dyDescent="0.25">
      <c r="B263" t="s">
        <v>1117</v>
      </c>
      <c r="C263" t="s">
        <v>1107</v>
      </c>
      <c r="D263" t="s">
        <v>1118</v>
      </c>
      <c r="E263" t="s">
        <v>1118</v>
      </c>
      <c r="H263" t="s">
        <v>1117</v>
      </c>
    </row>
    <row r="264" spans="2:8" x14ac:dyDescent="0.25">
      <c r="B264" t="s">
        <v>1119</v>
      </c>
      <c r="C264" t="s">
        <v>1120</v>
      </c>
      <c r="D264" t="s">
        <v>1121</v>
      </c>
      <c r="E264" t="s">
        <v>1121</v>
      </c>
      <c r="H264" t="s">
        <v>1119</v>
      </c>
    </row>
    <row r="265" spans="2:8" x14ac:dyDescent="0.25">
      <c r="B265" t="s">
        <v>1122</v>
      </c>
      <c r="C265" t="s">
        <v>1120</v>
      </c>
      <c r="D265" t="s">
        <v>1123</v>
      </c>
      <c r="E265" t="s">
        <v>1123</v>
      </c>
      <c r="H265" t="s">
        <v>1122</v>
      </c>
    </row>
    <row r="266" spans="2:8" x14ac:dyDescent="0.25">
      <c r="B266" t="s">
        <v>1124</v>
      </c>
      <c r="C266" t="s">
        <v>1120</v>
      </c>
      <c r="D266" t="s">
        <v>1125</v>
      </c>
      <c r="E266" t="s">
        <v>1125</v>
      </c>
      <c r="H266" t="s">
        <v>1124</v>
      </c>
    </row>
    <row r="267" spans="2:8" x14ac:dyDescent="0.25">
      <c r="B267" t="s">
        <v>1126</v>
      </c>
      <c r="C267" t="s">
        <v>1120</v>
      </c>
      <c r="D267" t="s">
        <v>1127</v>
      </c>
      <c r="E267" t="s">
        <v>1127</v>
      </c>
      <c r="H267" t="s">
        <v>1126</v>
      </c>
    </row>
    <row r="268" spans="2:8" x14ac:dyDescent="0.25">
      <c r="B268" t="s">
        <v>1128</v>
      </c>
      <c r="C268" t="s">
        <v>1120</v>
      </c>
      <c r="D268" t="s">
        <v>1129</v>
      </c>
      <c r="E268" t="s">
        <v>1129</v>
      </c>
      <c r="H268" t="s">
        <v>1128</v>
      </c>
    </row>
    <row r="269" spans="2:8" x14ac:dyDescent="0.25">
      <c r="B269" t="s">
        <v>1130</v>
      </c>
      <c r="C269" t="s">
        <v>1120</v>
      </c>
      <c r="D269" t="s">
        <v>1131</v>
      </c>
      <c r="E269" t="s">
        <v>1131</v>
      </c>
      <c r="H269" t="s">
        <v>1130</v>
      </c>
    </row>
    <row r="270" spans="2:8" x14ac:dyDescent="0.25">
      <c r="B270" t="s">
        <v>1132</v>
      </c>
      <c r="C270" t="s">
        <v>1133</v>
      </c>
      <c r="D270" t="s">
        <v>1134</v>
      </c>
      <c r="E270" t="s">
        <v>1134</v>
      </c>
      <c r="H270" t="s">
        <v>1132</v>
      </c>
    </row>
    <row r="271" spans="2:8" x14ac:dyDescent="0.25">
      <c r="B271" t="s">
        <v>1135</v>
      </c>
      <c r="C271" t="s">
        <v>1133</v>
      </c>
      <c r="D271" t="s">
        <v>1136</v>
      </c>
      <c r="E271" t="s">
        <v>1136</v>
      </c>
      <c r="H271" t="s">
        <v>1135</v>
      </c>
    </row>
    <row r="272" spans="2:8" x14ac:dyDescent="0.25">
      <c r="B272" t="s">
        <v>1137</v>
      </c>
      <c r="C272" t="s">
        <v>1133</v>
      </c>
      <c r="D272" t="s">
        <v>1138</v>
      </c>
      <c r="E272" t="s">
        <v>1138</v>
      </c>
      <c r="H272" t="s">
        <v>1137</v>
      </c>
    </row>
    <row r="273" spans="2:8" x14ac:dyDescent="0.25">
      <c r="B273" t="s">
        <v>1139</v>
      </c>
      <c r="C273" t="s">
        <v>1133</v>
      </c>
      <c r="D273" t="s">
        <v>1140</v>
      </c>
      <c r="E273" t="s">
        <v>1140</v>
      </c>
      <c r="H273" t="s">
        <v>1139</v>
      </c>
    </row>
    <row r="274" spans="2:8" x14ac:dyDescent="0.25">
      <c r="B274" t="s">
        <v>1141</v>
      </c>
      <c r="C274" t="s">
        <v>1133</v>
      </c>
      <c r="D274" t="s">
        <v>1142</v>
      </c>
      <c r="E274" t="s">
        <v>1142</v>
      </c>
      <c r="H274" t="s">
        <v>1141</v>
      </c>
    </row>
    <row r="275" spans="2:8" x14ac:dyDescent="0.25">
      <c r="B275" t="s">
        <v>1143</v>
      </c>
      <c r="C275" t="s">
        <v>1133</v>
      </c>
      <c r="D275" t="s">
        <v>1144</v>
      </c>
      <c r="E275" t="s">
        <v>1144</v>
      </c>
      <c r="H275" t="s">
        <v>1143</v>
      </c>
    </row>
    <row r="276" spans="2:8" x14ac:dyDescent="0.25">
      <c r="B276" t="s">
        <v>1145</v>
      </c>
      <c r="C276" t="s">
        <v>1146</v>
      </c>
      <c r="D276" t="s">
        <v>1147</v>
      </c>
      <c r="E276" t="s">
        <v>1147</v>
      </c>
      <c r="H276" t="s">
        <v>1145</v>
      </c>
    </row>
    <row r="277" spans="2:8" x14ac:dyDescent="0.25">
      <c r="B277" t="s">
        <v>1148</v>
      </c>
      <c r="C277" t="s">
        <v>1149</v>
      </c>
      <c r="D277" t="s">
        <v>1150</v>
      </c>
      <c r="E277" t="s">
        <v>1150</v>
      </c>
      <c r="H277" t="s">
        <v>1148</v>
      </c>
    </row>
    <row r="278" spans="2:8" x14ac:dyDescent="0.25">
      <c r="B278" t="s">
        <v>1151</v>
      </c>
      <c r="C278" t="s">
        <v>1146</v>
      </c>
      <c r="D278" t="s">
        <v>1152</v>
      </c>
      <c r="E278" t="s">
        <v>1152</v>
      </c>
      <c r="H278" t="s">
        <v>1151</v>
      </c>
    </row>
    <row r="279" spans="2:8" x14ac:dyDescent="0.25">
      <c r="B279" t="s">
        <v>1153</v>
      </c>
      <c r="C279" t="s">
        <v>1149</v>
      </c>
      <c r="D279" t="s">
        <v>1154</v>
      </c>
      <c r="E279" t="s">
        <v>1154</v>
      </c>
      <c r="H279" t="s">
        <v>1153</v>
      </c>
    </row>
    <row r="280" spans="2:8" x14ac:dyDescent="0.25">
      <c r="B280" t="s">
        <v>1155</v>
      </c>
      <c r="C280" t="s">
        <v>1146</v>
      </c>
      <c r="D280" t="s">
        <v>1156</v>
      </c>
      <c r="E280" t="s">
        <v>1156</v>
      </c>
      <c r="H280" t="s">
        <v>1155</v>
      </c>
    </row>
    <row r="281" spans="2:8" x14ac:dyDescent="0.25">
      <c r="B281" t="s">
        <v>1157</v>
      </c>
      <c r="C281" t="s">
        <v>1149</v>
      </c>
      <c r="D281" t="s">
        <v>1158</v>
      </c>
      <c r="E281" t="s">
        <v>1158</v>
      </c>
      <c r="H281" t="s">
        <v>1157</v>
      </c>
    </row>
    <row r="282" spans="2:8" x14ac:dyDescent="0.25">
      <c r="B282" t="s">
        <v>1159</v>
      </c>
      <c r="C282" t="s">
        <v>1160</v>
      </c>
      <c r="D282" t="s">
        <v>1161</v>
      </c>
      <c r="E282" t="s">
        <v>1161</v>
      </c>
      <c r="H282" t="s">
        <v>1159</v>
      </c>
    </row>
    <row r="283" spans="2:8" x14ac:dyDescent="0.25">
      <c r="B283" t="s">
        <v>1162</v>
      </c>
      <c r="C283" t="s">
        <v>1163</v>
      </c>
      <c r="D283" t="s">
        <v>1164</v>
      </c>
      <c r="E283" t="s">
        <v>1164</v>
      </c>
      <c r="H283" t="s">
        <v>1162</v>
      </c>
    </row>
    <row r="284" spans="2:8" x14ac:dyDescent="0.25">
      <c r="B284" t="s">
        <v>1165</v>
      </c>
      <c r="C284" t="s">
        <v>1160</v>
      </c>
      <c r="D284" t="s">
        <v>1166</v>
      </c>
      <c r="E284" t="s">
        <v>1166</v>
      </c>
      <c r="H284" t="s">
        <v>1165</v>
      </c>
    </row>
    <row r="285" spans="2:8" x14ac:dyDescent="0.25">
      <c r="B285" t="s">
        <v>1167</v>
      </c>
      <c r="C285" t="s">
        <v>1163</v>
      </c>
      <c r="D285" t="s">
        <v>1168</v>
      </c>
      <c r="E285" t="s">
        <v>1168</v>
      </c>
      <c r="H285" t="s">
        <v>1167</v>
      </c>
    </row>
    <row r="286" spans="2:8" x14ac:dyDescent="0.25">
      <c r="B286" t="s">
        <v>1169</v>
      </c>
      <c r="C286" t="s">
        <v>1160</v>
      </c>
      <c r="D286" t="s">
        <v>1170</v>
      </c>
      <c r="E286" t="s">
        <v>1170</v>
      </c>
      <c r="H286" t="s">
        <v>1169</v>
      </c>
    </row>
    <row r="287" spans="2:8" x14ac:dyDescent="0.25">
      <c r="B287" t="s">
        <v>1171</v>
      </c>
      <c r="C287" t="s">
        <v>1163</v>
      </c>
      <c r="D287" t="s">
        <v>1172</v>
      </c>
      <c r="E287" t="s">
        <v>1172</v>
      </c>
      <c r="H287" t="s">
        <v>1171</v>
      </c>
    </row>
    <row r="288" spans="2:8" x14ac:dyDescent="0.25">
      <c r="B288" t="s">
        <v>1173</v>
      </c>
      <c r="C288" t="s">
        <v>1174</v>
      </c>
      <c r="D288" t="s">
        <v>1175</v>
      </c>
      <c r="E288" t="s">
        <v>1175</v>
      </c>
      <c r="H288" t="s">
        <v>1173</v>
      </c>
    </row>
    <row r="289" spans="2:8" x14ac:dyDescent="0.25">
      <c r="B289" t="s">
        <v>1176</v>
      </c>
      <c r="C289" t="s">
        <v>1174</v>
      </c>
      <c r="D289" t="s">
        <v>1177</v>
      </c>
      <c r="E289" t="s">
        <v>1177</v>
      </c>
      <c r="H289" t="s">
        <v>1176</v>
      </c>
    </row>
    <row r="290" spans="2:8" x14ac:dyDescent="0.25">
      <c r="B290" t="s">
        <v>1178</v>
      </c>
      <c r="C290" t="s">
        <v>1174</v>
      </c>
      <c r="D290" t="s">
        <v>1179</v>
      </c>
      <c r="E290" t="s">
        <v>1179</v>
      </c>
      <c r="H290" t="s">
        <v>1178</v>
      </c>
    </row>
    <row r="291" spans="2:8" x14ac:dyDescent="0.25">
      <c r="B291" t="s">
        <v>1180</v>
      </c>
      <c r="C291" t="s">
        <v>1174</v>
      </c>
      <c r="D291" t="s">
        <v>1181</v>
      </c>
      <c r="E291" t="s">
        <v>1181</v>
      </c>
      <c r="H291" t="s">
        <v>1180</v>
      </c>
    </row>
    <row r="292" spans="2:8" x14ac:dyDescent="0.25">
      <c r="B292" t="s">
        <v>1182</v>
      </c>
      <c r="C292" t="s">
        <v>1174</v>
      </c>
      <c r="D292" t="s">
        <v>1183</v>
      </c>
      <c r="E292" t="s">
        <v>1183</v>
      </c>
      <c r="H292" t="s">
        <v>1182</v>
      </c>
    </row>
    <row r="293" spans="2:8" x14ac:dyDescent="0.25">
      <c r="B293" t="s">
        <v>1184</v>
      </c>
      <c r="C293" t="s">
        <v>1174</v>
      </c>
      <c r="D293" t="s">
        <v>1185</v>
      </c>
      <c r="E293" t="s">
        <v>1185</v>
      </c>
      <c r="H293" t="s">
        <v>1184</v>
      </c>
    </row>
    <row r="294" spans="2:8" x14ac:dyDescent="0.25">
      <c r="B294" t="s">
        <v>1186</v>
      </c>
      <c r="C294" t="s">
        <v>1187</v>
      </c>
      <c r="D294" t="s">
        <v>1188</v>
      </c>
      <c r="E294" t="s">
        <v>1188</v>
      </c>
      <c r="H294" t="s">
        <v>1186</v>
      </c>
    </row>
    <row r="295" spans="2:8" x14ac:dyDescent="0.25">
      <c r="B295" t="s">
        <v>1189</v>
      </c>
      <c r="C295" t="s">
        <v>1190</v>
      </c>
      <c r="D295" t="s">
        <v>1191</v>
      </c>
      <c r="E295" t="s">
        <v>1191</v>
      </c>
      <c r="H295" t="s">
        <v>1189</v>
      </c>
    </row>
    <row r="296" spans="2:8" x14ac:dyDescent="0.25">
      <c r="B296" t="s">
        <v>1192</v>
      </c>
      <c r="C296" t="s">
        <v>1193</v>
      </c>
      <c r="D296" t="s">
        <v>1194</v>
      </c>
      <c r="E296" t="s">
        <v>1194</v>
      </c>
      <c r="H296" t="s">
        <v>1192</v>
      </c>
    </row>
    <row r="297" spans="2:8" x14ac:dyDescent="0.25">
      <c r="B297" t="s">
        <v>1195</v>
      </c>
      <c r="C297" t="s">
        <v>1196</v>
      </c>
      <c r="D297" t="s">
        <v>1197</v>
      </c>
      <c r="E297" t="s">
        <v>1197</v>
      </c>
      <c r="H297" t="s">
        <v>1195</v>
      </c>
    </row>
    <row r="298" spans="2:8" x14ac:dyDescent="0.25">
      <c r="B298" t="s">
        <v>1198</v>
      </c>
      <c r="C298" t="s">
        <v>1199</v>
      </c>
      <c r="D298" t="s">
        <v>1200</v>
      </c>
      <c r="E298" t="s">
        <v>1200</v>
      </c>
      <c r="H298" t="s">
        <v>1198</v>
      </c>
    </row>
    <row r="299" spans="2:8" x14ac:dyDescent="0.25">
      <c r="B299" t="s">
        <v>1201</v>
      </c>
      <c r="C299" t="s">
        <v>1202</v>
      </c>
      <c r="D299" t="s">
        <v>1203</v>
      </c>
      <c r="E299" t="s">
        <v>1203</v>
      </c>
      <c r="H299" t="s">
        <v>1201</v>
      </c>
    </row>
    <row r="300" spans="2:8" x14ac:dyDescent="0.25">
      <c r="B300" t="s">
        <v>1204</v>
      </c>
      <c r="C300" t="s">
        <v>1205</v>
      </c>
      <c r="D300" t="s">
        <v>1206</v>
      </c>
      <c r="E300" t="s">
        <v>1206</v>
      </c>
      <c r="H300" t="s">
        <v>1204</v>
      </c>
    </row>
    <row r="301" spans="2:8" x14ac:dyDescent="0.25">
      <c r="B301" t="s">
        <v>1207</v>
      </c>
      <c r="C301" t="s">
        <v>1208</v>
      </c>
      <c r="D301" t="s">
        <v>1209</v>
      </c>
      <c r="E301" t="s">
        <v>1209</v>
      </c>
      <c r="H301" t="s">
        <v>1207</v>
      </c>
    </row>
    <row r="302" spans="2:8" x14ac:dyDescent="0.25">
      <c r="B302" t="s">
        <v>1210</v>
      </c>
      <c r="C302" t="s">
        <v>1211</v>
      </c>
      <c r="D302" t="s">
        <v>1212</v>
      </c>
      <c r="E302" t="s">
        <v>1212</v>
      </c>
      <c r="H302" t="s">
        <v>1210</v>
      </c>
    </row>
    <row r="303" spans="2:8" x14ac:dyDescent="0.25">
      <c r="B303" t="s">
        <v>1213</v>
      </c>
      <c r="C303" t="s">
        <v>1214</v>
      </c>
      <c r="D303" t="s">
        <v>1215</v>
      </c>
      <c r="E303" t="s">
        <v>1215</v>
      </c>
      <c r="H303" t="s">
        <v>1213</v>
      </c>
    </row>
    <row r="304" spans="2:8" x14ac:dyDescent="0.25">
      <c r="B304" t="s">
        <v>1216</v>
      </c>
      <c r="C304" t="s">
        <v>1217</v>
      </c>
      <c r="D304" t="s">
        <v>1218</v>
      </c>
      <c r="E304" t="s">
        <v>1218</v>
      </c>
      <c r="H304" t="s">
        <v>1216</v>
      </c>
    </row>
    <row r="305" spans="2:8" x14ac:dyDescent="0.25">
      <c r="B305" t="s">
        <v>1219</v>
      </c>
      <c r="C305" t="s">
        <v>1220</v>
      </c>
      <c r="D305" t="s">
        <v>1221</v>
      </c>
      <c r="E305" t="s">
        <v>1221</v>
      </c>
      <c r="H305" t="s">
        <v>1219</v>
      </c>
    </row>
    <row r="306" spans="2:8" x14ac:dyDescent="0.25">
      <c r="B306" t="s">
        <v>1222</v>
      </c>
      <c r="C306" t="s">
        <v>1223</v>
      </c>
      <c r="D306" t="s">
        <v>1224</v>
      </c>
      <c r="E306" t="s">
        <v>1224</v>
      </c>
      <c r="H306" t="s">
        <v>1222</v>
      </c>
    </row>
    <row r="307" spans="2:8" x14ac:dyDescent="0.25">
      <c r="B307" t="s">
        <v>1225</v>
      </c>
      <c r="C307" t="s">
        <v>1226</v>
      </c>
      <c r="D307" t="s">
        <v>1227</v>
      </c>
      <c r="E307" t="s">
        <v>1227</v>
      </c>
      <c r="H307" t="s">
        <v>1225</v>
      </c>
    </row>
    <row r="308" spans="2:8" x14ac:dyDescent="0.25">
      <c r="B308" t="s">
        <v>1228</v>
      </c>
      <c r="C308" t="s">
        <v>1229</v>
      </c>
      <c r="D308" t="s">
        <v>1230</v>
      </c>
      <c r="E308" t="s">
        <v>1230</v>
      </c>
      <c r="H308" t="s">
        <v>1228</v>
      </c>
    </row>
    <row r="309" spans="2:8" x14ac:dyDescent="0.25">
      <c r="B309" t="s">
        <v>1231</v>
      </c>
      <c r="C309" t="s">
        <v>1232</v>
      </c>
      <c r="D309" t="s">
        <v>1233</v>
      </c>
      <c r="E309" t="s">
        <v>1233</v>
      </c>
      <c r="H309" t="s">
        <v>1231</v>
      </c>
    </row>
    <row r="310" spans="2:8" x14ac:dyDescent="0.25">
      <c r="B310" t="s">
        <v>1234</v>
      </c>
      <c r="C310" t="s">
        <v>1235</v>
      </c>
      <c r="D310" t="s">
        <v>1236</v>
      </c>
      <c r="E310" t="s">
        <v>1236</v>
      </c>
      <c r="H310" t="s">
        <v>1234</v>
      </c>
    </row>
    <row r="311" spans="2:8" x14ac:dyDescent="0.25">
      <c r="B311" t="s">
        <v>1237</v>
      </c>
      <c r="C311" t="s">
        <v>1238</v>
      </c>
      <c r="D311" t="s">
        <v>1239</v>
      </c>
      <c r="E311" t="s">
        <v>1239</v>
      </c>
      <c r="H311" t="s">
        <v>1237</v>
      </c>
    </row>
    <row r="312" spans="2:8" x14ac:dyDescent="0.25">
      <c r="B312" t="s">
        <v>1240</v>
      </c>
      <c r="C312" t="s">
        <v>1241</v>
      </c>
      <c r="D312" t="s">
        <v>1242</v>
      </c>
      <c r="E312" t="s">
        <v>1242</v>
      </c>
      <c r="H312" t="s">
        <v>1240</v>
      </c>
    </row>
    <row r="313" spans="2:8" x14ac:dyDescent="0.25">
      <c r="B313" t="s">
        <v>1243</v>
      </c>
      <c r="C313" t="s">
        <v>1244</v>
      </c>
      <c r="D313" t="s">
        <v>1245</v>
      </c>
      <c r="E313" t="s">
        <v>1245</v>
      </c>
      <c r="H313" t="s">
        <v>1243</v>
      </c>
    </row>
    <row r="314" spans="2:8" x14ac:dyDescent="0.25">
      <c r="B314" t="s">
        <v>1246</v>
      </c>
      <c r="C314" t="s">
        <v>1247</v>
      </c>
      <c r="D314" t="s">
        <v>1248</v>
      </c>
      <c r="E314" t="s">
        <v>1248</v>
      </c>
      <c r="H314" t="s">
        <v>1246</v>
      </c>
    </row>
    <row r="315" spans="2:8" x14ac:dyDescent="0.25">
      <c r="B315" t="s">
        <v>1249</v>
      </c>
      <c r="C315" t="s">
        <v>1250</v>
      </c>
      <c r="D315" t="s">
        <v>1251</v>
      </c>
      <c r="E315" t="s">
        <v>1251</v>
      </c>
      <c r="H315" t="s">
        <v>1249</v>
      </c>
    </row>
    <row r="316" spans="2:8" x14ac:dyDescent="0.25">
      <c r="B316" t="s">
        <v>1252</v>
      </c>
      <c r="C316" t="s">
        <v>1253</v>
      </c>
      <c r="D316" t="s">
        <v>1254</v>
      </c>
      <c r="E316" t="s">
        <v>1254</v>
      </c>
      <c r="H316" t="s">
        <v>1252</v>
      </c>
    </row>
    <row r="317" spans="2:8" x14ac:dyDescent="0.25">
      <c r="B317" t="s">
        <v>1255</v>
      </c>
      <c r="C317" t="s">
        <v>1256</v>
      </c>
      <c r="D317" t="s">
        <v>1257</v>
      </c>
      <c r="E317" t="s">
        <v>1257</v>
      </c>
      <c r="H317" t="s">
        <v>1255</v>
      </c>
    </row>
    <row r="318" spans="2:8" x14ac:dyDescent="0.25">
      <c r="B318" t="s">
        <v>1258</v>
      </c>
      <c r="C318" t="s">
        <v>1259</v>
      </c>
      <c r="D318" t="s">
        <v>1260</v>
      </c>
      <c r="E318" t="s">
        <v>1260</v>
      </c>
      <c r="H318" t="s">
        <v>1258</v>
      </c>
    </row>
    <row r="319" spans="2:8" x14ac:dyDescent="0.25">
      <c r="B319" t="s">
        <v>1261</v>
      </c>
      <c r="C319" t="s">
        <v>1262</v>
      </c>
      <c r="D319" t="s">
        <v>1263</v>
      </c>
      <c r="E319" t="s">
        <v>1263</v>
      </c>
      <c r="H319" t="s">
        <v>1261</v>
      </c>
    </row>
    <row r="320" spans="2:8" x14ac:dyDescent="0.25">
      <c r="B320" t="s">
        <v>1264</v>
      </c>
      <c r="C320" t="s">
        <v>1265</v>
      </c>
      <c r="D320" t="s">
        <v>1266</v>
      </c>
      <c r="E320" t="s">
        <v>1266</v>
      </c>
      <c r="H320" t="s">
        <v>1264</v>
      </c>
    </row>
    <row r="321" spans="2:8" x14ac:dyDescent="0.25">
      <c r="B321" t="s">
        <v>1267</v>
      </c>
      <c r="C321" t="s">
        <v>1268</v>
      </c>
      <c r="D321" t="s">
        <v>1269</v>
      </c>
      <c r="E321" t="s">
        <v>1269</v>
      </c>
      <c r="H321" t="s">
        <v>1267</v>
      </c>
    </row>
    <row r="322" spans="2:8" x14ac:dyDescent="0.25">
      <c r="B322" t="s">
        <v>1270</v>
      </c>
      <c r="C322" t="s">
        <v>1271</v>
      </c>
      <c r="D322" t="s">
        <v>1272</v>
      </c>
      <c r="E322" t="s">
        <v>1272</v>
      </c>
      <c r="H322" t="s">
        <v>1270</v>
      </c>
    </row>
    <row r="323" spans="2:8" x14ac:dyDescent="0.25">
      <c r="B323" t="s">
        <v>1273</v>
      </c>
      <c r="C323" t="s">
        <v>1274</v>
      </c>
      <c r="D323" t="s">
        <v>1275</v>
      </c>
      <c r="E323" t="s">
        <v>1275</v>
      </c>
      <c r="H323" t="s">
        <v>1273</v>
      </c>
    </row>
    <row r="324" spans="2:8" x14ac:dyDescent="0.25">
      <c r="B324" t="s">
        <v>1276</v>
      </c>
      <c r="C324" t="s">
        <v>1277</v>
      </c>
      <c r="D324" t="s">
        <v>1278</v>
      </c>
      <c r="E324" t="s">
        <v>1278</v>
      </c>
      <c r="H324" t="s">
        <v>1276</v>
      </c>
    </row>
    <row r="325" spans="2:8" x14ac:dyDescent="0.25">
      <c r="B325" t="s">
        <v>1279</v>
      </c>
      <c r="C325" t="s">
        <v>1280</v>
      </c>
      <c r="D325" t="s">
        <v>1281</v>
      </c>
      <c r="E325" t="s">
        <v>1281</v>
      </c>
      <c r="H325" t="s">
        <v>1279</v>
      </c>
    </row>
    <row r="326" spans="2:8" x14ac:dyDescent="0.25">
      <c r="B326" t="s">
        <v>1282</v>
      </c>
      <c r="C326" t="s">
        <v>1280</v>
      </c>
      <c r="D326" t="s">
        <v>1283</v>
      </c>
      <c r="E326" t="s">
        <v>1283</v>
      </c>
      <c r="H326" t="s">
        <v>1282</v>
      </c>
    </row>
    <row r="327" spans="2:8" x14ac:dyDescent="0.25">
      <c r="B327" t="s">
        <v>1284</v>
      </c>
      <c r="C327" t="s">
        <v>1285</v>
      </c>
      <c r="D327" t="s">
        <v>1286</v>
      </c>
      <c r="E327" t="s">
        <v>1286</v>
      </c>
      <c r="H327" t="s">
        <v>1284</v>
      </c>
    </row>
    <row r="328" spans="2:8" x14ac:dyDescent="0.25">
      <c r="B328" t="s">
        <v>1287</v>
      </c>
      <c r="C328" t="s">
        <v>1285</v>
      </c>
      <c r="D328" t="s">
        <v>1288</v>
      </c>
      <c r="E328" t="s">
        <v>1288</v>
      </c>
      <c r="H328" t="s">
        <v>1287</v>
      </c>
    </row>
    <row r="329" spans="2:8" x14ac:dyDescent="0.25">
      <c r="B329" t="s">
        <v>1289</v>
      </c>
      <c r="C329" t="s">
        <v>1290</v>
      </c>
      <c r="D329" t="s">
        <v>1291</v>
      </c>
      <c r="E329" t="s">
        <v>1291</v>
      </c>
      <c r="H329" t="s">
        <v>1289</v>
      </c>
    </row>
    <row r="330" spans="2:8" x14ac:dyDescent="0.25">
      <c r="B330" t="s">
        <v>1292</v>
      </c>
      <c r="C330" t="s">
        <v>1290</v>
      </c>
      <c r="D330" t="s">
        <v>1293</v>
      </c>
      <c r="E330" t="s">
        <v>1293</v>
      </c>
      <c r="H330" t="s">
        <v>1292</v>
      </c>
    </row>
    <row r="331" spans="2:8" x14ac:dyDescent="0.25">
      <c r="B331" t="s">
        <v>1294</v>
      </c>
      <c r="C331" t="s">
        <v>1295</v>
      </c>
      <c r="D331" t="s">
        <v>1296</v>
      </c>
      <c r="E331" t="s">
        <v>1296</v>
      </c>
      <c r="H331" t="s">
        <v>1294</v>
      </c>
    </row>
    <row r="332" spans="2:8" x14ac:dyDescent="0.25">
      <c r="B332" t="s">
        <v>1297</v>
      </c>
      <c r="C332" t="s">
        <v>1295</v>
      </c>
      <c r="D332" t="s">
        <v>1298</v>
      </c>
      <c r="E332" t="s">
        <v>1298</v>
      </c>
      <c r="H332" t="s">
        <v>1297</v>
      </c>
    </row>
    <row r="333" spans="2:8" x14ac:dyDescent="0.25">
      <c r="B333" t="s">
        <v>1299</v>
      </c>
      <c r="C333" t="s">
        <v>1300</v>
      </c>
      <c r="D333" t="s">
        <v>1301</v>
      </c>
      <c r="E333" t="s">
        <v>1301</v>
      </c>
      <c r="H333" t="s">
        <v>1299</v>
      </c>
    </row>
    <row r="334" spans="2:8" x14ac:dyDescent="0.25">
      <c r="B334" t="s">
        <v>1302</v>
      </c>
      <c r="C334" t="s">
        <v>1300</v>
      </c>
      <c r="D334" t="s">
        <v>1303</v>
      </c>
      <c r="E334" t="s">
        <v>1303</v>
      </c>
      <c r="H334" t="s">
        <v>1302</v>
      </c>
    </row>
    <row r="335" spans="2:8" x14ac:dyDescent="0.25">
      <c r="B335" t="s">
        <v>1304</v>
      </c>
      <c r="C335" t="s">
        <v>1305</v>
      </c>
      <c r="D335" t="s">
        <v>1306</v>
      </c>
      <c r="E335" t="s">
        <v>1306</v>
      </c>
      <c r="H335" t="s">
        <v>1304</v>
      </c>
    </row>
    <row r="336" spans="2:8" x14ac:dyDescent="0.25">
      <c r="B336" t="s">
        <v>1307</v>
      </c>
      <c r="C336" t="s">
        <v>1305</v>
      </c>
      <c r="D336" t="s">
        <v>1308</v>
      </c>
      <c r="E336" t="s">
        <v>1308</v>
      </c>
      <c r="H336" t="s">
        <v>1307</v>
      </c>
    </row>
    <row r="337" spans="2:8" x14ac:dyDescent="0.25">
      <c r="B337" t="s">
        <v>1309</v>
      </c>
      <c r="C337" t="s">
        <v>1310</v>
      </c>
      <c r="D337" t="s">
        <v>1311</v>
      </c>
      <c r="E337" t="s">
        <v>1311</v>
      </c>
      <c r="H337" t="s">
        <v>1309</v>
      </c>
    </row>
    <row r="338" spans="2:8" x14ac:dyDescent="0.25">
      <c r="B338" t="s">
        <v>1312</v>
      </c>
      <c r="C338" t="s">
        <v>1310</v>
      </c>
      <c r="D338" t="s">
        <v>1313</v>
      </c>
      <c r="E338" t="s">
        <v>1313</v>
      </c>
      <c r="H338" t="s">
        <v>1312</v>
      </c>
    </row>
    <row r="339" spans="2:8" x14ac:dyDescent="0.25">
      <c r="B339" t="s">
        <v>1314</v>
      </c>
      <c r="C339" t="s">
        <v>1315</v>
      </c>
      <c r="D339" t="s">
        <v>1316</v>
      </c>
      <c r="E339" t="s">
        <v>1316</v>
      </c>
      <c r="H339" t="s">
        <v>1314</v>
      </c>
    </row>
    <row r="340" spans="2:8" x14ac:dyDescent="0.25">
      <c r="B340" t="s">
        <v>1317</v>
      </c>
      <c r="C340" t="s">
        <v>1315</v>
      </c>
      <c r="D340" t="s">
        <v>1318</v>
      </c>
      <c r="E340" t="s">
        <v>1318</v>
      </c>
      <c r="H340" t="s">
        <v>1317</v>
      </c>
    </row>
    <row r="341" spans="2:8" x14ac:dyDescent="0.25">
      <c r="B341" t="s">
        <v>1319</v>
      </c>
      <c r="C341" t="s">
        <v>1320</v>
      </c>
      <c r="D341" t="s">
        <v>1321</v>
      </c>
      <c r="E341" t="s">
        <v>1321</v>
      </c>
      <c r="H341" t="s">
        <v>1319</v>
      </c>
    </row>
    <row r="342" spans="2:8" x14ac:dyDescent="0.25">
      <c r="B342" t="s">
        <v>1322</v>
      </c>
      <c r="C342" t="s">
        <v>1320</v>
      </c>
      <c r="D342" t="s">
        <v>1323</v>
      </c>
      <c r="E342" t="s">
        <v>1323</v>
      </c>
      <c r="H342" t="s">
        <v>1322</v>
      </c>
    </row>
    <row r="343" spans="2:8" x14ac:dyDescent="0.25">
      <c r="B343" t="s">
        <v>1324</v>
      </c>
      <c r="C343" t="s">
        <v>1325</v>
      </c>
      <c r="D343" t="s">
        <v>1326</v>
      </c>
      <c r="E343" t="s">
        <v>1326</v>
      </c>
      <c r="H343" t="s">
        <v>1324</v>
      </c>
    </row>
    <row r="344" spans="2:8" x14ac:dyDescent="0.25">
      <c r="B344" t="s">
        <v>1327</v>
      </c>
      <c r="C344" t="s">
        <v>1325</v>
      </c>
      <c r="D344" t="s">
        <v>1328</v>
      </c>
      <c r="E344" t="s">
        <v>1328</v>
      </c>
      <c r="H344" t="s">
        <v>1327</v>
      </c>
    </row>
    <row r="345" spans="2:8" x14ac:dyDescent="0.25">
      <c r="B345" t="s">
        <v>1329</v>
      </c>
      <c r="C345" t="s">
        <v>1330</v>
      </c>
      <c r="D345" t="s">
        <v>1331</v>
      </c>
      <c r="E345" t="s">
        <v>1331</v>
      </c>
      <c r="H345" t="s">
        <v>1329</v>
      </c>
    </row>
    <row r="346" spans="2:8" x14ac:dyDescent="0.25">
      <c r="B346" t="s">
        <v>1332</v>
      </c>
      <c r="C346" t="s">
        <v>1330</v>
      </c>
      <c r="D346" t="s">
        <v>1333</v>
      </c>
      <c r="E346" t="s">
        <v>1333</v>
      </c>
      <c r="H346" t="s">
        <v>1332</v>
      </c>
    </row>
    <row r="347" spans="2:8" x14ac:dyDescent="0.25">
      <c r="B347" t="s">
        <v>1334</v>
      </c>
      <c r="C347" t="s">
        <v>1335</v>
      </c>
      <c r="D347" t="s">
        <v>1336</v>
      </c>
      <c r="E347" t="s">
        <v>1336</v>
      </c>
      <c r="H347" t="s">
        <v>1334</v>
      </c>
    </row>
    <row r="348" spans="2:8" x14ac:dyDescent="0.25">
      <c r="B348" t="s">
        <v>1337</v>
      </c>
      <c r="C348" t="s">
        <v>1338</v>
      </c>
      <c r="D348" t="s">
        <v>1339</v>
      </c>
      <c r="E348" t="s">
        <v>1339</v>
      </c>
      <c r="H348" t="s">
        <v>1337</v>
      </c>
    </row>
    <row r="349" spans="2:8" x14ac:dyDescent="0.25">
      <c r="B349" t="s">
        <v>1340</v>
      </c>
      <c r="C349" t="s">
        <v>1341</v>
      </c>
      <c r="D349" t="s">
        <v>1342</v>
      </c>
      <c r="E349" t="s">
        <v>1342</v>
      </c>
      <c r="H349" t="s">
        <v>1340</v>
      </c>
    </row>
    <row r="350" spans="2:8" x14ac:dyDescent="0.25">
      <c r="B350" t="s">
        <v>1343</v>
      </c>
      <c r="C350" t="s">
        <v>1344</v>
      </c>
      <c r="D350" t="s">
        <v>1345</v>
      </c>
      <c r="E350" t="s">
        <v>1345</v>
      </c>
      <c r="H350" t="s">
        <v>1343</v>
      </c>
    </row>
    <row r="351" spans="2:8" x14ac:dyDescent="0.25">
      <c r="B351" t="s">
        <v>1346</v>
      </c>
      <c r="C351" t="s">
        <v>1347</v>
      </c>
      <c r="D351" t="s">
        <v>1348</v>
      </c>
      <c r="E351" t="s">
        <v>1348</v>
      </c>
      <c r="H351" t="s">
        <v>1346</v>
      </c>
    </row>
    <row r="352" spans="2:8" x14ac:dyDescent="0.25">
      <c r="B352" t="s">
        <v>1349</v>
      </c>
      <c r="C352" t="s">
        <v>1347</v>
      </c>
      <c r="D352" t="s">
        <v>1350</v>
      </c>
      <c r="E352" t="s">
        <v>1350</v>
      </c>
      <c r="H352" t="s">
        <v>1349</v>
      </c>
    </row>
    <row r="353" spans="2:8" x14ac:dyDescent="0.25">
      <c r="B353" t="s">
        <v>1351</v>
      </c>
      <c r="C353" t="s">
        <v>1352</v>
      </c>
      <c r="D353" t="s">
        <v>1353</v>
      </c>
      <c r="E353" t="s">
        <v>1353</v>
      </c>
      <c r="H353" t="s">
        <v>1351</v>
      </c>
    </row>
    <row r="354" spans="2:8" x14ac:dyDescent="0.25">
      <c r="B354" t="s">
        <v>1354</v>
      </c>
      <c r="C354" t="s">
        <v>1352</v>
      </c>
      <c r="D354" t="s">
        <v>1355</v>
      </c>
      <c r="E354" t="s">
        <v>1355</v>
      </c>
      <c r="H354" t="s">
        <v>1354</v>
      </c>
    </row>
    <row r="355" spans="2:8" x14ac:dyDescent="0.25">
      <c r="B355" t="s">
        <v>1356</v>
      </c>
      <c r="C355" t="s">
        <v>1357</v>
      </c>
      <c r="D355" t="s">
        <v>1358</v>
      </c>
      <c r="E355" t="s">
        <v>1358</v>
      </c>
      <c r="H355" t="s">
        <v>1356</v>
      </c>
    </row>
    <row r="356" spans="2:8" x14ac:dyDescent="0.25">
      <c r="B356" t="s">
        <v>1359</v>
      </c>
      <c r="C356" t="s">
        <v>1357</v>
      </c>
      <c r="D356" t="s">
        <v>1360</v>
      </c>
      <c r="E356" t="s">
        <v>1360</v>
      </c>
      <c r="H356" t="s">
        <v>1359</v>
      </c>
    </row>
    <row r="357" spans="2:8" x14ac:dyDescent="0.25">
      <c r="B357" t="s">
        <v>1361</v>
      </c>
      <c r="C357" t="s">
        <v>1362</v>
      </c>
      <c r="D357" t="s">
        <v>1363</v>
      </c>
      <c r="E357" t="s">
        <v>1363</v>
      </c>
      <c r="H357" t="s">
        <v>1361</v>
      </c>
    </row>
    <row r="358" spans="2:8" x14ac:dyDescent="0.25">
      <c r="B358" t="s">
        <v>1364</v>
      </c>
      <c r="C358" t="s">
        <v>1362</v>
      </c>
      <c r="D358" t="s">
        <v>1365</v>
      </c>
      <c r="E358" t="s">
        <v>1365</v>
      </c>
      <c r="H358" t="s">
        <v>1364</v>
      </c>
    </row>
    <row r="359" spans="2:8" x14ac:dyDescent="0.25">
      <c r="B359" t="s">
        <v>1366</v>
      </c>
      <c r="C359" t="s">
        <v>1367</v>
      </c>
      <c r="D359" t="s">
        <v>1368</v>
      </c>
      <c r="E359" t="s">
        <v>1368</v>
      </c>
      <c r="H359" t="s">
        <v>1366</v>
      </c>
    </row>
    <row r="360" spans="2:8" x14ac:dyDescent="0.25">
      <c r="B360" t="s">
        <v>1369</v>
      </c>
      <c r="C360" t="s">
        <v>1367</v>
      </c>
      <c r="D360" t="s">
        <v>1370</v>
      </c>
      <c r="E360" t="s">
        <v>1370</v>
      </c>
      <c r="H360" t="s">
        <v>1369</v>
      </c>
    </row>
    <row r="361" spans="2:8" x14ac:dyDescent="0.25">
      <c r="B361" t="s">
        <v>1371</v>
      </c>
      <c r="C361" t="s">
        <v>1372</v>
      </c>
      <c r="D361" t="s">
        <v>1373</v>
      </c>
      <c r="E361" t="s">
        <v>1373</v>
      </c>
      <c r="H361" t="s">
        <v>1371</v>
      </c>
    </row>
    <row r="362" spans="2:8" x14ac:dyDescent="0.25">
      <c r="B362" t="s">
        <v>1374</v>
      </c>
      <c r="C362" t="s">
        <v>1372</v>
      </c>
      <c r="D362" t="s">
        <v>1375</v>
      </c>
      <c r="E362" t="s">
        <v>1375</v>
      </c>
      <c r="H362" t="s">
        <v>1374</v>
      </c>
    </row>
    <row r="363" spans="2:8" x14ac:dyDescent="0.25">
      <c r="B363" t="s">
        <v>1376</v>
      </c>
      <c r="C363" t="s">
        <v>1377</v>
      </c>
      <c r="D363" t="s">
        <v>1378</v>
      </c>
      <c r="E363" t="s">
        <v>1378</v>
      </c>
      <c r="H363" t="s">
        <v>1376</v>
      </c>
    </row>
    <row r="364" spans="2:8" x14ac:dyDescent="0.25">
      <c r="B364" t="s">
        <v>1379</v>
      </c>
      <c r="C364" t="s">
        <v>1380</v>
      </c>
      <c r="D364" t="s">
        <v>1381</v>
      </c>
      <c r="E364" t="s">
        <v>1381</v>
      </c>
      <c r="H364" t="s">
        <v>1379</v>
      </c>
    </row>
    <row r="365" spans="2:8" x14ac:dyDescent="0.25">
      <c r="B365" t="s">
        <v>1382</v>
      </c>
      <c r="C365" t="s">
        <v>1383</v>
      </c>
      <c r="D365" t="s">
        <v>1384</v>
      </c>
      <c r="E365" t="s">
        <v>1384</v>
      </c>
      <c r="H365" t="s">
        <v>1382</v>
      </c>
    </row>
    <row r="366" spans="2:8" x14ac:dyDescent="0.25">
      <c r="B366" t="s">
        <v>1385</v>
      </c>
      <c r="C366" t="s">
        <v>1383</v>
      </c>
      <c r="D366" t="s">
        <v>1386</v>
      </c>
      <c r="E366" t="s">
        <v>1386</v>
      </c>
      <c r="H366" t="s">
        <v>1385</v>
      </c>
    </row>
    <row r="367" spans="2:8" x14ac:dyDescent="0.25">
      <c r="B367" t="s">
        <v>1387</v>
      </c>
      <c r="C367" t="s">
        <v>1388</v>
      </c>
      <c r="D367" t="s">
        <v>1389</v>
      </c>
      <c r="E367" t="s">
        <v>1389</v>
      </c>
      <c r="H367" t="s">
        <v>1387</v>
      </c>
    </row>
    <row r="368" spans="2:8" x14ac:dyDescent="0.25">
      <c r="B368" t="s">
        <v>1390</v>
      </c>
      <c r="C368" t="s">
        <v>1388</v>
      </c>
      <c r="D368" t="s">
        <v>1391</v>
      </c>
      <c r="E368" t="s">
        <v>1391</v>
      </c>
      <c r="H368" t="s">
        <v>1390</v>
      </c>
    </row>
    <row r="369" spans="2:8" x14ac:dyDescent="0.25">
      <c r="B369" t="s">
        <v>1392</v>
      </c>
      <c r="C369" t="s">
        <v>1393</v>
      </c>
      <c r="D369" t="s">
        <v>1394</v>
      </c>
      <c r="E369" t="s">
        <v>1394</v>
      </c>
      <c r="H369" t="s">
        <v>1392</v>
      </c>
    </row>
    <row r="370" spans="2:8" x14ac:dyDescent="0.25">
      <c r="B370" t="s">
        <v>1395</v>
      </c>
      <c r="C370" t="s">
        <v>1393</v>
      </c>
      <c r="D370" t="s">
        <v>1396</v>
      </c>
      <c r="E370" t="s">
        <v>1396</v>
      </c>
      <c r="H370" t="s">
        <v>1395</v>
      </c>
    </row>
    <row r="371" spans="2:8" x14ac:dyDescent="0.25">
      <c r="B371" t="s">
        <v>1397</v>
      </c>
      <c r="C371" t="s">
        <v>1398</v>
      </c>
      <c r="D371" t="s">
        <v>1399</v>
      </c>
      <c r="E371" t="s">
        <v>1399</v>
      </c>
      <c r="H371" t="s">
        <v>1397</v>
      </c>
    </row>
    <row r="372" spans="2:8" x14ac:dyDescent="0.25">
      <c r="B372" t="s">
        <v>1400</v>
      </c>
      <c r="C372" t="s">
        <v>1398</v>
      </c>
      <c r="D372" t="s">
        <v>1401</v>
      </c>
      <c r="E372" t="s">
        <v>1401</v>
      </c>
      <c r="H372" t="s">
        <v>1400</v>
      </c>
    </row>
    <row r="373" spans="2:8" x14ac:dyDescent="0.25">
      <c r="B373" t="s">
        <v>1402</v>
      </c>
      <c r="C373" t="s">
        <v>1403</v>
      </c>
      <c r="D373" t="s">
        <v>1404</v>
      </c>
      <c r="E373" t="s">
        <v>1404</v>
      </c>
      <c r="H373" t="s">
        <v>1402</v>
      </c>
    </row>
    <row r="374" spans="2:8" x14ac:dyDescent="0.25">
      <c r="B374" t="s">
        <v>1405</v>
      </c>
      <c r="C374" t="s">
        <v>1403</v>
      </c>
      <c r="D374" t="s">
        <v>1406</v>
      </c>
      <c r="E374" t="s">
        <v>1406</v>
      </c>
      <c r="H374" t="s">
        <v>1405</v>
      </c>
    </row>
    <row r="375" spans="2:8" x14ac:dyDescent="0.25">
      <c r="B375" t="s">
        <v>1407</v>
      </c>
      <c r="C375" t="s">
        <v>1408</v>
      </c>
      <c r="D375" t="s">
        <v>1409</v>
      </c>
      <c r="E375" t="s">
        <v>1409</v>
      </c>
      <c r="H375" t="s">
        <v>1407</v>
      </c>
    </row>
    <row r="376" spans="2:8" x14ac:dyDescent="0.25">
      <c r="B376" t="s">
        <v>1410</v>
      </c>
      <c r="C376" t="s">
        <v>1408</v>
      </c>
      <c r="D376" t="s">
        <v>1411</v>
      </c>
      <c r="E376" t="s">
        <v>1411</v>
      </c>
      <c r="H376" t="s">
        <v>1410</v>
      </c>
    </row>
    <row r="377" spans="2:8" x14ac:dyDescent="0.25">
      <c r="B377" t="s">
        <v>1412</v>
      </c>
      <c r="C377" t="s">
        <v>1413</v>
      </c>
      <c r="D377" t="s">
        <v>1414</v>
      </c>
      <c r="E377" t="s">
        <v>1414</v>
      </c>
      <c r="H377" t="s">
        <v>1412</v>
      </c>
    </row>
    <row r="378" spans="2:8" x14ac:dyDescent="0.25">
      <c r="B378" t="s">
        <v>1415</v>
      </c>
      <c r="C378" t="s">
        <v>1413</v>
      </c>
      <c r="D378" t="s">
        <v>1416</v>
      </c>
      <c r="E378" t="s">
        <v>1416</v>
      </c>
      <c r="H378" t="s">
        <v>1415</v>
      </c>
    </row>
    <row r="379" spans="2:8" x14ac:dyDescent="0.25">
      <c r="B379" t="s">
        <v>1417</v>
      </c>
      <c r="C379" t="s">
        <v>1418</v>
      </c>
      <c r="D379" t="s">
        <v>1419</v>
      </c>
      <c r="E379" t="s">
        <v>1419</v>
      </c>
      <c r="H379" t="s">
        <v>1417</v>
      </c>
    </row>
    <row r="380" spans="2:8" x14ac:dyDescent="0.25">
      <c r="B380" t="s">
        <v>1420</v>
      </c>
      <c r="C380" t="s">
        <v>1421</v>
      </c>
      <c r="D380" t="s">
        <v>1422</v>
      </c>
      <c r="E380" t="s">
        <v>1422</v>
      </c>
      <c r="H380" t="s">
        <v>1420</v>
      </c>
    </row>
    <row r="381" spans="2:8" x14ac:dyDescent="0.25">
      <c r="B381" t="s">
        <v>1423</v>
      </c>
      <c r="C381" t="s">
        <v>1424</v>
      </c>
      <c r="D381" t="s">
        <v>1425</v>
      </c>
      <c r="E381" t="s">
        <v>1425</v>
      </c>
      <c r="H381" t="s">
        <v>1423</v>
      </c>
    </row>
    <row r="382" spans="2:8" x14ac:dyDescent="0.25">
      <c r="B382" t="s">
        <v>1426</v>
      </c>
      <c r="C382" t="s">
        <v>1427</v>
      </c>
      <c r="D382" t="s">
        <v>1428</v>
      </c>
      <c r="E382" t="s">
        <v>1428</v>
      </c>
      <c r="H382" t="s">
        <v>1426</v>
      </c>
    </row>
    <row r="383" spans="2:8" x14ac:dyDescent="0.25">
      <c r="B383" t="s">
        <v>1429</v>
      </c>
      <c r="C383" t="s">
        <v>1430</v>
      </c>
      <c r="D383" t="s">
        <v>1431</v>
      </c>
      <c r="E383" t="s">
        <v>1431</v>
      </c>
      <c r="H383" t="s">
        <v>1429</v>
      </c>
    </row>
    <row r="384" spans="2:8" x14ac:dyDescent="0.25">
      <c r="B384" t="s">
        <v>1432</v>
      </c>
      <c r="C384" t="s">
        <v>1430</v>
      </c>
      <c r="D384" t="s">
        <v>1433</v>
      </c>
      <c r="E384" t="s">
        <v>1433</v>
      </c>
      <c r="H384" t="s">
        <v>1432</v>
      </c>
    </row>
    <row r="385" spans="2:8" x14ac:dyDescent="0.25">
      <c r="B385" t="s">
        <v>1434</v>
      </c>
      <c r="C385" t="s">
        <v>1435</v>
      </c>
      <c r="D385" t="s">
        <v>1436</v>
      </c>
      <c r="E385" t="s">
        <v>1436</v>
      </c>
      <c r="H385" t="s">
        <v>1434</v>
      </c>
    </row>
    <row r="386" spans="2:8" x14ac:dyDescent="0.25">
      <c r="B386" t="s">
        <v>1437</v>
      </c>
      <c r="C386" t="s">
        <v>1435</v>
      </c>
      <c r="D386" t="s">
        <v>1438</v>
      </c>
      <c r="E386" t="s">
        <v>1438</v>
      </c>
      <c r="H386" t="s">
        <v>1437</v>
      </c>
    </row>
    <row r="387" spans="2:8" x14ac:dyDescent="0.25">
      <c r="B387" t="s">
        <v>1439</v>
      </c>
      <c r="C387" t="s">
        <v>1440</v>
      </c>
      <c r="D387" t="s">
        <v>1441</v>
      </c>
      <c r="E387" t="s">
        <v>1441</v>
      </c>
      <c r="H387" t="s">
        <v>1439</v>
      </c>
    </row>
    <row r="388" spans="2:8" x14ac:dyDescent="0.25">
      <c r="B388" t="s">
        <v>1442</v>
      </c>
      <c r="C388" t="s">
        <v>1440</v>
      </c>
      <c r="D388" t="s">
        <v>1443</v>
      </c>
      <c r="E388" t="s">
        <v>1443</v>
      </c>
      <c r="H388" t="s">
        <v>1442</v>
      </c>
    </row>
    <row r="389" spans="2:8" x14ac:dyDescent="0.25">
      <c r="B389" t="s">
        <v>1444</v>
      </c>
      <c r="C389" t="s">
        <v>1445</v>
      </c>
      <c r="D389" t="s">
        <v>1446</v>
      </c>
      <c r="E389" t="s">
        <v>1446</v>
      </c>
      <c r="H389" t="s">
        <v>1444</v>
      </c>
    </row>
    <row r="390" spans="2:8" x14ac:dyDescent="0.25">
      <c r="B390" t="s">
        <v>1447</v>
      </c>
      <c r="C390" t="s">
        <v>1445</v>
      </c>
      <c r="D390" t="s">
        <v>1448</v>
      </c>
      <c r="E390" t="s">
        <v>1448</v>
      </c>
      <c r="H390" t="s">
        <v>1447</v>
      </c>
    </row>
    <row r="391" spans="2:8" x14ac:dyDescent="0.25">
      <c r="B391" t="s">
        <v>1450</v>
      </c>
      <c r="C391" t="s">
        <v>1449</v>
      </c>
      <c r="D391" t="s">
        <v>1451</v>
      </c>
      <c r="E391" t="s">
        <v>1451</v>
      </c>
      <c r="H391" t="s">
        <v>1450</v>
      </c>
    </row>
    <row r="392" spans="2:8" x14ac:dyDescent="0.25">
      <c r="B392" t="s">
        <v>1453</v>
      </c>
      <c r="C392" t="s">
        <v>1452</v>
      </c>
      <c r="D392" t="s">
        <v>1454</v>
      </c>
      <c r="E392" t="s">
        <v>1454</v>
      </c>
      <c r="H392" t="s">
        <v>1453</v>
      </c>
    </row>
    <row r="393" spans="2:8" x14ac:dyDescent="0.25">
      <c r="B393" t="s">
        <v>1455</v>
      </c>
      <c r="C393" t="s">
        <v>1452</v>
      </c>
      <c r="D393" t="s">
        <v>1456</v>
      </c>
      <c r="E393" t="s">
        <v>1456</v>
      </c>
      <c r="H393" t="s">
        <v>1455</v>
      </c>
    </row>
    <row r="394" spans="2:8" x14ac:dyDescent="0.25">
      <c r="B394" t="s">
        <v>1457</v>
      </c>
      <c r="C394" t="s">
        <v>1452</v>
      </c>
      <c r="D394" t="s">
        <v>1458</v>
      </c>
      <c r="E394" t="s">
        <v>1458</v>
      </c>
      <c r="H394" t="s">
        <v>1457</v>
      </c>
    </row>
    <row r="395" spans="2:8" x14ac:dyDescent="0.25">
      <c r="B395" t="s">
        <v>1459</v>
      </c>
      <c r="C395" t="s">
        <v>1460</v>
      </c>
      <c r="D395" t="s">
        <v>1461</v>
      </c>
      <c r="E395" t="s">
        <v>1461</v>
      </c>
      <c r="H395" t="s">
        <v>1459</v>
      </c>
    </row>
    <row r="396" spans="2:8" x14ac:dyDescent="0.25">
      <c r="B396" t="s">
        <v>1462</v>
      </c>
      <c r="C396" t="s">
        <v>1463</v>
      </c>
      <c r="D396" t="s">
        <v>1464</v>
      </c>
      <c r="E396" t="s">
        <v>1464</v>
      </c>
      <c r="H396" t="s">
        <v>1462</v>
      </c>
    </row>
    <row r="397" spans="2:8" x14ac:dyDescent="0.25">
      <c r="B397" t="s">
        <v>1465</v>
      </c>
      <c r="C397" t="s">
        <v>1466</v>
      </c>
      <c r="D397" t="s">
        <v>1467</v>
      </c>
      <c r="E397" t="s">
        <v>1467</v>
      </c>
      <c r="H397" t="s">
        <v>1465</v>
      </c>
    </row>
    <row r="398" spans="2:8" x14ac:dyDescent="0.25">
      <c r="B398" t="s">
        <v>1468</v>
      </c>
      <c r="C398" t="s">
        <v>1469</v>
      </c>
      <c r="D398" t="s">
        <v>1470</v>
      </c>
      <c r="E398" t="s">
        <v>1470</v>
      </c>
      <c r="H398" t="s">
        <v>1468</v>
      </c>
    </row>
    <row r="399" spans="2:8" x14ac:dyDescent="0.25">
      <c r="B399" t="s">
        <v>1471</v>
      </c>
      <c r="C399" t="s">
        <v>1472</v>
      </c>
      <c r="D399" t="s">
        <v>1473</v>
      </c>
      <c r="E399" t="s">
        <v>1473</v>
      </c>
      <c r="H399" t="s">
        <v>1471</v>
      </c>
    </row>
    <row r="400" spans="2:8" x14ac:dyDescent="0.25">
      <c r="B400" t="s">
        <v>1474</v>
      </c>
      <c r="C400" t="s">
        <v>1475</v>
      </c>
      <c r="D400" t="s">
        <v>1476</v>
      </c>
      <c r="E400" t="s">
        <v>1476</v>
      </c>
      <c r="H400" t="s">
        <v>1474</v>
      </c>
    </row>
    <row r="401" spans="2:8" x14ac:dyDescent="0.25">
      <c r="B401" t="s">
        <v>1477</v>
      </c>
      <c r="C401" t="s">
        <v>1478</v>
      </c>
      <c r="D401" t="s">
        <v>1479</v>
      </c>
      <c r="E401" t="s">
        <v>1479</v>
      </c>
      <c r="H401" t="s">
        <v>1477</v>
      </c>
    </row>
    <row r="402" spans="2:8" x14ac:dyDescent="0.25">
      <c r="B402" t="s">
        <v>1480</v>
      </c>
      <c r="C402" t="s">
        <v>1481</v>
      </c>
      <c r="D402" t="s">
        <v>1482</v>
      </c>
      <c r="E402" t="s">
        <v>1482</v>
      </c>
      <c r="H402" t="s">
        <v>1480</v>
      </c>
    </row>
    <row r="403" spans="2:8" x14ac:dyDescent="0.25">
      <c r="B403" t="s">
        <v>1483</v>
      </c>
      <c r="C403" t="s">
        <v>1484</v>
      </c>
      <c r="D403" t="s">
        <v>1485</v>
      </c>
      <c r="E403" t="s">
        <v>1485</v>
      </c>
      <c r="H403" t="s">
        <v>1483</v>
      </c>
    </row>
    <row r="404" spans="2:8" x14ac:dyDescent="0.25">
      <c r="B404" t="s">
        <v>1486</v>
      </c>
      <c r="C404" t="s">
        <v>1487</v>
      </c>
      <c r="D404" t="s">
        <v>1488</v>
      </c>
      <c r="E404" t="s">
        <v>1488</v>
      </c>
      <c r="H404" t="s">
        <v>1486</v>
      </c>
    </row>
    <row r="405" spans="2:8" x14ac:dyDescent="0.25">
      <c r="B405" t="s">
        <v>1489</v>
      </c>
      <c r="C405" t="s">
        <v>1490</v>
      </c>
      <c r="D405" t="s">
        <v>1491</v>
      </c>
      <c r="E405" t="s">
        <v>1491</v>
      </c>
      <c r="H405" t="s">
        <v>1489</v>
      </c>
    </row>
    <row r="406" spans="2:8" x14ac:dyDescent="0.25">
      <c r="B406" t="s">
        <v>1492</v>
      </c>
      <c r="C406" t="s">
        <v>1484</v>
      </c>
      <c r="D406" t="s">
        <v>1493</v>
      </c>
      <c r="E406" t="s">
        <v>1493</v>
      </c>
      <c r="H406" t="s">
        <v>1492</v>
      </c>
    </row>
    <row r="407" spans="2:8" x14ac:dyDescent="0.25">
      <c r="B407" t="s">
        <v>1494</v>
      </c>
      <c r="C407" t="s">
        <v>1487</v>
      </c>
      <c r="D407" t="s">
        <v>1495</v>
      </c>
      <c r="E407" t="s">
        <v>1495</v>
      </c>
      <c r="H407" t="s">
        <v>1494</v>
      </c>
    </row>
    <row r="408" spans="2:8" x14ac:dyDescent="0.25">
      <c r="B408" t="s">
        <v>1496</v>
      </c>
      <c r="C408" t="s">
        <v>1490</v>
      </c>
      <c r="D408" t="s">
        <v>1497</v>
      </c>
      <c r="E408" t="s">
        <v>1497</v>
      </c>
      <c r="H408" t="s">
        <v>1496</v>
      </c>
    </row>
    <row r="409" spans="2:8" x14ac:dyDescent="0.25">
      <c r="B409" t="s">
        <v>1498</v>
      </c>
      <c r="C409" t="s">
        <v>1484</v>
      </c>
      <c r="D409" t="s">
        <v>1499</v>
      </c>
      <c r="E409" t="s">
        <v>1499</v>
      </c>
      <c r="H409" t="s">
        <v>1498</v>
      </c>
    </row>
    <row r="410" spans="2:8" x14ac:dyDescent="0.25">
      <c r="B410" t="s">
        <v>1500</v>
      </c>
      <c r="C410" t="s">
        <v>1487</v>
      </c>
      <c r="D410" t="s">
        <v>1501</v>
      </c>
      <c r="E410" t="s">
        <v>1501</v>
      </c>
      <c r="H410" t="s">
        <v>1500</v>
      </c>
    </row>
    <row r="411" spans="2:8" x14ac:dyDescent="0.25">
      <c r="B411" t="s">
        <v>1502</v>
      </c>
      <c r="C411" t="s">
        <v>1490</v>
      </c>
      <c r="D411" t="s">
        <v>1503</v>
      </c>
      <c r="E411" t="s">
        <v>1503</v>
      </c>
      <c r="H411" t="s">
        <v>1502</v>
      </c>
    </row>
    <row r="412" spans="2:8" x14ac:dyDescent="0.25">
      <c r="B412" t="s">
        <v>1504</v>
      </c>
      <c r="C412" t="s">
        <v>1505</v>
      </c>
      <c r="D412" t="s">
        <v>1506</v>
      </c>
      <c r="E412" t="s">
        <v>1506</v>
      </c>
      <c r="H412" t="s">
        <v>1504</v>
      </c>
    </row>
    <row r="413" spans="2:8" x14ac:dyDescent="0.25">
      <c r="B413" t="s">
        <v>1507</v>
      </c>
      <c r="C413" t="s">
        <v>1508</v>
      </c>
      <c r="D413" t="s">
        <v>1509</v>
      </c>
      <c r="E413" t="s">
        <v>1509</v>
      </c>
      <c r="H413" t="s">
        <v>1507</v>
      </c>
    </row>
    <row r="414" spans="2:8" x14ac:dyDescent="0.25">
      <c r="B414" t="s">
        <v>1510</v>
      </c>
      <c r="C414" t="s">
        <v>1511</v>
      </c>
      <c r="D414" t="s">
        <v>1512</v>
      </c>
      <c r="E414" t="s">
        <v>1512</v>
      </c>
      <c r="H414" t="s">
        <v>1510</v>
      </c>
    </row>
    <row r="415" spans="2:8" x14ac:dyDescent="0.25">
      <c r="B415" t="s">
        <v>1513</v>
      </c>
      <c r="C415" t="s">
        <v>1505</v>
      </c>
      <c r="D415" t="s">
        <v>1514</v>
      </c>
      <c r="E415" t="s">
        <v>1514</v>
      </c>
      <c r="H415" t="s">
        <v>1513</v>
      </c>
    </row>
    <row r="416" spans="2:8" x14ac:dyDescent="0.25">
      <c r="B416" t="s">
        <v>1515</v>
      </c>
      <c r="C416" t="s">
        <v>1508</v>
      </c>
      <c r="D416" t="s">
        <v>1516</v>
      </c>
      <c r="E416" t="s">
        <v>1516</v>
      </c>
      <c r="H416" t="s">
        <v>1515</v>
      </c>
    </row>
    <row r="417" spans="2:8" x14ac:dyDescent="0.25">
      <c r="B417" t="s">
        <v>1517</v>
      </c>
      <c r="C417" t="s">
        <v>1511</v>
      </c>
      <c r="D417" t="s">
        <v>1518</v>
      </c>
      <c r="E417" t="s">
        <v>1518</v>
      </c>
      <c r="H417" t="s">
        <v>1517</v>
      </c>
    </row>
    <row r="418" spans="2:8" x14ac:dyDescent="0.25">
      <c r="B418" t="s">
        <v>1519</v>
      </c>
      <c r="C418" t="s">
        <v>1505</v>
      </c>
      <c r="D418" t="s">
        <v>1520</v>
      </c>
      <c r="E418" t="s">
        <v>1520</v>
      </c>
      <c r="H418" t="s">
        <v>1519</v>
      </c>
    </row>
    <row r="419" spans="2:8" x14ac:dyDescent="0.25">
      <c r="B419" t="s">
        <v>1521</v>
      </c>
      <c r="C419" t="s">
        <v>1508</v>
      </c>
      <c r="D419" t="s">
        <v>1522</v>
      </c>
      <c r="E419" t="s">
        <v>1522</v>
      </c>
      <c r="H419" t="s">
        <v>1521</v>
      </c>
    </row>
    <row r="420" spans="2:8" x14ac:dyDescent="0.25">
      <c r="B420" t="s">
        <v>1523</v>
      </c>
      <c r="C420" t="s">
        <v>1511</v>
      </c>
      <c r="D420" t="s">
        <v>1524</v>
      </c>
      <c r="E420" t="s">
        <v>1524</v>
      </c>
      <c r="H420" t="s">
        <v>1523</v>
      </c>
    </row>
    <row r="421" spans="2:8" x14ac:dyDescent="0.25">
      <c r="B421" t="s">
        <v>1525</v>
      </c>
      <c r="C421" t="s">
        <v>1526</v>
      </c>
      <c r="D421" t="s">
        <v>1527</v>
      </c>
      <c r="E421" t="s">
        <v>1527</v>
      </c>
      <c r="H421" t="s">
        <v>1525</v>
      </c>
    </row>
    <row r="422" spans="2:8" x14ac:dyDescent="0.25">
      <c r="B422" t="s">
        <v>1528</v>
      </c>
      <c r="C422" t="s">
        <v>1529</v>
      </c>
      <c r="D422" t="s">
        <v>1530</v>
      </c>
      <c r="E422" t="s">
        <v>1530</v>
      </c>
      <c r="H422" t="s">
        <v>1528</v>
      </c>
    </row>
    <row r="423" spans="2:8" x14ac:dyDescent="0.25">
      <c r="B423" t="s">
        <v>1531</v>
      </c>
      <c r="C423" t="s">
        <v>1532</v>
      </c>
      <c r="D423" t="s">
        <v>1533</v>
      </c>
      <c r="E423" t="s">
        <v>1533</v>
      </c>
      <c r="H423" t="s">
        <v>1531</v>
      </c>
    </row>
    <row r="424" spans="2:8" x14ac:dyDescent="0.25">
      <c r="B424" t="s">
        <v>1534</v>
      </c>
      <c r="C424" t="s">
        <v>1526</v>
      </c>
      <c r="D424" t="s">
        <v>1535</v>
      </c>
      <c r="E424" t="s">
        <v>1535</v>
      </c>
      <c r="H424" t="s">
        <v>1534</v>
      </c>
    </row>
    <row r="425" spans="2:8" x14ac:dyDescent="0.25">
      <c r="B425" t="s">
        <v>1536</v>
      </c>
      <c r="C425" t="s">
        <v>1529</v>
      </c>
      <c r="D425" t="s">
        <v>1537</v>
      </c>
      <c r="E425" t="s">
        <v>1537</v>
      </c>
      <c r="H425" t="s">
        <v>1536</v>
      </c>
    </row>
    <row r="426" spans="2:8" x14ac:dyDescent="0.25">
      <c r="B426" t="s">
        <v>1538</v>
      </c>
      <c r="C426" t="s">
        <v>1532</v>
      </c>
      <c r="D426" t="s">
        <v>1539</v>
      </c>
      <c r="E426" t="s">
        <v>1539</v>
      </c>
      <c r="H426" t="s">
        <v>1538</v>
      </c>
    </row>
    <row r="427" spans="2:8" x14ac:dyDescent="0.25">
      <c r="B427" t="s">
        <v>1540</v>
      </c>
      <c r="C427" t="s">
        <v>1526</v>
      </c>
      <c r="D427" t="s">
        <v>1541</v>
      </c>
      <c r="E427" t="s">
        <v>1541</v>
      </c>
      <c r="H427" t="s">
        <v>1540</v>
      </c>
    </row>
    <row r="428" spans="2:8" x14ac:dyDescent="0.25">
      <c r="B428" t="s">
        <v>1542</v>
      </c>
      <c r="C428" t="s">
        <v>1529</v>
      </c>
      <c r="D428" t="s">
        <v>1543</v>
      </c>
      <c r="E428" t="s">
        <v>1543</v>
      </c>
      <c r="H428" t="s">
        <v>1542</v>
      </c>
    </row>
    <row r="429" spans="2:8" x14ac:dyDescent="0.25">
      <c r="B429" t="s">
        <v>1544</v>
      </c>
      <c r="C429" t="s">
        <v>1532</v>
      </c>
      <c r="D429" t="s">
        <v>1545</v>
      </c>
      <c r="E429" t="s">
        <v>1545</v>
      </c>
      <c r="H429" t="s">
        <v>1544</v>
      </c>
    </row>
    <row r="430" spans="2:8" x14ac:dyDescent="0.25">
      <c r="B430" t="s">
        <v>1546</v>
      </c>
      <c r="C430" t="s">
        <v>1547</v>
      </c>
      <c r="D430" t="s">
        <v>1548</v>
      </c>
      <c r="E430" t="s">
        <v>1548</v>
      </c>
      <c r="H430" t="s">
        <v>1546</v>
      </c>
    </row>
    <row r="431" spans="2:8" x14ac:dyDescent="0.25">
      <c r="B431" t="s">
        <v>1549</v>
      </c>
      <c r="C431" t="s">
        <v>1547</v>
      </c>
      <c r="D431" t="s">
        <v>1550</v>
      </c>
      <c r="E431" t="s">
        <v>1550</v>
      </c>
      <c r="H431" t="s">
        <v>1549</v>
      </c>
    </row>
    <row r="432" spans="2:8" x14ac:dyDescent="0.25">
      <c r="B432" t="s">
        <v>1551</v>
      </c>
      <c r="C432" t="s">
        <v>1547</v>
      </c>
      <c r="D432" t="s">
        <v>1552</v>
      </c>
      <c r="E432" t="s">
        <v>1552</v>
      </c>
      <c r="H432" t="s">
        <v>1551</v>
      </c>
    </row>
    <row r="433" spans="2:8" x14ac:dyDescent="0.25">
      <c r="B433" t="s">
        <v>1553</v>
      </c>
      <c r="C433" t="s">
        <v>1547</v>
      </c>
      <c r="D433" t="s">
        <v>1554</v>
      </c>
      <c r="E433" t="s">
        <v>1554</v>
      </c>
      <c r="H433" t="s">
        <v>1553</v>
      </c>
    </row>
    <row r="434" spans="2:8" x14ac:dyDescent="0.25">
      <c r="B434" t="s">
        <v>1555</v>
      </c>
      <c r="C434" t="s">
        <v>1547</v>
      </c>
      <c r="D434" t="s">
        <v>1556</v>
      </c>
      <c r="E434" t="s">
        <v>1556</v>
      </c>
      <c r="H434" t="s">
        <v>1555</v>
      </c>
    </row>
    <row r="435" spans="2:8" x14ac:dyDescent="0.25">
      <c r="B435" t="s">
        <v>1557</v>
      </c>
      <c r="C435" t="s">
        <v>1547</v>
      </c>
      <c r="D435" t="s">
        <v>1558</v>
      </c>
      <c r="E435" t="s">
        <v>1558</v>
      </c>
      <c r="H435" t="s">
        <v>1557</v>
      </c>
    </row>
    <row r="436" spans="2:8" x14ac:dyDescent="0.25">
      <c r="B436" t="s">
        <v>1559</v>
      </c>
      <c r="C436" t="s">
        <v>1547</v>
      </c>
      <c r="D436" t="s">
        <v>1560</v>
      </c>
      <c r="E436" t="s">
        <v>1560</v>
      </c>
      <c r="H436" t="s">
        <v>1559</v>
      </c>
    </row>
    <row r="437" spans="2:8" x14ac:dyDescent="0.25">
      <c r="B437" t="s">
        <v>1561</v>
      </c>
      <c r="C437" t="s">
        <v>1547</v>
      </c>
      <c r="D437" t="s">
        <v>1562</v>
      </c>
      <c r="E437" t="s">
        <v>1562</v>
      </c>
      <c r="H437" t="s">
        <v>1561</v>
      </c>
    </row>
    <row r="438" spans="2:8" x14ac:dyDescent="0.25">
      <c r="B438" t="s">
        <v>1563</v>
      </c>
      <c r="C438" t="s">
        <v>1547</v>
      </c>
      <c r="D438" t="s">
        <v>1564</v>
      </c>
      <c r="E438" t="s">
        <v>1564</v>
      </c>
      <c r="H438" t="s">
        <v>1563</v>
      </c>
    </row>
    <row r="439" spans="2:8" x14ac:dyDescent="0.25">
      <c r="B439" t="s">
        <v>1565</v>
      </c>
      <c r="C439" t="s">
        <v>1566</v>
      </c>
      <c r="D439" t="s">
        <v>1567</v>
      </c>
      <c r="E439" t="s">
        <v>1567</v>
      </c>
      <c r="H439" t="s">
        <v>1565</v>
      </c>
    </row>
    <row r="440" spans="2:8" x14ac:dyDescent="0.25">
      <c r="B440" t="s">
        <v>1568</v>
      </c>
      <c r="C440" t="s">
        <v>1569</v>
      </c>
      <c r="D440" t="s">
        <v>1570</v>
      </c>
      <c r="E440" t="s">
        <v>1570</v>
      </c>
      <c r="H440" t="s">
        <v>1568</v>
      </c>
    </row>
    <row r="441" spans="2:8" x14ac:dyDescent="0.25">
      <c r="B441" t="s">
        <v>1571</v>
      </c>
      <c r="C441" t="s">
        <v>1572</v>
      </c>
      <c r="D441" t="s">
        <v>1573</v>
      </c>
      <c r="E441" t="s">
        <v>1573</v>
      </c>
      <c r="H441" t="s">
        <v>1571</v>
      </c>
    </row>
    <row r="442" spans="2:8" x14ac:dyDescent="0.25">
      <c r="B442" t="s">
        <v>1574</v>
      </c>
      <c r="C442" t="s">
        <v>1566</v>
      </c>
      <c r="D442" t="s">
        <v>1575</v>
      </c>
      <c r="E442" t="s">
        <v>1575</v>
      </c>
      <c r="H442" t="s">
        <v>1574</v>
      </c>
    </row>
    <row r="443" spans="2:8" x14ac:dyDescent="0.25">
      <c r="B443" t="s">
        <v>1576</v>
      </c>
      <c r="C443" t="s">
        <v>1569</v>
      </c>
      <c r="D443" t="s">
        <v>1577</v>
      </c>
      <c r="E443" t="s">
        <v>1577</v>
      </c>
      <c r="H443" t="s">
        <v>1576</v>
      </c>
    </row>
    <row r="444" spans="2:8" x14ac:dyDescent="0.25">
      <c r="B444" t="s">
        <v>1578</v>
      </c>
      <c r="C444" t="s">
        <v>1572</v>
      </c>
      <c r="D444" t="s">
        <v>1579</v>
      </c>
      <c r="E444" t="s">
        <v>1579</v>
      </c>
      <c r="H444" t="s">
        <v>1578</v>
      </c>
    </row>
    <row r="445" spans="2:8" x14ac:dyDescent="0.25">
      <c r="B445" t="s">
        <v>1580</v>
      </c>
      <c r="C445" t="s">
        <v>1566</v>
      </c>
      <c r="D445" t="s">
        <v>1581</v>
      </c>
      <c r="E445" t="s">
        <v>1581</v>
      </c>
      <c r="H445" t="s">
        <v>1580</v>
      </c>
    </row>
    <row r="446" spans="2:8" x14ac:dyDescent="0.25">
      <c r="B446" t="s">
        <v>1582</v>
      </c>
      <c r="C446" t="s">
        <v>1569</v>
      </c>
      <c r="D446" t="s">
        <v>1583</v>
      </c>
      <c r="E446" t="s">
        <v>1583</v>
      </c>
      <c r="H446" t="s">
        <v>1582</v>
      </c>
    </row>
    <row r="447" spans="2:8" x14ac:dyDescent="0.25">
      <c r="B447" t="s">
        <v>1584</v>
      </c>
      <c r="C447" t="s">
        <v>1572</v>
      </c>
      <c r="D447" t="s">
        <v>1585</v>
      </c>
      <c r="E447" t="s">
        <v>1585</v>
      </c>
      <c r="H447" t="s">
        <v>1584</v>
      </c>
    </row>
    <row r="448" spans="2:8" x14ac:dyDescent="0.25">
      <c r="B448" t="s">
        <v>1586</v>
      </c>
      <c r="C448" t="s">
        <v>1587</v>
      </c>
      <c r="D448" t="s">
        <v>1588</v>
      </c>
      <c r="E448" t="s">
        <v>1588</v>
      </c>
      <c r="H448" t="s">
        <v>1586</v>
      </c>
    </row>
    <row r="449" spans="2:8" x14ac:dyDescent="0.25">
      <c r="B449" t="s">
        <v>1589</v>
      </c>
      <c r="C449" t="s">
        <v>1587</v>
      </c>
      <c r="D449" t="s">
        <v>1590</v>
      </c>
      <c r="E449" t="s">
        <v>1590</v>
      </c>
      <c r="H449" t="s">
        <v>1589</v>
      </c>
    </row>
    <row r="450" spans="2:8" x14ac:dyDescent="0.25">
      <c r="B450" t="s">
        <v>1591</v>
      </c>
      <c r="C450" t="s">
        <v>1587</v>
      </c>
      <c r="D450" t="s">
        <v>1592</v>
      </c>
      <c r="E450" t="s">
        <v>1592</v>
      </c>
      <c r="H450" t="s">
        <v>1591</v>
      </c>
    </row>
    <row r="451" spans="2:8" x14ac:dyDescent="0.25">
      <c r="B451" t="s">
        <v>1593</v>
      </c>
      <c r="C451" t="s">
        <v>1587</v>
      </c>
      <c r="D451" t="s">
        <v>1594</v>
      </c>
      <c r="E451" t="s">
        <v>1594</v>
      </c>
      <c r="H451" t="s">
        <v>1593</v>
      </c>
    </row>
    <row r="452" spans="2:8" x14ac:dyDescent="0.25">
      <c r="B452" t="s">
        <v>1595</v>
      </c>
      <c r="C452" t="s">
        <v>1587</v>
      </c>
      <c r="D452" t="s">
        <v>1596</v>
      </c>
      <c r="E452" t="s">
        <v>1596</v>
      </c>
      <c r="H452" t="s">
        <v>1595</v>
      </c>
    </row>
    <row r="453" spans="2:8" x14ac:dyDescent="0.25">
      <c r="B453" t="s">
        <v>1597</v>
      </c>
      <c r="C453" t="s">
        <v>1587</v>
      </c>
      <c r="D453" t="s">
        <v>1598</v>
      </c>
      <c r="E453" t="s">
        <v>1598</v>
      </c>
      <c r="H453" t="s">
        <v>1597</v>
      </c>
    </row>
    <row r="454" spans="2:8" x14ac:dyDescent="0.25">
      <c r="B454" t="s">
        <v>1599</v>
      </c>
      <c r="C454" t="s">
        <v>1587</v>
      </c>
      <c r="D454" t="s">
        <v>1600</v>
      </c>
      <c r="E454" t="s">
        <v>1600</v>
      </c>
      <c r="H454" t="s">
        <v>1599</v>
      </c>
    </row>
    <row r="455" spans="2:8" x14ac:dyDescent="0.25">
      <c r="B455" t="s">
        <v>1601</v>
      </c>
      <c r="C455" t="s">
        <v>1587</v>
      </c>
      <c r="D455" t="s">
        <v>1602</v>
      </c>
      <c r="E455" t="s">
        <v>1602</v>
      </c>
      <c r="H455" t="s">
        <v>1601</v>
      </c>
    </row>
    <row r="456" spans="2:8" x14ac:dyDescent="0.25">
      <c r="B456" t="s">
        <v>1603</v>
      </c>
      <c r="C456" t="s">
        <v>1587</v>
      </c>
      <c r="D456" t="s">
        <v>1604</v>
      </c>
      <c r="E456" t="s">
        <v>1604</v>
      </c>
      <c r="H456" t="s">
        <v>1603</v>
      </c>
    </row>
    <row r="457" spans="2:8" x14ac:dyDescent="0.25">
      <c r="B457" t="s">
        <v>1605</v>
      </c>
      <c r="C457" t="s">
        <v>1606</v>
      </c>
      <c r="D457" t="s">
        <v>1607</v>
      </c>
      <c r="E457" t="s">
        <v>1607</v>
      </c>
      <c r="H457" t="s">
        <v>1605</v>
      </c>
    </row>
    <row r="458" spans="2:8" x14ac:dyDescent="0.25">
      <c r="B458" t="s">
        <v>1608</v>
      </c>
      <c r="C458" t="s">
        <v>1606</v>
      </c>
      <c r="D458" t="s">
        <v>1609</v>
      </c>
      <c r="E458" t="s">
        <v>1609</v>
      </c>
      <c r="H458" t="s">
        <v>1608</v>
      </c>
    </row>
    <row r="459" spans="2:8" x14ac:dyDescent="0.25">
      <c r="B459" t="s">
        <v>1610</v>
      </c>
      <c r="C459" t="s">
        <v>1606</v>
      </c>
      <c r="D459" t="s">
        <v>1611</v>
      </c>
      <c r="E459" t="s">
        <v>1611</v>
      </c>
      <c r="H459" t="s">
        <v>1610</v>
      </c>
    </row>
    <row r="460" spans="2:8" x14ac:dyDescent="0.25">
      <c r="B460" t="s">
        <v>1612</v>
      </c>
      <c r="C460" t="s">
        <v>1606</v>
      </c>
      <c r="D460" t="s">
        <v>1613</v>
      </c>
      <c r="E460" t="s">
        <v>1613</v>
      </c>
      <c r="H460" t="s">
        <v>1612</v>
      </c>
    </row>
    <row r="461" spans="2:8" x14ac:dyDescent="0.25">
      <c r="B461" t="s">
        <v>1614</v>
      </c>
      <c r="C461" t="s">
        <v>1606</v>
      </c>
      <c r="D461" t="s">
        <v>1615</v>
      </c>
      <c r="E461" t="s">
        <v>1615</v>
      </c>
      <c r="H461" t="s">
        <v>1614</v>
      </c>
    </row>
    <row r="462" spans="2:8" x14ac:dyDescent="0.25">
      <c r="B462" t="s">
        <v>1616</v>
      </c>
      <c r="C462" t="s">
        <v>1606</v>
      </c>
      <c r="D462" t="s">
        <v>1617</v>
      </c>
      <c r="E462" t="s">
        <v>1617</v>
      </c>
      <c r="H462" t="s">
        <v>1616</v>
      </c>
    </row>
    <row r="463" spans="2:8" x14ac:dyDescent="0.25">
      <c r="B463" t="s">
        <v>1618</v>
      </c>
      <c r="C463" t="s">
        <v>1606</v>
      </c>
      <c r="D463" t="s">
        <v>1619</v>
      </c>
      <c r="E463" t="s">
        <v>1619</v>
      </c>
      <c r="H463" t="s">
        <v>1618</v>
      </c>
    </row>
    <row r="464" spans="2:8" x14ac:dyDescent="0.25">
      <c r="B464" t="s">
        <v>1620</v>
      </c>
      <c r="C464" t="s">
        <v>1606</v>
      </c>
      <c r="D464" t="s">
        <v>1621</v>
      </c>
      <c r="E464" t="s">
        <v>1621</v>
      </c>
      <c r="H464" t="s">
        <v>1620</v>
      </c>
    </row>
    <row r="465" spans="2:8" x14ac:dyDescent="0.25">
      <c r="B465" t="s">
        <v>1622</v>
      </c>
      <c r="C465" t="s">
        <v>1606</v>
      </c>
      <c r="D465" t="s">
        <v>1623</v>
      </c>
      <c r="E465" t="s">
        <v>1623</v>
      </c>
      <c r="H465" t="s">
        <v>1622</v>
      </c>
    </row>
    <row r="466" spans="2:8" x14ac:dyDescent="0.25">
      <c r="B466" t="s">
        <v>1624</v>
      </c>
      <c r="C466" t="s">
        <v>1625</v>
      </c>
      <c r="D466" t="s">
        <v>1626</v>
      </c>
      <c r="E466" t="s">
        <v>1626</v>
      </c>
      <c r="H466" t="s">
        <v>1624</v>
      </c>
    </row>
    <row r="467" spans="2:8" x14ac:dyDescent="0.25">
      <c r="B467" t="s">
        <v>1627</v>
      </c>
      <c r="C467" t="s">
        <v>1625</v>
      </c>
      <c r="D467" t="s">
        <v>1628</v>
      </c>
      <c r="E467" t="s">
        <v>1628</v>
      </c>
      <c r="H467" t="s">
        <v>1627</v>
      </c>
    </row>
    <row r="468" spans="2:8" x14ac:dyDescent="0.25">
      <c r="B468" t="s">
        <v>1629</v>
      </c>
      <c r="C468" t="s">
        <v>1625</v>
      </c>
      <c r="D468" t="s">
        <v>1630</v>
      </c>
      <c r="E468" t="s">
        <v>1630</v>
      </c>
      <c r="H468" t="s">
        <v>1629</v>
      </c>
    </row>
    <row r="469" spans="2:8" x14ac:dyDescent="0.25">
      <c r="B469" t="s">
        <v>1631</v>
      </c>
      <c r="C469" t="s">
        <v>1625</v>
      </c>
      <c r="D469" t="s">
        <v>1632</v>
      </c>
      <c r="E469" t="s">
        <v>1632</v>
      </c>
      <c r="H469" t="s">
        <v>1631</v>
      </c>
    </row>
    <row r="470" spans="2:8" x14ac:dyDescent="0.25">
      <c r="B470" t="s">
        <v>1633</v>
      </c>
      <c r="C470" t="s">
        <v>1625</v>
      </c>
      <c r="D470" t="s">
        <v>1634</v>
      </c>
      <c r="E470" t="s">
        <v>1634</v>
      </c>
      <c r="H470" t="s">
        <v>1633</v>
      </c>
    </row>
    <row r="471" spans="2:8" x14ac:dyDescent="0.25">
      <c r="B471" t="s">
        <v>1635</v>
      </c>
      <c r="C471" t="s">
        <v>1625</v>
      </c>
      <c r="D471" t="s">
        <v>1636</v>
      </c>
      <c r="E471" t="s">
        <v>1636</v>
      </c>
      <c r="H471" t="s">
        <v>1635</v>
      </c>
    </row>
    <row r="472" spans="2:8" x14ac:dyDescent="0.25">
      <c r="B472" t="s">
        <v>1637</v>
      </c>
      <c r="C472" t="s">
        <v>1625</v>
      </c>
      <c r="D472" t="s">
        <v>1638</v>
      </c>
      <c r="E472" t="s">
        <v>1638</v>
      </c>
      <c r="H472" t="s">
        <v>1637</v>
      </c>
    </row>
    <row r="473" spans="2:8" x14ac:dyDescent="0.25">
      <c r="B473" t="s">
        <v>1639</v>
      </c>
      <c r="C473" t="s">
        <v>1625</v>
      </c>
      <c r="D473" t="s">
        <v>1640</v>
      </c>
      <c r="E473" t="s">
        <v>1640</v>
      </c>
      <c r="H473" t="s">
        <v>1639</v>
      </c>
    </row>
    <row r="474" spans="2:8" x14ac:dyDescent="0.25">
      <c r="B474" t="s">
        <v>1641</v>
      </c>
      <c r="C474" t="s">
        <v>1625</v>
      </c>
      <c r="D474" t="s">
        <v>1642</v>
      </c>
      <c r="E474" t="s">
        <v>1642</v>
      </c>
      <c r="H474" t="s">
        <v>1641</v>
      </c>
    </row>
    <row r="475" spans="2:8" x14ac:dyDescent="0.25">
      <c r="B475" t="s">
        <v>1643</v>
      </c>
      <c r="C475" t="s">
        <v>1644</v>
      </c>
      <c r="D475" t="s">
        <v>1645</v>
      </c>
      <c r="E475" t="s">
        <v>1645</v>
      </c>
      <c r="H475" t="s">
        <v>1643</v>
      </c>
    </row>
    <row r="476" spans="2:8" x14ac:dyDescent="0.25">
      <c r="B476" t="s">
        <v>1646</v>
      </c>
      <c r="C476" t="s">
        <v>1644</v>
      </c>
      <c r="D476" t="s">
        <v>1647</v>
      </c>
      <c r="E476" t="s">
        <v>1647</v>
      </c>
      <c r="H476" t="s">
        <v>1646</v>
      </c>
    </row>
    <row r="477" spans="2:8" x14ac:dyDescent="0.25">
      <c r="B477" t="s">
        <v>1648</v>
      </c>
      <c r="C477" t="s">
        <v>1644</v>
      </c>
      <c r="D477" t="s">
        <v>1649</v>
      </c>
      <c r="E477" t="s">
        <v>1649</v>
      </c>
      <c r="H477" t="s">
        <v>1648</v>
      </c>
    </row>
    <row r="478" spans="2:8" x14ac:dyDescent="0.25">
      <c r="B478" t="s">
        <v>1650</v>
      </c>
      <c r="C478" t="s">
        <v>1644</v>
      </c>
      <c r="D478" t="s">
        <v>1651</v>
      </c>
      <c r="E478" t="s">
        <v>1651</v>
      </c>
      <c r="H478" t="s">
        <v>1650</v>
      </c>
    </row>
    <row r="479" spans="2:8" x14ac:dyDescent="0.25">
      <c r="B479" t="s">
        <v>1652</v>
      </c>
      <c r="C479" t="s">
        <v>1644</v>
      </c>
      <c r="D479" t="s">
        <v>1653</v>
      </c>
      <c r="E479" t="s">
        <v>1653</v>
      </c>
      <c r="H479" t="s">
        <v>1652</v>
      </c>
    </row>
    <row r="480" spans="2:8" x14ac:dyDescent="0.25">
      <c r="B480" t="s">
        <v>1654</v>
      </c>
      <c r="C480" t="s">
        <v>1644</v>
      </c>
      <c r="D480" t="s">
        <v>1655</v>
      </c>
      <c r="E480" t="s">
        <v>1655</v>
      </c>
      <c r="H480" t="s">
        <v>1654</v>
      </c>
    </row>
    <row r="481" spans="2:8" x14ac:dyDescent="0.25">
      <c r="B481" t="s">
        <v>1656</v>
      </c>
      <c r="C481" t="s">
        <v>1644</v>
      </c>
      <c r="D481" t="s">
        <v>1657</v>
      </c>
      <c r="E481" t="s">
        <v>1657</v>
      </c>
      <c r="H481" t="s">
        <v>1656</v>
      </c>
    </row>
    <row r="482" spans="2:8" x14ac:dyDescent="0.25">
      <c r="B482" t="s">
        <v>1658</v>
      </c>
      <c r="C482" t="s">
        <v>1644</v>
      </c>
      <c r="D482" t="s">
        <v>1659</v>
      </c>
      <c r="E482" t="s">
        <v>1659</v>
      </c>
      <c r="H482" t="s">
        <v>1658</v>
      </c>
    </row>
    <row r="483" spans="2:8" x14ac:dyDescent="0.25">
      <c r="B483" t="s">
        <v>1660</v>
      </c>
      <c r="C483" t="s">
        <v>1644</v>
      </c>
      <c r="D483" t="s">
        <v>1661</v>
      </c>
      <c r="E483" t="s">
        <v>1661</v>
      </c>
      <c r="H483" t="s">
        <v>1660</v>
      </c>
    </row>
    <row r="484" spans="2:8" x14ac:dyDescent="0.25">
      <c r="B484" t="s">
        <v>1662</v>
      </c>
      <c r="C484" t="s">
        <v>1663</v>
      </c>
      <c r="D484" t="s">
        <v>1664</v>
      </c>
      <c r="E484" t="s">
        <v>1664</v>
      </c>
      <c r="H484" t="s">
        <v>1662</v>
      </c>
    </row>
    <row r="485" spans="2:8" x14ac:dyDescent="0.25">
      <c r="B485" t="s">
        <v>1665</v>
      </c>
      <c r="C485" t="s">
        <v>1663</v>
      </c>
      <c r="D485" t="s">
        <v>1666</v>
      </c>
      <c r="E485" t="s">
        <v>1666</v>
      </c>
      <c r="H485" t="s">
        <v>1665</v>
      </c>
    </row>
    <row r="486" spans="2:8" x14ac:dyDescent="0.25">
      <c r="B486" t="s">
        <v>1667</v>
      </c>
      <c r="C486" t="s">
        <v>1663</v>
      </c>
      <c r="D486" t="s">
        <v>1668</v>
      </c>
      <c r="E486" t="s">
        <v>1668</v>
      </c>
      <c r="H486" t="s">
        <v>1667</v>
      </c>
    </row>
    <row r="487" spans="2:8" x14ac:dyDescent="0.25">
      <c r="B487" t="s">
        <v>1669</v>
      </c>
      <c r="C487" t="s">
        <v>1663</v>
      </c>
      <c r="D487" t="s">
        <v>1670</v>
      </c>
      <c r="E487" t="s">
        <v>1670</v>
      </c>
      <c r="H487" t="s">
        <v>1669</v>
      </c>
    </row>
    <row r="488" spans="2:8" x14ac:dyDescent="0.25">
      <c r="B488" t="s">
        <v>1671</v>
      </c>
      <c r="C488" t="s">
        <v>1663</v>
      </c>
      <c r="D488" t="s">
        <v>1672</v>
      </c>
      <c r="E488" t="s">
        <v>1672</v>
      </c>
      <c r="H488" t="s">
        <v>1671</v>
      </c>
    </row>
    <row r="489" spans="2:8" x14ac:dyDescent="0.25">
      <c r="B489" t="s">
        <v>1673</v>
      </c>
      <c r="C489" t="s">
        <v>1663</v>
      </c>
      <c r="D489" t="s">
        <v>1674</v>
      </c>
      <c r="E489" t="s">
        <v>1674</v>
      </c>
      <c r="H489" t="s">
        <v>1673</v>
      </c>
    </row>
    <row r="490" spans="2:8" x14ac:dyDescent="0.25">
      <c r="B490" t="s">
        <v>1675</v>
      </c>
      <c r="C490" t="s">
        <v>1663</v>
      </c>
      <c r="D490" t="s">
        <v>1676</v>
      </c>
      <c r="E490" t="s">
        <v>1676</v>
      </c>
      <c r="H490" t="s">
        <v>1675</v>
      </c>
    </row>
    <row r="491" spans="2:8" x14ac:dyDescent="0.25">
      <c r="B491" t="s">
        <v>1677</v>
      </c>
      <c r="C491" t="s">
        <v>1663</v>
      </c>
      <c r="D491" t="s">
        <v>1678</v>
      </c>
      <c r="E491" t="s">
        <v>1678</v>
      </c>
      <c r="H491" t="s">
        <v>1677</v>
      </c>
    </row>
    <row r="492" spans="2:8" x14ac:dyDescent="0.25">
      <c r="B492" t="s">
        <v>1679</v>
      </c>
      <c r="C492" t="s">
        <v>1680</v>
      </c>
      <c r="D492" t="s">
        <v>1681</v>
      </c>
      <c r="E492" t="s">
        <v>1681</v>
      </c>
      <c r="H492" t="s">
        <v>1679</v>
      </c>
    </row>
    <row r="493" spans="2:8" x14ac:dyDescent="0.25">
      <c r="B493" t="s">
        <v>1682</v>
      </c>
      <c r="C493" t="s">
        <v>1680</v>
      </c>
      <c r="D493" t="s">
        <v>1683</v>
      </c>
      <c r="E493" t="s">
        <v>1683</v>
      </c>
      <c r="H493" t="s">
        <v>1682</v>
      </c>
    </row>
    <row r="494" spans="2:8" x14ac:dyDescent="0.25">
      <c r="B494" t="s">
        <v>1684</v>
      </c>
      <c r="C494" t="s">
        <v>1680</v>
      </c>
      <c r="D494" t="s">
        <v>1685</v>
      </c>
      <c r="E494" t="s">
        <v>1685</v>
      </c>
      <c r="H494" t="s">
        <v>1684</v>
      </c>
    </row>
    <row r="495" spans="2:8" x14ac:dyDescent="0.25">
      <c r="B495" t="s">
        <v>1686</v>
      </c>
      <c r="C495" t="s">
        <v>1680</v>
      </c>
      <c r="D495" t="s">
        <v>1687</v>
      </c>
      <c r="E495" t="s">
        <v>1687</v>
      </c>
      <c r="H495" t="s">
        <v>1686</v>
      </c>
    </row>
    <row r="496" spans="2:8" x14ac:dyDescent="0.25">
      <c r="B496" t="s">
        <v>1688</v>
      </c>
      <c r="C496" t="s">
        <v>1680</v>
      </c>
      <c r="D496" t="s">
        <v>1689</v>
      </c>
      <c r="E496" t="s">
        <v>1689</v>
      </c>
      <c r="H496" t="s">
        <v>1688</v>
      </c>
    </row>
    <row r="497" spans="2:8" x14ac:dyDescent="0.25">
      <c r="B497" t="s">
        <v>1690</v>
      </c>
      <c r="C497" t="s">
        <v>1680</v>
      </c>
      <c r="D497" t="s">
        <v>1691</v>
      </c>
      <c r="E497" t="s">
        <v>1691</v>
      </c>
      <c r="H497" t="s">
        <v>1690</v>
      </c>
    </row>
    <row r="498" spans="2:8" x14ac:dyDescent="0.25">
      <c r="B498" t="s">
        <v>1692</v>
      </c>
      <c r="C498" t="s">
        <v>1680</v>
      </c>
      <c r="D498" t="s">
        <v>1693</v>
      </c>
      <c r="E498" t="s">
        <v>1693</v>
      </c>
      <c r="H498" t="s">
        <v>1692</v>
      </c>
    </row>
    <row r="499" spans="2:8" x14ac:dyDescent="0.25">
      <c r="B499" t="s">
        <v>1694</v>
      </c>
      <c r="C499" t="s">
        <v>1680</v>
      </c>
      <c r="D499" t="s">
        <v>1695</v>
      </c>
      <c r="E499" t="s">
        <v>1695</v>
      </c>
      <c r="H499" t="s">
        <v>1694</v>
      </c>
    </row>
    <row r="500" spans="2:8" x14ac:dyDescent="0.25">
      <c r="B500" t="s">
        <v>1696</v>
      </c>
      <c r="C500" t="s">
        <v>1680</v>
      </c>
      <c r="D500" t="s">
        <v>1697</v>
      </c>
      <c r="E500" t="s">
        <v>1697</v>
      </c>
      <c r="H500" t="s">
        <v>1696</v>
      </c>
    </row>
    <row r="501" spans="2:8" x14ac:dyDescent="0.25">
      <c r="B501" t="s">
        <v>1698</v>
      </c>
      <c r="C501" t="s">
        <v>1699</v>
      </c>
      <c r="D501" t="s">
        <v>1700</v>
      </c>
      <c r="E501" t="s">
        <v>1700</v>
      </c>
      <c r="H501" t="s">
        <v>1698</v>
      </c>
    </row>
    <row r="502" spans="2:8" x14ac:dyDescent="0.25">
      <c r="B502" t="s">
        <v>1701</v>
      </c>
      <c r="C502" t="s">
        <v>1699</v>
      </c>
      <c r="D502" t="s">
        <v>1702</v>
      </c>
      <c r="E502" t="s">
        <v>1702</v>
      </c>
      <c r="H502" t="s">
        <v>1701</v>
      </c>
    </row>
    <row r="503" spans="2:8" x14ac:dyDescent="0.25">
      <c r="B503" t="s">
        <v>1703</v>
      </c>
      <c r="C503" t="s">
        <v>1699</v>
      </c>
      <c r="D503" t="s">
        <v>1704</v>
      </c>
      <c r="E503" t="s">
        <v>1704</v>
      </c>
      <c r="H503" t="s">
        <v>1703</v>
      </c>
    </row>
    <row r="504" spans="2:8" x14ac:dyDescent="0.25">
      <c r="B504" t="s">
        <v>1705</v>
      </c>
      <c r="C504" t="s">
        <v>1699</v>
      </c>
      <c r="D504" t="s">
        <v>1706</v>
      </c>
      <c r="E504" t="s">
        <v>1706</v>
      </c>
      <c r="H504" t="s">
        <v>1705</v>
      </c>
    </row>
    <row r="505" spans="2:8" x14ac:dyDescent="0.25">
      <c r="B505" t="s">
        <v>1707</v>
      </c>
      <c r="C505" t="s">
        <v>1699</v>
      </c>
      <c r="D505" t="s">
        <v>1708</v>
      </c>
      <c r="E505" t="s">
        <v>1708</v>
      </c>
      <c r="H505" t="s">
        <v>1707</v>
      </c>
    </row>
    <row r="506" spans="2:8" x14ac:dyDescent="0.25">
      <c r="B506" t="s">
        <v>1709</v>
      </c>
      <c r="C506" t="s">
        <v>1699</v>
      </c>
      <c r="D506" t="s">
        <v>1710</v>
      </c>
      <c r="E506" t="s">
        <v>1710</v>
      </c>
      <c r="H506" t="s">
        <v>1709</v>
      </c>
    </row>
    <row r="507" spans="2:8" x14ac:dyDescent="0.25">
      <c r="B507" t="s">
        <v>1711</v>
      </c>
      <c r="C507" t="s">
        <v>1712</v>
      </c>
      <c r="D507" t="s">
        <v>1713</v>
      </c>
      <c r="E507" t="s">
        <v>1713</v>
      </c>
      <c r="H507" t="s">
        <v>1711</v>
      </c>
    </row>
    <row r="508" spans="2:8" x14ac:dyDescent="0.25">
      <c r="B508" t="s">
        <v>1714</v>
      </c>
      <c r="C508" t="s">
        <v>1712</v>
      </c>
      <c r="D508" t="s">
        <v>1715</v>
      </c>
      <c r="E508" t="s">
        <v>1715</v>
      </c>
      <c r="H508" t="s">
        <v>1714</v>
      </c>
    </row>
    <row r="509" spans="2:8" x14ac:dyDescent="0.25">
      <c r="B509" t="s">
        <v>1716</v>
      </c>
      <c r="C509" t="s">
        <v>1712</v>
      </c>
      <c r="D509" t="s">
        <v>1717</v>
      </c>
      <c r="E509" t="s">
        <v>1717</v>
      </c>
      <c r="H509" t="s">
        <v>1716</v>
      </c>
    </row>
    <row r="510" spans="2:8" x14ac:dyDescent="0.25">
      <c r="B510" t="s">
        <v>1718</v>
      </c>
      <c r="C510" t="s">
        <v>1712</v>
      </c>
      <c r="D510" t="s">
        <v>1719</v>
      </c>
      <c r="E510" t="s">
        <v>1719</v>
      </c>
      <c r="H510" t="s">
        <v>1718</v>
      </c>
    </row>
    <row r="511" spans="2:8" x14ac:dyDescent="0.25">
      <c r="B511" t="s">
        <v>1720</v>
      </c>
      <c r="C511" t="s">
        <v>1721</v>
      </c>
      <c r="D511" t="s">
        <v>1722</v>
      </c>
      <c r="E511" t="s">
        <v>1722</v>
      </c>
      <c r="H511" t="s">
        <v>1720</v>
      </c>
    </row>
    <row r="512" spans="2:8" x14ac:dyDescent="0.25">
      <c r="B512" t="s">
        <v>1723</v>
      </c>
      <c r="C512" t="s">
        <v>1712</v>
      </c>
      <c r="D512" t="s">
        <v>1724</v>
      </c>
      <c r="E512" t="s">
        <v>1724</v>
      </c>
      <c r="H512" t="s">
        <v>1723</v>
      </c>
    </row>
    <row r="513" spans="2:8" x14ac:dyDescent="0.25">
      <c r="B513" t="s">
        <v>1725</v>
      </c>
      <c r="C513" t="s">
        <v>1726</v>
      </c>
      <c r="D513" t="s">
        <v>1727</v>
      </c>
      <c r="E513" t="s">
        <v>1727</v>
      </c>
      <c r="H513" t="s">
        <v>1725</v>
      </c>
    </row>
    <row r="514" spans="2:8" x14ac:dyDescent="0.25">
      <c r="B514" t="s">
        <v>1728</v>
      </c>
      <c r="C514" t="s">
        <v>1726</v>
      </c>
      <c r="D514" t="s">
        <v>1729</v>
      </c>
      <c r="E514" t="s">
        <v>1729</v>
      </c>
      <c r="H514" t="s">
        <v>1728</v>
      </c>
    </row>
    <row r="515" spans="2:8" x14ac:dyDescent="0.25">
      <c r="B515" t="s">
        <v>1730</v>
      </c>
      <c r="C515" t="s">
        <v>1726</v>
      </c>
      <c r="D515" t="s">
        <v>1731</v>
      </c>
      <c r="E515" t="s">
        <v>1731</v>
      </c>
      <c r="H515" t="s">
        <v>1730</v>
      </c>
    </row>
    <row r="516" spans="2:8" x14ac:dyDescent="0.25">
      <c r="B516" t="s">
        <v>1732</v>
      </c>
      <c r="C516" t="s">
        <v>1726</v>
      </c>
      <c r="D516" t="s">
        <v>1733</v>
      </c>
      <c r="E516" t="s">
        <v>1733</v>
      </c>
      <c r="H516" t="s">
        <v>1732</v>
      </c>
    </row>
    <row r="517" spans="2:8" x14ac:dyDescent="0.25">
      <c r="B517" t="s">
        <v>1734</v>
      </c>
      <c r="C517" t="s">
        <v>1726</v>
      </c>
      <c r="D517" t="s">
        <v>1735</v>
      </c>
      <c r="E517" t="s">
        <v>1735</v>
      </c>
      <c r="H517" t="s">
        <v>1734</v>
      </c>
    </row>
    <row r="518" spans="2:8" x14ac:dyDescent="0.25">
      <c r="B518" t="s">
        <v>1736</v>
      </c>
      <c r="C518" t="s">
        <v>1726</v>
      </c>
      <c r="D518" t="s">
        <v>1737</v>
      </c>
      <c r="E518" t="s">
        <v>1737</v>
      </c>
      <c r="H518" t="s">
        <v>1736</v>
      </c>
    </row>
    <row r="519" spans="2:8" x14ac:dyDescent="0.25">
      <c r="B519" t="s">
        <v>1738</v>
      </c>
      <c r="C519" t="s">
        <v>1739</v>
      </c>
      <c r="D519" t="s">
        <v>1740</v>
      </c>
      <c r="E519" t="s">
        <v>1740</v>
      </c>
      <c r="H519" t="s">
        <v>1738</v>
      </c>
    </row>
    <row r="520" spans="2:8" x14ac:dyDescent="0.25">
      <c r="B520" t="s">
        <v>1741</v>
      </c>
      <c r="C520" t="s">
        <v>1739</v>
      </c>
      <c r="D520" t="s">
        <v>1742</v>
      </c>
      <c r="E520" t="s">
        <v>1742</v>
      </c>
      <c r="H520" t="s">
        <v>1741</v>
      </c>
    </row>
    <row r="521" spans="2:8" x14ac:dyDescent="0.25">
      <c r="B521" t="s">
        <v>1743</v>
      </c>
      <c r="C521" t="s">
        <v>1739</v>
      </c>
      <c r="D521" t="s">
        <v>1744</v>
      </c>
      <c r="E521" t="s">
        <v>1744</v>
      </c>
      <c r="H521" t="s">
        <v>1743</v>
      </c>
    </row>
    <row r="522" spans="2:8" x14ac:dyDescent="0.25">
      <c r="B522" t="s">
        <v>1745</v>
      </c>
      <c r="C522" t="s">
        <v>1739</v>
      </c>
      <c r="D522" t="s">
        <v>1746</v>
      </c>
      <c r="E522" t="s">
        <v>1746</v>
      </c>
      <c r="H522" t="s">
        <v>1745</v>
      </c>
    </row>
    <row r="523" spans="2:8" x14ac:dyDescent="0.25">
      <c r="B523" t="s">
        <v>1747</v>
      </c>
      <c r="C523" t="s">
        <v>1739</v>
      </c>
      <c r="D523" t="s">
        <v>1748</v>
      </c>
      <c r="E523" t="s">
        <v>1748</v>
      </c>
      <c r="H523" t="s">
        <v>1747</v>
      </c>
    </row>
    <row r="524" spans="2:8" x14ac:dyDescent="0.25">
      <c r="B524" t="s">
        <v>1749</v>
      </c>
      <c r="C524" t="s">
        <v>1739</v>
      </c>
      <c r="D524" t="s">
        <v>1750</v>
      </c>
      <c r="E524" t="s">
        <v>1750</v>
      </c>
      <c r="H524" t="s">
        <v>1749</v>
      </c>
    </row>
    <row r="525" spans="2:8" x14ac:dyDescent="0.25">
      <c r="B525" t="s">
        <v>1751</v>
      </c>
      <c r="C525" t="s">
        <v>1752</v>
      </c>
      <c r="D525" t="s">
        <v>1753</v>
      </c>
      <c r="E525" t="s">
        <v>1753</v>
      </c>
      <c r="H525" t="s">
        <v>1751</v>
      </c>
    </row>
    <row r="526" spans="2:8" x14ac:dyDescent="0.25">
      <c r="B526" t="s">
        <v>1754</v>
      </c>
      <c r="C526" t="s">
        <v>1752</v>
      </c>
      <c r="D526" t="s">
        <v>1755</v>
      </c>
      <c r="E526" t="s">
        <v>1755</v>
      </c>
      <c r="H526" t="s">
        <v>1754</v>
      </c>
    </row>
    <row r="527" spans="2:8" x14ac:dyDescent="0.25">
      <c r="B527" t="s">
        <v>1756</v>
      </c>
      <c r="C527" t="s">
        <v>1752</v>
      </c>
      <c r="D527" t="s">
        <v>1757</v>
      </c>
      <c r="E527" t="s">
        <v>1757</v>
      </c>
      <c r="H527" t="s">
        <v>1756</v>
      </c>
    </row>
    <row r="528" spans="2:8" x14ac:dyDescent="0.25">
      <c r="B528" t="s">
        <v>1758</v>
      </c>
      <c r="C528" t="s">
        <v>1752</v>
      </c>
      <c r="D528" t="s">
        <v>1759</v>
      </c>
      <c r="E528" t="s">
        <v>1759</v>
      </c>
      <c r="H528" t="s">
        <v>1758</v>
      </c>
    </row>
    <row r="529" spans="2:8" x14ac:dyDescent="0.25">
      <c r="B529" t="s">
        <v>1760</v>
      </c>
      <c r="C529" t="s">
        <v>1752</v>
      </c>
      <c r="D529" t="s">
        <v>1761</v>
      </c>
      <c r="E529" t="s">
        <v>1761</v>
      </c>
      <c r="H529" t="s">
        <v>1760</v>
      </c>
    </row>
    <row r="530" spans="2:8" x14ac:dyDescent="0.25">
      <c r="B530" t="s">
        <v>1762</v>
      </c>
      <c r="C530" t="s">
        <v>1752</v>
      </c>
      <c r="D530" t="s">
        <v>1763</v>
      </c>
      <c r="E530" t="s">
        <v>1763</v>
      </c>
      <c r="H530" t="s">
        <v>1762</v>
      </c>
    </row>
    <row r="531" spans="2:8" x14ac:dyDescent="0.25">
      <c r="B531" t="s">
        <v>1764</v>
      </c>
      <c r="C531" t="s">
        <v>1765</v>
      </c>
      <c r="D531" t="s">
        <v>1766</v>
      </c>
      <c r="E531" t="s">
        <v>1766</v>
      </c>
      <c r="H531" t="s">
        <v>1764</v>
      </c>
    </row>
    <row r="532" spans="2:8" x14ac:dyDescent="0.25">
      <c r="B532" t="s">
        <v>1767</v>
      </c>
      <c r="C532" t="s">
        <v>1765</v>
      </c>
      <c r="D532" t="s">
        <v>1768</v>
      </c>
      <c r="E532" t="s">
        <v>1768</v>
      </c>
      <c r="H532" t="s">
        <v>1767</v>
      </c>
    </row>
    <row r="533" spans="2:8" x14ac:dyDescent="0.25">
      <c r="B533" t="s">
        <v>1769</v>
      </c>
      <c r="C533" t="s">
        <v>1765</v>
      </c>
      <c r="D533" t="s">
        <v>1770</v>
      </c>
      <c r="E533" t="s">
        <v>1770</v>
      </c>
      <c r="H533" t="s">
        <v>1769</v>
      </c>
    </row>
    <row r="534" spans="2:8" x14ac:dyDescent="0.25">
      <c r="B534" t="s">
        <v>1771</v>
      </c>
      <c r="C534" t="s">
        <v>1765</v>
      </c>
      <c r="D534" t="s">
        <v>1772</v>
      </c>
      <c r="E534" t="s">
        <v>1772</v>
      </c>
      <c r="H534" t="s">
        <v>1771</v>
      </c>
    </row>
    <row r="535" spans="2:8" x14ac:dyDescent="0.25">
      <c r="B535" t="s">
        <v>1773</v>
      </c>
      <c r="C535" t="s">
        <v>1765</v>
      </c>
      <c r="D535" t="s">
        <v>1774</v>
      </c>
      <c r="E535" t="s">
        <v>1774</v>
      </c>
      <c r="H535" t="s">
        <v>1773</v>
      </c>
    </row>
    <row r="536" spans="2:8" x14ac:dyDescent="0.25">
      <c r="B536" t="s">
        <v>1775</v>
      </c>
      <c r="C536" t="s">
        <v>1765</v>
      </c>
      <c r="D536" t="s">
        <v>1776</v>
      </c>
      <c r="E536" t="s">
        <v>1776</v>
      </c>
      <c r="H536" t="s">
        <v>1775</v>
      </c>
    </row>
    <row r="537" spans="2:8" x14ac:dyDescent="0.25">
      <c r="B537" t="s">
        <v>1777</v>
      </c>
      <c r="C537" t="s">
        <v>1778</v>
      </c>
      <c r="D537" t="s">
        <v>1779</v>
      </c>
      <c r="E537" t="s">
        <v>1779</v>
      </c>
      <c r="H537" t="s">
        <v>1777</v>
      </c>
    </row>
    <row r="538" spans="2:8" x14ac:dyDescent="0.25">
      <c r="B538" t="s">
        <v>1780</v>
      </c>
      <c r="C538" t="s">
        <v>1778</v>
      </c>
      <c r="D538" t="s">
        <v>1781</v>
      </c>
      <c r="E538" t="s">
        <v>1781</v>
      </c>
      <c r="H538" t="s">
        <v>1780</v>
      </c>
    </row>
    <row r="539" spans="2:8" x14ac:dyDescent="0.25">
      <c r="B539" t="s">
        <v>1782</v>
      </c>
      <c r="C539" t="s">
        <v>1778</v>
      </c>
      <c r="D539" t="s">
        <v>1783</v>
      </c>
      <c r="E539" t="s">
        <v>1783</v>
      </c>
      <c r="H539" t="s">
        <v>1782</v>
      </c>
    </row>
    <row r="540" spans="2:8" x14ac:dyDescent="0.25">
      <c r="B540" t="s">
        <v>1784</v>
      </c>
      <c r="C540" t="s">
        <v>1778</v>
      </c>
      <c r="D540" t="s">
        <v>1785</v>
      </c>
      <c r="E540" t="s">
        <v>1785</v>
      </c>
      <c r="H540" t="s">
        <v>1784</v>
      </c>
    </row>
    <row r="541" spans="2:8" x14ac:dyDescent="0.25">
      <c r="B541" t="s">
        <v>1786</v>
      </c>
      <c r="C541" t="s">
        <v>1778</v>
      </c>
      <c r="D541" t="s">
        <v>1787</v>
      </c>
      <c r="E541" t="s">
        <v>1787</v>
      </c>
      <c r="H541" t="s">
        <v>1786</v>
      </c>
    </row>
    <row r="542" spans="2:8" x14ac:dyDescent="0.25">
      <c r="B542" t="s">
        <v>1788</v>
      </c>
      <c r="C542" t="s">
        <v>1778</v>
      </c>
      <c r="D542" t="s">
        <v>1789</v>
      </c>
      <c r="E542" t="s">
        <v>1789</v>
      </c>
      <c r="H542" t="s">
        <v>1788</v>
      </c>
    </row>
    <row r="543" spans="2:8" x14ac:dyDescent="0.25">
      <c r="B543" t="s">
        <v>1790</v>
      </c>
      <c r="C543" t="s">
        <v>1791</v>
      </c>
      <c r="D543" t="s">
        <v>1792</v>
      </c>
      <c r="E543" t="s">
        <v>1792</v>
      </c>
      <c r="H543" t="s">
        <v>1790</v>
      </c>
    </row>
    <row r="544" spans="2:8" x14ac:dyDescent="0.25">
      <c r="B544" t="s">
        <v>1793</v>
      </c>
      <c r="C544" t="s">
        <v>1791</v>
      </c>
      <c r="D544" t="s">
        <v>1794</v>
      </c>
      <c r="E544" t="s">
        <v>1794</v>
      </c>
      <c r="H544" t="s">
        <v>1793</v>
      </c>
    </row>
    <row r="545" spans="2:8" x14ac:dyDescent="0.25">
      <c r="B545" t="s">
        <v>1795</v>
      </c>
      <c r="C545" t="s">
        <v>1791</v>
      </c>
      <c r="D545" t="s">
        <v>1796</v>
      </c>
      <c r="E545" t="s">
        <v>1796</v>
      </c>
      <c r="H545" t="s">
        <v>1795</v>
      </c>
    </row>
    <row r="546" spans="2:8" x14ac:dyDescent="0.25">
      <c r="B546" t="s">
        <v>1797</v>
      </c>
      <c r="C546" t="s">
        <v>1791</v>
      </c>
      <c r="D546" t="s">
        <v>1798</v>
      </c>
      <c r="E546" t="s">
        <v>1798</v>
      </c>
      <c r="H546" t="s">
        <v>1797</v>
      </c>
    </row>
    <row r="547" spans="2:8" x14ac:dyDescent="0.25">
      <c r="B547" t="s">
        <v>1799</v>
      </c>
      <c r="C547" t="s">
        <v>1791</v>
      </c>
      <c r="D547" t="s">
        <v>1800</v>
      </c>
      <c r="E547" t="s">
        <v>1800</v>
      </c>
      <c r="H547" t="s">
        <v>1799</v>
      </c>
    </row>
    <row r="548" spans="2:8" x14ac:dyDescent="0.25">
      <c r="B548" t="s">
        <v>1801</v>
      </c>
      <c r="C548" t="s">
        <v>1791</v>
      </c>
      <c r="D548" t="s">
        <v>1802</v>
      </c>
      <c r="E548" t="s">
        <v>1802</v>
      </c>
      <c r="H548" t="s">
        <v>1801</v>
      </c>
    </row>
    <row r="549" spans="2:8" x14ac:dyDescent="0.25">
      <c r="B549" t="s">
        <v>1803</v>
      </c>
      <c r="C549" t="s">
        <v>1804</v>
      </c>
      <c r="D549" t="s">
        <v>1805</v>
      </c>
      <c r="E549" t="s">
        <v>1805</v>
      </c>
      <c r="H549" t="s">
        <v>1803</v>
      </c>
    </row>
    <row r="550" spans="2:8" x14ac:dyDescent="0.25">
      <c r="B550" t="s">
        <v>1806</v>
      </c>
      <c r="C550" t="s">
        <v>1804</v>
      </c>
      <c r="D550" t="s">
        <v>1807</v>
      </c>
      <c r="E550" t="s">
        <v>1807</v>
      </c>
      <c r="H550" t="s">
        <v>1806</v>
      </c>
    </row>
    <row r="551" spans="2:8" x14ac:dyDescent="0.25">
      <c r="B551" t="s">
        <v>1808</v>
      </c>
      <c r="C551" t="s">
        <v>1804</v>
      </c>
      <c r="D551" t="s">
        <v>1809</v>
      </c>
      <c r="E551" t="s">
        <v>1809</v>
      </c>
      <c r="H551" t="s">
        <v>1808</v>
      </c>
    </row>
    <row r="552" spans="2:8" x14ac:dyDescent="0.25">
      <c r="B552" t="s">
        <v>1810</v>
      </c>
      <c r="C552" t="s">
        <v>1804</v>
      </c>
      <c r="D552" t="s">
        <v>1811</v>
      </c>
      <c r="E552" t="s">
        <v>1811</v>
      </c>
      <c r="H552" t="s">
        <v>1810</v>
      </c>
    </row>
    <row r="553" spans="2:8" x14ac:dyDescent="0.25">
      <c r="B553" t="s">
        <v>1812</v>
      </c>
      <c r="C553" t="s">
        <v>1804</v>
      </c>
      <c r="D553" t="s">
        <v>1813</v>
      </c>
      <c r="E553" t="s">
        <v>1813</v>
      </c>
      <c r="H553" t="s">
        <v>1812</v>
      </c>
    </row>
    <row r="554" spans="2:8" x14ac:dyDescent="0.25">
      <c r="B554" t="s">
        <v>1814</v>
      </c>
      <c r="C554" t="s">
        <v>1815</v>
      </c>
      <c r="D554" t="s">
        <v>1816</v>
      </c>
      <c r="E554" t="s">
        <v>1816</v>
      </c>
      <c r="H554" t="s">
        <v>1814</v>
      </c>
    </row>
    <row r="555" spans="2:8" x14ac:dyDescent="0.25">
      <c r="B555" t="s">
        <v>1817</v>
      </c>
      <c r="C555" t="s">
        <v>1818</v>
      </c>
      <c r="D555" t="s">
        <v>1819</v>
      </c>
      <c r="E555" t="s">
        <v>1819</v>
      </c>
      <c r="H555" t="s">
        <v>1817</v>
      </c>
    </row>
    <row r="556" spans="2:8" x14ac:dyDescent="0.25">
      <c r="B556" t="s">
        <v>1820</v>
      </c>
      <c r="C556" t="s">
        <v>1821</v>
      </c>
      <c r="D556" t="s">
        <v>1822</v>
      </c>
      <c r="E556" t="s">
        <v>1822</v>
      </c>
      <c r="H556" t="s">
        <v>1820</v>
      </c>
    </row>
    <row r="557" spans="2:8" x14ac:dyDescent="0.25">
      <c r="B557" t="s">
        <v>1823</v>
      </c>
      <c r="C557" t="s">
        <v>1824</v>
      </c>
      <c r="D557" t="s">
        <v>1825</v>
      </c>
      <c r="E557" t="s">
        <v>1825</v>
      </c>
      <c r="H557" t="s">
        <v>1823</v>
      </c>
    </row>
    <row r="558" spans="2:8" x14ac:dyDescent="0.25">
      <c r="B558" t="s">
        <v>1826</v>
      </c>
      <c r="C558" t="s">
        <v>1827</v>
      </c>
      <c r="D558" t="s">
        <v>1828</v>
      </c>
      <c r="E558" t="s">
        <v>1828</v>
      </c>
      <c r="H558" t="s">
        <v>1826</v>
      </c>
    </row>
    <row r="559" spans="2:8" x14ac:dyDescent="0.25">
      <c r="B559" t="s">
        <v>1829</v>
      </c>
      <c r="C559" t="s">
        <v>1830</v>
      </c>
      <c r="D559" t="s">
        <v>1831</v>
      </c>
      <c r="E559" t="s">
        <v>1831</v>
      </c>
      <c r="H559" t="s">
        <v>1829</v>
      </c>
    </row>
    <row r="560" spans="2:8" x14ac:dyDescent="0.25">
      <c r="B560" t="s">
        <v>1832</v>
      </c>
      <c r="C560" t="s">
        <v>1833</v>
      </c>
      <c r="D560" t="s">
        <v>1834</v>
      </c>
      <c r="E560" t="s">
        <v>1834</v>
      </c>
      <c r="H560" t="s">
        <v>1832</v>
      </c>
    </row>
    <row r="561" spans="2:8" x14ac:dyDescent="0.25">
      <c r="B561" t="s">
        <v>1835</v>
      </c>
      <c r="C561" t="s">
        <v>1836</v>
      </c>
      <c r="D561" t="s">
        <v>1837</v>
      </c>
      <c r="E561" t="s">
        <v>1837</v>
      </c>
      <c r="H561" t="s">
        <v>1835</v>
      </c>
    </row>
    <row r="562" spans="2:8" x14ac:dyDescent="0.25">
      <c r="B562" t="s">
        <v>1838</v>
      </c>
      <c r="C562" t="s">
        <v>1839</v>
      </c>
      <c r="D562" t="s">
        <v>1840</v>
      </c>
      <c r="E562" t="s">
        <v>1840</v>
      </c>
      <c r="H562" t="s">
        <v>1838</v>
      </c>
    </row>
    <row r="563" spans="2:8" x14ac:dyDescent="0.25">
      <c r="B563" t="s">
        <v>1841</v>
      </c>
      <c r="C563" t="s">
        <v>1842</v>
      </c>
      <c r="D563" t="s">
        <v>1843</v>
      </c>
      <c r="E563" t="s">
        <v>1843</v>
      </c>
      <c r="H563" t="s">
        <v>1841</v>
      </c>
    </row>
    <row r="564" spans="2:8" x14ac:dyDescent="0.25">
      <c r="B564" t="s">
        <v>1844</v>
      </c>
      <c r="C564" t="s">
        <v>1845</v>
      </c>
      <c r="D564" t="s">
        <v>1846</v>
      </c>
      <c r="E564" t="s">
        <v>1846</v>
      </c>
      <c r="H564" t="s">
        <v>1844</v>
      </c>
    </row>
    <row r="565" spans="2:8" x14ac:dyDescent="0.25">
      <c r="B565" t="s">
        <v>1847</v>
      </c>
      <c r="C565" t="s">
        <v>1848</v>
      </c>
      <c r="D565" t="s">
        <v>1849</v>
      </c>
      <c r="E565" t="s">
        <v>1849</v>
      </c>
      <c r="H565" t="s">
        <v>1847</v>
      </c>
    </row>
    <row r="566" spans="2:8" x14ac:dyDescent="0.25">
      <c r="B566" t="s">
        <v>1850</v>
      </c>
      <c r="C566" t="s">
        <v>1848</v>
      </c>
      <c r="D566" t="s">
        <v>1851</v>
      </c>
      <c r="E566" t="s">
        <v>1851</v>
      </c>
      <c r="H566" t="s">
        <v>1850</v>
      </c>
    </row>
    <row r="567" spans="2:8" x14ac:dyDescent="0.25">
      <c r="B567" t="s">
        <v>1852</v>
      </c>
      <c r="C567" t="s">
        <v>1853</v>
      </c>
      <c r="D567" t="s">
        <v>1854</v>
      </c>
      <c r="E567" t="s">
        <v>1854</v>
      </c>
      <c r="H567" t="s">
        <v>1852</v>
      </c>
    </row>
    <row r="568" spans="2:8" x14ac:dyDescent="0.25">
      <c r="B568" t="s">
        <v>1855</v>
      </c>
      <c r="C568" t="s">
        <v>1853</v>
      </c>
      <c r="D568" t="s">
        <v>1856</v>
      </c>
      <c r="E568" t="s">
        <v>1856</v>
      </c>
      <c r="H568" t="s">
        <v>1855</v>
      </c>
    </row>
    <row r="569" spans="2:8" x14ac:dyDescent="0.25">
      <c r="B569" t="s">
        <v>1857</v>
      </c>
      <c r="C569" t="s">
        <v>1858</v>
      </c>
      <c r="D569" t="s">
        <v>1859</v>
      </c>
      <c r="E569" t="s">
        <v>1859</v>
      </c>
      <c r="H569" t="s">
        <v>1857</v>
      </c>
    </row>
    <row r="570" spans="2:8" x14ac:dyDescent="0.25">
      <c r="B570" t="s">
        <v>1860</v>
      </c>
      <c r="C570" t="s">
        <v>1861</v>
      </c>
      <c r="D570" t="s">
        <v>1862</v>
      </c>
      <c r="E570" t="s">
        <v>1862</v>
      </c>
      <c r="H570" t="s">
        <v>1860</v>
      </c>
    </row>
    <row r="571" spans="2:8" x14ac:dyDescent="0.25">
      <c r="B571" t="s">
        <v>1863</v>
      </c>
      <c r="C571" t="s">
        <v>1864</v>
      </c>
      <c r="D571" t="s">
        <v>1865</v>
      </c>
      <c r="E571" t="s">
        <v>1865</v>
      </c>
      <c r="H571" t="s">
        <v>1863</v>
      </c>
    </row>
    <row r="572" spans="2:8" x14ac:dyDescent="0.25">
      <c r="B572" t="s">
        <v>1866</v>
      </c>
      <c r="C572" t="s">
        <v>1867</v>
      </c>
      <c r="D572" t="s">
        <v>1868</v>
      </c>
      <c r="E572" t="s">
        <v>1868</v>
      </c>
      <c r="H572" t="s">
        <v>1866</v>
      </c>
    </row>
    <row r="573" spans="2:8" x14ac:dyDescent="0.25">
      <c r="B573" t="s">
        <v>1869</v>
      </c>
      <c r="C573" t="s">
        <v>1870</v>
      </c>
      <c r="D573" t="s">
        <v>1871</v>
      </c>
      <c r="E573" t="s">
        <v>1871</v>
      </c>
      <c r="H573" t="s">
        <v>1869</v>
      </c>
    </row>
    <row r="574" spans="2:8" x14ac:dyDescent="0.25">
      <c r="B574" t="s">
        <v>1872</v>
      </c>
      <c r="C574" t="s">
        <v>1873</v>
      </c>
      <c r="D574" t="s">
        <v>1874</v>
      </c>
      <c r="E574" t="s">
        <v>1874</v>
      </c>
      <c r="H574" t="s">
        <v>1872</v>
      </c>
    </row>
    <row r="575" spans="2:8" x14ac:dyDescent="0.25">
      <c r="B575" t="s">
        <v>1875</v>
      </c>
      <c r="C575" t="s">
        <v>1873</v>
      </c>
      <c r="D575" t="s">
        <v>1876</v>
      </c>
      <c r="E575" t="s">
        <v>1876</v>
      </c>
      <c r="H575" t="s">
        <v>1875</v>
      </c>
    </row>
    <row r="576" spans="2:8" x14ac:dyDescent="0.25">
      <c r="B576" t="s">
        <v>1877</v>
      </c>
      <c r="C576" t="s">
        <v>1873</v>
      </c>
      <c r="D576" t="s">
        <v>1878</v>
      </c>
      <c r="E576" t="s">
        <v>1878</v>
      </c>
      <c r="H576" t="s">
        <v>1877</v>
      </c>
    </row>
    <row r="577" spans="2:8" x14ac:dyDescent="0.25">
      <c r="B577" t="s">
        <v>1879</v>
      </c>
      <c r="C577" t="s">
        <v>1880</v>
      </c>
      <c r="D577" t="s">
        <v>1881</v>
      </c>
      <c r="E577" t="s">
        <v>1881</v>
      </c>
      <c r="H577" t="s">
        <v>1879</v>
      </c>
    </row>
    <row r="578" spans="2:8" x14ac:dyDescent="0.25">
      <c r="B578" t="s">
        <v>1882</v>
      </c>
      <c r="C578" t="s">
        <v>1880</v>
      </c>
      <c r="D578" t="s">
        <v>1883</v>
      </c>
      <c r="E578" t="s">
        <v>1883</v>
      </c>
      <c r="H578" t="s">
        <v>1882</v>
      </c>
    </row>
    <row r="579" spans="2:8" x14ac:dyDescent="0.25">
      <c r="B579" t="s">
        <v>1884</v>
      </c>
      <c r="C579" t="s">
        <v>1885</v>
      </c>
      <c r="D579" t="s">
        <v>1886</v>
      </c>
      <c r="E579" t="s">
        <v>1886</v>
      </c>
      <c r="H579" t="s">
        <v>1884</v>
      </c>
    </row>
    <row r="580" spans="2:8" x14ac:dyDescent="0.25">
      <c r="B580" t="s">
        <v>1887</v>
      </c>
      <c r="C580" t="s">
        <v>1888</v>
      </c>
      <c r="D580" t="s">
        <v>1889</v>
      </c>
      <c r="E580" t="s">
        <v>1889</v>
      </c>
      <c r="H580" t="s">
        <v>1887</v>
      </c>
    </row>
    <row r="581" spans="2:8" x14ac:dyDescent="0.25">
      <c r="B581" t="s">
        <v>1890</v>
      </c>
      <c r="C581" t="s">
        <v>1888</v>
      </c>
      <c r="D581" t="s">
        <v>1891</v>
      </c>
      <c r="E581" t="s">
        <v>1891</v>
      </c>
      <c r="H581" t="s">
        <v>1890</v>
      </c>
    </row>
    <row r="582" spans="2:8" x14ac:dyDescent="0.25">
      <c r="B582" t="s">
        <v>1892</v>
      </c>
      <c r="C582" t="s">
        <v>1888</v>
      </c>
      <c r="D582" t="s">
        <v>1893</v>
      </c>
      <c r="E582" t="s">
        <v>1893</v>
      </c>
      <c r="H582" t="s">
        <v>1892</v>
      </c>
    </row>
    <row r="583" spans="2:8" x14ac:dyDescent="0.25">
      <c r="B583" t="s">
        <v>1894</v>
      </c>
      <c r="C583" t="s">
        <v>1895</v>
      </c>
      <c r="D583" t="s">
        <v>1896</v>
      </c>
      <c r="E583" t="s">
        <v>1896</v>
      </c>
      <c r="H583" t="s">
        <v>1894</v>
      </c>
    </row>
    <row r="584" spans="2:8" x14ac:dyDescent="0.25">
      <c r="B584" t="s">
        <v>1897</v>
      </c>
      <c r="C584" t="s">
        <v>1895</v>
      </c>
      <c r="D584" t="s">
        <v>1898</v>
      </c>
      <c r="E584" t="s">
        <v>1898</v>
      </c>
      <c r="H584" t="s">
        <v>1897</v>
      </c>
    </row>
    <row r="585" spans="2:8" x14ac:dyDescent="0.25">
      <c r="B585" t="s">
        <v>1899</v>
      </c>
      <c r="C585" t="s">
        <v>1900</v>
      </c>
      <c r="D585" t="s">
        <v>1901</v>
      </c>
      <c r="E585" t="s">
        <v>1901</v>
      </c>
      <c r="H585" t="s">
        <v>1899</v>
      </c>
    </row>
    <row r="586" spans="2:8" x14ac:dyDescent="0.25">
      <c r="B586" t="s">
        <v>1902</v>
      </c>
      <c r="C586" t="s">
        <v>1900</v>
      </c>
      <c r="D586" t="s">
        <v>1903</v>
      </c>
      <c r="E586" t="s">
        <v>1903</v>
      </c>
      <c r="H586" t="s">
        <v>1902</v>
      </c>
    </row>
    <row r="587" spans="2:8" x14ac:dyDescent="0.25">
      <c r="B587" t="s">
        <v>1905</v>
      </c>
      <c r="C587" t="s">
        <v>1904</v>
      </c>
      <c r="D587" t="s">
        <v>1906</v>
      </c>
      <c r="E587" t="s">
        <v>1906</v>
      </c>
      <c r="H587" t="s">
        <v>1905</v>
      </c>
    </row>
    <row r="588" spans="2:8" x14ac:dyDescent="0.25">
      <c r="B588" t="s">
        <v>1907</v>
      </c>
      <c r="C588" t="s">
        <v>1908</v>
      </c>
      <c r="D588" t="s">
        <v>1909</v>
      </c>
      <c r="E588" t="s">
        <v>1909</v>
      </c>
      <c r="H588" t="s">
        <v>1907</v>
      </c>
    </row>
    <row r="589" spans="2:8" x14ac:dyDescent="0.25">
      <c r="B589" t="s">
        <v>1910</v>
      </c>
      <c r="C589" t="s">
        <v>1908</v>
      </c>
      <c r="D589" t="s">
        <v>1911</v>
      </c>
      <c r="E589" t="s">
        <v>1911</v>
      </c>
      <c r="H589" t="s">
        <v>1910</v>
      </c>
    </row>
    <row r="590" spans="2:8" x14ac:dyDescent="0.25">
      <c r="B590" t="s">
        <v>1912</v>
      </c>
      <c r="C590" t="s">
        <v>1913</v>
      </c>
      <c r="D590" t="s">
        <v>1914</v>
      </c>
      <c r="E590" t="s">
        <v>1914</v>
      </c>
      <c r="H590" t="s">
        <v>1912</v>
      </c>
    </row>
    <row r="591" spans="2:8" x14ac:dyDescent="0.25">
      <c r="B591" t="s">
        <v>1915</v>
      </c>
      <c r="C591" t="s">
        <v>1913</v>
      </c>
      <c r="D591" t="s">
        <v>1916</v>
      </c>
      <c r="E591" t="s">
        <v>1916</v>
      </c>
      <c r="H591" t="s">
        <v>1915</v>
      </c>
    </row>
    <row r="592" spans="2:8" x14ac:dyDescent="0.25">
      <c r="B592" t="s">
        <v>1917</v>
      </c>
      <c r="C592" t="s">
        <v>1918</v>
      </c>
      <c r="D592" t="s">
        <v>1919</v>
      </c>
      <c r="E592" t="s">
        <v>1919</v>
      </c>
      <c r="H592" t="s">
        <v>1917</v>
      </c>
    </row>
    <row r="593" spans="2:8" x14ac:dyDescent="0.25">
      <c r="B593" t="s">
        <v>1920</v>
      </c>
      <c r="C593" t="s">
        <v>1921</v>
      </c>
      <c r="D593" t="s">
        <v>1922</v>
      </c>
      <c r="E593" t="s">
        <v>1922</v>
      </c>
      <c r="H593" t="s">
        <v>1920</v>
      </c>
    </row>
    <row r="594" spans="2:8" x14ac:dyDescent="0.25">
      <c r="B594" t="s">
        <v>1923</v>
      </c>
      <c r="C594" t="s">
        <v>1924</v>
      </c>
      <c r="D594" t="s">
        <v>1925</v>
      </c>
      <c r="E594" t="s">
        <v>1925</v>
      </c>
      <c r="H594" t="s">
        <v>1923</v>
      </c>
    </row>
    <row r="595" spans="2:8" x14ac:dyDescent="0.25">
      <c r="B595" t="s">
        <v>1926</v>
      </c>
      <c r="C595" t="s">
        <v>1927</v>
      </c>
      <c r="D595" t="s">
        <v>1928</v>
      </c>
      <c r="E595" t="s">
        <v>1928</v>
      </c>
      <c r="H595" t="s">
        <v>1926</v>
      </c>
    </row>
    <row r="596" spans="2:8" x14ac:dyDescent="0.25">
      <c r="B596" t="s">
        <v>1929</v>
      </c>
      <c r="C596" t="s">
        <v>1930</v>
      </c>
      <c r="D596" t="s">
        <v>1931</v>
      </c>
      <c r="E596" t="s">
        <v>1931</v>
      </c>
      <c r="H596" t="s">
        <v>1929</v>
      </c>
    </row>
    <row r="597" spans="2:8" x14ac:dyDescent="0.25">
      <c r="B597" t="s">
        <v>1932</v>
      </c>
      <c r="C597" t="s">
        <v>1933</v>
      </c>
      <c r="D597" t="s">
        <v>1934</v>
      </c>
      <c r="E597" t="s">
        <v>1934</v>
      </c>
      <c r="H597" t="s">
        <v>1932</v>
      </c>
    </row>
    <row r="598" spans="2:8" x14ac:dyDescent="0.25">
      <c r="B598" t="s">
        <v>1935</v>
      </c>
      <c r="C598" t="s">
        <v>1936</v>
      </c>
      <c r="D598" t="s">
        <v>1937</v>
      </c>
      <c r="E598" t="s">
        <v>1937</v>
      </c>
      <c r="H598" t="s">
        <v>1935</v>
      </c>
    </row>
    <row r="599" spans="2:8" x14ac:dyDescent="0.25">
      <c r="B599" t="s">
        <v>1938</v>
      </c>
      <c r="C599" t="s">
        <v>1939</v>
      </c>
      <c r="D599" t="s">
        <v>1940</v>
      </c>
      <c r="E599" t="s">
        <v>1940</v>
      </c>
      <c r="H599" t="s">
        <v>1938</v>
      </c>
    </row>
    <row r="600" spans="2:8" x14ac:dyDescent="0.25">
      <c r="B600" t="s">
        <v>1941</v>
      </c>
      <c r="C600" t="s">
        <v>1942</v>
      </c>
      <c r="D600" t="s">
        <v>1943</v>
      </c>
      <c r="E600" t="s">
        <v>1943</v>
      </c>
      <c r="H600" t="s">
        <v>1941</v>
      </c>
    </row>
    <row r="601" spans="2:8" x14ac:dyDescent="0.25">
      <c r="B601" t="s">
        <v>1944</v>
      </c>
      <c r="C601" t="s">
        <v>1945</v>
      </c>
      <c r="D601" t="s">
        <v>1946</v>
      </c>
      <c r="E601" t="s">
        <v>1946</v>
      </c>
      <c r="H601" t="s">
        <v>1944</v>
      </c>
    </row>
    <row r="602" spans="2:8" x14ac:dyDescent="0.25">
      <c r="B602" t="s">
        <v>1947</v>
      </c>
      <c r="C602" t="s">
        <v>1948</v>
      </c>
      <c r="D602" t="s">
        <v>1949</v>
      </c>
      <c r="E602" t="s">
        <v>1949</v>
      </c>
      <c r="H602" t="s">
        <v>1947</v>
      </c>
    </row>
    <row r="603" spans="2:8" x14ac:dyDescent="0.25">
      <c r="B603" t="s">
        <v>1950</v>
      </c>
      <c r="C603" t="s">
        <v>1951</v>
      </c>
      <c r="D603" t="s">
        <v>1952</v>
      </c>
      <c r="E603" t="s">
        <v>1952</v>
      </c>
      <c r="H603" t="s">
        <v>1950</v>
      </c>
    </row>
    <row r="604" spans="2:8" x14ac:dyDescent="0.25">
      <c r="B604" t="s">
        <v>1953</v>
      </c>
      <c r="C604" t="s">
        <v>1954</v>
      </c>
      <c r="D604" t="s">
        <v>1955</v>
      </c>
      <c r="E604" t="s">
        <v>1955</v>
      </c>
      <c r="H604" t="s">
        <v>1953</v>
      </c>
    </row>
    <row r="605" spans="2:8" x14ac:dyDescent="0.25">
      <c r="B605" t="s">
        <v>1956</v>
      </c>
      <c r="C605" t="s">
        <v>1957</v>
      </c>
      <c r="D605" t="s">
        <v>1958</v>
      </c>
      <c r="E605" t="s">
        <v>1958</v>
      </c>
      <c r="H605" t="s">
        <v>1956</v>
      </c>
    </row>
    <row r="606" spans="2:8" x14ac:dyDescent="0.25">
      <c r="B606" t="s">
        <v>1959</v>
      </c>
      <c r="C606" t="s">
        <v>1960</v>
      </c>
      <c r="D606" t="s">
        <v>1961</v>
      </c>
      <c r="E606" t="s">
        <v>1961</v>
      </c>
      <c r="H606" t="s">
        <v>1959</v>
      </c>
    </row>
    <row r="607" spans="2:8" x14ac:dyDescent="0.25">
      <c r="B607" t="s">
        <v>1962</v>
      </c>
      <c r="C607" t="s">
        <v>1963</v>
      </c>
      <c r="D607" t="s">
        <v>1964</v>
      </c>
      <c r="E607" t="s">
        <v>1964</v>
      </c>
      <c r="H607" t="s">
        <v>1962</v>
      </c>
    </row>
    <row r="608" spans="2:8" x14ac:dyDescent="0.25">
      <c r="B608" t="s">
        <v>1965</v>
      </c>
      <c r="C608" t="s">
        <v>1963</v>
      </c>
      <c r="D608" t="s">
        <v>1966</v>
      </c>
      <c r="E608" t="s">
        <v>1966</v>
      </c>
      <c r="H608" t="s">
        <v>1965</v>
      </c>
    </row>
    <row r="609" spans="2:8" x14ac:dyDescent="0.25">
      <c r="B609" t="s">
        <v>1967</v>
      </c>
      <c r="C609" t="s">
        <v>1968</v>
      </c>
      <c r="D609" t="s">
        <v>1969</v>
      </c>
      <c r="E609" t="s">
        <v>1969</v>
      </c>
      <c r="H609" t="s">
        <v>1967</v>
      </c>
    </row>
    <row r="610" spans="2:8" x14ac:dyDescent="0.25">
      <c r="B610" t="s">
        <v>1970</v>
      </c>
      <c r="C610" t="s">
        <v>1968</v>
      </c>
      <c r="D610" t="s">
        <v>1971</v>
      </c>
      <c r="E610" t="s">
        <v>1971</v>
      </c>
      <c r="H610" t="s">
        <v>1970</v>
      </c>
    </row>
    <row r="611" spans="2:8" x14ac:dyDescent="0.25">
      <c r="B611" t="s">
        <v>1972</v>
      </c>
      <c r="C611" t="s">
        <v>1973</v>
      </c>
      <c r="D611" t="s">
        <v>1974</v>
      </c>
      <c r="E611" t="s">
        <v>1974</v>
      </c>
      <c r="H611" t="s">
        <v>1972</v>
      </c>
    </row>
    <row r="612" spans="2:8" x14ac:dyDescent="0.25">
      <c r="B612" t="s">
        <v>1975</v>
      </c>
      <c r="C612" t="s">
        <v>1976</v>
      </c>
      <c r="D612" t="s">
        <v>1977</v>
      </c>
      <c r="E612" t="s">
        <v>1977</v>
      </c>
      <c r="H612" t="s">
        <v>1975</v>
      </c>
    </row>
    <row r="613" spans="2:8" x14ac:dyDescent="0.25">
      <c r="B613" t="s">
        <v>1978</v>
      </c>
      <c r="C613" t="s">
        <v>1979</v>
      </c>
      <c r="D613" t="s">
        <v>1980</v>
      </c>
      <c r="E613" t="s">
        <v>1980</v>
      </c>
      <c r="H613" t="s">
        <v>1978</v>
      </c>
    </row>
    <row r="614" spans="2:8" x14ac:dyDescent="0.25">
      <c r="B614" t="s">
        <v>1981</v>
      </c>
      <c r="C614" t="s">
        <v>1982</v>
      </c>
      <c r="D614" t="s">
        <v>1983</v>
      </c>
      <c r="E614" t="s">
        <v>1983</v>
      </c>
      <c r="H614" t="s">
        <v>1981</v>
      </c>
    </row>
    <row r="615" spans="2:8" x14ac:dyDescent="0.25">
      <c r="B615" t="s">
        <v>1984</v>
      </c>
      <c r="C615" t="s">
        <v>1985</v>
      </c>
      <c r="D615" t="s">
        <v>1986</v>
      </c>
      <c r="E615" t="s">
        <v>1986</v>
      </c>
      <c r="H615" t="s">
        <v>1984</v>
      </c>
    </row>
    <row r="616" spans="2:8" x14ac:dyDescent="0.25">
      <c r="B616" t="s">
        <v>1987</v>
      </c>
      <c r="C616" t="s">
        <v>1985</v>
      </c>
      <c r="D616" t="s">
        <v>1988</v>
      </c>
      <c r="E616" t="s">
        <v>1988</v>
      </c>
      <c r="H616" t="s">
        <v>1987</v>
      </c>
    </row>
    <row r="617" spans="2:8" x14ac:dyDescent="0.25">
      <c r="B617" t="s">
        <v>1989</v>
      </c>
      <c r="C617" t="s">
        <v>1990</v>
      </c>
      <c r="D617" t="s">
        <v>1991</v>
      </c>
      <c r="E617" t="s">
        <v>1991</v>
      </c>
      <c r="H617" t="s">
        <v>1989</v>
      </c>
    </row>
    <row r="618" spans="2:8" x14ac:dyDescent="0.25">
      <c r="B618" t="s">
        <v>1992</v>
      </c>
      <c r="C618" t="s">
        <v>1993</v>
      </c>
      <c r="D618" t="s">
        <v>1994</v>
      </c>
      <c r="E618" t="s">
        <v>1994</v>
      </c>
      <c r="H618" t="s">
        <v>1992</v>
      </c>
    </row>
    <row r="619" spans="2:8" x14ac:dyDescent="0.25">
      <c r="B619" t="s">
        <v>1995</v>
      </c>
      <c r="C619" t="s">
        <v>1996</v>
      </c>
      <c r="D619" t="s">
        <v>1997</v>
      </c>
      <c r="E619" t="s">
        <v>1997</v>
      </c>
      <c r="H619" t="s">
        <v>1995</v>
      </c>
    </row>
    <row r="620" spans="2:8" x14ac:dyDescent="0.25">
      <c r="B620" t="s">
        <v>1998</v>
      </c>
      <c r="C620" t="s">
        <v>1996</v>
      </c>
      <c r="D620" t="s">
        <v>1999</v>
      </c>
      <c r="E620" t="s">
        <v>1999</v>
      </c>
      <c r="H620" t="s">
        <v>1998</v>
      </c>
    </row>
    <row r="621" spans="2:8" x14ac:dyDescent="0.25">
      <c r="B621" t="s">
        <v>2000</v>
      </c>
      <c r="C621" t="s">
        <v>1996</v>
      </c>
      <c r="D621" t="s">
        <v>2001</v>
      </c>
      <c r="E621" t="s">
        <v>2001</v>
      </c>
      <c r="H621" t="s">
        <v>2000</v>
      </c>
    </row>
    <row r="622" spans="2:8" x14ac:dyDescent="0.25">
      <c r="B622" t="s">
        <v>2002</v>
      </c>
      <c r="C622" t="s">
        <v>2003</v>
      </c>
      <c r="D622" t="s">
        <v>2004</v>
      </c>
      <c r="E622" t="s">
        <v>2004</v>
      </c>
      <c r="H622" t="s">
        <v>2002</v>
      </c>
    </row>
    <row r="623" spans="2:8" x14ac:dyDescent="0.25">
      <c r="B623" t="s">
        <v>2005</v>
      </c>
      <c r="C623" t="s">
        <v>2003</v>
      </c>
      <c r="D623" t="s">
        <v>2006</v>
      </c>
      <c r="E623" t="s">
        <v>2006</v>
      </c>
      <c r="H623" t="s">
        <v>2005</v>
      </c>
    </row>
    <row r="624" spans="2:8" x14ac:dyDescent="0.25">
      <c r="B624" t="s">
        <v>2007</v>
      </c>
      <c r="C624" t="s">
        <v>2003</v>
      </c>
      <c r="D624" t="s">
        <v>2008</v>
      </c>
      <c r="E624" t="s">
        <v>2008</v>
      </c>
      <c r="H624" t="s">
        <v>2007</v>
      </c>
    </row>
    <row r="625" spans="2:8" x14ac:dyDescent="0.25">
      <c r="B625" t="s">
        <v>2009</v>
      </c>
      <c r="C625" t="s">
        <v>2010</v>
      </c>
      <c r="D625" t="s">
        <v>2011</v>
      </c>
      <c r="E625" t="s">
        <v>2011</v>
      </c>
      <c r="H625" t="s">
        <v>2009</v>
      </c>
    </row>
    <row r="626" spans="2:8" x14ac:dyDescent="0.25">
      <c r="B626" t="s">
        <v>2012</v>
      </c>
      <c r="C626" t="s">
        <v>2010</v>
      </c>
      <c r="D626" t="s">
        <v>2013</v>
      </c>
      <c r="E626" t="s">
        <v>2013</v>
      </c>
      <c r="H626" t="s">
        <v>2012</v>
      </c>
    </row>
    <row r="627" spans="2:8" x14ac:dyDescent="0.25">
      <c r="B627" t="s">
        <v>2014</v>
      </c>
      <c r="C627" t="s">
        <v>2010</v>
      </c>
      <c r="D627" t="s">
        <v>2015</v>
      </c>
      <c r="E627" t="s">
        <v>2015</v>
      </c>
      <c r="H627" t="s">
        <v>2014</v>
      </c>
    </row>
    <row r="628" spans="2:8" x14ac:dyDescent="0.25">
      <c r="B628" t="s">
        <v>2016</v>
      </c>
      <c r="C628" t="s">
        <v>2010</v>
      </c>
      <c r="D628" t="s">
        <v>2017</v>
      </c>
      <c r="E628" t="s">
        <v>2017</v>
      </c>
      <c r="H628" t="s">
        <v>2016</v>
      </c>
    </row>
    <row r="629" spans="2:8" x14ac:dyDescent="0.25">
      <c r="B629" t="s">
        <v>2018</v>
      </c>
      <c r="C629" t="s">
        <v>2010</v>
      </c>
      <c r="D629" t="s">
        <v>2019</v>
      </c>
      <c r="E629" t="s">
        <v>2019</v>
      </c>
      <c r="H629" t="s">
        <v>2018</v>
      </c>
    </row>
    <row r="630" spans="2:8" x14ac:dyDescent="0.25">
      <c r="B630" t="s">
        <v>2020</v>
      </c>
      <c r="C630" t="s">
        <v>2010</v>
      </c>
      <c r="D630" t="s">
        <v>2021</v>
      </c>
      <c r="E630" t="s">
        <v>2021</v>
      </c>
      <c r="H630" t="s">
        <v>2020</v>
      </c>
    </row>
    <row r="631" spans="2:8" x14ac:dyDescent="0.25">
      <c r="B631" t="s">
        <v>2022</v>
      </c>
      <c r="C631" t="s">
        <v>2010</v>
      </c>
      <c r="D631" t="s">
        <v>2023</v>
      </c>
      <c r="E631" t="s">
        <v>2023</v>
      </c>
      <c r="H631" t="s">
        <v>2022</v>
      </c>
    </row>
    <row r="632" spans="2:8" x14ac:dyDescent="0.25">
      <c r="B632" t="s">
        <v>2024</v>
      </c>
      <c r="C632" t="s">
        <v>2010</v>
      </c>
      <c r="D632" t="s">
        <v>2025</v>
      </c>
      <c r="E632" t="s">
        <v>2025</v>
      </c>
      <c r="H632" t="s">
        <v>2024</v>
      </c>
    </row>
    <row r="633" spans="2:8" x14ac:dyDescent="0.25">
      <c r="B633" t="s">
        <v>2026</v>
      </c>
      <c r="C633" t="s">
        <v>2027</v>
      </c>
      <c r="D633" t="s">
        <v>2028</v>
      </c>
      <c r="E633" t="s">
        <v>2028</v>
      </c>
      <c r="H633" t="s">
        <v>2026</v>
      </c>
    </row>
    <row r="634" spans="2:8" x14ac:dyDescent="0.25">
      <c r="B634" t="s">
        <v>2029</v>
      </c>
      <c r="C634" t="s">
        <v>2030</v>
      </c>
      <c r="D634" t="s">
        <v>2031</v>
      </c>
      <c r="E634" t="s">
        <v>2031</v>
      </c>
      <c r="H634" t="s">
        <v>2029</v>
      </c>
    </row>
    <row r="635" spans="2:8" x14ac:dyDescent="0.25">
      <c r="B635" t="s">
        <v>2032</v>
      </c>
      <c r="C635" t="s">
        <v>2033</v>
      </c>
      <c r="D635" t="s">
        <v>2034</v>
      </c>
      <c r="E635" t="s">
        <v>2034</v>
      </c>
      <c r="H635" t="s">
        <v>2032</v>
      </c>
    </row>
    <row r="636" spans="2:8" x14ac:dyDescent="0.25">
      <c r="B636" t="s">
        <v>2035</v>
      </c>
      <c r="C636" t="s">
        <v>2033</v>
      </c>
      <c r="D636" t="s">
        <v>2036</v>
      </c>
      <c r="E636" t="s">
        <v>2036</v>
      </c>
      <c r="H636" t="s">
        <v>2035</v>
      </c>
    </row>
    <row r="637" spans="2:8" x14ac:dyDescent="0.25">
      <c r="B637" t="s">
        <v>2037</v>
      </c>
      <c r="C637" t="s">
        <v>2033</v>
      </c>
      <c r="D637" t="s">
        <v>2038</v>
      </c>
      <c r="E637" t="s">
        <v>2038</v>
      </c>
      <c r="H637" t="s">
        <v>2037</v>
      </c>
    </row>
    <row r="638" spans="2:8" x14ac:dyDescent="0.25">
      <c r="B638" t="s">
        <v>2039</v>
      </c>
      <c r="C638" t="s">
        <v>2040</v>
      </c>
      <c r="D638" t="s">
        <v>2041</v>
      </c>
      <c r="E638" t="s">
        <v>2041</v>
      </c>
      <c r="H638" t="s">
        <v>2039</v>
      </c>
    </row>
    <row r="639" spans="2:8" x14ac:dyDescent="0.25">
      <c r="B639" t="s">
        <v>2042</v>
      </c>
      <c r="C639" t="s">
        <v>2040</v>
      </c>
      <c r="D639" t="s">
        <v>2043</v>
      </c>
      <c r="E639" t="s">
        <v>2043</v>
      </c>
      <c r="H639" t="s">
        <v>2042</v>
      </c>
    </row>
    <row r="640" spans="2:8" x14ac:dyDescent="0.25">
      <c r="B640" t="s">
        <v>2044</v>
      </c>
      <c r="C640" t="s">
        <v>2040</v>
      </c>
      <c r="D640" t="s">
        <v>2045</v>
      </c>
      <c r="E640" t="s">
        <v>2045</v>
      </c>
      <c r="H640" t="s">
        <v>2044</v>
      </c>
    </row>
    <row r="641" spans="2:8" x14ac:dyDescent="0.25">
      <c r="B641" t="s">
        <v>2046</v>
      </c>
      <c r="C641" t="s">
        <v>2047</v>
      </c>
      <c r="D641" t="s">
        <v>2048</v>
      </c>
      <c r="E641" t="s">
        <v>2048</v>
      </c>
      <c r="H641" t="s">
        <v>2046</v>
      </c>
    </row>
    <row r="642" spans="2:8" x14ac:dyDescent="0.25">
      <c r="B642" t="s">
        <v>2049</v>
      </c>
      <c r="C642" t="s">
        <v>2047</v>
      </c>
      <c r="D642" t="s">
        <v>2050</v>
      </c>
      <c r="E642" t="s">
        <v>2050</v>
      </c>
      <c r="H642" t="s">
        <v>2049</v>
      </c>
    </row>
    <row r="643" spans="2:8" x14ac:dyDescent="0.25">
      <c r="B643" t="s">
        <v>2051</v>
      </c>
      <c r="C643" t="s">
        <v>2047</v>
      </c>
      <c r="D643" t="s">
        <v>2052</v>
      </c>
      <c r="E643" t="s">
        <v>2052</v>
      </c>
      <c r="H643" t="s">
        <v>2051</v>
      </c>
    </row>
    <row r="644" spans="2:8" x14ac:dyDescent="0.25">
      <c r="B644" t="s">
        <v>2053</v>
      </c>
      <c r="C644" t="s">
        <v>2054</v>
      </c>
      <c r="D644" t="s">
        <v>2055</v>
      </c>
      <c r="E644" t="s">
        <v>2055</v>
      </c>
      <c r="H644" t="s">
        <v>2053</v>
      </c>
    </row>
    <row r="645" spans="2:8" x14ac:dyDescent="0.25">
      <c r="B645" t="s">
        <v>2056</v>
      </c>
      <c r="C645" t="s">
        <v>2057</v>
      </c>
      <c r="D645" t="s">
        <v>2058</v>
      </c>
      <c r="E645" t="s">
        <v>2058</v>
      </c>
      <c r="H645" t="s">
        <v>2056</v>
      </c>
    </row>
    <row r="646" spans="2:8" x14ac:dyDescent="0.25">
      <c r="B646" t="s">
        <v>2059</v>
      </c>
      <c r="C646" t="s">
        <v>2060</v>
      </c>
      <c r="D646" t="s">
        <v>2061</v>
      </c>
      <c r="E646" t="s">
        <v>2061</v>
      </c>
      <c r="H646" t="s">
        <v>2059</v>
      </c>
    </row>
    <row r="647" spans="2:8" x14ac:dyDescent="0.25">
      <c r="B647" t="s">
        <v>2062</v>
      </c>
      <c r="C647" t="s">
        <v>2060</v>
      </c>
      <c r="D647" t="s">
        <v>2063</v>
      </c>
      <c r="E647" t="s">
        <v>2063</v>
      </c>
      <c r="H647" t="s">
        <v>2062</v>
      </c>
    </row>
    <row r="648" spans="2:8" x14ac:dyDescent="0.25">
      <c r="B648" t="s">
        <v>2064</v>
      </c>
      <c r="C648" t="s">
        <v>2060</v>
      </c>
      <c r="D648" t="s">
        <v>2065</v>
      </c>
      <c r="E648" t="s">
        <v>2065</v>
      </c>
      <c r="H648" t="s">
        <v>2064</v>
      </c>
    </row>
    <row r="649" spans="2:8" x14ac:dyDescent="0.25">
      <c r="B649" t="s">
        <v>2066</v>
      </c>
      <c r="C649" t="s">
        <v>2067</v>
      </c>
      <c r="D649" t="s">
        <v>2068</v>
      </c>
      <c r="E649" t="s">
        <v>2068</v>
      </c>
      <c r="H649" t="s">
        <v>2066</v>
      </c>
    </row>
    <row r="650" spans="2:8" x14ac:dyDescent="0.25">
      <c r="B650" t="s">
        <v>2069</v>
      </c>
      <c r="C650" t="s">
        <v>2067</v>
      </c>
      <c r="D650" t="s">
        <v>2070</v>
      </c>
      <c r="E650" t="s">
        <v>2070</v>
      </c>
      <c r="H650" t="s">
        <v>2069</v>
      </c>
    </row>
    <row r="651" spans="2:8" x14ac:dyDescent="0.25">
      <c r="B651" t="s">
        <v>2071</v>
      </c>
      <c r="C651" t="s">
        <v>2067</v>
      </c>
      <c r="D651" t="s">
        <v>2072</v>
      </c>
      <c r="E651" t="s">
        <v>2072</v>
      </c>
      <c r="H651" t="s">
        <v>2071</v>
      </c>
    </row>
    <row r="652" spans="2:8" x14ac:dyDescent="0.25">
      <c r="B652" t="s">
        <v>2073</v>
      </c>
      <c r="C652" t="s">
        <v>2074</v>
      </c>
      <c r="D652" t="s">
        <v>2075</v>
      </c>
      <c r="E652" t="s">
        <v>2075</v>
      </c>
      <c r="H652" t="s">
        <v>2073</v>
      </c>
    </row>
    <row r="653" spans="2:8" x14ac:dyDescent="0.25">
      <c r="B653" t="s">
        <v>2076</v>
      </c>
      <c r="C653" t="s">
        <v>2074</v>
      </c>
      <c r="D653" t="s">
        <v>2077</v>
      </c>
      <c r="E653" t="s">
        <v>2077</v>
      </c>
      <c r="H653" t="s">
        <v>2076</v>
      </c>
    </row>
    <row r="654" spans="2:8" x14ac:dyDescent="0.25">
      <c r="B654" t="s">
        <v>2078</v>
      </c>
      <c r="C654" t="s">
        <v>2074</v>
      </c>
      <c r="D654" t="s">
        <v>2079</v>
      </c>
      <c r="E654" t="s">
        <v>2079</v>
      </c>
      <c r="H654" t="s">
        <v>2078</v>
      </c>
    </row>
    <row r="655" spans="2:8" x14ac:dyDescent="0.25">
      <c r="B655" t="s">
        <v>2080</v>
      </c>
      <c r="C655" t="s">
        <v>2081</v>
      </c>
      <c r="D655" t="s">
        <v>2082</v>
      </c>
      <c r="E655" t="s">
        <v>2082</v>
      </c>
      <c r="H655" t="s">
        <v>2080</v>
      </c>
    </row>
    <row r="656" spans="2:8" x14ac:dyDescent="0.25">
      <c r="B656" t="s">
        <v>2083</v>
      </c>
      <c r="C656" t="s">
        <v>2081</v>
      </c>
      <c r="D656" t="s">
        <v>2084</v>
      </c>
      <c r="E656" t="s">
        <v>2084</v>
      </c>
      <c r="H656" t="s">
        <v>2083</v>
      </c>
    </row>
    <row r="657" spans="2:8" x14ac:dyDescent="0.25">
      <c r="B657" t="s">
        <v>2085</v>
      </c>
      <c r="C657" t="s">
        <v>2081</v>
      </c>
      <c r="D657" t="s">
        <v>2086</v>
      </c>
      <c r="E657" t="s">
        <v>2086</v>
      </c>
      <c r="H657" t="s">
        <v>2085</v>
      </c>
    </row>
    <row r="658" spans="2:8" x14ac:dyDescent="0.25">
      <c r="B658" t="s">
        <v>2087</v>
      </c>
      <c r="C658" t="s">
        <v>2088</v>
      </c>
      <c r="D658" t="s">
        <v>2089</v>
      </c>
      <c r="E658" t="s">
        <v>2089</v>
      </c>
      <c r="H658" t="s">
        <v>2087</v>
      </c>
    </row>
    <row r="659" spans="2:8" x14ac:dyDescent="0.25">
      <c r="B659" t="s">
        <v>2090</v>
      </c>
      <c r="C659" t="s">
        <v>2088</v>
      </c>
      <c r="D659" t="s">
        <v>2091</v>
      </c>
      <c r="E659" t="s">
        <v>2091</v>
      </c>
      <c r="H659" t="s">
        <v>2090</v>
      </c>
    </row>
    <row r="660" spans="2:8" x14ac:dyDescent="0.25">
      <c r="B660" t="s">
        <v>2092</v>
      </c>
      <c r="C660" t="s">
        <v>2093</v>
      </c>
      <c r="D660" t="s">
        <v>2094</v>
      </c>
      <c r="E660" t="s">
        <v>2094</v>
      </c>
      <c r="H660" t="s">
        <v>2092</v>
      </c>
    </row>
    <row r="661" spans="2:8" x14ac:dyDescent="0.25">
      <c r="B661" t="s">
        <v>2095</v>
      </c>
      <c r="C661" t="s">
        <v>2093</v>
      </c>
      <c r="D661" t="s">
        <v>2096</v>
      </c>
      <c r="E661" t="s">
        <v>2096</v>
      </c>
      <c r="H661" t="s">
        <v>2095</v>
      </c>
    </row>
    <row r="662" spans="2:8" x14ac:dyDescent="0.25">
      <c r="B662" t="s">
        <v>2097</v>
      </c>
      <c r="C662" t="s">
        <v>2098</v>
      </c>
      <c r="D662" t="s">
        <v>2099</v>
      </c>
      <c r="E662" t="s">
        <v>2099</v>
      </c>
      <c r="H662" t="s">
        <v>2097</v>
      </c>
    </row>
    <row r="663" spans="2:8" x14ac:dyDescent="0.25">
      <c r="B663" t="s">
        <v>2100</v>
      </c>
      <c r="C663" t="s">
        <v>2098</v>
      </c>
      <c r="D663" t="s">
        <v>2101</v>
      </c>
      <c r="E663" t="s">
        <v>2101</v>
      </c>
      <c r="H663" t="s">
        <v>2100</v>
      </c>
    </row>
    <row r="664" spans="2:8" x14ac:dyDescent="0.25">
      <c r="B664" t="s">
        <v>2102</v>
      </c>
      <c r="C664" t="s">
        <v>2103</v>
      </c>
      <c r="D664" t="s">
        <v>2104</v>
      </c>
      <c r="E664" t="s">
        <v>2104</v>
      </c>
      <c r="H664" t="s">
        <v>2102</v>
      </c>
    </row>
    <row r="665" spans="2:8" x14ac:dyDescent="0.25">
      <c r="B665" t="s">
        <v>2105</v>
      </c>
      <c r="C665" t="s">
        <v>2103</v>
      </c>
      <c r="D665" t="s">
        <v>2106</v>
      </c>
      <c r="E665" t="s">
        <v>2106</v>
      </c>
      <c r="H665" t="s">
        <v>2105</v>
      </c>
    </row>
    <row r="666" spans="2:8" x14ac:dyDescent="0.25">
      <c r="B666" t="s">
        <v>2107</v>
      </c>
      <c r="C666" t="s">
        <v>2108</v>
      </c>
      <c r="D666" t="s">
        <v>2109</v>
      </c>
      <c r="E666" t="s">
        <v>2109</v>
      </c>
      <c r="H666" t="s">
        <v>2107</v>
      </c>
    </row>
    <row r="667" spans="2:8" x14ac:dyDescent="0.25">
      <c r="B667" t="s">
        <v>2110</v>
      </c>
      <c r="C667" t="s">
        <v>2108</v>
      </c>
      <c r="D667" t="s">
        <v>2111</v>
      </c>
      <c r="E667" t="s">
        <v>2111</v>
      </c>
      <c r="H667" t="s">
        <v>2110</v>
      </c>
    </row>
    <row r="668" spans="2:8" x14ac:dyDescent="0.25">
      <c r="B668" t="s">
        <v>2112</v>
      </c>
      <c r="C668" t="s">
        <v>2113</v>
      </c>
      <c r="D668" t="s">
        <v>2114</v>
      </c>
      <c r="E668" t="s">
        <v>2114</v>
      </c>
      <c r="H668" t="s">
        <v>2112</v>
      </c>
    </row>
    <row r="669" spans="2:8" x14ac:dyDescent="0.25">
      <c r="B669" t="s">
        <v>2115</v>
      </c>
      <c r="C669" t="s">
        <v>2113</v>
      </c>
      <c r="D669" t="s">
        <v>2116</v>
      </c>
      <c r="E669" t="s">
        <v>2116</v>
      </c>
      <c r="H669" t="s">
        <v>2115</v>
      </c>
    </row>
    <row r="670" spans="2:8" x14ac:dyDescent="0.25">
      <c r="B670" t="s">
        <v>2117</v>
      </c>
      <c r="C670" t="s">
        <v>2118</v>
      </c>
      <c r="D670" t="s">
        <v>2119</v>
      </c>
      <c r="E670" t="s">
        <v>2119</v>
      </c>
      <c r="H670" t="s">
        <v>2117</v>
      </c>
    </row>
    <row r="671" spans="2:8" x14ac:dyDescent="0.25">
      <c r="B671" t="s">
        <v>2120</v>
      </c>
      <c r="C671" t="s">
        <v>2121</v>
      </c>
      <c r="D671" t="s">
        <v>2122</v>
      </c>
      <c r="E671" t="s">
        <v>2122</v>
      </c>
      <c r="H671" t="s">
        <v>2120</v>
      </c>
    </row>
    <row r="672" spans="2:8" x14ac:dyDescent="0.25">
      <c r="B672" t="s">
        <v>2123</v>
      </c>
      <c r="C672" t="s">
        <v>2124</v>
      </c>
      <c r="D672" t="s">
        <v>2125</v>
      </c>
      <c r="E672" t="s">
        <v>2125</v>
      </c>
      <c r="H672" t="s">
        <v>2123</v>
      </c>
    </row>
    <row r="673" spans="2:8" x14ac:dyDescent="0.25">
      <c r="B673" t="s">
        <v>2126</v>
      </c>
      <c r="C673" t="s">
        <v>2127</v>
      </c>
      <c r="D673" t="s">
        <v>2128</v>
      </c>
      <c r="E673" t="s">
        <v>2128</v>
      </c>
      <c r="H673" t="s">
        <v>2126</v>
      </c>
    </row>
    <row r="674" spans="2:8" x14ac:dyDescent="0.25">
      <c r="B674" t="s">
        <v>2130</v>
      </c>
      <c r="C674" t="s">
        <v>2129</v>
      </c>
      <c r="D674" t="s">
        <v>2131</v>
      </c>
      <c r="E674" t="s">
        <v>2131</v>
      </c>
      <c r="H674" t="s">
        <v>2130</v>
      </c>
    </row>
    <row r="675" spans="2:8" x14ac:dyDescent="0.25">
      <c r="B675" t="s">
        <v>2132</v>
      </c>
      <c r="C675" t="s">
        <v>2129</v>
      </c>
      <c r="D675" t="s">
        <v>2133</v>
      </c>
      <c r="E675" t="s">
        <v>2133</v>
      </c>
      <c r="H675" t="s">
        <v>2132</v>
      </c>
    </row>
    <row r="676" spans="2:8" x14ac:dyDescent="0.25">
      <c r="B676" t="s">
        <v>2134</v>
      </c>
      <c r="C676" t="s">
        <v>2129</v>
      </c>
      <c r="D676" t="s">
        <v>2135</v>
      </c>
      <c r="E676" t="s">
        <v>2135</v>
      </c>
      <c r="H676" t="s">
        <v>2134</v>
      </c>
    </row>
    <row r="677" spans="2:8" x14ac:dyDescent="0.25">
      <c r="B677" t="s">
        <v>2136</v>
      </c>
      <c r="C677" t="s">
        <v>2129</v>
      </c>
      <c r="D677" t="s">
        <v>2137</v>
      </c>
      <c r="E677" t="s">
        <v>2137</v>
      </c>
      <c r="H677" t="s">
        <v>2136</v>
      </c>
    </row>
    <row r="678" spans="2:8" x14ac:dyDescent="0.25">
      <c r="B678" t="s">
        <v>2138</v>
      </c>
      <c r="C678" t="s">
        <v>2139</v>
      </c>
      <c r="D678" t="s">
        <v>2140</v>
      </c>
      <c r="E678" t="s">
        <v>2140</v>
      </c>
      <c r="H678" t="s">
        <v>2138</v>
      </c>
    </row>
    <row r="679" spans="2:8" x14ac:dyDescent="0.25">
      <c r="B679" t="s">
        <v>2141</v>
      </c>
      <c r="C679" t="s">
        <v>2139</v>
      </c>
      <c r="D679" t="s">
        <v>2142</v>
      </c>
      <c r="E679" t="s">
        <v>2142</v>
      </c>
      <c r="H679" t="s">
        <v>2141</v>
      </c>
    </row>
    <row r="680" spans="2:8" x14ac:dyDescent="0.25">
      <c r="B680" t="s">
        <v>2143</v>
      </c>
      <c r="C680" t="s">
        <v>2139</v>
      </c>
      <c r="D680" t="s">
        <v>2144</v>
      </c>
      <c r="E680" t="s">
        <v>2144</v>
      </c>
      <c r="H680" t="s">
        <v>2143</v>
      </c>
    </row>
    <row r="681" spans="2:8" x14ac:dyDescent="0.25">
      <c r="B681" t="s">
        <v>2145</v>
      </c>
      <c r="C681" t="s">
        <v>2146</v>
      </c>
      <c r="D681" t="s">
        <v>2147</v>
      </c>
      <c r="E681" t="s">
        <v>2147</v>
      </c>
      <c r="H681" t="s">
        <v>2145</v>
      </c>
    </row>
    <row r="682" spans="2:8" x14ac:dyDescent="0.25">
      <c r="B682" t="s">
        <v>2148</v>
      </c>
      <c r="C682" t="s">
        <v>2146</v>
      </c>
      <c r="D682" t="s">
        <v>2149</v>
      </c>
      <c r="E682" t="s">
        <v>2149</v>
      </c>
      <c r="H682" t="s">
        <v>2148</v>
      </c>
    </row>
    <row r="683" spans="2:8" x14ac:dyDescent="0.25">
      <c r="B683" t="s">
        <v>2150</v>
      </c>
      <c r="C683" t="s">
        <v>2146</v>
      </c>
      <c r="D683" t="s">
        <v>2151</v>
      </c>
      <c r="E683" t="s">
        <v>2151</v>
      </c>
      <c r="H683" t="s">
        <v>2150</v>
      </c>
    </row>
    <row r="684" spans="2:8" x14ac:dyDescent="0.25">
      <c r="B684" t="s">
        <v>2152</v>
      </c>
      <c r="C684" t="s">
        <v>2153</v>
      </c>
      <c r="D684" t="s">
        <v>2154</v>
      </c>
      <c r="E684" t="s">
        <v>2154</v>
      </c>
      <c r="H684" t="s">
        <v>2152</v>
      </c>
    </row>
    <row r="685" spans="2:8" x14ac:dyDescent="0.25">
      <c r="B685" t="s">
        <v>2155</v>
      </c>
      <c r="C685" t="s">
        <v>2153</v>
      </c>
      <c r="D685" t="s">
        <v>2156</v>
      </c>
      <c r="E685" t="s">
        <v>2156</v>
      </c>
      <c r="H685" t="s">
        <v>2155</v>
      </c>
    </row>
    <row r="686" spans="2:8" x14ac:dyDescent="0.25">
      <c r="B686" t="s">
        <v>2157</v>
      </c>
      <c r="C686" t="s">
        <v>2158</v>
      </c>
      <c r="D686" t="s">
        <v>2159</v>
      </c>
      <c r="E686" t="s">
        <v>2159</v>
      </c>
      <c r="H686" t="s">
        <v>2157</v>
      </c>
    </row>
    <row r="687" spans="2:8" x14ac:dyDescent="0.25">
      <c r="B687" t="s">
        <v>2160</v>
      </c>
      <c r="C687" t="s">
        <v>2158</v>
      </c>
      <c r="D687" t="s">
        <v>2161</v>
      </c>
      <c r="E687" t="s">
        <v>2161</v>
      </c>
      <c r="H687" t="s">
        <v>2160</v>
      </c>
    </row>
    <row r="688" spans="2:8" x14ac:dyDescent="0.25">
      <c r="B688" t="s">
        <v>2162</v>
      </c>
      <c r="C688" t="s">
        <v>2163</v>
      </c>
      <c r="D688" t="s">
        <v>2164</v>
      </c>
      <c r="E688" t="s">
        <v>2164</v>
      </c>
      <c r="H688" t="s">
        <v>2162</v>
      </c>
    </row>
    <row r="689" spans="2:8" x14ac:dyDescent="0.25">
      <c r="B689" t="s">
        <v>2165</v>
      </c>
      <c r="C689" t="s">
        <v>2163</v>
      </c>
      <c r="D689" t="s">
        <v>2166</v>
      </c>
      <c r="E689" t="s">
        <v>2166</v>
      </c>
      <c r="H689" t="s">
        <v>2165</v>
      </c>
    </row>
    <row r="690" spans="2:8" x14ac:dyDescent="0.25">
      <c r="B690" t="s">
        <v>2167</v>
      </c>
      <c r="C690" t="s">
        <v>2163</v>
      </c>
      <c r="D690" t="s">
        <v>2168</v>
      </c>
      <c r="E690" t="s">
        <v>2168</v>
      </c>
      <c r="H690" t="s">
        <v>2167</v>
      </c>
    </row>
    <row r="691" spans="2:8" x14ac:dyDescent="0.25">
      <c r="B691" t="s">
        <v>2169</v>
      </c>
      <c r="C691" t="s">
        <v>2163</v>
      </c>
      <c r="D691" t="s">
        <v>2170</v>
      </c>
      <c r="E691" t="s">
        <v>2170</v>
      </c>
      <c r="H691" t="s">
        <v>2169</v>
      </c>
    </row>
    <row r="692" spans="2:8" x14ac:dyDescent="0.25">
      <c r="B692" t="s">
        <v>2171</v>
      </c>
      <c r="C692" t="s">
        <v>2172</v>
      </c>
      <c r="D692" t="s">
        <v>2173</v>
      </c>
      <c r="E692" t="s">
        <v>2173</v>
      </c>
      <c r="H692" t="s">
        <v>2171</v>
      </c>
    </row>
    <row r="693" spans="2:8" x14ac:dyDescent="0.25">
      <c r="B693" t="s">
        <v>2174</v>
      </c>
      <c r="C693" t="s">
        <v>2172</v>
      </c>
      <c r="D693" t="s">
        <v>2175</v>
      </c>
      <c r="E693" t="s">
        <v>2175</v>
      </c>
      <c r="H693" t="s">
        <v>2174</v>
      </c>
    </row>
    <row r="694" spans="2:8" x14ac:dyDescent="0.25">
      <c r="B694" t="s">
        <v>2176</v>
      </c>
      <c r="C694" t="s">
        <v>2172</v>
      </c>
      <c r="D694" t="s">
        <v>2177</v>
      </c>
      <c r="E694" t="s">
        <v>2177</v>
      </c>
      <c r="H694" t="s">
        <v>2176</v>
      </c>
    </row>
    <row r="695" spans="2:8" x14ac:dyDescent="0.25">
      <c r="B695" t="s">
        <v>2178</v>
      </c>
      <c r="C695" t="s">
        <v>2172</v>
      </c>
      <c r="D695" t="s">
        <v>2179</v>
      </c>
      <c r="E695" t="s">
        <v>2179</v>
      </c>
      <c r="H695" t="s">
        <v>2178</v>
      </c>
    </row>
    <row r="696" spans="2:8" x14ac:dyDescent="0.25">
      <c r="B696" t="s">
        <v>2180</v>
      </c>
      <c r="C696" t="s">
        <v>2181</v>
      </c>
      <c r="D696" t="s">
        <v>2182</v>
      </c>
      <c r="E696" t="s">
        <v>2182</v>
      </c>
      <c r="H696" t="s">
        <v>2180</v>
      </c>
    </row>
    <row r="697" spans="2:8" x14ac:dyDescent="0.25">
      <c r="B697" t="s">
        <v>2183</v>
      </c>
      <c r="C697" t="s">
        <v>2184</v>
      </c>
      <c r="D697" t="s">
        <v>2185</v>
      </c>
      <c r="E697" t="s">
        <v>2185</v>
      </c>
      <c r="H697" t="s">
        <v>2183</v>
      </c>
    </row>
    <row r="698" spans="2:8" x14ac:dyDescent="0.25">
      <c r="B698" t="s">
        <v>2186</v>
      </c>
      <c r="C698" t="s">
        <v>2187</v>
      </c>
      <c r="D698" t="s">
        <v>2188</v>
      </c>
      <c r="E698" t="s">
        <v>2188</v>
      </c>
      <c r="H698" t="s">
        <v>2186</v>
      </c>
    </row>
    <row r="699" spans="2:8" x14ac:dyDescent="0.25">
      <c r="B699" t="s">
        <v>2189</v>
      </c>
      <c r="C699" t="s">
        <v>2190</v>
      </c>
      <c r="D699" t="s">
        <v>2191</v>
      </c>
      <c r="E699" t="s">
        <v>2191</v>
      </c>
      <c r="H699" t="s">
        <v>2189</v>
      </c>
    </row>
    <row r="700" spans="2:8" x14ac:dyDescent="0.25">
      <c r="B700" t="s">
        <v>2192</v>
      </c>
      <c r="C700" t="s">
        <v>2193</v>
      </c>
      <c r="D700" t="s">
        <v>2194</v>
      </c>
      <c r="E700" t="s">
        <v>2194</v>
      </c>
      <c r="H700" t="s">
        <v>2192</v>
      </c>
    </row>
    <row r="701" spans="2:8" x14ac:dyDescent="0.25">
      <c r="B701" t="s">
        <v>2195</v>
      </c>
      <c r="C701" t="s">
        <v>2196</v>
      </c>
      <c r="D701" t="s">
        <v>2197</v>
      </c>
      <c r="E701" t="s">
        <v>2197</v>
      </c>
      <c r="H701" t="s">
        <v>2195</v>
      </c>
    </row>
    <row r="702" spans="2:8" x14ac:dyDescent="0.25">
      <c r="B702" t="s">
        <v>2198</v>
      </c>
      <c r="C702" t="s">
        <v>2199</v>
      </c>
      <c r="D702" t="s">
        <v>2200</v>
      </c>
      <c r="E702" t="s">
        <v>2200</v>
      </c>
      <c r="H702" t="s">
        <v>2198</v>
      </c>
    </row>
    <row r="703" spans="2:8" x14ac:dyDescent="0.25">
      <c r="B703" t="s">
        <v>2201</v>
      </c>
      <c r="C703" t="s">
        <v>2202</v>
      </c>
      <c r="D703" t="s">
        <v>2203</v>
      </c>
      <c r="E703" t="s">
        <v>2203</v>
      </c>
      <c r="H703" t="s">
        <v>2201</v>
      </c>
    </row>
    <row r="704" spans="2:8" x14ac:dyDescent="0.25">
      <c r="B704" t="s">
        <v>2204</v>
      </c>
      <c r="C704" t="s">
        <v>2205</v>
      </c>
      <c r="D704" t="s">
        <v>2206</v>
      </c>
      <c r="E704" t="s">
        <v>2206</v>
      </c>
      <c r="H704" t="s">
        <v>2204</v>
      </c>
    </row>
    <row r="705" spans="2:8" x14ac:dyDescent="0.25">
      <c r="B705" t="s">
        <v>2207</v>
      </c>
      <c r="C705" t="s">
        <v>2208</v>
      </c>
      <c r="D705" t="s">
        <v>2209</v>
      </c>
      <c r="E705" t="s">
        <v>2209</v>
      </c>
      <c r="H705" t="s">
        <v>2207</v>
      </c>
    </row>
    <row r="706" spans="2:8" x14ac:dyDescent="0.25">
      <c r="B706" t="s">
        <v>2210</v>
      </c>
      <c r="C706" t="s">
        <v>2211</v>
      </c>
      <c r="D706" t="s">
        <v>2212</v>
      </c>
      <c r="E706" t="s">
        <v>2212</v>
      </c>
      <c r="H706" t="s">
        <v>2210</v>
      </c>
    </row>
    <row r="707" spans="2:8" x14ac:dyDescent="0.25">
      <c r="B707" t="s">
        <v>2213</v>
      </c>
      <c r="C707" t="s">
        <v>2214</v>
      </c>
      <c r="D707" t="s">
        <v>2215</v>
      </c>
      <c r="E707" t="s">
        <v>2215</v>
      </c>
      <c r="H707" t="s">
        <v>2213</v>
      </c>
    </row>
    <row r="708" spans="2:8" x14ac:dyDescent="0.25">
      <c r="B708" t="s">
        <v>2216</v>
      </c>
      <c r="C708" t="s">
        <v>2217</v>
      </c>
      <c r="D708" t="s">
        <v>2218</v>
      </c>
      <c r="E708" t="s">
        <v>2218</v>
      </c>
      <c r="H708" t="s">
        <v>2216</v>
      </c>
    </row>
    <row r="709" spans="2:8" x14ac:dyDescent="0.25">
      <c r="B709" t="s">
        <v>2219</v>
      </c>
      <c r="C709" t="s">
        <v>2220</v>
      </c>
      <c r="D709" t="s">
        <v>2221</v>
      </c>
      <c r="E709" t="s">
        <v>2221</v>
      </c>
      <c r="H709" t="s">
        <v>2219</v>
      </c>
    </row>
    <row r="710" spans="2:8" x14ac:dyDescent="0.25">
      <c r="B710" t="s">
        <v>2222</v>
      </c>
      <c r="C710" t="s">
        <v>2223</v>
      </c>
      <c r="D710" t="s">
        <v>2224</v>
      </c>
      <c r="E710" t="s">
        <v>2224</v>
      </c>
      <c r="H710" t="s">
        <v>2222</v>
      </c>
    </row>
    <row r="711" spans="2:8" x14ac:dyDescent="0.25">
      <c r="B711" t="s">
        <v>2225</v>
      </c>
      <c r="C711" t="s">
        <v>2226</v>
      </c>
      <c r="D711" t="s">
        <v>2227</v>
      </c>
      <c r="E711" t="s">
        <v>2227</v>
      </c>
      <c r="H711" t="s">
        <v>2225</v>
      </c>
    </row>
    <row r="712" spans="2:8" x14ac:dyDescent="0.25">
      <c r="B712" t="s">
        <v>2228</v>
      </c>
      <c r="C712" t="s">
        <v>2229</v>
      </c>
      <c r="D712" t="s">
        <v>2230</v>
      </c>
      <c r="E712" t="s">
        <v>2230</v>
      </c>
      <c r="H712" t="s">
        <v>2228</v>
      </c>
    </row>
    <row r="713" spans="2:8" x14ac:dyDescent="0.25">
      <c r="B713" t="s">
        <v>2231</v>
      </c>
      <c r="C713" t="s">
        <v>2232</v>
      </c>
      <c r="D713" t="s">
        <v>2233</v>
      </c>
      <c r="E713" t="s">
        <v>2233</v>
      </c>
      <c r="H713" t="s">
        <v>2231</v>
      </c>
    </row>
    <row r="714" spans="2:8" x14ac:dyDescent="0.25">
      <c r="B714" t="s">
        <v>2234</v>
      </c>
      <c r="C714" t="s">
        <v>2235</v>
      </c>
      <c r="D714" t="s">
        <v>2236</v>
      </c>
      <c r="E714" t="s">
        <v>2236</v>
      </c>
      <c r="H714" t="s">
        <v>2234</v>
      </c>
    </row>
    <row r="715" spans="2:8" x14ac:dyDescent="0.25">
      <c r="B715" t="s">
        <v>2237</v>
      </c>
      <c r="C715" t="s">
        <v>2238</v>
      </c>
      <c r="D715" t="s">
        <v>2239</v>
      </c>
      <c r="E715" t="s">
        <v>2239</v>
      </c>
      <c r="H715" t="s">
        <v>2237</v>
      </c>
    </row>
    <row r="716" spans="2:8" x14ac:dyDescent="0.25">
      <c r="B716" t="s">
        <v>2240</v>
      </c>
      <c r="C716" t="s">
        <v>2241</v>
      </c>
      <c r="D716" t="s">
        <v>2242</v>
      </c>
      <c r="E716" t="s">
        <v>2242</v>
      </c>
      <c r="H716" t="s">
        <v>2240</v>
      </c>
    </row>
    <row r="717" spans="2:8" x14ac:dyDescent="0.25">
      <c r="B717" t="s">
        <v>2243</v>
      </c>
      <c r="C717" t="s">
        <v>2244</v>
      </c>
      <c r="D717" t="s">
        <v>2245</v>
      </c>
      <c r="E717" t="s">
        <v>2245</v>
      </c>
      <c r="H717" t="s">
        <v>2243</v>
      </c>
    </row>
    <row r="718" spans="2:8" x14ac:dyDescent="0.25">
      <c r="B718" t="s">
        <v>2246</v>
      </c>
      <c r="C718" t="s">
        <v>2247</v>
      </c>
      <c r="D718" t="s">
        <v>2248</v>
      </c>
      <c r="E718" t="s">
        <v>2248</v>
      </c>
      <c r="H718" t="s">
        <v>2246</v>
      </c>
    </row>
    <row r="719" spans="2:8" x14ac:dyDescent="0.25">
      <c r="B719" t="s">
        <v>2249</v>
      </c>
      <c r="C719" t="s">
        <v>2250</v>
      </c>
      <c r="D719" t="s">
        <v>2251</v>
      </c>
      <c r="E719" t="s">
        <v>2251</v>
      </c>
      <c r="H719" t="s">
        <v>2249</v>
      </c>
    </row>
    <row r="720" spans="2:8" x14ac:dyDescent="0.25">
      <c r="B720" t="s">
        <v>2252</v>
      </c>
      <c r="C720" t="s">
        <v>2253</v>
      </c>
      <c r="D720" t="s">
        <v>2254</v>
      </c>
      <c r="E720" t="s">
        <v>2254</v>
      </c>
      <c r="H720" t="s">
        <v>2252</v>
      </c>
    </row>
    <row r="721" spans="2:8" x14ac:dyDescent="0.25">
      <c r="B721" t="s">
        <v>2255</v>
      </c>
      <c r="C721" t="s">
        <v>2253</v>
      </c>
      <c r="D721" t="s">
        <v>2256</v>
      </c>
      <c r="E721" t="s">
        <v>2256</v>
      </c>
      <c r="H721" t="s">
        <v>2255</v>
      </c>
    </row>
    <row r="722" spans="2:8" x14ac:dyDescent="0.25">
      <c r="B722" t="s">
        <v>2257</v>
      </c>
      <c r="C722" t="s">
        <v>2253</v>
      </c>
      <c r="D722" t="s">
        <v>2258</v>
      </c>
      <c r="E722" t="s">
        <v>2258</v>
      </c>
      <c r="H722" t="s">
        <v>2257</v>
      </c>
    </row>
    <row r="723" spans="2:8" x14ac:dyDescent="0.25">
      <c r="B723" t="s">
        <v>2259</v>
      </c>
      <c r="C723" t="s">
        <v>2260</v>
      </c>
      <c r="D723" t="s">
        <v>2261</v>
      </c>
      <c r="E723" t="s">
        <v>2261</v>
      </c>
      <c r="H723" t="s">
        <v>2259</v>
      </c>
    </row>
    <row r="724" spans="2:8" x14ac:dyDescent="0.25">
      <c r="B724" t="s">
        <v>2262</v>
      </c>
      <c r="C724" t="s">
        <v>2260</v>
      </c>
      <c r="D724" t="s">
        <v>2263</v>
      </c>
      <c r="E724" t="s">
        <v>2263</v>
      </c>
      <c r="H724" t="s">
        <v>2262</v>
      </c>
    </row>
    <row r="725" spans="2:8" x14ac:dyDescent="0.25">
      <c r="B725" t="s">
        <v>2264</v>
      </c>
      <c r="C725" t="s">
        <v>2260</v>
      </c>
      <c r="D725" t="s">
        <v>2265</v>
      </c>
      <c r="E725" t="s">
        <v>2265</v>
      </c>
      <c r="H725" t="s">
        <v>2264</v>
      </c>
    </row>
    <row r="726" spans="2:8" x14ac:dyDescent="0.25">
      <c r="B726" t="s">
        <v>2266</v>
      </c>
      <c r="C726" t="s">
        <v>2267</v>
      </c>
      <c r="D726" t="s">
        <v>2268</v>
      </c>
      <c r="E726" t="s">
        <v>2268</v>
      </c>
      <c r="H726" t="s">
        <v>2266</v>
      </c>
    </row>
    <row r="727" spans="2:8" x14ac:dyDescent="0.25">
      <c r="B727" t="s">
        <v>2269</v>
      </c>
      <c r="C727" t="s">
        <v>2267</v>
      </c>
      <c r="D727" t="s">
        <v>2270</v>
      </c>
      <c r="E727" t="s">
        <v>2270</v>
      </c>
      <c r="H727" t="s">
        <v>2269</v>
      </c>
    </row>
    <row r="728" spans="2:8" x14ac:dyDescent="0.25">
      <c r="B728" t="s">
        <v>2271</v>
      </c>
      <c r="C728" t="s">
        <v>2267</v>
      </c>
      <c r="D728" t="s">
        <v>2272</v>
      </c>
      <c r="E728" t="s">
        <v>2272</v>
      </c>
      <c r="H728" t="s">
        <v>2271</v>
      </c>
    </row>
    <row r="729" spans="2:8" x14ac:dyDescent="0.25">
      <c r="B729" t="s">
        <v>2273</v>
      </c>
      <c r="C729" t="s">
        <v>2274</v>
      </c>
      <c r="D729" t="s">
        <v>2275</v>
      </c>
      <c r="E729" t="s">
        <v>2275</v>
      </c>
      <c r="H729" t="s">
        <v>2273</v>
      </c>
    </row>
    <row r="730" spans="2:8" x14ac:dyDescent="0.25">
      <c r="B730" t="s">
        <v>2276</v>
      </c>
      <c r="C730" t="s">
        <v>2274</v>
      </c>
      <c r="D730" t="s">
        <v>2277</v>
      </c>
      <c r="E730" t="s">
        <v>2277</v>
      </c>
      <c r="H730" t="s">
        <v>2276</v>
      </c>
    </row>
    <row r="731" spans="2:8" x14ac:dyDescent="0.25">
      <c r="B731" t="s">
        <v>2278</v>
      </c>
      <c r="C731" t="s">
        <v>2279</v>
      </c>
      <c r="D731" t="s">
        <v>2280</v>
      </c>
      <c r="E731" t="s">
        <v>2280</v>
      </c>
      <c r="H731" t="s">
        <v>2278</v>
      </c>
    </row>
    <row r="732" spans="2:8" x14ac:dyDescent="0.25">
      <c r="B732" t="s">
        <v>2281</v>
      </c>
      <c r="C732" t="s">
        <v>2279</v>
      </c>
      <c r="D732" t="s">
        <v>2282</v>
      </c>
      <c r="E732" t="s">
        <v>2282</v>
      </c>
      <c r="H732" t="s">
        <v>2281</v>
      </c>
    </row>
    <row r="733" spans="2:8" x14ac:dyDescent="0.25">
      <c r="B733" t="s">
        <v>2283</v>
      </c>
      <c r="C733" t="s">
        <v>2284</v>
      </c>
      <c r="D733" t="s">
        <v>2285</v>
      </c>
      <c r="E733" t="s">
        <v>2285</v>
      </c>
      <c r="H733" t="s">
        <v>2283</v>
      </c>
    </row>
    <row r="734" spans="2:8" x14ac:dyDescent="0.25">
      <c r="B734" t="s">
        <v>2286</v>
      </c>
      <c r="C734" t="s">
        <v>2284</v>
      </c>
      <c r="D734" t="s">
        <v>2287</v>
      </c>
      <c r="E734" t="s">
        <v>2287</v>
      </c>
      <c r="H734" t="s">
        <v>2286</v>
      </c>
    </row>
    <row r="735" spans="2:8" x14ac:dyDescent="0.25">
      <c r="B735" t="s">
        <v>2288</v>
      </c>
      <c r="C735" t="s">
        <v>2289</v>
      </c>
      <c r="D735" t="s">
        <v>2290</v>
      </c>
      <c r="E735" t="s">
        <v>2290</v>
      </c>
      <c r="H735" t="s">
        <v>2288</v>
      </c>
    </row>
    <row r="736" spans="2:8" x14ac:dyDescent="0.25">
      <c r="B736" t="s">
        <v>2291</v>
      </c>
      <c r="C736" t="s">
        <v>2289</v>
      </c>
      <c r="D736" t="s">
        <v>2292</v>
      </c>
      <c r="E736" t="s">
        <v>2292</v>
      </c>
      <c r="H736" t="s">
        <v>2291</v>
      </c>
    </row>
    <row r="737" spans="2:8" x14ac:dyDescent="0.25">
      <c r="B737" t="s">
        <v>2293</v>
      </c>
      <c r="C737" t="s">
        <v>2289</v>
      </c>
      <c r="D737" t="s">
        <v>2294</v>
      </c>
      <c r="E737" t="s">
        <v>2294</v>
      </c>
      <c r="H737" t="s">
        <v>2293</v>
      </c>
    </row>
    <row r="738" spans="2:8" x14ac:dyDescent="0.25">
      <c r="B738" t="s">
        <v>2295</v>
      </c>
      <c r="C738" t="s">
        <v>2289</v>
      </c>
      <c r="D738" t="s">
        <v>2296</v>
      </c>
      <c r="E738" t="s">
        <v>2296</v>
      </c>
      <c r="H738" t="s">
        <v>2295</v>
      </c>
    </row>
    <row r="739" spans="2:8" x14ac:dyDescent="0.25">
      <c r="B739" t="s">
        <v>2297</v>
      </c>
      <c r="C739" t="s">
        <v>2298</v>
      </c>
      <c r="D739" t="s">
        <v>2299</v>
      </c>
      <c r="E739" t="s">
        <v>2299</v>
      </c>
      <c r="H739" t="s">
        <v>2297</v>
      </c>
    </row>
    <row r="740" spans="2:8" x14ac:dyDescent="0.25">
      <c r="B740" t="s">
        <v>2300</v>
      </c>
      <c r="C740" t="s">
        <v>2298</v>
      </c>
      <c r="D740" t="s">
        <v>2301</v>
      </c>
      <c r="E740" t="s">
        <v>2301</v>
      </c>
      <c r="H740" t="s">
        <v>2300</v>
      </c>
    </row>
    <row r="741" spans="2:8" x14ac:dyDescent="0.25">
      <c r="B741" t="s">
        <v>2302</v>
      </c>
      <c r="C741" t="s">
        <v>2303</v>
      </c>
      <c r="D741" t="s">
        <v>2304</v>
      </c>
      <c r="E741" t="s">
        <v>2304</v>
      </c>
      <c r="H741" t="s">
        <v>2302</v>
      </c>
    </row>
    <row r="742" spans="2:8" x14ac:dyDescent="0.25">
      <c r="B742" t="s">
        <v>2305</v>
      </c>
      <c r="C742" t="s">
        <v>2306</v>
      </c>
      <c r="D742" t="s">
        <v>2307</v>
      </c>
      <c r="E742" t="s">
        <v>2307</v>
      </c>
      <c r="H742" t="s">
        <v>2305</v>
      </c>
    </row>
    <row r="743" spans="2:8" x14ac:dyDescent="0.25">
      <c r="B743" t="s">
        <v>2308</v>
      </c>
      <c r="C743" t="s">
        <v>2309</v>
      </c>
      <c r="D743" t="s">
        <v>2310</v>
      </c>
      <c r="E743" t="s">
        <v>2310</v>
      </c>
      <c r="H743" t="s">
        <v>2308</v>
      </c>
    </row>
    <row r="744" spans="2:8" x14ac:dyDescent="0.25">
      <c r="B744" t="s">
        <v>2311</v>
      </c>
      <c r="C744" t="s">
        <v>2312</v>
      </c>
      <c r="D744" t="s">
        <v>2313</v>
      </c>
      <c r="E744" t="s">
        <v>2313</v>
      </c>
      <c r="H744" t="s">
        <v>2311</v>
      </c>
    </row>
    <row r="745" spans="2:8" x14ac:dyDescent="0.25">
      <c r="B745" t="s">
        <v>2314</v>
      </c>
      <c r="C745" t="s">
        <v>2315</v>
      </c>
      <c r="D745" t="s">
        <v>2316</v>
      </c>
      <c r="E745" t="s">
        <v>2316</v>
      </c>
      <c r="H745" t="s">
        <v>2314</v>
      </c>
    </row>
    <row r="746" spans="2:8" x14ac:dyDescent="0.25">
      <c r="B746" t="s">
        <v>2317</v>
      </c>
      <c r="C746" t="s">
        <v>2318</v>
      </c>
      <c r="D746" t="s">
        <v>2319</v>
      </c>
      <c r="E746" t="s">
        <v>2319</v>
      </c>
      <c r="H746" t="s">
        <v>2317</v>
      </c>
    </row>
    <row r="747" spans="2:8" x14ac:dyDescent="0.25">
      <c r="B747" t="s">
        <v>2320</v>
      </c>
      <c r="C747" t="s">
        <v>2321</v>
      </c>
      <c r="D747" t="s">
        <v>2322</v>
      </c>
      <c r="E747" t="s">
        <v>2322</v>
      </c>
      <c r="H747" t="s">
        <v>2320</v>
      </c>
    </row>
    <row r="748" spans="2:8" x14ac:dyDescent="0.25">
      <c r="B748" t="s">
        <v>2323</v>
      </c>
      <c r="C748" t="s">
        <v>2324</v>
      </c>
      <c r="D748" t="s">
        <v>2325</v>
      </c>
      <c r="E748" t="s">
        <v>2325</v>
      </c>
      <c r="H748" t="s">
        <v>2323</v>
      </c>
    </row>
    <row r="749" spans="2:8" x14ac:dyDescent="0.25">
      <c r="B749" t="s">
        <v>2326</v>
      </c>
      <c r="C749" t="s">
        <v>2327</v>
      </c>
      <c r="D749" t="s">
        <v>2328</v>
      </c>
      <c r="E749" t="s">
        <v>2328</v>
      </c>
      <c r="H749" t="s">
        <v>2326</v>
      </c>
    </row>
    <row r="750" spans="2:8" x14ac:dyDescent="0.25">
      <c r="B750" t="s">
        <v>2329</v>
      </c>
      <c r="C750" t="s">
        <v>2330</v>
      </c>
      <c r="D750" t="s">
        <v>2331</v>
      </c>
      <c r="E750" t="s">
        <v>2331</v>
      </c>
      <c r="H750" t="s">
        <v>2329</v>
      </c>
    </row>
    <row r="751" spans="2:8" x14ac:dyDescent="0.25">
      <c r="B751" t="s">
        <v>2332</v>
      </c>
      <c r="C751" t="s">
        <v>2333</v>
      </c>
      <c r="D751" t="s">
        <v>2334</v>
      </c>
      <c r="E751" t="s">
        <v>2334</v>
      </c>
      <c r="H751" t="s">
        <v>2332</v>
      </c>
    </row>
    <row r="752" spans="2:8" x14ac:dyDescent="0.25">
      <c r="B752" t="s">
        <v>2335</v>
      </c>
      <c r="C752" t="s">
        <v>2336</v>
      </c>
      <c r="D752" t="s">
        <v>2337</v>
      </c>
      <c r="E752" t="s">
        <v>2337</v>
      </c>
      <c r="H752" t="s">
        <v>2335</v>
      </c>
    </row>
    <row r="753" spans="2:8" x14ac:dyDescent="0.25">
      <c r="B753" t="s">
        <v>2338</v>
      </c>
      <c r="C753" t="s">
        <v>2339</v>
      </c>
      <c r="D753" t="s">
        <v>2340</v>
      </c>
      <c r="E753" t="s">
        <v>2340</v>
      </c>
      <c r="H753" t="s">
        <v>2338</v>
      </c>
    </row>
    <row r="754" spans="2:8" x14ac:dyDescent="0.25">
      <c r="B754" t="s">
        <v>2341</v>
      </c>
      <c r="C754" t="s">
        <v>2342</v>
      </c>
      <c r="D754" t="s">
        <v>2343</v>
      </c>
      <c r="E754" t="s">
        <v>2343</v>
      </c>
      <c r="H754" t="s">
        <v>2341</v>
      </c>
    </row>
    <row r="755" spans="2:8" x14ac:dyDescent="0.25">
      <c r="B755" t="s">
        <v>2344</v>
      </c>
      <c r="C755" t="s">
        <v>2345</v>
      </c>
      <c r="D755" t="s">
        <v>2346</v>
      </c>
      <c r="E755" t="s">
        <v>2346</v>
      </c>
      <c r="H755" t="s">
        <v>2344</v>
      </c>
    </row>
    <row r="756" spans="2:8" x14ac:dyDescent="0.25">
      <c r="B756" t="s">
        <v>2347</v>
      </c>
      <c r="C756" t="s">
        <v>2348</v>
      </c>
      <c r="D756" t="s">
        <v>2349</v>
      </c>
      <c r="E756" t="s">
        <v>2349</v>
      </c>
      <c r="H756" t="s">
        <v>2347</v>
      </c>
    </row>
    <row r="757" spans="2:8" x14ac:dyDescent="0.25">
      <c r="B757" t="s">
        <v>2350</v>
      </c>
      <c r="C757" t="s">
        <v>2351</v>
      </c>
      <c r="D757" t="s">
        <v>2352</v>
      </c>
      <c r="E757" t="s">
        <v>2352</v>
      </c>
      <c r="H757" t="s">
        <v>2350</v>
      </c>
    </row>
    <row r="758" spans="2:8" x14ac:dyDescent="0.25">
      <c r="B758" t="s">
        <v>2353</v>
      </c>
      <c r="C758" t="s">
        <v>2354</v>
      </c>
      <c r="D758" t="s">
        <v>2355</v>
      </c>
      <c r="E758" t="s">
        <v>2355</v>
      </c>
      <c r="H758" t="s">
        <v>2353</v>
      </c>
    </row>
    <row r="759" spans="2:8" x14ac:dyDescent="0.25">
      <c r="B759" t="s">
        <v>2356</v>
      </c>
      <c r="C759" t="s">
        <v>2357</v>
      </c>
      <c r="D759" t="s">
        <v>2358</v>
      </c>
      <c r="E759" t="s">
        <v>2358</v>
      </c>
      <c r="H759" t="s">
        <v>2356</v>
      </c>
    </row>
    <row r="760" spans="2:8" x14ac:dyDescent="0.25">
      <c r="B760" t="s">
        <v>2359</v>
      </c>
      <c r="C760" t="s">
        <v>2360</v>
      </c>
      <c r="D760" t="s">
        <v>2361</v>
      </c>
      <c r="E760" t="s">
        <v>2361</v>
      </c>
      <c r="H760" t="s">
        <v>2359</v>
      </c>
    </row>
    <row r="761" spans="2:8" x14ac:dyDescent="0.25">
      <c r="B761" t="s">
        <v>2362</v>
      </c>
      <c r="C761" t="s">
        <v>2363</v>
      </c>
      <c r="D761" t="s">
        <v>2364</v>
      </c>
      <c r="E761" t="s">
        <v>2364</v>
      </c>
      <c r="H761" t="s">
        <v>2362</v>
      </c>
    </row>
    <row r="762" spans="2:8" x14ac:dyDescent="0.25">
      <c r="B762" t="s">
        <v>2365</v>
      </c>
      <c r="C762" t="s">
        <v>2366</v>
      </c>
      <c r="D762" t="s">
        <v>2367</v>
      </c>
      <c r="E762" t="s">
        <v>2367</v>
      </c>
      <c r="H762" t="s">
        <v>2365</v>
      </c>
    </row>
    <row r="763" spans="2:8" x14ac:dyDescent="0.25">
      <c r="B763" t="s">
        <v>2368</v>
      </c>
      <c r="C763" t="s">
        <v>2369</v>
      </c>
      <c r="D763" t="s">
        <v>2370</v>
      </c>
      <c r="E763" t="s">
        <v>2370</v>
      </c>
      <c r="H763" t="s">
        <v>2368</v>
      </c>
    </row>
    <row r="764" spans="2:8" x14ac:dyDescent="0.25">
      <c r="B764" t="s">
        <v>2371</v>
      </c>
      <c r="C764" t="s">
        <v>2372</v>
      </c>
      <c r="D764" t="s">
        <v>2373</v>
      </c>
      <c r="E764" t="s">
        <v>2373</v>
      </c>
      <c r="H764" t="s">
        <v>2371</v>
      </c>
    </row>
    <row r="765" spans="2:8" x14ac:dyDescent="0.25">
      <c r="B765" t="s">
        <v>2374</v>
      </c>
      <c r="C765" t="s">
        <v>2375</v>
      </c>
      <c r="D765" t="s">
        <v>2376</v>
      </c>
      <c r="E765" t="s">
        <v>2376</v>
      </c>
      <c r="H765" t="s">
        <v>2374</v>
      </c>
    </row>
    <row r="766" spans="2:8" x14ac:dyDescent="0.25">
      <c r="B766" t="s">
        <v>2377</v>
      </c>
      <c r="C766" t="s">
        <v>2378</v>
      </c>
      <c r="D766" t="s">
        <v>2379</v>
      </c>
      <c r="E766" t="s">
        <v>2379</v>
      </c>
      <c r="H766" t="s">
        <v>2377</v>
      </c>
    </row>
    <row r="767" spans="2:8" x14ac:dyDescent="0.25">
      <c r="B767" t="s">
        <v>2380</v>
      </c>
      <c r="C767" t="s">
        <v>2381</v>
      </c>
      <c r="D767" t="s">
        <v>2382</v>
      </c>
      <c r="E767" t="s">
        <v>2382</v>
      </c>
      <c r="H767" t="s">
        <v>2380</v>
      </c>
    </row>
    <row r="768" spans="2:8" x14ac:dyDescent="0.25">
      <c r="B768" t="s">
        <v>2383</v>
      </c>
      <c r="C768" t="s">
        <v>2384</v>
      </c>
      <c r="D768" t="s">
        <v>2385</v>
      </c>
      <c r="E768" t="s">
        <v>2385</v>
      </c>
      <c r="H768" t="s">
        <v>2383</v>
      </c>
    </row>
    <row r="769" spans="2:8" x14ac:dyDescent="0.25">
      <c r="B769" t="s">
        <v>2386</v>
      </c>
      <c r="C769" t="s">
        <v>2387</v>
      </c>
      <c r="D769" t="s">
        <v>2388</v>
      </c>
      <c r="E769" t="s">
        <v>2388</v>
      </c>
      <c r="H769" t="s">
        <v>2386</v>
      </c>
    </row>
    <row r="770" spans="2:8" x14ac:dyDescent="0.25">
      <c r="B770" t="s">
        <v>2389</v>
      </c>
      <c r="C770" t="s">
        <v>2390</v>
      </c>
      <c r="D770" t="s">
        <v>2391</v>
      </c>
      <c r="E770" t="s">
        <v>2391</v>
      </c>
      <c r="H770" t="s">
        <v>2389</v>
      </c>
    </row>
    <row r="771" spans="2:8" x14ac:dyDescent="0.25">
      <c r="B771" t="s">
        <v>2392</v>
      </c>
      <c r="C771" t="s">
        <v>2393</v>
      </c>
      <c r="D771" t="s">
        <v>2394</v>
      </c>
      <c r="E771" t="s">
        <v>2394</v>
      </c>
      <c r="H771" t="s">
        <v>2392</v>
      </c>
    </row>
    <row r="772" spans="2:8" x14ac:dyDescent="0.25">
      <c r="B772" t="s">
        <v>2395</v>
      </c>
      <c r="C772" t="s">
        <v>2396</v>
      </c>
      <c r="D772" t="s">
        <v>2397</v>
      </c>
      <c r="E772" t="s">
        <v>2397</v>
      </c>
      <c r="H772" t="s">
        <v>2395</v>
      </c>
    </row>
    <row r="773" spans="2:8" x14ac:dyDescent="0.25">
      <c r="B773" t="s">
        <v>2398</v>
      </c>
      <c r="C773" t="s">
        <v>2399</v>
      </c>
      <c r="D773" t="s">
        <v>2400</v>
      </c>
      <c r="E773" t="s">
        <v>2400</v>
      </c>
      <c r="H773" t="s">
        <v>2398</v>
      </c>
    </row>
    <row r="774" spans="2:8" x14ac:dyDescent="0.25">
      <c r="B774" t="s">
        <v>2401</v>
      </c>
      <c r="C774" t="s">
        <v>2399</v>
      </c>
      <c r="D774" t="s">
        <v>2402</v>
      </c>
      <c r="E774" t="s">
        <v>2402</v>
      </c>
      <c r="H774" t="s">
        <v>2401</v>
      </c>
    </row>
    <row r="775" spans="2:8" x14ac:dyDescent="0.25">
      <c r="B775" t="s">
        <v>2403</v>
      </c>
      <c r="C775" t="s">
        <v>2399</v>
      </c>
      <c r="D775" t="s">
        <v>2404</v>
      </c>
      <c r="E775" t="s">
        <v>2404</v>
      </c>
      <c r="H775" t="s">
        <v>2403</v>
      </c>
    </row>
    <row r="776" spans="2:8" x14ac:dyDescent="0.25">
      <c r="B776" t="s">
        <v>2405</v>
      </c>
      <c r="C776" t="s">
        <v>2406</v>
      </c>
      <c r="D776" t="s">
        <v>2407</v>
      </c>
      <c r="E776" t="s">
        <v>2407</v>
      </c>
      <c r="H776" t="s">
        <v>2405</v>
      </c>
    </row>
    <row r="777" spans="2:8" x14ac:dyDescent="0.25">
      <c r="B777" t="s">
        <v>2408</v>
      </c>
      <c r="C777" t="s">
        <v>2406</v>
      </c>
      <c r="D777" t="s">
        <v>2409</v>
      </c>
      <c r="E777" t="s">
        <v>2409</v>
      </c>
      <c r="H777" t="s">
        <v>2408</v>
      </c>
    </row>
    <row r="778" spans="2:8" x14ac:dyDescent="0.25">
      <c r="B778" t="s">
        <v>2410</v>
      </c>
      <c r="C778" t="s">
        <v>2406</v>
      </c>
      <c r="D778" t="s">
        <v>2411</v>
      </c>
      <c r="E778" t="s">
        <v>2411</v>
      </c>
      <c r="H778" t="s">
        <v>2410</v>
      </c>
    </row>
    <row r="779" spans="2:8" x14ac:dyDescent="0.25">
      <c r="B779" t="s">
        <v>2412</v>
      </c>
      <c r="C779" t="s">
        <v>2413</v>
      </c>
      <c r="D779" t="s">
        <v>2414</v>
      </c>
      <c r="E779" t="s">
        <v>2414</v>
      </c>
      <c r="H779" t="s">
        <v>2412</v>
      </c>
    </row>
    <row r="780" spans="2:8" x14ac:dyDescent="0.25">
      <c r="B780" t="s">
        <v>2415</v>
      </c>
      <c r="C780" t="s">
        <v>2413</v>
      </c>
      <c r="D780" t="s">
        <v>2416</v>
      </c>
      <c r="E780" t="s">
        <v>2416</v>
      </c>
      <c r="H780" t="s">
        <v>2415</v>
      </c>
    </row>
    <row r="781" spans="2:8" x14ac:dyDescent="0.25">
      <c r="B781" t="s">
        <v>2417</v>
      </c>
      <c r="C781" t="s">
        <v>2413</v>
      </c>
      <c r="D781" t="s">
        <v>2418</v>
      </c>
      <c r="E781" t="s">
        <v>2418</v>
      </c>
      <c r="H781" t="s">
        <v>2417</v>
      </c>
    </row>
    <row r="782" spans="2:8" x14ac:dyDescent="0.25">
      <c r="B782" t="s">
        <v>2419</v>
      </c>
      <c r="C782" t="s">
        <v>2420</v>
      </c>
      <c r="D782" t="s">
        <v>2421</v>
      </c>
      <c r="E782" t="s">
        <v>2421</v>
      </c>
      <c r="H782" t="s">
        <v>2419</v>
      </c>
    </row>
    <row r="783" spans="2:8" x14ac:dyDescent="0.25">
      <c r="B783" t="s">
        <v>2422</v>
      </c>
      <c r="C783" t="s">
        <v>2420</v>
      </c>
      <c r="D783" t="s">
        <v>2423</v>
      </c>
      <c r="E783" t="s">
        <v>2423</v>
      </c>
      <c r="H783" t="s">
        <v>2422</v>
      </c>
    </row>
    <row r="784" spans="2:8" x14ac:dyDescent="0.25">
      <c r="B784" t="s">
        <v>2424</v>
      </c>
      <c r="C784" t="s">
        <v>2420</v>
      </c>
      <c r="D784" t="s">
        <v>2425</v>
      </c>
      <c r="E784" t="s">
        <v>2425</v>
      </c>
      <c r="H784" t="s">
        <v>2424</v>
      </c>
    </row>
    <row r="785" spans="2:8" x14ac:dyDescent="0.25">
      <c r="B785" t="s">
        <v>2426</v>
      </c>
      <c r="C785" t="s">
        <v>2427</v>
      </c>
      <c r="D785" t="s">
        <v>2428</v>
      </c>
      <c r="E785" t="s">
        <v>2428</v>
      </c>
      <c r="H785" t="s">
        <v>2426</v>
      </c>
    </row>
    <row r="786" spans="2:8" x14ac:dyDescent="0.25">
      <c r="B786" t="s">
        <v>2429</v>
      </c>
      <c r="C786" t="s">
        <v>2420</v>
      </c>
      <c r="D786" t="s">
        <v>2430</v>
      </c>
      <c r="E786" t="s">
        <v>2430</v>
      </c>
      <c r="H786" t="s">
        <v>2429</v>
      </c>
    </row>
    <row r="787" spans="2:8" x14ac:dyDescent="0.25">
      <c r="B787" t="s">
        <v>2431</v>
      </c>
      <c r="C787" t="s">
        <v>2427</v>
      </c>
      <c r="D787" t="s">
        <v>2432</v>
      </c>
      <c r="E787" t="s">
        <v>2432</v>
      </c>
      <c r="H787" t="s">
        <v>2431</v>
      </c>
    </row>
    <row r="788" spans="2:8" x14ac:dyDescent="0.25">
      <c r="B788" t="s">
        <v>2433</v>
      </c>
      <c r="C788" t="s">
        <v>2434</v>
      </c>
      <c r="D788" t="s">
        <v>2435</v>
      </c>
      <c r="E788" t="s">
        <v>2435</v>
      </c>
      <c r="H788" t="s">
        <v>2433</v>
      </c>
    </row>
    <row r="789" spans="2:8" x14ac:dyDescent="0.25">
      <c r="B789" t="s">
        <v>2436</v>
      </c>
      <c r="C789" t="s">
        <v>2437</v>
      </c>
      <c r="D789" t="s">
        <v>2438</v>
      </c>
      <c r="E789" t="s">
        <v>2438</v>
      </c>
      <c r="H789" t="s">
        <v>2436</v>
      </c>
    </row>
    <row r="790" spans="2:8" x14ac:dyDescent="0.25">
      <c r="B790" t="s">
        <v>2439</v>
      </c>
      <c r="C790" t="s">
        <v>2434</v>
      </c>
      <c r="D790" t="s">
        <v>2440</v>
      </c>
      <c r="E790" t="s">
        <v>2440</v>
      </c>
      <c r="H790" t="s">
        <v>2439</v>
      </c>
    </row>
    <row r="791" spans="2:8" x14ac:dyDescent="0.25">
      <c r="B791" t="s">
        <v>2441</v>
      </c>
      <c r="C791" t="s">
        <v>2437</v>
      </c>
      <c r="D791" t="s">
        <v>2442</v>
      </c>
      <c r="E791" t="s">
        <v>2442</v>
      </c>
      <c r="H791" t="s">
        <v>2441</v>
      </c>
    </row>
    <row r="792" spans="2:8" x14ac:dyDescent="0.25">
      <c r="B792" t="s">
        <v>2443</v>
      </c>
      <c r="C792" t="s">
        <v>2444</v>
      </c>
      <c r="D792" t="s">
        <v>2445</v>
      </c>
      <c r="E792" t="s">
        <v>2445</v>
      </c>
      <c r="H792" t="s">
        <v>2443</v>
      </c>
    </row>
    <row r="793" spans="2:8" x14ac:dyDescent="0.25">
      <c r="B793" t="s">
        <v>2446</v>
      </c>
      <c r="C793" t="s">
        <v>2444</v>
      </c>
      <c r="D793" t="s">
        <v>2447</v>
      </c>
      <c r="E793" t="s">
        <v>2447</v>
      </c>
      <c r="H793" t="s">
        <v>2446</v>
      </c>
    </row>
    <row r="794" spans="2:8" x14ac:dyDescent="0.25">
      <c r="B794" t="s">
        <v>2448</v>
      </c>
      <c r="C794" t="s">
        <v>2449</v>
      </c>
      <c r="D794" t="s">
        <v>2450</v>
      </c>
      <c r="E794" t="s">
        <v>2450</v>
      </c>
      <c r="H794" t="s">
        <v>2448</v>
      </c>
    </row>
    <row r="795" spans="2:8" x14ac:dyDescent="0.25">
      <c r="B795" t="s">
        <v>2451</v>
      </c>
      <c r="C795" t="s">
        <v>2449</v>
      </c>
      <c r="D795" t="s">
        <v>2452</v>
      </c>
      <c r="E795" t="s">
        <v>2452</v>
      </c>
      <c r="H795" t="s">
        <v>2451</v>
      </c>
    </row>
    <row r="796" spans="2:8" x14ac:dyDescent="0.25">
      <c r="B796" t="s">
        <v>2453</v>
      </c>
      <c r="C796" t="s">
        <v>2454</v>
      </c>
      <c r="D796" t="s">
        <v>2455</v>
      </c>
      <c r="E796" t="s">
        <v>2455</v>
      </c>
      <c r="H796" t="s">
        <v>2453</v>
      </c>
    </row>
    <row r="797" spans="2:8" x14ac:dyDescent="0.25">
      <c r="B797" t="s">
        <v>2456</v>
      </c>
      <c r="C797" t="s">
        <v>2454</v>
      </c>
      <c r="D797" t="s">
        <v>2457</v>
      </c>
      <c r="E797" t="s">
        <v>2457</v>
      </c>
      <c r="H797" t="s">
        <v>2456</v>
      </c>
    </row>
    <row r="798" spans="2:8" x14ac:dyDescent="0.25">
      <c r="B798" t="s">
        <v>2458</v>
      </c>
      <c r="C798" t="s">
        <v>2454</v>
      </c>
      <c r="D798" t="s">
        <v>2459</v>
      </c>
      <c r="E798" t="s">
        <v>2459</v>
      </c>
      <c r="H798" t="s">
        <v>2458</v>
      </c>
    </row>
    <row r="799" spans="2:8" x14ac:dyDescent="0.25">
      <c r="B799" t="s">
        <v>2460</v>
      </c>
      <c r="C799" t="s">
        <v>2461</v>
      </c>
      <c r="D799" t="s">
        <v>2462</v>
      </c>
      <c r="E799" t="s">
        <v>2462</v>
      </c>
      <c r="H799" t="s">
        <v>2460</v>
      </c>
    </row>
    <row r="800" spans="2:8" x14ac:dyDescent="0.25">
      <c r="B800" t="s">
        <v>2463</v>
      </c>
      <c r="C800" t="s">
        <v>2461</v>
      </c>
      <c r="D800" t="s">
        <v>2464</v>
      </c>
      <c r="E800" t="s">
        <v>2464</v>
      </c>
      <c r="H800" t="s">
        <v>2463</v>
      </c>
    </row>
    <row r="801" spans="2:8" x14ac:dyDescent="0.25">
      <c r="B801" t="s">
        <v>2465</v>
      </c>
      <c r="C801" t="s">
        <v>2461</v>
      </c>
      <c r="D801" t="s">
        <v>2466</v>
      </c>
      <c r="E801" t="s">
        <v>2466</v>
      </c>
      <c r="H801" t="s">
        <v>2465</v>
      </c>
    </row>
    <row r="802" spans="2:8" x14ac:dyDescent="0.25">
      <c r="B802" t="s">
        <v>2467</v>
      </c>
      <c r="C802" t="s">
        <v>2468</v>
      </c>
      <c r="D802" t="s">
        <v>2469</v>
      </c>
      <c r="E802" t="s">
        <v>2469</v>
      </c>
      <c r="H802" t="s">
        <v>2467</v>
      </c>
    </row>
    <row r="803" spans="2:8" x14ac:dyDescent="0.25">
      <c r="B803" t="s">
        <v>2470</v>
      </c>
      <c r="C803" t="s">
        <v>2461</v>
      </c>
      <c r="D803" t="s">
        <v>2471</v>
      </c>
      <c r="E803" t="s">
        <v>2471</v>
      </c>
      <c r="H803" t="s">
        <v>2470</v>
      </c>
    </row>
    <row r="804" spans="2:8" x14ac:dyDescent="0.25">
      <c r="B804" t="s">
        <v>2472</v>
      </c>
      <c r="C804" t="s">
        <v>2468</v>
      </c>
      <c r="D804" t="s">
        <v>2473</v>
      </c>
      <c r="E804" t="s">
        <v>2473</v>
      </c>
      <c r="H804" t="s">
        <v>2472</v>
      </c>
    </row>
    <row r="805" spans="2:8" x14ac:dyDescent="0.25">
      <c r="B805" t="s">
        <v>2474</v>
      </c>
      <c r="C805" t="s">
        <v>1098</v>
      </c>
      <c r="D805" t="s">
        <v>2475</v>
      </c>
      <c r="E805" t="s">
        <v>2475</v>
      </c>
      <c r="H805" t="s">
        <v>2474</v>
      </c>
    </row>
    <row r="806" spans="2:8" x14ac:dyDescent="0.25">
      <c r="B806" t="s">
        <v>2476</v>
      </c>
      <c r="C806" t="s">
        <v>1098</v>
      </c>
      <c r="D806" t="s">
        <v>2477</v>
      </c>
      <c r="E806" t="s">
        <v>2477</v>
      </c>
      <c r="H806" t="s">
        <v>2476</v>
      </c>
    </row>
    <row r="807" spans="2:8" x14ac:dyDescent="0.25">
      <c r="B807" t="s">
        <v>2478</v>
      </c>
      <c r="C807" t="s">
        <v>1098</v>
      </c>
      <c r="D807" t="s">
        <v>2479</v>
      </c>
      <c r="E807" t="s">
        <v>2479</v>
      </c>
      <c r="H807" t="s">
        <v>2478</v>
      </c>
    </row>
    <row r="808" spans="2:8" x14ac:dyDescent="0.25">
      <c r="B808" t="s">
        <v>2480</v>
      </c>
      <c r="C808" t="s">
        <v>1098</v>
      </c>
      <c r="D808" t="s">
        <v>2481</v>
      </c>
      <c r="E808" t="s">
        <v>2481</v>
      </c>
      <c r="H808" t="s">
        <v>2480</v>
      </c>
    </row>
    <row r="809" spans="2:8" x14ac:dyDescent="0.25">
      <c r="B809" t="s">
        <v>2482</v>
      </c>
      <c r="C809" t="s">
        <v>1098</v>
      </c>
      <c r="D809" t="s">
        <v>2483</v>
      </c>
      <c r="E809" t="s">
        <v>2483</v>
      </c>
      <c r="H809" t="s">
        <v>2482</v>
      </c>
    </row>
    <row r="810" spans="2:8" x14ac:dyDescent="0.25">
      <c r="B810" t="s">
        <v>2484</v>
      </c>
      <c r="C810" t="s">
        <v>1098</v>
      </c>
      <c r="D810" t="s">
        <v>2485</v>
      </c>
      <c r="E810" t="s">
        <v>2485</v>
      </c>
      <c r="H810" t="s">
        <v>2484</v>
      </c>
    </row>
    <row r="811" spans="2:8" x14ac:dyDescent="0.25">
      <c r="B811" t="s">
        <v>2486</v>
      </c>
      <c r="C811" t="s">
        <v>1098</v>
      </c>
      <c r="D811" t="s">
        <v>2487</v>
      </c>
      <c r="E811" t="s">
        <v>2487</v>
      </c>
      <c r="H811" t="s">
        <v>2486</v>
      </c>
    </row>
    <row r="812" spans="2:8" x14ac:dyDescent="0.25">
      <c r="B812" t="s">
        <v>2488</v>
      </c>
      <c r="C812" t="s">
        <v>1098</v>
      </c>
      <c r="D812" t="s">
        <v>2489</v>
      </c>
      <c r="E812" t="s">
        <v>2489</v>
      </c>
      <c r="H812" t="s">
        <v>2488</v>
      </c>
    </row>
    <row r="813" spans="2:8" x14ac:dyDescent="0.25">
      <c r="B813" t="s">
        <v>2490</v>
      </c>
      <c r="C813" t="s">
        <v>1098</v>
      </c>
      <c r="D813" t="s">
        <v>2491</v>
      </c>
      <c r="E813" t="s">
        <v>2491</v>
      </c>
      <c r="H813" t="s">
        <v>2490</v>
      </c>
    </row>
    <row r="814" spans="2:8" x14ac:dyDescent="0.25">
      <c r="B814" t="s">
        <v>2492</v>
      </c>
      <c r="C814" t="s">
        <v>2493</v>
      </c>
      <c r="D814" t="s">
        <v>2494</v>
      </c>
      <c r="E814" t="s">
        <v>2494</v>
      </c>
      <c r="H814" t="s">
        <v>2492</v>
      </c>
    </row>
    <row r="815" spans="2:8" x14ac:dyDescent="0.25">
      <c r="B815" t="s">
        <v>2495</v>
      </c>
      <c r="C815" t="s">
        <v>2493</v>
      </c>
      <c r="D815" t="s">
        <v>2496</v>
      </c>
      <c r="E815" t="s">
        <v>2496</v>
      </c>
      <c r="H815" t="s">
        <v>2495</v>
      </c>
    </row>
    <row r="816" spans="2:8" x14ac:dyDescent="0.25">
      <c r="B816" t="s">
        <v>2497</v>
      </c>
      <c r="C816" t="s">
        <v>2493</v>
      </c>
      <c r="D816" t="s">
        <v>2498</v>
      </c>
      <c r="E816" t="s">
        <v>2498</v>
      </c>
      <c r="H816" t="s">
        <v>2497</v>
      </c>
    </row>
    <row r="817" spans="2:8" x14ac:dyDescent="0.25">
      <c r="B817" t="s">
        <v>2499</v>
      </c>
      <c r="C817" t="s">
        <v>2500</v>
      </c>
      <c r="D817" t="s">
        <v>2501</v>
      </c>
      <c r="E817" t="s">
        <v>2501</v>
      </c>
      <c r="H817" t="s">
        <v>2499</v>
      </c>
    </row>
    <row r="818" spans="2:8" x14ac:dyDescent="0.25">
      <c r="B818" t="s">
        <v>2502</v>
      </c>
      <c r="C818" t="s">
        <v>2500</v>
      </c>
      <c r="D818" t="s">
        <v>2503</v>
      </c>
      <c r="E818" t="s">
        <v>2503</v>
      </c>
      <c r="H818" t="s">
        <v>2502</v>
      </c>
    </row>
    <row r="819" spans="2:8" x14ac:dyDescent="0.25">
      <c r="B819" t="s">
        <v>2504</v>
      </c>
      <c r="C819" t="s">
        <v>2500</v>
      </c>
      <c r="D819" t="s">
        <v>2505</v>
      </c>
      <c r="E819" t="s">
        <v>2505</v>
      </c>
      <c r="H819" t="s">
        <v>2504</v>
      </c>
    </row>
    <row r="820" spans="2:8" x14ac:dyDescent="0.25">
      <c r="B820" t="s">
        <v>2506</v>
      </c>
      <c r="C820" t="s">
        <v>2507</v>
      </c>
      <c r="D820" t="s">
        <v>2508</v>
      </c>
      <c r="E820" t="s">
        <v>2508</v>
      </c>
      <c r="H820" t="s">
        <v>2506</v>
      </c>
    </row>
    <row r="821" spans="2:8" x14ac:dyDescent="0.25">
      <c r="B821" t="s">
        <v>2509</v>
      </c>
      <c r="C821" t="s">
        <v>2507</v>
      </c>
      <c r="D821" t="s">
        <v>2510</v>
      </c>
      <c r="E821" t="s">
        <v>2510</v>
      </c>
      <c r="H821" t="s">
        <v>2509</v>
      </c>
    </row>
    <row r="822" spans="2:8" x14ac:dyDescent="0.25">
      <c r="B822" t="s">
        <v>2511</v>
      </c>
      <c r="C822" t="s">
        <v>2507</v>
      </c>
      <c r="D822" t="s">
        <v>2512</v>
      </c>
      <c r="E822" t="s">
        <v>2512</v>
      </c>
      <c r="H822" t="s">
        <v>2511</v>
      </c>
    </row>
    <row r="823" spans="2:8" x14ac:dyDescent="0.25">
      <c r="B823" t="s">
        <v>2513</v>
      </c>
      <c r="C823" t="s">
        <v>2514</v>
      </c>
      <c r="D823" t="s">
        <v>2515</v>
      </c>
      <c r="E823" t="s">
        <v>2515</v>
      </c>
      <c r="H823" t="s">
        <v>2513</v>
      </c>
    </row>
    <row r="824" spans="2:8" x14ac:dyDescent="0.25">
      <c r="B824" t="s">
        <v>2516</v>
      </c>
      <c r="C824" t="s">
        <v>2514</v>
      </c>
      <c r="D824" t="s">
        <v>2517</v>
      </c>
      <c r="E824" t="s">
        <v>2517</v>
      </c>
      <c r="H824" t="s">
        <v>2516</v>
      </c>
    </row>
    <row r="825" spans="2:8" x14ac:dyDescent="0.25">
      <c r="B825" t="s">
        <v>2518</v>
      </c>
      <c r="C825" t="s">
        <v>2514</v>
      </c>
      <c r="D825" t="s">
        <v>2519</v>
      </c>
      <c r="E825" t="s">
        <v>2519</v>
      </c>
      <c r="H825" t="s">
        <v>2518</v>
      </c>
    </row>
    <row r="826" spans="2:8" x14ac:dyDescent="0.25">
      <c r="B826" t="s">
        <v>2520</v>
      </c>
      <c r="C826" t="s">
        <v>2521</v>
      </c>
      <c r="D826" t="s">
        <v>2522</v>
      </c>
      <c r="E826" t="s">
        <v>2522</v>
      </c>
      <c r="H826" t="s">
        <v>2520</v>
      </c>
    </row>
    <row r="827" spans="2:8" x14ac:dyDescent="0.25">
      <c r="B827" t="s">
        <v>2523</v>
      </c>
      <c r="C827" t="s">
        <v>2521</v>
      </c>
      <c r="D827" t="s">
        <v>2524</v>
      </c>
      <c r="E827" t="s">
        <v>2524</v>
      </c>
      <c r="H827" t="s">
        <v>2523</v>
      </c>
    </row>
    <row r="828" spans="2:8" x14ac:dyDescent="0.25">
      <c r="B828" t="s">
        <v>2525</v>
      </c>
      <c r="C828" t="s">
        <v>2521</v>
      </c>
      <c r="D828" t="s">
        <v>2526</v>
      </c>
      <c r="E828" t="s">
        <v>2526</v>
      </c>
      <c r="H828" t="s">
        <v>2525</v>
      </c>
    </row>
    <row r="829" spans="2:8" x14ac:dyDescent="0.25">
      <c r="B829" t="s">
        <v>2527</v>
      </c>
      <c r="C829" t="s">
        <v>2528</v>
      </c>
      <c r="D829" t="s">
        <v>2529</v>
      </c>
      <c r="E829" t="s">
        <v>2529</v>
      </c>
      <c r="H829" t="s">
        <v>2527</v>
      </c>
    </row>
    <row r="830" spans="2:8" x14ac:dyDescent="0.25">
      <c r="B830" t="s">
        <v>2530</v>
      </c>
      <c r="C830" t="s">
        <v>2528</v>
      </c>
      <c r="D830" t="s">
        <v>2531</v>
      </c>
      <c r="E830" t="s">
        <v>2531</v>
      </c>
      <c r="H830" t="s">
        <v>2530</v>
      </c>
    </row>
    <row r="831" spans="2:8" x14ac:dyDescent="0.25">
      <c r="B831" t="s">
        <v>2532</v>
      </c>
      <c r="C831" t="s">
        <v>2528</v>
      </c>
      <c r="D831" t="s">
        <v>2533</v>
      </c>
      <c r="E831" t="s">
        <v>2533</v>
      </c>
      <c r="H831" t="s">
        <v>2532</v>
      </c>
    </row>
    <row r="832" spans="2:8" x14ac:dyDescent="0.25">
      <c r="B832" t="s">
        <v>2534</v>
      </c>
      <c r="C832" t="s">
        <v>2535</v>
      </c>
      <c r="D832" t="s">
        <v>2536</v>
      </c>
      <c r="E832" t="s">
        <v>2536</v>
      </c>
      <c r="H832" t="s">
        <v>2534</v>
      </c>
    </row>
    <row r="833" spans="2:8" x14ac:dyDescent="0.25">
      <c r="B833" t="s">
        <v>2537</v>
      </c>
      <c r="C833" t="s">
        <v>2535</v>
      </c>
      <c r="D833" t="s">
        <v>2538</v>
      </c>
      <c r="E833" t="s">
        <v>2538</v>
      </c>
      <c r="H833" t="s">
        <v>2537</v>
      </c>
    </row>
    <row r="834" spans="2:8" x14ac:dyDescent="0.25">
      <c r="B834" t="s">
        <v>2539</v>
      </c>
      <c r="C834" t="s">
        <v>2535</v>
      </c>
      <c r="D834" t="s">
        <v>2540</v>
      </c>
      <c r="E834" t="s">
        <v>2540</v>
      </c>
      <c r="H834" t="s">
        <v>2539</v>
      </c>
    </row>
    <row r="835" spans="2:8" x14ac:dyDescent="0.25">
      <c r="B835" t="s">
        <v>2541</v>
      </c>
      <c r="C835" t="s">
        <v>2542</v>
      </c>
      <c r="D835" t="s">
        <v>2543</v>
      </c>
      <c r="E835" t="s">
        <v>2543</v>
      </c>
      <c r="H835" t="s">
        <v>2541</v>
      </c>
    </row>
    <row r="836" spans="2:8" x14ac:dyDescent="0.25">
      <c r="B836" t="s">
        <v>2544</v>
      </c>
      <c r="C836" t="s">
        <v>2542</v>
      </c>
      <c r="D836" t="s">
        <v>2545</v>
      </c>
      <c r="E836" t="s">
        <v>2545</v>
      </c>
      <c r="H836" t="s">
        <v>2544</v>
      </c>
    </row>
    <row r="837" spans="2:8" x14ac:dyDescent="0.25">
      <c r="B837" t="s">
        <v>2546</v>
      </c>
      <c r="C837" t="s">
        <v>2547</v>
      </c>
      <c r="D837" t="s">
        <v>2548</v>
      </c>
      <c r="E837" t="s">
        <v>2548</v>
      </c>
      <c r="H837" t="s">
        <v>2546</v>
      </c>
    </row>
    <row r="838" spans="2:8" x14ac:dyDescent="0.25">
      <c r="B838" t="s">
        <v>2549</v>
      </c>
      <c r="C838" t="s">
        <v>2547</v>
      </c>
      <c r="D838" t="s">
        <v>2550</v>
      </c>
      <c r="E838" t="s">
        <v>2550</v>
      </c>
      <c r="H838" t="s">
        <v>2549</v>
      </c>
    </row>
    <row r="839" spans="2:8" x14ac:dyDescent="0.25">
      <c r="B839" t="s">
        <v>2551</v>
      </c>
      <c r="C839" t="s">
        <v>2552</v>
      </c>
      <c r="D839" t="s">
        <v>2553</v>
      </c>
      <c r="E839" t="s">
        <v>2553</v>
      </c>
      <c r="H839" t="s">
        <v>2551</v>
      </c>
    </row>
    <row r="840" spans="2:8" x14ac:dyDescent="0.25">
      <c r="B840" t="s">
        <v>2554</v>
      </c>
      <c r="C840" t="s">
        <v>2555</v>
      </c>
      <c r="D840" t="s">
        <v>2556</v>
      </c>
      <c r="E840" t="s">
        <v>2556</v>
      </c>
      <c r="H840" t="s">
        <v>2554</v>
      </c>
    </row>
    <row r="841" spans="2:8" x14ac:dyDescent="0.25">
      <c r="B841" t="s">
        <v>2557</v>
      </c>
      <c r="C841" t="s">
        <v>2558</v>
      </c>
      <c r="D841" t="s">
        <v>2559</v>
      </c>
      <c r="E841" t="s">
        <v>2559</v>
      </c>
      <c r="H841" t="s">
        <v>2557</v>
      </c>
    </row>
    <row r="842" spans="2:8" x14ac:dyDescent="0.25">
      <c r="B842" t="s">
        <v>2560</v>
      </c>
      <c r="C842" t="s">
        <v>2561</v>
      </c>
      <c r="D842" t="s">
        <v>2562</v>
      </c>
      <c r="E842" t="s">
        <v>2562</v>
      </c>
      <c r="H842" t="s">
        <v>2560</v>
      </c>
    </row>
    <row r="843" spans="2:8" x14ac:dyDescent="0.25">
      <c r="B843" t="s">
        <v>2563</v>
      </c>
      <c r="C843" t="s">
        <v>2564</v>
      </c>
      <c r="D843" t="s">
        <v>2565</v>
      </c>
      <c r="E843" t="s">
        <v>2565</v>
      </c>
      <c r="H843" t="s">
        <v>2563</v>
      </c>
    </row>
    <row r="844" spans="2:8" x14ac:dyDescent="0.25">
      <c r="B844" t="s">
        <v>2566</v>
      </c>
      <c r="C844" t="s">
        <v>2567</v>
      </c>
      <c r="D844" t="s">
        <v>2568</v>
      </c>
      <c r="E844" t="s">
        <v>2568</v>
      </c>
      <c r="H844" t="s">
        <v>2566</v>
      </c>
    </row>
    <row r="845" spans="2:8" x14ac:dyDescent="0.25">
      <c r="B845" t="s">
        <v>2569</v>
      </c>
      <c r="C845" t="s">
        <v>2570</v>
      </c>
      <c r="D845" t="s">
        <v>2571</v>
      </c>
      <c r="E845" t="s">
        <v>2571</v>
      </c>
      <c r="H845" t="s">
        <v>2569</v>
      </c>
    </row>
    <row r="846" spans="2:8" x14ac:dyDescent="0.25">
      <c r="B846" t="s">
        <v>2572</v>
      </c>
      <c r="C846" t="s">
        <v>2573</v>
      </c>
      <c r="D846" t="s">
        <v>2574</v>
      </c>
      <c r="E846" t="s">
        <v>2574</v>
      </c>
      <c r="H846" t="s">
        <v>2572</v>
      </c>
    </row>
    <row r="847" spans="2:8" x14ac:dyDescent="0.25">
      <c r="B847" t="s">
        <v>2575</v>
      </c>
      <c r="C847" t="s">
        <v>2576</v>
      </c>
      <c r="D847" t="s">
        <v>2577</v>
      </c>
      <c r="E847" t="s">
        <v>2577</v>
      </c>
      <c r="H847" t="s">
        <v>2575</v>
      </c>
    </row>
    <row r="848" spans="2:8" x14ac:dyDescent="0.25">
      <c r="B848" t="s">
        <v>2578</v>
      </c>
      <c r="C848" t="s">
        <v>2579</v>
      </c>
      <c r="D848" t="s">
        <v>2580</v>
      </c>
      <c r="E848" t="s">
        <v>2580</v>
      </c>
      <c r="H848" t="s">
        <v>2578</v>
      </c>
    </row>
    <row r="849" spans="2:8" x14ac:dyDescent="0.25">
      <c r="B849" t="s">
        <v>2581</v>
      </c>
      <c r="C849" t="s">
        <v>2582</v>
      </c>
      <c r="D849" t="s">
        <v>2583</v>
      </c>
      <c r="E849" t="s">
        <v>2583</v>
      </c>
      <c r="H849" t="s">
        <v>2581</v>
      </c>
    </row>
    <row r="850" spans="2:8" x14ac:dyDescent="0.25">
      <c r="B850" t="s">
        <v>2584</v>
      </c>
      <c r="C850" t="s">
        <v>2585</v>
      </c>
      <c r="D850" t="s">
        <v>2586</v>
      </c>
      <c r="E850" t="s">
        <v>2586</v>
      </c>
      <c r="H850" t="s">
        <v>2584</v>
      </c>
    </row>
    <row r="851" spans="2:8" x14ac:dyDescent="0.25">
      <c r="B851" t="s">
        <v>2587</v>
      </c>
      <c r="C851" t="s">
        <v>2588</v>
      </c>
      <c r="D851" t="s">
        <v>2589</v>
      </c>
      <c r="E851" t="s">
        <v>2589</v>
      </c>
      <c r="H851" t="s">
        <v>2587</v>
      </c>
    </row>
    <row r="852" spans="2:8" x14ac:dyDescent="0.25">
      <c r="B852" t="s">
        <v>2590</v>
      </c>
      <c r="C852" t="s">
        <v>2591</v>
      </c>
      <c r="D852" t="s">
        <v>2592</v>
      </c>
      <c r="E852" t="s">
        <v>2592</v>
      </c>
      <c r="H852" t="s">
        <v>2590</v>
      </c>
    </row>
    <row r="853" spans="2:8" x14ac:dyDescent="0.25">
      <c r="B853" t="s">
        <v>2593</v>
      </c>
      <c r="C853" t="s">
        <v>2594</v>
      </c>
      <c r="D853" t="s">
        <v>2595</v>
      </c>
      <c r="E853" t="s">
        <v>2595</v>
      </c>
      <c r="H853" t="s">
        <v>2593</v>
      </c>
    </row>
    <row r="854" spans="2:8" x14ac:dyDescent="0.25">
      <c r="B854" t="s">
        <v>2596</v>
      </c>
      <c r="C854" t="s">
        <v>2597</v>
      </c>
      <c r="D854" t="s">
        <v>2598</v>
      </c>
      <c r="E854" t="s">
        <v>2598</v>
      </c>
      <c r="H854" t="s">
        <v>2596</v>
      </c>
    </row>
    <row r="855" spans="2:8" x14ac:dyDescent="0.25">
      <c r="B855" t="s">
        <v>2599</v>
      </c>
      <c r="C855" t="s">
        <v>2600</v>
      </c>
      <c r="D855" t="s">
        <v>2601</v>
      </c>
      <c r="E855" t="s">
        <v>2601</v>
      </c>
      <c r="H855" t="s">
        <v>2599</v>
      </c>
    </row>
    <row r="856" spans="2:8" x14ac:dyDescent="0.25">
      <c r="B856" t="s">
        <v>2602</v>
      </c>
      <c r="C856" t="s">
        <v>2603</v>
      </c>
      <c r="D856" t="s">
        <v>2604</v>
      </c>
      <c r="E856" t="s">
        <v>2604</v>
      </c>
      <c r="H856" t="s">
        <v>2602</v>
      </c>
    </row>
    <row r="857" spans="2:8" x14ac:dyDescent="0.25">
      <c r="B857" t="s">
        <v>2605</v>
      </c>
      <c r="C857" t="s">
        <v>2606</v>
      </c>
      <c r="D857" t="s">
        <v>2607</v>
      </c>
      <c r="E857" t="s">
        <v>2607</v>
      </c>
      <c r="H857" t="s">
        <v>2605</v>
      </c>
    </row>
    <row r="858" spans="2:8" x14ac:dyDescent="0.25">
      <c r="B858" t="s">
        <v>2608</v>
      </c>
      <c r="C858" t="s">
        <v>2609</v>
      </c>
      <c r="D858" t="s">
        <v>2610</v>
      </c>
      <c r="E858" t="s">
        <v>2610</v>
      </c>
      <c r="H858" t="s">
        <v>2608</v>
      </c>
    </row>
    <row r="859" spans="2:8" x14ac:dyDescent="0.25">
      <c r="B859" t="s">
        <v>2611</v>
      </c>
      <c r="C859" t="s">
        <v>2612</v>
      </c>
      <c r="D859" t="s">
        <v>2613</v>
      </c>
      <c r="E859" t="s">
        <v>2613</v>
      </c>
      <c r="H859" t="s">
        <v>2611</v>
      </c>
    </row>
    <row r="860" spans="2:8" x14ac:dyDescent="0.25">
      <c r="B860" t="s">
        <v>2614</v>
      </c>
      <c r="C860" t="s">
        <v>2612</v>
      </c>
      <c r="D860" t="s">
        <v>2615</v>
      </c>
      <c r="E860" t="s">
        <v>2615</v>
      </c>
      <c r="H860" t="s">
        <v>2614</v>
      </c>
    </row>
    <row r="861" spans="2:8" x14ac:dyDescent="0.25">
      <c r="B861" t="s">
        <v>2616</v>
      </c>
      <c r="C861" t="s">
        <v>2612</v>
      </c>
      <c r="D861" t="s">
        <v>2617</v>
      </c>
      <c r="E861" t="s">
        <v>2617</v>
      </c>
      <c r="H861" t="s">
        <v>2616</v>
      </c>
    </row>
    <row r="862" spans="2:8" x14ac:dyDescent="0.25">
      <c r="B862" t="s">
        <v>2618</v>
      </c>
      <c r="C862" t="s">
        <v>2612</v>
      </c>
      <c r="D862" t="s">
        <v>2619</v>
      </c>
      <c r="E862" t="s">
        <v>2619</v>
      </c>
      <c r="H862" t="s">
        <v>2618</v>
      </c>
    </row>
    <row r="863" spans="2:8" x14ac:dyDescent="0.25">
      <c r="B863" t="s">
        <v>2620</v>
      </c>
      <c r="C863" t="s">
        <v>2612</v>
      </c>
      <c r="D863" t="s">
        <v>2621</v>
      </c>
      <c r="E863" t="s">
        <v>2621</v>
      </c>
      <c r="H863" t="s">
        <v>2620</v>
      </c>
    </row>
    <row r="864" spans="2:8" x14ac:dyDescent="0.25">
      <c r="B864" t="s">
        <v>2622</v>
      </c>
      <c r="C864" t="s">
        <v>2612</v>
      </c>
      <c r="D864" t="s">
        <v>2623</v>
      </c>
      <c r="E864" t="s">
        <v>2623</v>
      </c>
      <c r="H864" t="s">
        <v>2622</v>
      </c>
    </row>
    <row r="865" spans="2:8" x14ac:dyDescent="0.25">
      <c r="B865" t="s">
        <v>2624</v>
      </c>
      <c r="C865" t="s">
        <v>2625</v>
      </c>
      <c r="D865" t="s">
        <v>2626</v>
      </c>
      <c r="E865" t="s">
        <v>2626</v>
      </c>
      <c r="H865" t="s">
        <v>2624</v>
      </c>
    </row>
    <row r="866" spans="2:8" x14ac:dyDescent="0.25">
      <c r="B866" t="s">
        <v>2627</v>
      </c>
      <c r="C866" t="s">
        <v>2625</v>
      </c>
      <c r="D866" t="s">
        <v>2628</v>
      </c>
      <c r="E866" t="s">
        <v>2628</v>
      </c>
      <c r="H866" t="s">
        <v>2627</v>
      </c>
    </row>
    <row r="867" spans="2:8" x14ac:dyDescent="0.25">
      <c r="B867" t="s">
        <v>2629</v>
      </c>
      <c r="C867" t="s">
        <v>2625</v>
      </c>
      <c r="D867" t="s">
        <v>2630</v>
      </c>
      <c r="E867" t="s">
        <v>2630</v>
      </c>
      <c r="H867" t="s">
        <v>2629</v>
      </c>
    </row>
    <row r="868" spans="2:8" x14ac:dyDescent="0.25">
      <c r="B868" t="s">
        <v>2631</v>
      </c>
      <c r="C868" t="s">
        <v>2625</v>
      </c>
      <c r="D868" t="s">
        <v>2632</v>
      </c>
      <c r="E868" t="s">
        <v>2632</v>
      </c>
      <c r="H868" t="s">
        <v>2631</v>
      </c>
    </row>
    <row r="869" spans="2:8" x14ac:dyDescent="0.25">
      <c r="B869" t="s">
        <v>2633</v>
      </c>
      <c r="C869" t="s">
        <v>2625</v>
      </c>
      <c r="D869" t="s">
        <v>2634</v>
      </c>
      <c r="E869" t="s">
        <v>2634</v>
      </c>
      <c r="H869" t="s">
        <v>2633</v>
      </c>
    </row>
    <row r="870" spans="2:8" x14ac:dyDescent="0.25">
      <c r="B870" t="s">
        <v>2635</v>
      </c>
      <c r="C870" t="s">
        <v>2625</v>
      </c>
      <c r="D870" t="s">
        <v>2636</v>
      </c>
      <c r="E870" t="s">
        <v>2636</v>
      </c>
      <c r="H870" t="s">
        <v>2635</v>
      </c>
    </row>
    <row r="871" spans="2:8" x14ac:dyDescent="0.25">
      <c r="B871" t="s">
        <v>2637</v>
      </c>
      <c r="C871" t="s">
        <v>2638</v>
      </c>
      <c r="D871" t="s">
        <v>2639</v>
      </c>
      <c r="E871" t="s">
        <v>2639</v>
      </c>
      <c r="H871" t="s">
        <v>2637</v>
      </c>
    </row>
    <row r="872" spans="2:8" x14ac:dyDescent="0.25">
      <c r="B872" t="s">
        <v>2640</v>
      </c>
      <c r="C872" t="s">
        <v>2638</v>
      </c>
      <c r="D872" t="s">
        <v>2641</v>
      </c>
      <c r="E872" t="s">
        <v>2641</v>
      </c>
      <c r="H872" t="s">
        <v>2640</v>
      </c>
    </row>
    <row r="873" spans="2:8" x14ac:dyDescent="0.25">
      <c r="B873" t="s">
        <v>2642</v>
      </c>
      <c r="C873" t="s">
        <v>2638</v>
      </c>
      <c r="D873" t="s">
        <v>2643</v>
      </c>
      <c r="E873" t="s">
        <v>2643</v>
      </c>
      <c r="H873" t="s">
        <v>2642</v>
      </c>
    </row>
    <row r="874" spans="2:8" x14ac:dyDescent="0.25">
      <c r="B874" t="s">
        <v>2644</v>
      </c>
      <c r="C874" t="s">
        <v>2638</v>
      </c>
      <c r="D874" t="s">
        <v>2645</v>
      </c>
      <c r="E874" t="s">
        <v>2645</v>
      </c>
      <c r="H874" t="s">
        <v>2644</v>
      </c>
    </row>
    <row r="875" spans="2:8" x14ac:dyDescent="0.25">
      <c r="B875" t="s">
        <v>2646</v>
      </c>
      <c r="C875" t="s">
        <v>2638</v>
      </c>
      <c r="D875" t="s">
        <v>2647</v>
      </c>
      <c r="E875" t="s">
        <v>2647</v>
      </c>
      <c r="H875" t="s">
        <v>2646</v>
      </c>
    </row>
    <row r="876" spans="2:8" x14ac:dyDescent="0.25">
      <c r="B876" t="s">
        <v>2648</v>
      </c>
      <c r="C876" t="s">
        <v>2638</v>
      </c>
      <c r="D876" t="s">
        <v>2649</v>
      </c>
      <c r="E876" t="s">
        <v>2649</v>
      </c>
      <c r="H876" t="s">
        <v>2648</v>
      </c>
    </row>
    <row r="877" spans="2:8" x14ac:dyDescent="0.25">
      <c r="B877" t="s">
        <v>2650</v>
      </c>
      <c r="C877" t="s">
        <v>2638</v>
      </c>
      <c r="D877" t="s">
        <v>2651</v>
      </c>
      <c r="E877" t="s">
        <v>2651</v>
      </c>
      <c r="H877" t="s">
        <v>2650</v>
      </c>
    </row>
    <row r="878" spans="2:8" x14ac:dyDescent="0.25">
      <c r="B878" t="s">
        <v>2652</v>
      </c>
      <c r="C878" t="s">
        <v>2638</v>
      </c>
      <c r="D878" t="s">
        <v>2653</v>
      </c>
      <c r="E878" t="s">
        <v>2653</v>
      </c>
      <c r="H878" t="s">
        <v>2652</v>
      </c>
    </row>
    <row r="879" spans="2:8" x14ac:dyDescent="0.25">
      <c r="B879" t="s">
        <v>2654</v>
      </c>
      <c r="C879" t="s">
        <v>2638</v>
      </c>
      <c r="D879" t="s">
        <v>2655</v>
      </c>
      <c r="E879" t="s">
        <v>2655</v>
      </c>
      <c r="H879" t="s">
        <v>2654</v>
      </c>
    </row>
    <row r="880" spans="2:8" x14ac:dyDescent="0.25">
      <c r="B880" t="s">
        <v>2656</v>
      </c>
      <c r="C880" t="s">
        <v>2657</v>
      </c>
      <c r="D880" t="s">
        <v>2658</v>
      </c>
      <c r="E880" t="s">
        <v>2658</v>
      </c>
      <c r="H880" t="s">
        <v>2656</v>
      </c>
    </row>
    <row r="881" spans="2:8" x14ac:dyDescent="0.25">
      <c r="B881" t="s">
        <v>2659</v>
      </c>
      <c r="C881" t="s">
        <v>2657</v>
      </c>
      <c r="D881" t="s">
        <v>2660</v>
      </c>
      <c r="E881" t="s">
        <v>2660</v>
      </c>
      <c r="H881" t="s">
        <v>2659</v>
      </c>
    </row>
    <row r="882" spans="2:8" x14ac:dyDescent="0.25">
      <c r="B882" t="s">
        <v>2661</v>
      </c>
      <c r="C882" t="s">
        <v>2657</v>
      </c>
      <c r="D882" t="s">
        <v>2662</v>
      </c>
      <c r="E882" t="s">
        <v>2662</v>
      </c>
      <c r="H882" t="s">
        <v>2661</v>
      </c>
    </row>
    <row r="883" spans="2:8" x14ac:dyDescent="0.25">
      <c r="B883" t="s">
        <v>2663</v>
      </c>
      <c r="C883" t="s">
        <v>2664</v>
      </c>
      <c r="D883" t="s">
        <v>2665</v>
      </c>
      <c r="E883" t="s">
        <v>2665</v>
      </c>
      <c r="H883" t="s">
        <v>2663</v>
      </c>
    </row>
    <row r="884" spans="2:8" x14ac:dyDescent="0.25">
      <c r="B884" t="s">
        <v>2666</v>
      </c>
      <c r="C884" t="s">
        <v>2664</v>
      </c>
      <c r="D884" t="s">
        <v>2667</v>
      </c>
      <c r="E884" t="s">
        <v>2667</v>
      </c>
      <c r="H884" t="s">
        <v>2666</v>
      </c>
    </row>
    <row r="885" spans="2:8" x14ac:dyDescent="0.25">
      <c r="B885" t="s">
        <v>2668</v>
      </c>
      <c r="C885" t="s">
        <v>2664</v>
      </c>
      <c r="D885" t="s">
        <v>2669</v>
      </c>
      <c r="E885" t="s">
        <v>2669</v>
      </c>
      <c r="H885" t="s">
        <v>2668</v>
      </c>
    </row>
    <row r="886" spans="2:8" x14ac:dyDescent="0.25">
      <c r="B886" t="s">
        <v>2670</v>
      </c>
      <c r="C886" t="s">
        <v>2671</v>
      </c>
      <c r="D886" t="s">
        <v>2672</v>
      </c>
      <c r="E886" t="s">
        <v>2672</v>
      </c>
      <c r="H886" t="s">
        <v>2670</v>
      </c>
    </row>
    <row r="887" spans="2:8" x14ac:dyDescent="0.25">
      <c r="B887" t="s">
        <v>2673</v>
      </c>
      <c r="C887" t="s">
        <v>1274</v>
      </c>
      <c r="D887" t="s">
        <v>2674</v>
      </c>
      <c r="E887" t="s">
        <v>2674</v>
      </c>
      <c r="H887" t="s">
        <v>2673</v>
      </c>
    </row>
    <row r="888" spans="2:8" x14ac:dyDescent="0.25">
      <c r="B888" t="s">
        <v>2675</v>
      </c>
      <c r="C888" t="s">
        <v>2671</v>
      </c>
      <c r="D888" t="s">
        <v>2676</v>
      </c>
      <c r="E888" t="s">
        <v>2676</v>
      </c>
      <c r="H888" t="s">
        <v>2675</v>
      </c>
    </row>
    <row r="889" spans="2:8" x14ac:dyDescent="0.25">
      <c r="B889" t="s">
        <v>2677</v>
      </c>
      <c r="C889" t="s">
        <v>2678</v>
      </c>
      <c r="D889" t="s">
        <v>2679</v>
      </c>
      <c r="E889" t="s">
        <v>2679</v>
      </c>
      <c r="H889" t="s">
        <v>2677</v>
      </c>
    </row>
    <row r="890" spans="2:8" x14ac:dyDescent="0.25">
      <c r="B890" t="s">
        <v>2680</v>
      </c>
      <c r="C890" t="s">
        <v>1274</v>
      </c>
      <c r="D890" t="s">
        <v>2681</v>
      </c>
      <c r="E890" t="s">
        <v>2681</v>
      </c>
      <c r="H890" t="s">
        <v>2680</v>
      </c>
    </row>
    <row r="891" spans="2:8" x14ac:dyDescent="0.25">
      <c r="B891" t="s">
        <v>2682</v>
      </c>
      <c r="C891" t="s">
        <v>2678</v>
      </c>
      <c r="D891" t="s">
        <v>2683</v>
      </c>
      <c r="E891" t="s">
        <v>2683</v>
      </c>
      <c r="H891" t="s">
        <v>2682</v>
      </c>
    </row>
    <row r="892" spans="2:8" x14ac:dyDescent="0.25">
      <c r="B892" t="s">
        <v>2684</v>
      </c>
      <c r="C892" t="s">
        <v>2685</v>
      </c>
      <c r="D892" t="s">
        <v>2686</v>
      </c>
      <c r="E892" t="s">
        <v>2686</v>
      </c>
      <c r="H892" t="s">
        <v>2684</v>
      </c>
    </row>
    <row r="893" spans="2:8" x14ac:dyDescent="0.25">
      <c r="B893" t="s">
        <v>2687</v>
      </c>
      <c r="C893" t="s">
        <v>1274</v>
      </c>
      <c r="D893" t="s">
        <v>2688</v>
      </c>
      <c r="E893" t="s">
        <v>2688</v>
      </c>
      <c r="H893" t="s">
        <v>2687</v>
      </c>
    </row>
    <row r="894" spans="2:8" x14ac:dyDescent="0.25">
      <c r="B894" t="s">
        <v>2689</v>
      </c>
      <c r="C894" t="s">
        <v>2685</v>
      </c>
      <c r="D894" t="s">
        <v>2690</v>
      </c>
      <c r="E894" t="s">
        <v>2690</v>
      </c>
      <c r="H894" t="s">
        <v>2689</v>
      </c>
    </row>
    <row r="895" spans="2:8" x14ac:dyDescent="0.25">
      <c r="B895" t="s">
        <v>2691</v>
      </c>
      <c r="C895" t="s">
        <v>2692</v>
      </c>
      <c r="D895" t="s">
        <v>2693</v>
      </c>
      <c r="E895" t="s">
        <v>2693</v>
      </c>
      <c r="H895" t="s">
        <v>2691</v>
      </c>
    </row>
    <row r="896" spans="2:8" x14ac:dyDescent="0.25">
      <c r="B896" t="s">
        <v>2694</v>
      </c>
      <c r="C896" t="s">
        <v>2692</v>
      </c>
      <c r="D896" t="s">
        <v>2695</v>
      </c>
      <c r="E896" t="s">
        <v>2695</v>
      </c>
      <c r="H896" t="s">
        <v>2694</v>
      </c>
    </row>
    <row r="897" spans="2:8" x14ac:dyDescent="0.25">
      <c r="B897" t="s">
        <v>2696</v>
      </c>
      <c r="C897" t="s">
        <v>2697</v>
      </c>
      <c r="D897" t="s">
        <v>2698</v>
      </c>
      <c r="E897" t="s">
        <v>2698</v>
      </c>
      <c r="H897" t="s">
        <v>2696</v>
      </c>
    </row>
    <row r="898" spans="2:8" x14ac:dyDescent="0.25">
      <c r="B898" t="s">
        <v>2699</v>
      </c>
      <c r="C898" t="s">
        <v>2697</v>
      </c>
      <c r="D898" t="s">
        <v>2700</v>
      </c>
      <c r="E898" t="s">
        <v>2700</v>
      </c>
      <c r="H898" t="s">
        <v>2699</v>
      </c>
    </row>
    <row r="899" spans="2:8" x14ac:dyDescent="0.25">
      <c r="B899" t="s">
        <v>2701</v>
      </c>
      <c r="C899" t="s">
        <v>2702</v>
      </c>
      <c r="D899" t="s">
        <v>2703</v>
      </c>
      <c r="E899" t="s">
        <v>2703</v>
      </c>
      <c r="H899" t="s">
        <v>2701</v>
      </c>
    </row>
    <row r="900" spans="2:8" x14ac:dyDescent="0.25">
      <c r="B900" t="s">
        <v>2704</v>
      </c>
      <c r="C900" t="s">
        <v>2702</v>
      </c>
      <c r="D900" t="s">
        <v>2705</v>
      </c>
      <c r="E900" t="s">
        <v>2705</v>
      </c>
      <c r="H900" t="s">
        <v>2704</v>
      </c>
    </row>
    <row r="901" spans="2:8" x14ac:dyDescent="0.25">
      <c r="B901" t="s">
        <v>2706</v>
      </c>
      <c r="C901" t="s">
        <v>2707</v>
      </c>
      <c r="D901" t="s">
        <v>2708</v>
      </c>
      <c r="E901" t="s">
        <v>2708</v>
      </c>
      <c r="H901" t="s">
        <v>2706</v>
      </c>
    </row>
    <row r="902" spans="2:8" x14ac:dyDescent="0.25">
      <c r="B902" t="s">
        <v>2709</v>
      </c>
      <c r="C902" t="s">
        <v>2707</v>
      </c>
      <c r="D902" t="s">
        <v>2710</v>
      </c>
      <c r="E902" t="s">
        <v>2710</v>
      </c>
      <c r="H902" t="s">
        <v>2709</v>
      </c>
    </row>
    <row r="903" spans="2:8" x14ac:dyDescent="0.25">
      <c r="B903" t="s">
        <v>2711</v>
      </c>
      <c r="C903" t="s">
        <v>2712</v>
      </c>
      <c r="D903" t="s">
        <v>2713</v>
      </c>
      <c r="E903" t="s">
        <v>2713</v>
      </c>
      <c r="H903" t="s">
        <v>2711</v>
      </c>
    </row>
    <row r="904" spans="2:8" x14ac:dyDescent="0.25">
      <c r="B904" t="s">
        <v>2714</v>
      </c>
      <c r="C904" t="s">
        <v>2712</v>
      </c>
      <c r="D904" t="s">
        <v>2715</v>
      </c>
      <c r="E904" t="s">
        <v>2715</v>
      </c>
      <c r="H904" t="s">
        <v>2714</v>
      </c>
    </row>
    <row r="905" spans="2:8" x14ac:dyDescent="0.25">
      <c r="B905" t="s">
        <v>2716</v>
      </c>
      <c r="C905" t="s">
        <v>2717</v>
      </c>
      <c r="D905" t="s">
        <v>2718</v>
      </c>
      <c r="E905" t="s">
        <v>2718</v>
      </c>
      <c r="H905" t="s">
        <v>2716</v>
      </c>
    </row>
    <row r="906" spans="2:8" x14ac:dyDescent="0.25">
      <c r="B906" t="s">
        <v>2719</v>
      </c>
      <c r="C906" t="s">
        <v>2717</v>
      </c>
      <c r="D906" t="s">
        <v>2720</v>
      </c>
      <c r="E906" t="s">
        <v>2720</v>
      </c>
      <c r="H906" t="s">
        <v>2719</v>
      </c>
    </row>
    <row r="907" spans="2:8" x14ac:dyDescent="0.25">
      <c r="B907" t="s">
        <v>2721</v>
      </c>
      <c r="C907" t="s">
        <v>2722</v>
      </c>
      <c r="D907" t="s">
        <v>2723</v>
      </c>
      <c r="E907" t="s">
        <v>2723</v>
      </c>
      <c r="H907" t="s">
        <v>2721</v>
      </c>
    </row>
    <row r="908" spans="2:8" x14ac:dyDescent="0.25">
      <c r="B908" t="s">
        <v>2724</v>
      </c>
      <c r="C908" t="s">
        <v>2722</v>
      </c>
      <c r="D908" t="s">
        <v>2725</v>
      </c>
      <c r="E908" t="s">
        <v>2725</v>
      </c>
      <c r="H908" t="s">
        <v>2724</v>
      </c>
    </row>
    <row r="909" spans="2:8" x14ac:dyDescent="0.25">
      <c r="B909" t="s">
        <v>2726</v>
      </c>
      <c r="C909" t="s">
        <v>2727</v>
      </c>
      <c r="D909" t="s">
        <v>2728</v>
      </c>
      <c r="E909" t="s">
        <v>2728</v>
      </c>
      <c r="H909" t="s">
        <v>2726</v>
      </c>
    </row>
    <row r="910" spans="2:8" x14ac:dyDescent="0.25">
      <c r="B910" t="s">
        <v>2729</v>
      </c>
      <c r="C910" t="s">
        <v>2730</v>
      </c>
      <c r="D910" t="s">
        <v>2731</v>
      </c>
      <c r="E910" t="s">
        <v>2731</v>
      </c>
      <c r="H910" t="s">
        <v>2729</v>
      </c>
    </row>
    <row r="911" spans="2:8" x14ac:dyDescent="0.25">
      <c r="B911" t="s">
        <v>2732</v>
      </c>
      <c r="C911" t="s">
        <v>2727</v>
      </c>
      <c r="D911" t="s">
        <v>2733</v>
      </c>
      <c r="E911" t="s">
        <v>2733</v>
      </c>
      <c r="H911" t="s">
        <v>2732</v>
      </c>
    </row>
    <row r="912" spans="2:8" x14ac:dyDescent="0.25">
      <c r="B912" t="s">
        <v>2734</v>
      </c>
      <c r="C912" t="s">
        <v>2730</v>
      </c>
      <c r="D912" t="s">
        <v>2735</v>
      </c>
      <c r="E912" t="s">
        <v>2735</v>
      </c>
      <c r="H912" t="s">
        <v>2734</v>
      </c>
    </row>
    <row r="913" spans="2:8" x14ac:dyDescent="0.25">
      <c r="B913" t="s">
        <v>2736</v>
      </c>
      <c r="C913" t="s">
        <v>2737</v>
      </c>
      <c r="D913" t="s">
        <v>2738</v>
      </c>
      <c r="E913" t="s">
        <v>2738</v>
      </c>
      <c r="H913" t="s">
        <v>2736</v>
      </c>
    </row>
    <row r="914" spans="2:8" x14ac:dyDescent="0.25">
      <c r="B914" t="s">
        <v>2739</v>
      </c>
      <c r="C914" t="s">
        <v>2737</v>
      </c>
      <c r="D914" t="s">
        <v>2740</v>
      </c>
      <c r="E914" t="s">
        <v>2740</v>
      </c>
      <c r="H914" t="s">
        <v>2739</v>
      </c>
    </row>
    <row r="915" spans="2:8" x14ac:dyDescent="0.25">
      <c r="B915" t="s">
        <v>2741</v>
      </c>
      <c r="C915" t="s">
        <v>2737</v>
      </c>
      <c r="D915" t="s">
        <v>2742</v>
      </c>
      <c r="E915" t="s">
        <v>2742</v>
      </c>
      <c r="H915" t="s">
        <v>2741</v>
      </c>
    </row>
    <row r="916" spans="2:8" x14ac:dyDescent="0.25">
      <c r="B916" t="s">
        <v>2743</v>
      </c>
      <c r="C916" t="s">
        <v>2744</v>
      </c>
      <c r="D916" t="s">
        <v>2745</v>
      </c>
      <c r="E916" t="s">
        <v>2745</v>
      </c>
      <c r="H916" t="s">
        <v>2743</v>
      </c>
    </row>
    <row r="917" spans="2:8" x14ac:dyDescent="0.25">
      <c r="B917" t="s">
        <v>2746</v>
      </c>
      <c r="C917" t="s">
        <v>2744</v>
      </c>
      <c r="D917" t="s">
        <v>2747</v>
      </c>
      <c r="E917" t="s">
        <v>2747</v>
      </c>
      <c r="H917" t="s">
        <v>2746</v>
      </c>
    </row>
    <row r="918" spans="2:8" x14ac:dyDescent="0.25">
      <c r="B918" t="s">
        <v>2748</v>
      </c>
      <c r="C918" t="s">
        <v>2744</v>
      </c>
      <c r="D918" t="s">
        <v>2749</v>
      </c>
      <c r="E918" t="s">
        <v>2749</v>
      </c>
      <c r="H918" t="s">
        <v>2748</v>
      </c>
    </row>
    <row r="919" spans="2:8" x14ac:dyDescent="0.25">
      <c r="B919" t="s">
        <v>2750</v>
      </c>
      <c r="C919" t="s">
        <v>2751</v>
      </c>
      <c r="D919" t="s">
        <v>2752</v>
      </c>
      <c r="E919" t="s">
        <v>2752</v>
      </c>
      <c r="H919" t="s">
        <v>2750</v>
      </c>
    </row>
    <row r="920" spans="2:8" x14ac:dyDescent="0.25">
      <c r="B920" t="s">
        <v>2753</v>
      </c>
      <c r="C920" t="s">
        <v>2751</v>
      </c>
      <c r="D920" t="s">
        <v>2754</v>
      </c>
      <c r="E920" t="s">
        <v>2754</v>
      </c>
      <c r="H920" t="s">
        <v>2753</v>
      </c>
    </row>
    <row r="921" spans="2:8" x14ac:dyDescent="0.25">
      <c r="B921" t="s">
        <v>2755</v>
      </c>
      <c r="C921" t="s">
        <v>2751</v>
      </c>
      <c r="D921" t="s">
        <v>2756</v>
      </c>
      <c r="E921" t="s">
        <v>2756</v>
      </c>
      <c r="H921" t="s">
        <v>2755</v>
      </c>
    </row>
    <row r="922" spans="2:8" x14ac:dyDescent="0.25">
      <c r="B922" t="s">
        <v>2757</v>
      </c>
      <c r="C922" t="s">
        <v>2758</v>
      </c>
      <c r="D922" t="s">
        <v>2759</v>
      </c>
      <c r="E922" t="s">
        <v>2759</v>
      </c>
      <c r="H922" t="s">
        <v>2757</v>
      </c>
    </row>
    <row r="923" spans="2:8" x14ac:dyDescent="0.25">
      <c r="B923" t="s">
        <v>2760</v>
      </c>
      <c r="C923" t="s">
        <v>2758</v>
      </c>
      <c r="D923" t="s">
        <v>2761</v>
      </c>
      <c r="E923" t="s">
        <v>2761</v>
      </c>
      <c r="H923" t="s">
        <v>2760</v>
      </c>
    </row>
    <row r="924" spans="2:8" x14ac:dyDescent="0.25">
      <c r="B924" t="s">
        <v>2762</v>
      </c>
      <c r="C924" t="s">
        <v>2763</v>
      </c>
      <c r="D924" t="s">
        <v>2764</v>
      </c>
      <c r="E924" t="s">
        <v>2764</v>
      </c>
      <c r="H924" t="s">
        <v>2762</v>
      </c>
    </row>
    <row r="925" spans="2:8" x14ac:dyDescent="0.25">
      <c r="B925" t="s">
        <v>2765</v>
      </c>
      <c r="C925" t="s">
        <v>2763</v>
      </c>
      <c r="D925" t="s">
        <v>2766</v>
      </c>
      <c r="E925" t="s">
        <v>2766</v>
      </c>
      <c r="H925" t="s">
        <v>2765</v>
      </c>
    </row>
    <row r="926" spans="2:8" x14ac:dyDescent="0.25">
      <c r="B926" t="s">
        <v>2767</v>
      </c>
      <c r="C926" t="s">
        <v>2768</v>
      </c>
      <c r="D926" t="s">
        <v>2769</v>
      </c>
      <c r="E926" t="s">
        <v>2769</v>
      </c>
      <c r="H926" t="s">
        <v>2767</v>
      </c>
    </row>
    <row r="927" spans="2:8" x14ac:dyDescent="0.25">
      <c r="B927" t="s">
        <v>2770</v>
      </c>
      <c r="C927" t="s">
        <v>2768</v>
      </c>
      <c r="D927" t="s">
        <v>2771</v>
      </c>
      <c r="E927" t="s">
        <v>2771</v>
      </c>
      <c r="H927" t="s">
        <v>2770</v>
      </c>
    </row>
    <row r="928" spans="2:8" x14ac:dyDescent="0.25">
      <c r="B928" t="s">
        <v>2772</v>
      </c>
      <c r="C928" t="s">
        <v>2773</v>
      </c>
      <c r="D928" t="s">
        <v>2774</v>
      </c>
      <c r="E928" t="s">
        <v>2774</v>
      </c>
      <c r="H928" t="s">
        <v>2772</v>
      </c>
    </row>
    <row r="929" spans="2:8" x14ac:dyDescent="0.25">
      <c r="B929" t="s">
        <v>2775</v>
      </c>
      <c r="C929" t="s">
        <v>2773</v>
      </c>
      <c r="D929" t="s">
        <v>2776</v>
      </c>
      <c r="E929" t="s">
        <v>2776</v>
      </c>
      <c r="H929" t="s">
        <v>2775</v>
      </c>
    </row>
    <row r="930" spans="2:8" x14ac:dyDescent="0.25">
      <c r="B930" t="s">
        <v>2777</v>
      </c>
      <c r="C930" t="s">
        <v>2778</v>
      </c>
      <c r="D930" t="s">
        <v>2779</v>
      </c>
      <c r="E930" t="s">
        <v>2779</v>
      </c>
      <c r="H930" t="s">
        <v>2777</v>
      </c>
    </row>
    <row r="931" spans="2:8" x14ac:dyDescent="0.25">
      <c r="B931" t="s">
        <v>2780</v>
      </c>
      <c r="C931" t="s">
        <v>2778</v>
      </c>
      <c r="D931" t="s">
        <v>2781</v>
      </c>
      <c r="E931" t="s">
        <v>2781</v>
      </c>
      <c r="H931" t="s">
        <v>2780</v>
      </c>
    </row>
    <row r="932" spans="2:8" x14ac:dyDescent="0.25">
      <c r="B932" t="s">
        <v>2782</v>
      </c>
      <c r="C932" t="s">
        <v>2783</v>
      </c>
      <c r="D932" t="s">
        <v>2784</v>
      </c>
      <c r="E932" t="s">
        <v>2784</v>
      </c>
      <c r="H932" t="s">
        <v>2782</v>
      </c>
    </row>
    <row r="933" spans="2:8" x14ac:dyDescent="0.25">
      <c r="B933" t="s">
        <v>2785</v>
      </c>
      <c r="C933" t="s">
        <v>2783</v>
      </c>
      <c r="D933" t="s">
        <v>2786</v>
      </c>
      <c r="E933" t="s">
        <v>2786</v>
      </c>
      <c r="H933" t="s">
        <v>2785</v>
      </c>
    </row>
    <row r="934" spans="2:8" x14ac:dyDescent="0.25">
      <c r="B934" t="s">
        <v>2787</v>
      </c>
      <c r="C934" t="s">
        <v>2788</v>
      </c>
      <c r="D934" t="s">
        <v>2789</v>
      </c>
      <c r="E934" t="s">
        <v>2789</v>
      </c>
      <c r="H934" t="s">
        <v>2787</v>
      </c>
    </row>
    <row r="935" spans="2:8" x14ac:dyDescent="0.25">
      <c r="B935" t="s">
        <v>2790</v>
      </c>
      <c r="C935" t="s">
        <v>2791</v>
      </c>
      <c r="D935" t="s">
        <v>2792</v>
      </c>
      <c r="E935" t="s">
        <v>2792</v>
      </c>
      <c r="H935" t="s">
        <v>2790</v>
      </c>
    </row>
    <row r="936" spans="2:8" x14ac:dyDescent="0.25">
      <c r="B936" t="s">
        <v>2793</v>
      </c>
      <c r="C936" t="s">
        <v>2794</v>
      </c>
      <c r="D936" t="s">
        <v>2795</v>
      </c>
      <c r="E936" t="s">
        <v>2795</v>
      </c>
      <c r="H936" t="s">
        <v>2793</v>
      </c>
    </row>
    <row r="937" spans="2:8" x14ac:dyDescent="0.25">
      <c r="B937" t="s">
        <v>2796</v>
      </c>
      <c r="C937" t="s">
        <v>2794</v>
      </c>
      <c r="D937" t="s">
        <v>2797</v>
      </c>
      <c r="E937" t="s">
        <v>2797</v>
      </c>
      <c r="H937" t="s">
        <v>2796</v>
      </c>
    </row>
    <row r="938" spans="2:8" x14ac:dyDescent="0.25">
      <c r="B938" t="s">
        <v>2798</v>
      </c>
      <c r="C938" t="s">
        <v>2799</v>
      </c>
      <c r="D938" t="s">
        <v>2800</v>
      </c>
      <c r="E938" t="s">
        <v>2800</v>
      </c>
      <c r="H938" t="s">
        <v>2798</v>
      </c>
    </row>
    <row r="939" spans="2:8" x14ac:dyDescent="0.25">
      <c r="B939" t="s">
        <v>2801</v>
      </c>
      <c r="C939" t="s">
        <v>2799</v>
      </c>
      <c r="D939" t="s">
        <v>2802</v>
      </c>
      <c r="E939" t="s">
        <v>2802</v>
      </c>
      <c r="H939" t="s">
        <v>2801</v>
      </c>
    </row>
    <row r="940" spans="2:8" x14ac:dyDescent="0.25">
      <c r="B940" t="s">
        <v>2803</v>
      </c>
      <c r="C940" t="s">
        <v>2799</v>
      </c>
      <c r="D940" t="s">
        <v>2804</v>
      </c>
      <c r="E940" t="s">
        <v>2804</v>
      </c>
      <c r="H940" t="s">
        <v>2803</v>
      </c>
    </row>
    <row r="941" spans="2:8" x14ac:dyDescent="0.25">
      <c r="B941" t="s">
        <v>2805</v>
      </c>
      <c r="C941" t="s">
        <v>2799</v>
      </c>
      <c r="D941" t="s">
        <v>2806</v>
      </c>
      <c r="E941" t="s">
        <v>2806</v>
      </c>
      <c r="H941" t="s">
        <v>2805</v>
      </c>
    </row>
    <row r="942" spans="2:8" x14ac:dyDescent="0.25">
      <c r="B942" t="s">
        <v>2807</v>
      </c>
      <c r="C942" t="s">
        <v>2808</v>
      </c>
      <c r="D942" t="s">
        <v>2809</v>
      </c>
      <c r="E942" t="s">
        <v>2809</v>
      </c>
      <c r="H942" t="s">
        <v>2807</v>
      </c>
    </row>
    <row r="943" spans="2:8" x14ac:dyDescent="0.25">
      <c r="B943" t="s">
        <v>2810</v>
      </c>
      <c r="C943" t="s">
        <v>2808</v>
      </c>
      <c r="D943" t="s">
        <v>2811</v>
      </c>
      <c r="E943" t="s">
        <v>2811</v>
      </c>
      <c r="H943" t="s">
        <v>2810</v>
      </c>
    </row>
    <row r="944" spans="2:8" x14ac:dyDescent="0.25">
      <c r="B944" t="s">
        <v>2812</v>
      </c>
      <c r="C944" t="s">
        <v>2813</v>
      </c>
      <c r="D944" t="s">
        <v>2814</v>
      </c>
      <c r="E944" t="s">
        <v>2814</v>
      </c>
      <c r="H944" t="s">
        <v>2812</v>
      </c>
    </row>
    <row r="945" spans="2:8" x14ac:dyDescent="0.25">
      <c r="B945" t="s">
        <v>2815</v>
      </c>
      <c r="C945" t="s">
        <v>2813</v>
      </c>
      <c r="D945" t="s">
        <v>2816</v>
      </c>
      <c r="E945" t="s">
        <v>2816</v>
      </c>
      <c r="H945" t="s">
        <v>2815</v>
      </c>
    </row>
    <row r="946" spans="2:8" x14ac:dyDescent="0.25">
      <c r="B946" t="s">
        <v>2817</v>
      </c>
      <c r="C946" t="s">
        <v>2818</v>
      </c>
      <c r="D946" t="s">
        <v>2819</v>
      </c>
      <c r="E946" t="s">
        <v>2819</v>
      </c>
      <c r="H946" t="s">
        <v>2817</v>
      </c>
    </row>
    <row r="947" spans="2:8" x14ac:dyDescent="0.25">
      <c r="B947" t="s">
        <v>2820</v>
      </c>
      <c r="C947" t="s">
        <v>2818</v>
      </c>
      <c r="D947" t="s">
        <v>2821</v>
      </c>
      <c r="E947" t="s">
        <v>2821</v>
      </c>
      <c r="H947" t="s">
        <v>2820</v>
      </c>
    </row>
    <row r="948" spans="2:8" x14ac:dyDescent="0.25">
      <c r="B948" t="s">
        <v>2822</v>
      </c>
      <c r="C948" t="s">
        <v>2823</v>
      </c>
      <c r="D948" t="s">
        <v>2824</v>
      </c>
      <c r="E948" t="s">
        <v>2824</v>
      </c>
      <c r="H948" t="s">
        <v>2822</v>
      </c>
    </row>
    <row r="949" spans="2:8" x14ac:dyDescent="0.25">
      <c r="B949" t="s">
        <v>2825</v>
      </c>
      <c r="C949" t="s">
        <v>2823</v>
      </c>
      <c r="D949" t="s">
        <v>2826</v>
      </c>
      <c r="E949" t="s">
        <v>2826</v>
      </c>
      <c r="H949" t="s">
        <v>2825</v>
      </c>
    </row>
    <row r="950" spans="2:8" x14ac:dyDescent="0.25">
      <c r="B950" t="s">
        <v>2827</v>
      </c>
      <c r="C950" t="s">
        <v>2823</v>
      </c>
      <c r="D950" t="s">
        <v>2828</v>
      </c>
      <c r="E950" t="s">
        <v>2828</v>
      </c>
      <c r="H950" t="s">
        <v>2827</v>
      </c>
    </row>
    <row r="951" spans="2:8" x14ac:dyDescent="0.25">
      <c r="B951" t="s">
        <v>2829</v>
      </c>
      <c r="C951" t="s">
        <v>2830</v>
      </c>
      <c r="D951" t="s">
        <v>2831</v>
      </c>
      <c r="E951" t="s">
        <v>2831</v>
      </c>
      <c r="H951" t="s">
        <v>2829</v>
      </c>
    </row>
    <row r="952" spans="2:8" x14ac:dyDescent="0.25">
      <c r="B952" t="s">
        <v>2832</v>
      </c>
      <c r="C952" t="s">
        <v>2830</v>
      </c>
      <c r="D952" t="s">
        <v>2833</v>
      </c>
      <c r="E952" t="s">
        <v>2833</v>
      </c>
      <c r="H952" t="s">
        <v>2832</v>
      </c>
    </row>
    <row r="953" spans="2:8" x14ac:dyDescent="0.25">
      <c r="B953" t="s">
        <v>2834</v>
      </c>
      <c r="C953" t="s">
        <v>2830</v>
      </c>
      <c r="D953" t="s">
        <v>2835</v>
      </c>
      <c r="E953" t="s">
        <v>2835</v>
      </c>
      <c r="H953" t="s">
        <v>2834</v>
      </c>
    </row>
    <row r="954" spans="2:8" x14ac:dyDescent="0.25">
      <c r="B954" t="s">
        <v>2836</v>
      </c>
      <c r="C954" t="s">
        <v>2837</v>
      </c>
      <c r="D954" t="s">
        <v>2838</v>
      </c>
      <c r="E954" t="s">
        <v>2838</v>
      </c>
      <c r="H954" t="s">
        <v>2836</v>
      </c>
    </row>
    <row r="955" spans="2:8" x14ac:dyDescent="0.25">
      <c r="B955" t="s">
        <v>2839</v>
      </c>
      <c r="C955" t="s">
        <v>2837</v>
      </c>
      <c r="D955" t="s">
        <v>2840</v>
      </c>
      <c r="E955" t="s">
        <v>2840</v>
      </c>
      <c r="H955" t="s">
        <v>2839</v>
      </c>
    </row>
    <row r="956" spans="2:8" x14ac:dyDescent="0.25">
      <c r="B956" t="s">
        <v>2841</v>
      </c>
      <c r="C956" t="s">
        <v>2837</v>
      </c>
      <c r="D956" t="s">
        <v>2842</v>
      </c>
      <c r="E956" t="s">
        <v>2842</v>
      </c>
      <c r="H956" t="s">
        <v>2841</v>
      </c>
    </row>
    <row r="957" spans="2:8" x14ac:dyDescent="0.25">
      <c r="B957" t="s">
        <v>2843</v>
      </c>
      <c r="C957" t="s">
        <v>2844</v>
      </c>
      <c r="D957" t="s">
        <v>2845</v>
      </c>
      <c r="E957" t="s">
        <v>2845</v>
      </c>
      <c r="H957" t="s">
        <v>2843</v>
      </c>
    </row>
    <row r="958" spans="2:8" x14ac:dyDescent="0.25">
      <c r="B958" t="s">
        <v>2846</v>
      </c>
      <c r="C958" t="s">
        <v>2847</v>
      </c>
      <c r="D958" t="s">
        <v>2848</v>
      </c>
      <c r="E958" t="s">
        <v>2848</v>
      </c>
      <c r="H958" t="s">
        <v>2846</v>
      </c>
    </row>
    <row r="959" spans="2:8" x14ac:dyDescent="0.25">
      <c r="B959" t="s">
        <v>2849</v>
      </c>
      <c r="C959" t="s">
        <v>2850</v>
      </c>
      <c r="D959" t="s">
        <v>2851</v>
      </c>
      <c r="E959" t="s">
        <v>2851</v>
      </c>
      <c r="H959" t="s">
        <v>2849</v>
      </c>
    </row>
    <row r="960" spans="2:8" x14ac:dyDescent="0.25">
      <c r="B960" t="s">
        <v>2852</v>
      </c>
      <c r="C960" t="s">
        <v>2853</v>
      </c>
      <c r="D960" t="s">
        <v>2854</v>
      </c>
      <c r="E960" t="s">
        <v>2854</v>
      </c>
      <c r="H960" t="s">
        <v>2852</v>
      </c>
    </row>
    <row r="961" spans="2:8" x14ac:dyDescent="0.25">
      <c r="B961" t="s">
        <v>2855</v>
      </c>
      <c r="C961" t="s">
        <v>2853</v>
      </c>
      <c r="D961" t="s">
        <v>2856</v>
      </c>
      <c r="E961" t="s">
        <v>2856</v>
      </c>
      <c r="H961" t="s">
        <v>2855</v>
      </c>
    </row>
    <row r="962" spans="2:8" x14ac:dyDescent="0.25">
      <c r="B962" t="s">
        <v>2857</v>
      </c>
      <c r="C962" t="s">
        <v>2853</v>
      </c>
      <c r="D962" t="s">
        <v>2858</v>
      </c>
      <c r="E962" t="s">
        <v>2858</v>
      </c>
      <c r="H962" t="s">
        <v>2857</v>
      </c>
    </row>
    <row r="963" spans="2:8" x14ac:dyDescent="0.25">
      <c r="B963" t="s">
        <v>2859</v>
      </c>
      <c r="C963" t="s">
        <v>2860</v>
      </c>
      <c r="D963" t="s">
        <v>2861</v>
      </c>
      <c r="E963" t="s">
        <v>2861</v>
      </c>
      <c r="H963" t="s">
        <v>2859</v>
      </c>
    </row>
    <row r="964" spans="2:8" x14ac:dyDescent="0.25">
      <c r="B964" t="s">
        <v>2862</v>
      </c>
      <c r="C964" t="s">
        <v>2860</v>
      </c>
      <c r="D964" t="s">
        <v>2863</v>
      </c>
      <c r="E964" t="s">
        <v>2863</v>
      </c>
      <c r="H964" t="s">
        <v>2862</v>
      </c>
    </row>
    <row r="965" spans="2:8" x14ac:dyDescent="0.25">
      <c r="B965" t="s">
        <v>2864</v>
      </c>
      <c r="C965" t="s">
        <v>2860</v>
      </c>
      <c r="D965" t="s">
        <v>2865</v>
      </c>
      <c r="E965" t="s">
        <v>2865</v>
      </c>
      <c r="H965" t="s">
        <v>2864</v>
      </c>
    </row>
    <row r="966" spans="2:8" x14ac:dyDescent="0.25">
      <c r="B966" t="s">
        <v>2866</v>
      </c>
      <c r="C966" t="s">
        <v>2867</v>
      </c>
      <c r="D966" t="s">
        <v>2868</v>
      </c>
      <c r="E966" t="s">
        <v>2868</v>
      </c>
      <c r="H966" t="s">
        <v>2866</v>
      </c>
    </row>
    <row r="967" spans="2:8" x14ac:dyDescent="0.25">
      <c r="B967" t="s">
        <v>2869</v>
      </c>
      <c r="C967" t="s">
        <v>2870</v>
      </c>
      <c r="D967" t="s">
        <v>2871</v>
      </c>
      <c r="E967" t="s">
        <v>2871</v>
      </c>
      <c r="H967" t="s">
        <v>2869</v>
      </c>
    </row>
    <row r="968" spans="2:8" x14ac:dyDescent="0.25">
      <c r="B968" t="s">
        <v>2872</v>
      </c>
      <c r="C968" t="s">
        <v>2873</v>
      </c>
      <c r="D968" t="s">
        <v>2874</v>
      </c>
      <c r="E968" t="s">
        <v>2874</v>
      </c>
      <c r="H968" t="s">
        <v>2872</v>
      </c>
    </row>
    <row r="969" spans="2:8" x14ac:dyDescent="0.25">
      <c r="B969" t="s">
        <v>2875</v>
      </c>
      <c r="C969" t="s">
        <v>2876</v>
      </c>
      <c r="D969" t="s">
        <v>2877</v>
      </c>
      <c r="E969" t="s">
        <v>2877</v>
      </c>
      <c r="H969" t="s">
        <v>2875</v>
      </c>
    </row>
    <row r="970" spans="2:8" x14ac:dyDescent="0.25">
      <c r="B970" t="s">
        <v>2878</v>
      </c>
      <c r="C970" t="s">
        <v>2879</v>
      </c>
      <c r="D970" t="s">
        <v>2880</v>
      </c>
      <c r="E970" t="s">
        <v>2880</v>
      </c>
      <c r="H970" t="s">
        <v>2878</v>
      </c>
    </row>
    <row r="971" spans="2:8" x14ac:dyDescent="0.25">
      <c r="B971" t="s">
        <v>2881</v>
      </c>
      <c r="C971" t="s">
        <v>2882</v>
      </c>
      <c r="D971" t="s">
        <v>2883</v>
      </c>
      <c r="E971" t="s">
        <v>2883</v>
      </c>
      <c r="H971" t="s">
        <v>2881</v>
      </c>
    </row>
    <row r="972" spans="2:8" x14ac:dyDescent="0.25">
      <c r="B972" t="s">
        <v>2884</v>
      </c>
      <c r="C972" t="s">
        <v>2885</v>
      </c>
      <c r="D972" t="s">
        <v>2886</v>
      </c>
      <c r="E972" t="s">
        <v>2886</v>
      </c>
      <c r="H972" t="s">
        <v>2884</v>
      </c>
    </row>
    <row r="973" spans="2:8" x14ac:dyDescent="0.25">
      <c r="B973" t="s">
        <v>2887</v>
      </c>
      <c r="C973" t="s">
        <v>2888</v>
      </c>
      <c r="D973" t="s">
        <v>2889</v>
      </c>
      <c r="E973" t="s">
        <v>2889</v>
      </c>
      <c r="H973" t="s">
        <v>2887</v>
      </c>
    </row>
    <row r="974" spans="2:8" x14ac:dyDescent="0.25">
      <c r="B974" t="s">
        <v>2890</v>
      </c>
      <c r="C974" t="s">
        <v>2891</v>
      </c>
      <c r="D974" t="s">
        <v>2892</v>
      </c>
      <c r="E974" t="s">
        <v>2892</v>
      </c>
      <c r="H974" t="s">
        <v>2890</v>
      </c>
    </row>
    <row r="975" spans="2:8" x14ac:dyDescent="0.25">
      <c r="B975" t="s">
        <v>2893</v>
      </c>
      <c r="C975" t="s">
        <v>2894</v>
      </c>
      <c r="D975" t="s">
        <v>2895</v>
      </c>
      <c r="E975" t="s">
        <v>2895</v>
      </c>
      <c r="H975" t="s">
        <v>2893</v>
      </c>
    </row>
    <row r="976" spans="2:8" x14ac:dyDescent="0.25">
      <c r="B976" t="s">
        <v>2896</v>
      </c>
      <c r="C976" t="s">
        <v>2897</v>
      </c>
      <c r="D976" t="s">
        <v>2898</v>
      </c>
      <c r="E976" t="s">
        <v>2898</v>
      </c>
      <c r="H976" t="s">
        <v>2896</v>
      </c>
    </row>
    <row r="977" spans="2:8" x14ac:dyDescent="0.25">
      <c r="B977" t="s">
        <v>2899</v>
      </c>
      <c r="C977" t="s">
        <v>2900</v>
      </c>
      <c r="D977" t="s">
        <v>2901</v>
      </c>
      <c r="E977" t="s">
        <v>2901</v>
      </c>
      <c r="H977" t="s">
        <v>2899</v>
      </c>
    </row>
    <row r="978" spans="2:8" x14ac:dyDescent="0.25">
      <c r="B978" t="s">
        <v>2902</v>
      </c>
      <c r="C978" t="s">
        <v>2903</v>
      </c>
      <c r="D978" t="s">
        <v>2904</v>
      </c>
      <c r="E978" t="s">
        <v>2904</v>
      </c>
      <c r="H978" t="s">
        <v>2902</v>
      </c>
    </row>
    <row r="979" spans="2:8" x14ac:dyDescent="0.25">
      <c r="B979" t="s">
        <v>2905</v>
      </c>
      <c r="C979" t="s">
        <v>2906</v>
      </c>
      <c r="D979" t="s">
        <v>2907</v>
      </c>
      <c r="E979" t="s">
        <v>2907</v>
      </c>
      <c r="H979" t="s">
        <v>2905</v>
      </c>
    </row>
    <row r="980" spans="2:8" x14ac:dyDescent="0.25">
      <c r="B980" t="s">
        <v>2908</v>
      </c>
      <c r="C980" t="s">
        <v>2909</v>
      </c>
      <c r="D980" t="s">
        <v>2910</v>
      </c>
      <c r="E980" t="s">
        <v>2910</v>
      </c>
      <c r="H980" t="s">
        <v>2908</v>
      </c>
    </row>
    <row r="981" spans="2:8" x14ac:dyDescent="0.25">
      <c r="B981" t="s">
        <v>2911</v>
      </c>
      <c r="C981" t="s">
        <v>2912</v>
      </c>
      <c r="D981" t="s">
        <v>2913</v>
      </c>
      <c r="E981" t="s">
        <v>2913</v>
      </c>
      <c r="H981" t="s">
        <v>2911</v>
      </c>
    </row>
    <row r="982" spans="2:8" x14ac:dyDescent="0.25">
      <c r="B982" t="s">
        <v>2914</v>
      </c>
      <c r="C982" t="s">
        <v>2915</v>
      </c>
      <c r="D982" t="s">
        <v>2916</v>
      </c>
      <c r="E982" t="s">
        <v>2916</v>
      </c>
      <c r="H982" t="s">
        <v>2914</v>
      </c>
    </row>
    <row r="983" spans="2:8" x14ac:dyDescent="0.25">
      <c r="B983" t="s">
        <v>2917</v>
      </c>
      <c r="C983" t="s">
        <v>2915</v>
      </c>
      <c r="D983" t="s">
        <v>2918</v>
      </c>
      <c r="E983" t="s">
        <v>2918</v>
      </c>
      <c r="H983" t="s">
        <v>2917</v>
      </c>
    </row>
    <row r="984" spans="2:8" x14ac:dyDescent="0.25">
      <c r="B984" t="s">
        <v>2919</v>
      </c>
      <c r="C984" t="s">
        <v>2920</v>
      </c>
      <c r="D984" t="s">
        <v>2921</v>
      </c>
      <c r="E984" t="s">
        <v>2921</v>
      </c>
      <c r="H984" t="s">
        <v>2919</v>
      </c>
    </row>
    <row r="985" spans="2:8" x14ac:dyDescent="0.25">
      <c r="B985" t="s">
        <v>2922</v>
      </c>
      <c r="C985" t="s">
        <v>2920</v>
      </c>
      <c r="D985" t="s">
        <v>2923</v>
      </c>
      <c r="E985" t="s">
        <v>2923</v>
      </c>
      <c r="H985" t="s">
        <v>2922</v>
      </c>
    </row>
    <row r="986" spans="2:8" x14ac:dyDescent="0.25">
      <c r="B986" t="s">
        <v>2924</v>
      </c>
      <c r="C986" t="s">
        <v>2925</v>
      </c>
      <c r="D986" t="s">
        <v>2926</v>
      </c>
      <c r="E986" t="s">
        <v>2926</v>
      </c>
      <c r="H986" t="s">
        <v>2924</v>
      </c>
    </row>
    <row r="987" spans="2:8" x14ac:dyDescent="0.25">
      <c r="B987" t="s">
        <v>2927</v>
      </c>
      <c r="C987" t="s">
        <v>2925</v>
      </c>
      <c r="D987" t="s">
        <v>2928</v>
      </c>
      <c r="E987" t="s">
        <v>2928</v>
      </c>
      <c r="H987" t="s">
        <v>2927</v>
      </c>
    </row>
    <row r="988" spans="2:8" x14ac:dyDescent="0.25">
      <c r="B988" t="s">
        <v>2929</v>
      </c>
      <c r="C988" t="s">
        <v>2930</v>
      </c>
      <c r="D988" t="s">
        <v>2931</v>
      </c>
      <c r="E988" t="s">
        <v>2931</v>
      </c>
      <c r="H988" t="s">
        <v>2929</v>
      </c>
    </row>
    <row r="989" spans="2:8" x14ac:dyDescent="0.25">
      <c r="B989" t="s">
        <v>2932</v>
      </c>
      <c r="C989" t="s">
        <v>2930</v>
      </c>
      <c r="D989" t="s">
        <v>2933</v>
      </c>
      <c r="E989" t="s">
        <v>2933</v>
      </c>
      <c r="H989" t="s">
        <v>2932</v>
      </c>
    </row>
    <row r="990" spans="2:8" x14ac:dyDescent="0.25">
      <c r="B990" t="s">
        <v>2934</v>
      </c>
      <c r="C990" t="s">
        <v>2935</v>
      </c>
      <c r="D990" t="s">
        <v>2936</v>
      </c>
      <c r="E990" t="s">
        <v>2936</v>
      </c>
      <c r="H990" t="s">
        <v>2934</v>
      </c>
    </row>
    <row r="991" spans="2:8" x14ac:dyDescent="0.25">
      <c r="B991" t="s">
        <v>2937</v>
      </c>
      <c r="C991" t="s">
        <v>2935</v>
      </c>
      <c r="D991" t="s">
        <v>2938</v>
      </c>
      <c r="E991" t="s">
        <v>2938</v>
      </c>
      <c r="H991" t="s">
        <v>2937</v>
      </c>
    </row>
    <row r="992" spans="2:8" x14ac:dyDescent="0.25">
      <c r="B992" t="s">
        <v>2939</v>
      </c>
      <c r="C992" t="s">
        <v>2940</v>
      </c>
      <c r="D992" t="s">
        <v>2941</v>
      </c>
      <c r="E992" t="s">
        <v>2941</v>
      </c>
      <c r="H992" t="s">
        <v>2939</v>
      </c>
    </row>
    <row r="993" spans="2:8" x14ac:dyDescent="0.25">
      <c r="B993" t="s">
        <v>2942</v>
      </c>
      <c r="C993" t="s">
        <v>2940</v>
      </c>
      <c r="D993" t="s">
        <v>2943</v>
      </c>
      <c r="E993" t="s">
        <v>2943</v>
      </c>
      <c r="H993" t="s">
        <v>2942</v>
      </c>
    </row>
    <row r="994" spans="2:8" x14ac:dyDescent="0.25">
      <c r="B994" t="s">
        <v>2944</v>
      </c>
      <c r="C994" t="s">
        <v>2945</v>
      </c>
      <c r="D994" t="s">
        <v>2946</v>
      </c>
      <c r="E994" t="s">
        <v>2946</v>
      </c>
      <c r="H994" t="s">
        <v>2944</v>
      </c>
    </row>
    <row r="995" spans="2:8" x14ac:dyDescent="0.25">
      <c r="B995" t="s">
        <v>2947</v>
      </c>
      <c r="C995" t="s">
        <v>2945</v>
      </c>
      <c r="D995" t="s">
        <v>2948</v>
      </c>
      <c r="E995" t="s">
        <v>2948</v>
      </c>
      <c r="H995" t="s">
        <v>2947</v>
      </c>
    </row>
    <row r="996" spans="2:8" x14ac:dyDescent="0.25">
      <c r="B996" t="s">
        <v>2949</v>
      </c>
      <c r="C996" t="s">
        <v>2950</v>
      </c>
      <c r="D996" t="s">
        <v>2951</v>
      </c>
      <c r="E996" t="s">
        <v>2951</v>
      </c>
      <c r="H996" t="s">
        <v>2949</v>
      </c>
    </row>
    <row r="997" spans="2:8" x14ac:dyDescent="0.25">
      <c r="B997" t="s">
        <v>2952</v>
      </c>
      <c r="C997" t="s">
        <v>2950</v>
      </c>
      <c r="D997" t="s">
        <v>2953</v>
      </c>
      <c r="E997" t="s">
        <v>2953</v>
      </c>
      <c r="H997" t="s">
        <v>2952</v>
      </c>
    </row>
    <row r="998" spans="2:8" x14ac:dyDescent="0.25">
      <c r="B998" t="s">
        <v>2954</v>
      </c>
      <c r="C998" t="s">
        <v>2955</v>
      </c>
      <c r="D998" t="s">
        <v>2956</v>
      </c>
      <c r="E998" t="s">
        <v>2956</v>
      </c>
      <c r="H998" t="s">
        <v>2954</v>
      </c>
    </row>
    <row r="999" spans="2:8" x14ac:dyDescent="0.25">
      <c r="B999" t="s">
        <v>2957</v>
      </c>
      <c r="C999" t="s">
        <v>2958</v>
      </c>
      <c r="D999" t="s">
        <v>2959</v>
      </c>
      <c r="E999" t="s">
        <v>2959</v>
      </c>
      <c r="H999" t="s">
        <v>2957</v>
      </c>
    </row>
    <row r="1000" spans="2:8" x14ac:dyDescent="0.25">
      <c r="B1000" t="s">
        <v>2960</v>
      </c>
      <c r="C1000" t="s">
        <v>2958</v>
      </c>
      <c r="D1000" t="s">
        <v>2961</v>
      </c>
      <c r="E1000" t="s">
        <v>2961</v>
      </c>
      <c r="H1000" t="s">
        <v>2960</v>
      </c>
    </row>
    <row r="1001" spans="2:8" x14ac:dyDescent="0.25">
      <c r="B1001" t="s">
        <v>2962</v>
      </c>
      <c r="C1001" t="s">
        <v>2958</v>
      </c>
      <c r="D1001" t="s">
        <v>2963</v>
      </c>
      <c r="E1001" t="s">
        <v>2963</v>
      </c>
      <c r="H1001" t="s">
        <v>2962</v>
      </c>
    </row>
    <row r="1002" spans="2:8" x14ac:dyDescent="0.25">
      <c r="B1002" t="s">
        <v>2964</v>
      </c>
      <c r="C1002" t="s">
        <v>2965</v>
      </c>
      <c r="D1002" t="s">
        <v>2966</v>
      </c>
      <c r="E1002" t="s">
        <v>2966</v>
      </c>
      <c r="H1002" t="s">
        <v>2964</v>
      </c>
    </row>
    <row r="1003" spans="2:8" x14ac:dyDescent="0.25">
      <c r="B1003" t="s">
        <v>2967</v>
      </c>
      <c r="C1003" t="s">
        <v>2965</v>
      </c>
      <c r="D1003" t="s">
        <v>2968</v>
      </c>
      <c r="E1003" t="s">
        <v>2968</v>
      </c>
      <c r="H1003" t="s">
        <v>2967</v>
      </c>
    </row>
    <row r="1004" spans="2:8" x14ac:dyDescent="0.25">
      <c r="B1004" t="s">
        <v>2969</v>
      </c>
      <c r="C1004" t="s">
        <v>2965</v>
      </c>
      <c r="D1004" t="s">
        <v>2970</v>
      </c>
      <c r="E1004" t="s">
        <v>2970</v>
      </c>
      <c r="H1004" t="s">
        <v>2969</v>
      </c>
    </row>
    <row r="1005" spans="2:8" x14ac:dyDescent="0.25">
      <c r="B1005" t="s">
        <v>2971</v>
      </c>
      <c r="C1005" t="s">
        <v>2965</v>
      </c>
      <c r="D1005" t="s">
        <v>2972</v>
      </c>
      <c r="E1005" t="s">
        <v>2972</v>
      </c>
      <c r="H1005" t="s">
        <v>2971</v>
      </c>
    </row>
    <row r="1006" spans="2:8" x14ac:dyDescent="0.25">
      <c r="B1006" t="s">
        <v>2973</v>
      </c>
      <c r="C1006" t="s">
        <v>2974</v>
      </c>
      <c r="D1006" t="s">
        <v>2975</v>
      </c>
      <c r="E1006" t="s">
        <v>2975</v>
      </c>
      <c r="H1006" t="s">
        <v>2973</v>
      </c>
    </row>
    <row r="1007" spans="2:8" x14ac:dyDescent="0.25">
      <c r="B1007" t="s">
        <v>2976</v>
      </c>
      <c r="C1007" t="s">
        <v>2974</v>
      </c>
      <c r="D1007" t="s">
        <v>2977</v>
      </c>
      <c r="E1007" t="s">
        <v>2977</v>
      </c>
      <c r="H1007" t="s">
        <v>2976</v>
      </c>
    </row>
    <row r="1008" spans="2:8" x14ac:dyDescent="0.25">
      <c r="B1008" t="s">
        <v>2978</v>
      </c>
      <c r="C1008" t="s">
        <v>2974</v>
      </c>
      <c r="D1008" t="s">
        <v>2979</v>
      </c>
      <c r="E1008" t="s">
        <v>2979</v>
      </c>
      <c r="H1008" t="s">
        <v>2978</v>
      </c>
    </row>
    <row r="1009" spans="2:8" x14ac:dyDescent="0.25">
      <c r="B1009" t="s">
        <v>2980</v>
      </c>
      <c r="C1009" t="s">
        <v>2981</v>
      </c>
      <c r="D1009" t="s">
        <v>2982</v>
      </c>
      <c r="E1009" t="s">
        <v>2982</v>
      </c>
      <c r="H1009" t="s">
        <v>2980</v>
      </c>
    </row>
    <row r="1010" spans="2:8" x14ac:dyDescent="0.25">
      <c r="B1010" t="s">
        <v>2983</v>
      </c>
      <c r="C1010" t="s">
        <v>2981</v>
      </c>
      <c r="D1010" t="s">
        <v>2984</v>
      </c>
      <c r="E1010" t="s">
        <v>2984</v>
      </c>
      <c r="H1010" t="s">
        <v>2983</v>
      </c>
    </row>
    <row r="1011" spans="2:8" x14ac:dyDescent="0.25">
      <c r="B1011" t="s">
        <v>2985</v>
      </c>
      <c r="C1011" t="s">
        <v>2981</v>
      </c>
      <c r="D1011" t="s">
        <v>2986</v>
      </c>
      <c r="E1011" t="s">
        <v>2986</v>
      </c>
      <c r="H1011" t="s">
        <v>2985</v>
      </c>
    </row>
    <row r="1012" spans="2:8" x14ac:dyDescent="0.25">
      <c r="B1012" t="s">
        <v>2987</v>
      </c>
      <c r="C1012" t="s">
        <v>2988</v>
      </c>
      <c r="D1012" t="s">
        <v>2989</v>
      </c>
      <c r="E1012" t="s">
        <v>2989</v>
      </c>
      <c r="H1012" t="s">
        <v>2987</v>
      </c>
    </row>
    <row r="1013" spans="2:8" x14ac:dyDescent="0.25">
      <c r="B1013" t="s">
        <v>2990</v>
      </c>
      <c r="C1013" t="s">
        <v>2988</v>
      </c>
      <c r="D1013" t="s">
        <v>2991</v>
      </c>
      <c r="E1013" t="s">
        <v>2991</v>
      </c>
      <c r="H1013" t="s">
        <v>2990</v>
      </c>
    </row>
    <row r="1014" spans="2:8" x14ac:dyDescent="0.25">
      <c r="B1014" t="s">
        <v>2992</v>
      </c>
      <c r="C1014" t="s">
        <v>2988</v>
      </c>
      <c r="D1014" t="s">
        <v>2993</v>
      </c>
      <c r="E1014" t="s">
        <v>2993</v>
      </c>
      <c r="H1014" t="s">
        <v>2992</v>
      </c>
    </row>
    <row r="1015" spans="2:8" x14ac:dyDescent="0.25">
      <c r="B1015" t="s">
        <v>2994</v>
      </c>
      <c r="C1015" t="s">
        <v>2995</v>
      </c>
      <c r="D1015" t="s">
        <v>2996</v>
      </c>
      <c r="E1015" t="s">
        <v>2996</v>
      </c>
      <c r="H1015" t="s">
        <v>2994</v>
      </c>
    </row>
    <row r="1016" spans="2:8" x14ac:dyDescent="0.25">
      <c r="B1016" t="s">
        <v>2997</v>
      </c>
      <c r="C1016" t="s">
        <v>2995</v>
      </c>
      <c r="D1016" t="s">
        <v>2998</v>
      </c>
      <c r="E1016" t="s">
        <v>2998</v>
      </c>
      <c r="H1016" t="s">
        <v>2997</v>
      </c>
    </row>
    <row r="1017" spans="2:8" x14ac:dyDescent="0.25">
      <c r="B1017" t="s">
        <v>2999</v>
      </c>
      <c r="C1017" t="s">
        <v>2995</v>
      </c>
      <c r="D1017" t="s">
        <v>3000</v>
      </c>
      <c r="E1017" t="s">
        <v>3000</v>
      </c>
      <c r="H1017" t="s">
        <v>2999</v>
      </c>
    </row>
    <row r="1018" spans="2:8" x14ac:dyDescent="0.25">
      <c r="B1018" t="s">
        <v>3001</v>
      </c>
      <c r="C1018" t="s">
        <v>3002</v>
      </c>
      <c r="D1018" t="s">
        <v>3003</v>
      </c>
      <c r="E1018" t="s">
        <v>3003</v>
      </c>
      <c r="H1018" t="s">
        <v>3001</v>
      </c>
    </row>
    <row r="1019" spans="2:8" x14ac:dyDescent="0.25">
      <c r="B1019" t="s">
        <v>3004</v>
      </c>
      <c r="C1019" t="s">
        <v>3002</v>
      </c>
      <c r="D1019" t="s">
        <v>3005</v>
      </c>
      <c r="E1019" t="s">
        <v>3005</v>
      </c>
      <c r="H1019" t="s">
        <v>3004</v>
      </c>
    </row>
    <row r="1020" spans="2:8" x14ac:dyDescent="0.25">
      <c r="B1020" t="s">
        <v>3006</v>
      </c>
      <c r="C1020" t="s">
        <v>3002</v>
      </c>
      <c r="D1020" t="s">
        <v>3007</v>
      </c>
      <c r="E1020" t="s">
        <v>3007</v>
      </c>
      <c r="H1020" t="s">
        <v>3006</v>
      </c>
    </row>
    <row r="1021" spans="2:8" x14ac:dyDescent="0.25">
      <c r="B1021" t="s">
        <v>3008</v>
      </c>
      <c r="C1021" t="s">
        <v>3009</v>
      </c>
      <c r="D1021" t="s">
        <v>3010</v>
      </c>
      <c r="E1021" t="s">
        <v>3010</v>
      </c>
      <c r="H1021" t="s">
        <v>3008</v>
      </c>
    </row>
    <row r="1022" spans="2:8" x14ac:dyDescent="0.25">
      <c r="B1022" t="s">
        <v>3011</v>
      </c>
      <c r="C1022" t="s">
        <v>3009</v>
      </c>
      <c r="D1022" t="s">
        <v>3012</v>
      </c>
      <c r="E1022" t="s">
        <v>3012</v>
      </c>
      <c r="H1022" t="s">
        <v>3011</v>
      </c>
    </row>
    <row r="1023" spans="2:8" x14ac:dyDescent="0.25">
      <c r="B1023" t="s">
        <v>3013</v>
      </c>
      <c r="C1023" t="s">
        <v>3009</v>
      </c>
      <c r="D1023" t="s">
        <v>3014</v>
      </c>
      <c r="E1023" t="s">
        <v>3014</v>
      </c>
      <c r="H1023" t="s">
        <v>3013</v>
      </c>
    </row>
    <row r="1024" spans="2:8" x14ac:dyDescent="0.25">
      <c r="B1024" t="s">
        <v>3015</v>
      </c>
      <c r="C1024" t="s">
        <v>3016</v>
      </c>
      <c r="D1024" t="s">
        <v>3017</v>
      </c>
      <c r="E1024" t="s">
        <v>3017</v>
      </c>
      <c r="H1024" t="s">
        <v>3015</v>
      </c>
    </row>
    <row r="1025" spans="2:8" x14ac:dyDescent="0.25">
      <c r="B1025" t="s">
        <v>3018</v>
      </c>
      <c r="C1025" t="s">
        <v>3019</v>
      </c>
      <c r="D1025" t="s">
        <v>3020</v>
      </c>
      <c r="E1025" t="s">
        <v>3020</v>
      </c>
      <c r="H1025" t="s">
        <v>3018</v>
      </c>
    </row>
    <row r="1026" spans="2:8" x14ac:dyDescent="0.25">
      <c r="B1026" t="s">
        <v>3021</v>
      </c>
      <c r="C1026" t="s">
        <v>3022</v>
      </c>
      <c r="D1026" t="s">
        <v>3023</v>
      </c>
      <c r="E1026" t="s">
        <v>3023</v>
      </c>
      <c r="H1026" t="s">
        <v>3021</v>
      </c>
    </row>
    <row r="1027" spans="2:8" x14ac:dyDescent="0.25">
      <c r="B1027" t="s">
        <v>3024</v>
      </c>
      <c r="C1027" t="s">
        <v>3025</v>
      </c>
      <c r="D1027" t="s">
        <v>3026</v>
      </c>
      <c r="E1027" t="s">
        <v>3026</v>
      </c>
      <c r="H1027" t="s">
        <v>3024</v>
      </c>
    </row>
    <row r="1028" spans="2:8" x14ac:dyDescent="0.25">
      <c r="B1028" t="s">
        <v>3027</v>
      </c>
      <c r="C1028" t="s">
        <v>3028</v>
      </c>
      <c r="D1028" t="s">
        <v>3029</v>
      </c>
      <c r="E1028" t="s">
        <v>3029</v>
      </c>
      <c r="H1028" t="s">
        <v>3027</v>
      </c>
    </row>
    <row r="1029" spans="2:8" x14ac:dyDescent="0.25">
      <c r="B1029" t="s">
        <v>3030</v>
      </c>
      <c r="C1029" t="s">
        <v>3031</v>
      </c>
      <c r="D1029" t="s">
        <v>3032</v>
      </c>
      <c r="E1029" t="s">
        <v>3032</v>
      </c>
      <c r="H1029" t="s">
        <v>3030</v>
      </c>
    </row>
    <row r="1030" spans="2:8" x14ac:dyDescent="0.25">
      <c r="B1030" t="s">
        <v>3033</v>
      </c>
      <c r="C1030" t="s">
        <v>3034</v>
      </c>
      <c r="D1030" t="s">
        <v>3035</v>
      </c>
      <c r="E1030" t="s">
        <v>3035</v>
      </c>
      <c r="H1030" t="s">
        <v>3033</v>
      </c>
    </row>
    <row r="1031" spans="2:8" x14ac:dyDescent="0.25">
      <c r="B1031" t="s">
        <v>3036</v>
      </c>
      <c r="C1031" t="s">
        <v>3037</v>
      </c>
      <c r="D1031" t="s">
        <v>3038</v>
      </c>
      <c r="E1031" t="s">
        <v>3038</v>
      </c>
      <c r="H1031" t="s">
        <v>3036</v>
      </c>
    </row>
    <row r="1032" spans="2:8" x14ac:dyDescent="0.25">
      <c r="B1032" t="s">
        <v>3039</v>
      </c>
      <c r="C1032" t="s">
        <v>3040</v>
      </c>
      <c r="D1032" t="s">
        <v>3041</v>
      </c>
      <c r="E1032" t="s">
        <v>3041</v>
      </c>
      <c r="H1032" t="s">
        <v>3039</v>
      </c>
    </row>
    <row r="1033" spans="2:8" x14ac:dyDescent="0.25">
      <c r="B1033" t="s">
        <v>3042</v>
      </c>
      <c r="C1033" t="s">
        <v>3040</v>
      </c>
      <c r="D1033" t="s">
        <v>3043</v>
      </c>
      <c r="E1033" t="s">
        <v>3043</v>
      </c>
      <c r="H1033" t="s">
        <v>3042</v>
      </c>
    </row>
    <row r="1034" spans="2:8" x14ac:dyDescent="0.25">
      <c r="B1034" t="s">
        <v>3044</v>
      </c>
      <c r="C1034" t="s">
        <v>3040</v>
      </c>
      <c r="D1034" t="s">
        <v>3045</v>
      </c>
      <c r="E1034" t="s">
        <v>3045</v>
      </c>
      <c r="H1034" t="s">
        <v>3044</v>
      </c>
    </row>
    <row r="1035" spans="2:8" x14ac:dyDescent="0.25">
      <c r="B1035" t="s">
        <v>3046</v>
      </c>
      <c r="C1035" t="s">
        <v>3047</v>
      </c>
      <c r="D1035" t="s">
        <v>3048</v>
      </c>
      <c r="E1035" t="s">
        <v>3048</v>
      </c>
      <c r="H1035" t="s">
        <v>3046</v>
      </c>
    </row>
    <row r="1036" spans="2:8" x14ac:dyDescent="0.25">
      <c r="B1036" t="s">
        <v>3049</v>
      </c>
      <c r="C1036" t="s">
        <v>3047</v>
      </c>
      <c r="D1036" t="s">
        <v>3050</v>
      </c>
      <c r="E1036" t="s">
        <v>3050</v>
      </c>
      <c r="H1036" t="s">
        <v>3049</v>
      </c>
    </row>
    <row r="1037" spans="2:8" x14ac:dyDescent="0.25">
      <c r="B1037" t="s">
        <v>3051</v>
      </c>
      <c r="C1037" t="s">
        <v>3047</v>
      </c>
      <c r="D1037" t="s">
        <v>3052</v>
      </c>
      <c r="E1037" t="s">
        <v>3052</v>
      </c>
      <c r="H1037" t="s">
        <v>3051</v>
      </c>
    </row>
    <row r="1038" spans="2:8" x14ac:dyDescent="0.25">
      <c r="B1038" t="s">
        <v>3053</v>
      </c>
      <c r="C1038" t="s">
        <v>3054</v>
      </c>
      <c r="D1038" t="s">
        <v>3055</v>
      </c>
      <c r="E1038" t="s">
        <v>3055</v>
      </c>
      <c r="H1038" t="s">
        <v>3053</v>
      </c>
    </row>
    <row r="1039" spans="2:8" x14ac:dyDescent="0.25">
      <c r="B1039" t="s">
        <v>3056</v>
      </c>
      <c r="C1039" t="s">
        <v>3057</v>
      </c>
      <c r="D1039" t="s">
        <v>3058</v>
      </c>
      <c r="E1039" t="s">
        <v>3058</v>
      </c>
      <c r="H1039" t="s">
        <v>3056</v>
      </c>
    </row>
    <row r="1040" spans="2:8" x14ac:dyDescent="0.25">
      <c r="B1040" t="s">
        <v>3059</v>
      </c>
      <c r="C1040" t="s">
        <v>3057</v>
      </c>
      <c r="D1040" t="s">
        <v>3060</v>
      </c>
      <c r="E1040" t="s">
        <v>3060</v>
      </c>
      <c r="H1040" t="s">
        <v>3059</v>
      </c>
    </row>
    <row r="1041" spans="2:8" x14ac:dyDescent="0.25">
      <c r="B1041" t="s">
        <v>3061</v>
      </c>
      <c r="C1041" t="s">
        <v>3062</v>
      </c>
      <c r="D1041" t="s">
        <v>3063</v>
      </c>
      <c r="E1041" t="s">
        <v>3063</v>
      </c>
      <c r="H1041" t="s">
        <v>3061</v>
      </c>
    </row>
    <row r="1042" spans="2:8" x14ac:dyDescent="0.25">
      <c r="B1042" t="s">
        <v>3064</v>
      </c>
      <c r="C1042" t="s">
        <v>3065</v>
      </c>
      <c r="D1042" t="s">
        <v>3066</v>
      </c>
      <c r="E1042" t="s">
        <v>3066</v>
      </c>
      <c r="H1042" t="s">
        <v>3064</v>
      </c>
    </row>
    <row r="1043" spans="2:8" x14ac:dyDescent="0.25">
      <c r="B1043" t="s">
        <v>3067</v>
      </c>
      <c r="C1043" t="s">
        <v>3068</v>
      </c>
      <c r="D1043" t="s">
        <v>3069</v>
      </c>
      <c r="E1043" t="s">
        <v>3069</v>
      </c>
      <c r="H1043" t="s">
        <v>3067</v>
      </c>
    </row>
    <row r="1044" spans="2:8" x14ac:dyDescent="0.25">
      <c r="B1044" t="s">
        <v>3070</v>
      </c>
      <c r="C1044" t="s">
        <v>3071</v>
      </c>
      <c r="D1044" t="s">
        <v>3072</v>
      </c>
      <c r="E1044" t="s">
        <v>3072</v>
      </c>
      <c r="H1044" t="s">
        <v>3070</v>
      </c>
    </row>
    <row r="1045" spans="2:8" x14ac:dyDescent="0.25">
      <c r="B1045" t="s">
        <v>3073</v>
      </c>
      <c r="C1045" t="s">
        <v>3074</v>
      </c>
      <c r="D1045" t="s">
        <v>3075</v>
      </c>
      <c r="E1045" t="s">
        <v>3075</v>
      </c>
      <c r="H1045" t="s">
        <v>3073</v>
      </c>
    </row>
    <row r="1046" spans="2:8" x14ac:dyDescent="0.25">
      <c r="B1046" t="s">
        <v>3076</v>
      </c>
      <c r="C1046" t="s">
        <v>1421</v>
      </c>
      <c r="D1046" t="s">
        <v>2028</v>
      </c>
      <c r="E1046" t="s">
        <v>2028</v>
      </c>
      <c r="H1046" t="s">
        <v>3076</v>
      </c>
    </row>
    <row r="1047" spans="2:8" x14ac:dyDescent="0.25">
      <c r="B1047" t="s">
        <v>3077</v>
      </c>
      <c r="C1047" t="s">
        <v>3078</v>
      </c>
      <c r="D1047" t="s">
        <v>2031</v>
      </c>
      <c r="E1047" t="s">
        <v>2031</v>
      </c>
      <c r="H1047" t="s">
        <v>3077</v>
      </c>
    </row>
    <row r="1048" spans="2:8" x14ac:dyDescent="0.25">
      <c r="B1048" t="s">
        <v>3079</v>
      </c>
      <c r="C1048" t="s">
        <v>3078</v>
      </c>
      <c r="D1048" t="s">
        <v>3080</v>
      </c>
      <c r="E1048" t="s">
        <v>3080</v>
      </c>
      <c r="H1048" t="s">
        <v>3079</v>
      </c>
    </row>
    <row r="1049" spans="2:8" x14ac:dyDescent="0.25">
      <c r="B1049" t="s">
        <v>3081</v>
      </c>
      <c r="C1049" t="s">
        <v>3082</v>
      </c>
      <c r="D1049" t="s">
        <v>3083</v>
      </c>
      <c r="E1049" t="s">
        <v>3083</v>
      </c>
      <c r="H1049" t="s">
        <v>3081</v>
      </c>
    </row>
    <row r="1050" spans="2:8" x14ac:dyDescent="0.25">
      <c r="B1050" t="s">
        <v>3084</v>
      </c>
      <c r="C1050" t="s">
        <v>3082</v>
      </c>
      <c r="D1050" t="s">
        <v>3085</v>
      </c>
      <c r="E1050" t="s">
        <v>3085</v>
      </c>
      <c r="H1050" t="s">
        <v>3084</v>
      </c>
    </row>
    <row r="1051" spans="2:8" x14ac:dyDescent="0.25">
      <c r="B1051" t="s">
        <v>3086</v>
      </c>
      <c r="C1051" t="s">
        <v>3082</v>
      </c>
      <c r="D1051" t="s">
        <v>3087</v>
      </c>
      <c r="E1051" t="s">
        <v>3087</v>
      </c>
      <c r="H1051" t="s">
        <v>3086</v>
      </c>
    </row>
    <row r="1052" spans="2:8" x14ac:dyDescent="0.25">
      <c r="B1052" t="s">
        <v>3088</v>
      </c>
      <c r="C1052" t="s">
        <v>3089</v>
      </c>
      <c r="D1052" t="s">
        <v>3090</v>
      </c>
      <c r="E1052" t="s">
        <v>3090</v>
      </c>
      <c r="H1052" t="s">
        <v>3088</v>
      </c>
    </row>
    <row r="1053" spans="2:8" x14ac:dyDescent="0.25">
      <c r="B1053" t="s">
        <v>3091</v>
      </c>
      <c r="C1053" t="s">
        <v>3092</v>
      </c>
      <c r="D1053" t="s">
        <v>3093</v>
      </c>
      <c r="E1053" t="s">
        <v>3093</v>
      </c>
      <c r="H1053" t="s">
        <v>3091</v>
      </c>
    </row>
    <row r="1054" spans="2:8" x14ac:dyDescent="0.25">
      <c r="B1054" t="s">
        <v>3094</v>
      </c>
      <c r="C1054" t="s">
        <v>3095</v>
      </c>
      <c r="D1054" t="s">
        <v>3096</v>
      </c>
      <c r="E1054" t="s">
        <v>3096</v>
      </c>
      <c r="H1054" t="s">
        <v>3094</v>
      </c>
    </row>
    <row r="1055" spans="2:8" x14ac:dyDescent="0.25">
      <c r="B1055" t="s">
        <v>3097</v>
      </c>
      <c r="C1055" t="s">
        <v>3098</v>
      </c>
      <c r="D1055" t="s">
        <v>3099</v>
      </c>
      <c r="E1055" t="s">
        <v>3099</v>
      </c>
      <c r="H1055" t="s">
        <v>3097</v>
      </c>
    </row>
    <row r="1056" spans="2:8" x14ac:dyDescent="0.25">
      <c r="B1056" t="s">
        <v>3100</v>
      </c>
      <c r="C1056" t="s">
        <v>3101</v>
      </c>
      <c r="D1056" t="s">
        <v>3102</v>
      </c>
      <c r="E1056" t="s">
        <v>3102</v>
      </c>
      <c r="H1056" t="s">
        <v>3100</v>
      </c>
    </row>
    <row r="1057" spans="2:8" x14ac:dyDescent="0.25">
      <c r="B1057" t="s">
        <v>3103</v>
      </c>
      <c r="C1057" t="s">
        <v>3104</v>
      </c>
      <c r="D1057" t="s">
        <v>3105</v>
      </c>
      <c r="E1057" t="s">
        <v>3105</v>
      </c>
      <c r="H1057" t="s">
        <v>3103</v>
      </c>
    </row>
    <row r="1058" spans="2:8" x14ac:dyDescent="0.25">
      <c r="B1058" t="s">
        <v>3106</v>
      </c>
      <c r="C1058" t="s">
        <v>3107</v>
      </c>
      <c r="D1058" t="s">
        <v>3108</v>
      </c>
      <c r="E1058" t="s">
        <v>3108</v>
      </c>
      <c r="H1058" t="s">
        <v>3106</v>
      </c>
    </row>
    <row r="1059" spans="2:8" x14ac:dyDescent="0.25">
      <c r="B1059" t="s">
        <v>3109</v>
      </c>
      <c r="C1059" t="s">
        <v>3110</v>
      </c>
      <c r="D1059" t="s">
        <v>3111</v>
      </c>
      <c r="E1059" t="s">
        <v>3111</v>
      </c>
      <c r="H1059" t="s">
        <v>3109</v>
      </c>
    </row>
    <row r="1060" spans="2:8" x14ac:dyDescent="0.25">
      <c r="B1060" t="s">
        <v>3112</v>
      </c>
      <c r="C1060" t="s">
        <v>3113</v>
      </c>
      <c r="D1060" t="s">
        <v>3114</v>
      </c>
      <c r="E1060" t="s">
        <v>3114</v>
      </c>
      <c r="H1060" t="s">
        <v>3112</v>
      </c>
    </row>
    <row r="1061" spans="2:8" x14ac:dyDescent="0.25">
      <c r="B1061" t="s">
        <v>3115</v>
      </c>
      <c r="C1061" t="s">
        <v>3116</v>
      </c>
      <c r="D1061" t="s">
        <v>3117</v>
      </c>
      <c r="E1061" t="s">
        <v>3117</v>
      </c>
      <c r="H1061" t="s">
        <v>3115</v>
      </c>
    </row>
    <row r="1062" spans="2:8" x14ac:dyDescent="0.25">
      <c r="B1062" t="s">
        <v>3222</v>
      </c>
      <c r="C1062" t="s">
        <v>3223</v>
      </c>
      <c r="D1062" t="s">
        <v>3224</v>
      </c>
      <c r="E1062" t="s">
        <v>3224</v>
      </c>
      <c r="H1062" t="s">
        <v>3222</v>
      </c>
    </row>
    <row r="1063" spans="2:8" x14ac:dyDescent="0.25">
      <c r="B1063" t="s">
        <v>3225</v>
      </c>
      <c r="C1063" t="s">
        <v>3226</v>
      </c>
      <c r="D1063" t="s">
        <v>3227</v>
      </c>
      <c r="E1063" t="s">
        <v>3227</v>
      </c>
      <c r="H1063" t="s">
        <v>3225</v>
      </c>
    </row>
    <row r="1064" spans="2:8" x14ac:dyDescent="0.25">
      <c r="B1064" t="s">
        <v>3228</v>
      </c>
      <c r="C1064" t="s">
        <v>3229</v>
      </c>
      <c r="D1064" t="s">
        <v>3230</v>
      </c>
      <c r="E1064" t="s">
        <v>3230</v>
      </c>
      <c r="H1064" t="s">
        <v>3228</v>
      </c>
    </row>
    <row r="1065" spans="2:8" x14ac:dyDescent="0.25">
      <c r="B1065" t="s">
        <v>3234</v>
      </c>
      <c r="C1065" t="s">
        <v>3226</v>
      </c>
      <c r="D1065" t="s">
        <v>3235</v>
      </c>
      <c r="E1065" t="s">
        <v>3235</v>
      </c>
      <c r="H1065" t="s">
        <v>3234</v>
      </c>
    </row>
    <row r="1066" spans="2:8" x14ac:dyDescent="0.25">
      <c r="B1066" t="s">
        <v>3236</v>
      </c>
      <c r="C1066" t="s">
        <v>3223</v>
      </c>
      <c r="D1066" t="s">
        <v>3237</v>
      </c>
      <c r="E1066" t="s">
        <v>3237</v>
      </c>
      <c r="H1066" t="s">
        <v>3236</v>
      </c>
    </row>
    <row r="1067" spans="2:8" x14ac:dyDescent="0.25">
      <c r="B1067" t="s">
        <v>3463</v>
      </c>
      <c r="C1067" t="s">
        <v>3464</v>
      </c>
      <c r="D1067" t="s">
        <v>3465</v>
      </c>
      <c r="E1067" t="s">
        <v>3465</v>
      </c>
      <c r="H1067" t="s">
        <v>3463</v>
      </c>
    </row>
    <row r="1068" spans="2:8" x14ac:dyDescent="0.25">
      <c r="B1068" t="s">
        <v>3469</v>
      </c>
      <c r="C1068" t="s">
        <v>3464</v>
      </c>
      <c r="D1068" t="s">
        <v>3470</v>
      </c>
      <c r="E1068" t="s">
        <v>3470</v>
      </c>
      <c r="H1068" t="s">
        <v>3469</v>
      </c>
    </row>
    <row r="1069" spans="2:8" x14ac:dyDescent="0.25">
      <c r="B1069" t="s">
        <v>3473</v>
      </c>
      <c r="C1069" t="s">
        <v>3464</v>
      </c>
      <c r="D1069" t="s">
        <v>3474</v>
      </c>
      <c r="E1069" t="s">
        <v>3474</v>
      </c>
      <c r="H1069" t="s">
        <v>3473</v>
      </c>
    </row>
    <row r="1070" spans="2:8" x14ac:dyDescent="0.25">
      <c r="B1070" t="s">
        <v>3477</v>
      </c>
      <c r="C1070" t="s">
        <v>3478</v>
      </c>
      <c r="D1070" t="s">
        <v>3479</v>
      </c>
      <c r="E1070" t="s">
        <v>3479</v>
      </c>
      <c r="H1070" t="s">
        <v>3477</v>
      </c>
    </row>
    <row r="1071" spans="2:8" x14ac:dyDescent="0.25">
      <c r="B1071" t="s">
        <v>3480</v>
      </c>
      <c r="C1071" t="s">
        <v>3481</v>
      </c>
      <c r="D1071" t="s">
        <v>3482</v>
      </c>
      <c r="E1071" t="s">
        <v>3482</v>
      </c>
      <c r="H1071" t="s">
        <v>3480</v>
      </c>
    </row>
    <row r="1072" spans="2:8" x14ac:dyDescent="0.25">
      <c r="B1072" t="s">
        <v>3483</v>
      </c>
      <c r="C1072" t="s">
        <v>3481</v>
      </c>
      <c r="D1072" t="s">
        <v>3484</v>
      </c>
      <c r="E1072" t="s">
        <v>3484</v>
      </c>
      <c r="H1072" t="s">
        <v>3483</v>
      </c>
    </row>
    <row r="1073" spans="2:8" x14ac:dyDescent="0.25">
      <c r="B1073" t="s">
        <v>3485</v>
      </c>
      <c r="C1073" t="s">
        <v>3486</v>
      </c>
      <c r="D1073" t="s">
        <v>3487</v>
      </c>
      <c r="E1073" t="s">
        <v>3487</v>
      </c>
      <c r="H1073" t="s">
        <v>3485</v>
      </c>
    </row>
    <row r="1074" spans="2:8" x14ac:dyDescent="0.25">
      <c r="B1074" t="s">
        <v>3525</v>
      </c>
      <c r="C1074" t="s">
        <v>3526</v>
      </c>
      <c r="D1074" t="s">
        <v>3527</v>
      </c>
      <c r="E1074" t="s">
        <v>3527</v>
      </c>
      <c r="H1074" t="s">
        <v>3525</v>
      </c>
    </row>
    <row r="1075" spans="2:8" x14ac:dyDescent="0.25">
      <c r="B1075" t="s">
        <v>3528</v>
      </c>
      <c r="C1075" t="s">
        <v>3526</v>
      </c>
      <c r="D1075" t="s">
        <v>3529</v>
      </c>
      <c r="E1075" t="s">
        <v>3529</v>
      </c>
      <c r="H1075" t="s">
        <v>3528</v>
      </c>
    </row>
    <row r="1076" spans="2:8" x14ac:dyDescent="0.25">
      <c r="B1076" t="s">
        <v>3530</v>
      </c>
      <c r="C1076" t="s">
        <v>3526</v>
      </c>
      <c r="D1076" t="s">
        <v>3531</v>
      </c>
      <c r="E1076" t="s">
        <v>3531</v>
      </c>
      <c r="H1076" t="s">
        <v>3530</v>
      </c>
    </row>
    <row r="1077" spans="2:8" x14ac:dyDescent="0.25">
      <c r="B1077" t="s">
        <v>3532</v>
      </c>
      <c r="C1077" t="s">
        <v>3533</v>
      </c>
      <c r="D1077" t="s">
        <v>3534</v>
      </c>
      <c r="E1077" t="s">
        <v>3534</v>
      </c>
      <c r="H1077" t="s">
        <v>3532</v>
      </c>
    </row>
    <row r="1078" spans="2:8" x14ac:dyDescent="0.25">
      <c r="B1078" t="s">
        <v>3535</v>
      </c>
      <c r="C1078" t="s">
        <v>3536</v>
      </c>
      <c r="D1078" t="s">
        <v>3537</v>
      </c>
      <c r="E1078" t="s">
        <v>3537</v>
      </c>
      <c r="H1078" t="s">
        <v>3535</v>
      </c>
    </row>
    <row r="1079" spans="2:8" x14ac:dyDescent="0.25">
      <c r="B1079" t="s">
        <v>3538</v>
      </c>
      <c r="C1079" t="s">
        <v>3536</v>
      </c>
      <c r="D1079" t="s">
        <v>3539</v>
      </c>
      <c r="E1079" t="s">
        <v>3539</v>
      </c>
      <c r="H1079" t="s">
        <v>3538</v>
      </c>
    </row>
    <row r="1080" spans="2:8" x14ac:dyDescent="0.25">
      <c r="B1080" t="s">
        <v>3540</v>
      </c>
      <c r="C1080" t="s">
        <v>3536</v>
      </c>
      <c r="D1080" t="s">
        <v>3541</v>
      </c>
      <c r="E1080" t="s">
        <v>3541</v>
      </c>
      <c r="H1080" t="s">
        <v>3540</v>
      </c>
    </row>
    <row r="1081" spans="2:8" x14ac:dyDescent="0.25">
      <c r="B1081" t="s">
        <v>3551</v>
      </c>
      <c r="C1081" t="s">
        <v>3552</v>
      </c>
      <c r="D1081" t="s">
        <v>3553</v>
      </c>
      <c r="E1081" t="s">
        <v>3553</v>
      </c>
      <c r="H1081" t="s">
        <v>3551</v>
      </c>
    </row>
    <row r="1082" spans="2:8" x14ac:dyDescent="0.25">
      <c r="B1082" t="s">
        <v>3554</v>
      </c>
      <c r="C1082" t="s">
        <v>3555</v>
      </c>
      <c r="D1082" t="s">
        <v>3556</v>
      </c>
      <c r="E1082" t="s">
        <v>3556</v>
      </c>
      <c r="H1082" t="s">
        <v>3554</v>
      </c>
    </row>
    <row r="1083" spans="2:8" x14ac:dyDescent="0.25">
      <c r="B1083" t="s">
        <v>3557</v>
      </c>
      <c r="C1083" t="s">
        <v>3558</v>
      </c>
      <c r="D1083" t="s">
        <v>3559</v>
      </c>
      <c r="E1083" t="s">
        <v>3559</v>
      </c>
      <c r="H1083" t="s">
        <v>3557</v>
      </c>
    </row>
    <row r="1084" spans="2:8" x14ac:dyDescent="0.25">
      <c r="B1084" t="s">
        <v>3560</v>
      </c>
      <c r="C1084" t="s">
        <v>3561</v>
      </c>
      <c r="D1084" t="s">
        <v>3562</v>
      </c>
      <c r="E1084" t="s">
        <v>3562</v>
      </c>
      <c r="H1084" t="s">
        <v>3560</v>
      </c>
    </row>
    <row r="1085" spans="2:8" x14ac:dyDescent="0.25">
      <c r="B1085" t="s">
        <v>3563</v>
      </c>
      <c r="C1085" t="s">
        <v>3564</v>
      </c>
      <c r="D1085" t="s">
        <v>3565</v>
      </c>
      <c r="E1085" t="s">
        <v>3565</v>
      </c>
      <c r="H1085" t="s">
        <v>3563</v>
      </c>
    </row>
    <row r="1086" spans="2:8" x14ac:dyDescent="0.25">
      <c r="B1086" t="s">
        <v>3566</v>
      </c>
      <c r="C1086" t="s">
        <v>3567</v>
      </c>
      <c r="D1086" t="s">
        <v>3568</v>
      </c>
      <c r="E1086" t="s">
        <v>3568</v>
      </c>
      <c r="H1086" t="s">
        <v>3566</v>
      </c>
    </row>
    <row r="1087" spans="2:8" x14ac:dyDescent="0.25">
      <c r="B1087" t="s">
        <v>3569</v>
      </c>
      <c r="C1087" t="s">
        <v>3570</v>
      </c>
      <c r="D1087" t="s">
        <v>3571</v>
      </c>
      <c r="E1087" t="s">
        <v>3571</v>
      </c>
      <c r="H1087" t="s">
        <v>3569</v>
      </c>
    </row>
    <row r="1088" spans="2:8" x14ac:dyDescent="0.25">
      <c r="B1088" t="s">
        <v>3600</v>
      </c>
      <c r="C1088" t="s">
        <v>3601</v>
      </c>
      <c r="D1088" t="s">
        <v>3602</v>
      </c>
      <c r="E1088" t="s">
        <v>3602</v>
      </c>
      <c r="H1088" t="s">
        <v>3600</v>
      </c>
    </row>
    <row r="1089" spans="2:8" x14ac:dyDescent="0.25">
      <c r="B1089" t="s">
        <v>3603</v>
      </c>
      <c r="C1089" t="s">
        <v>3601</v>
      </c>
      <c r="D1089" t="s">
        <v>3604</v>
      </c>
      <c r="E1089" t="s">
        <v>3604</v>
      </c>
      <c r="H1089" t="s">
        <v>3603</v>
      </c>
    </row>
    <row r="1090" spans="2:8" x14ac:dyDescent="0.25">
      <c r="B1090" t="s">
        <v>3605</v>
      </c>
      <c r="C1090" t="s">
        <v>3606</v>
      </c>
      <c r="D1090" t="s">
        <v>3607</v>
      </c>
      <c r="E1090" t="s">
        <v>3607</v>
      </c>
      <c r="H1090" t="s">
        <v>3605</v>
      </c>
    </row>
    <row r="1091" spans="2:8" x14ac:dyDescent="0.25">
      <c r="B1091" t="s">
        <v>3608</v>
      </c>
      <c r="C1091" t="s">
        <v>3606</v>
      </c>
      <c r="D1091" t="s">
        <v>3609</v>
      </c>
      <c r="E1091" t="s">
        <v>3609</v>
      </c>
      <c r="H1091" t="s">
        <v>3608</v>
      </c>
    </row>
    <row r="1092" spans="2:8" x14ac:dyDescent="0.25">
      <c r="B1092" t="s">
        <v>5803</v>
      </c>
      <c r="C1092" t="s">
        <v>3632</v>
      </c>
      <c r="D1092" t="s">
        <v>5804</v>
      </c>
      <c r="E1092" t="s">
        <v>5804</v>
      </c>
      <c r="H1092" t="s">
        <v>5803</v>
      </c>
    </row>
    <row r="1093" spans="2:8" x14ac:dyDescent="0.25">
      <c r="B1093" t="s">
        <v>3639</v>
      </c>
      <c r="C1093" t="s">
        <v>3635</v>
      </c>
      <c r="D1093" t="s">
        <v>3640</v>
      </c>
      <c r="E1093" t="s">
        <v>3640</v>
      </c>
      <c r="H1093" t="s">
        <v>3639</v>
      </c>
    </row>
    <row r="1094" spans="2:8" x14ac:dyDescent="0.25">
      <c r="B1094" t="s">
        <v>3675</v>
      </c>
      <c r="C1094" t="s">
        <v>3676</v>
      </c>
      <c r="D1094" t="s">
        <v>3677</v>
      </c>
      <c r="E1094" t="s">
        <v>3677</v>
      </c>
      <c r="H1094" t="s">
        <v>3675</v>
      </c>
    </row>
    <row r="1095" spans="2:8" x14ac:dyDescent="0.25">
      <c r="B1095" t="s">
        <v>3678</v>
      </c>
      <c r="C1095" t="s">
        <v>3676</v>
      </c>
      <c r="D1095" t="s">
        <v>3679</v>
      </c>
      <c r="E1095" t="s">
        <v>3679</v>
      </c>
      <c r="H1095" t="s">
        <v>3678</v>
      </c>
    </row>
    <row r="1096" spans="2:8" x14ac:dyDescent="0.25">
      <c r="B1096" t="s">
        <v>3680</v>
      </c>
      <c r="C1096" t="s">
        <v>3478</v>
      </c>
      <c r="D1096" t="s">
        <v>3681</v>
      </c>
      <c r="E1096" t="s">
        <v>3681</v>
      </c>
      <c r="H1096" t="s">
        <v>3680</v>
      </c>
    </row>
    <row r="1097" spans="2:8" x14ac:dyDescent="0.25">
      <c r="B1097" t="s">
        <v>3682</v>
      </c>
      <c r="C1097" t="s">
        <v>3481</v>
      </c>
      <c r="D1097" t="s">
        <v>3683</v>
      </c>
      <c r="E1097" t="s">
        <v>3683</v>
      </c>
      <c r="H1097" t="s">
        <v>3682</v>
      </c>
    </row>
    <row r="1098" spans="2:8" x14ac:dyDescent="0.25">
      <c r="B1098" t="s">
        <v>3684</v>
      </c>
      <c r="C1098" t="s">
        <v>3481</v>
      </c>
      <c r="D1098" t="s">
        <v>3685</v>
      </c>
      <c r="E1098" t="s">
        <v>3685</v>
      </c>
      <c r="H1098" t="s">
        <v>3684</v>
      </c>
    </row>
    <row r="1099" spans="2:8" x14ac:dyDescent="0.25">
      <c r="B1099" t="s">
        <v>3737</v>
      </c>
      <c r="C1099" t="s">
        <v>3738</v>
      </c>
      <c r="D1099" t="s">
        <v>3739</v>
      </c>
      <c r="E1099" t="s">
        <v>3739</v>
      </c>
      <c r="H1099" t="s">
        <v>3737</v>
      </c>
    </row>
    <row r="1100" spans="2:8" x14ac:dyDescent="0.25">
      <c r="B1100" t="s">
        <v>3740</v>
      </c>
      <c r="C1100" t="s">
        <v>3741</v>
      </c>
      <c r="D1100" t="s">
        <v>3742</v>
      </c>
      <c r="E1100" t="s">
        <v>3742</v>
      </c>
      <c r="H1100" t="s">
        <v>3740</v>
      </c>
    </row>
    <row r="1101" spans="2:8" x14ac:dyDescent="0.25">
      <c r="B1101" t="s">
        <v>3743</v>
      </c>
      <c r="C1101" t="s">
        <v>3744</v>
      </c>
      <c r="D1101" t="s">
        <v>3745</v>
      </c>
      <c r="E1101" t="s">
        <v>3745</v>
      </c>
      <c r="H1101" t="s">
        <v>3743</v>
      </c>
    </row>
    <row r="1102" spans="2:8" x14ac:dyDescent="0.25">
      <c r="B1102" t="s">
        <v>3746</v>
      </c>
      <c r="C1102" t="s">
        <v>3744</v>
      </c>
      <c r="D1102" t="s">
        <v>3747</v>
      </c>
      <c r="E1102" t="s">
        <v>3747</v>
      </c>
      <c r="H1102" t="s">
        <v>3746</v>
      </c>
    </row>
    <row r="1103" spans="2:8" x14ac:dyDescent="0.25">
      <c r="B1103" t="s">
        <v>3748</v>
      </c>
      <c r="C1103" t="s">
        <v>3744</v>
      </c>
      <c r="D1103" t="s">
        <v>3749</v>
      </c>
      <c r="E1103" t="s">
        <v>3749</v>
      </c>
      <c r="H1103" t="s">
        <v>3748</v>
      </c>
    </row>
    <row r="1104" spans="2:8" x14ac:dyDescent="0.25">
      <c r="B1104" t="s">
        <v>3750</v>
      </c>
      <c r="C1104" t="s">
        <v>3751</v>
      </c>
      <c r="D1104" t="s">
        <v>3752</v>
      </c>
      <c r="E1104" t="s">
        <v>3752</v>
      </c>
      <c r="H1104" t="s">
        <v>3750</v>
      </c>
    </row>
    <row r="1105" spans="2:8" x14ac:dyDescent="0.25">
      <c r="B1105" t="s">
        <v>3753</v>
      </c>
      <c r="C1105" t="s">
        <v>3751</v>
      </c>
      <c r="D1105" t="s">
        <v>3754</v>
      </c>
      <c r="E1105" t="s">
        <v>3754</v>
      </c>
      <c r="H1105" t="s">
        <v>3753</v>
      </c>
    </row>
    <row r="1106" spans="2:8" x14ac:dyDescent="0.25">
      <c r="B1106" t="s">
        <v>3118</v>
      </c>
      <c r="C1106" t="s">
        <v>3119</v>
      </c>
      <c r="D1106" t="s">
        <v>3120</v>
      </c>
      <c r="E1106" t="s">
        <v>3120</v>
      </c>
      <c r="H1106" t="s">
        <v>3118</v>
      </c>
    </row>
    <row r="1107" spans="2:8" x14ac:dyDescent="0.25">
      <c r="B1107" t="s">
        <v>3757</v>
      </c>
      <c r="C1107" t="s">
        <v>3758</v>
      </c>
      <c r="D1107" t="s">
        <v>3759</v>
      </c>
      <c r="E1107" t="s">
        <v>3759</v>
      </c>
      <c r="H1107" t="s">
        <v>3757</v>
      </c>
    </row>
    <row r="1108" spans="2:8" x14ac:dyDescent="0.25">
      <c r="B1108" t="s">
        <v>3760</v>
      </c>
      <c r="C1108" t="s">
        <v>3761</v>
      </c>
      <c r="D1108" t="s">
        <v>3762</v>
      </c>
      <c r="E1108" t="s">
        <v>3762</v>
      </c>
      <c r="H1108" t="s">
        <v>3760</v>
      </c>
    </row>
    <row r="1109" spans="2:8" x14ac:dyDescent="0.25">
      <c r="B1109" t="s">
        <v>3121</v>
      </c>
      <c r="C1109" t="s">
        <v>3119</v>
      </c>
      <c r="D1109" t="s">
        <v>3122</v>
      </c>
      <c r="E1109" t="s">
        <v>3122</v>
      </c>
      <c r="H1109" t="s">
        <v>3121</v>
      </c>
    </row>
    <row r="1110" spans="2:8" x14ac:dyDescent="0.25">
      <c r="B1110" t="s">
        <v>3763</v>
      </c>
      <c r="C1110" t="s">
        <v>3758</v>
      </c>
      <c r="D1110" t="s">
        <v>3764</v>
      </c>
      <c r="E1110" t="s">
        <v>3764</v>
      </c>
      <c r="H1110" t="s">
        <v>3763</v>
      </c>
    </row>
    <row r="1111" spans="2:8" x14ac:dyDescent="0.25">
      <c r="B1111" t="s">
        <v>3765</v>
      </c>
      <c r="C1111" t="s">
        <v>3761</v>
      </c>
      <c r="D1111" t="s">
        <v>3766</v>
      </c>
      <c r="E1111" t="s">
        <v>3766</v>
      </c>
      <c r="H1111" t="s">
        <v>3765</v>
      </c>
    </row>
    <row r="1112" spans="2:8" x14ac:dyDescent="0.25">
      <c r="B1112" t="s">
        <v>3123</v>
      </c>
      <c r="C1112" t="s">
        <v>3124</v>
      </c>
      <c r="D1112" t="s">
        <v>3125</v>
      </c>
      <c r="E1112" t="s">
        <v>3125</v>
      </c>
      <c r="H1112" t="s">
        <v>3123</v>
      </c>
    </row>
    <row r="1113" spans="2:8" x14ac:dyDescent="0.25">
      <c r="B1113" t="s">
        <v>3126</v>
      </c>
      <c r="C1113" t="s">
        <v>3124</v>
      </c>
      <c r="D1113" t="s">
        <v>3127</v>
      </c>
      <c r="E1113" t="s">
        <v>3127</v>
      </c>
      <c r="H1113" t="s">
        <v>3126</v>
      </c>
    </row>
    <row r="1114" spans="2:8" x14ac:dyDescent="0.25">
      <c r="B1114" t="s">
        <v>3128</v>
      </c>
      <c r="C1114" t="s">
        <v>3129</v>
      </c>
      <c r="D1114" t="s">
        <v>3130</v>
      </c>
      <c r="E1114" t="s">
        <v>3130</v>
      </c>
      <c r="H1114" t="s">
        <v>3128</v>
      </c>
    </row>
    <row r="1115" spans="2:8" x14ac:dyDescent="0.25">
      <c r="B1115" t="s">
        <v>3131</v>
      </c>
      <c r="C1115" t="s">
        <v>3129</v>
      </c>
      <c r="D1115" t="s">
        <v>3132</v>
      </c>
      <c r="E1115" t="s">
        <v>3132</v>
      </c>
      <c r="H1115" t="s">
        <v>3131</v>
      </c>
    </row>
    <row r="1116" spans="2:8" x14ac:dyDescent="0.25">
      <c r="B1116" t="s">
        <v>3767</v>
      </c>
      <c r="C1116" t="s">
        <v>3768</v>
      </c>
      <c r="D1116" t="s">
        <v>3769</v>
      </c>
      <c r="E1116" t="s">
        <v>3769</v>
      </c>
      <c r="H1116" t="s">
        <v>3767</v>
      </c>
    </row>
    <row r="1117" spans="2:8" x14ac:dyDescent="0.25">
      <c r="B1117" t="s">
        <v>3770</v>
      </c>
      <c r="C1117" t="s">
        <v>3771</v>
      </c>
      <c r="D1117" t="s">
        <v>3772</v>
      </c>
      <c r="E1117" t="s">
        <v>3772</v>
      </c>
      <c r="H1117" t="s">
        <v>3770</v>
      </c>
    </row>
    <row r="1118" spans="2:8" x14ac:dyDescent="0.25">
      <c r="B1118" t="s">
        <v>3775</v>
      </c>
      <c r="C1118" t="s">
        <v>3776</v>
      </c>
      <c r="D1118" t="s">
        <v>2438</v>
      </c>
      <c r="E1118" t="s">
        <v>2438</v>
      </c>
      <c r="H1118" t="s">
        <v>3775</v>
      </c>
    </row>
    <row r="1119" spans="2:8" x14ac:dyDescent="0.25">
      <c r="B1119" t="s">
        <v>3777</v>
      </c>
      <c r="C1119" t="s">
        <v>3776</v>
      </c>
      <c r="D1119" t="s">
        <v>2442</v>
      </c>
      <c r="E1119" t="s">
        <v>2442</v>
      </c>
      <c r="H1119" t="s">
        <v>3777</v>
      </c>
    </row>
    <row r="1120" spans="2:8" x14ac:dyDescent="0.25">
      <c r="B1120" t="s">
        <v>3133</v>
      </c>
      <c r="C1120" t="s">
        <v>1663</v>
      </c>
      <c r="D1120" t="s">
        <v>1674</v>
      </c>
      <c r="E1120" t="s">
        <v>1674</v>
      </c>
      <c r="H1120" t="s">
        <v>3133</v>
      </c>
    </row>
    <row r="1121" spans="2:8" x14ac:dyDescent="0.25">
      <c r="B1121" t="s">
        <v>3778</v>
      </c>
      <c r="C1121" t="s">
        <v>3779</v>
      </c>
      <c r="D1121" t="s">
        <v>2789</v>
      </c>
      <c r="E1121" t="s">
        <v>2789</v>
      </c>
      <c r="H1121" t="s">
        <v>3778</v>
      </c>
    </row>
    <row r="1122" spans="2:8" x14ac:dyDescent="0.25">
      <c r="B1122" t="s">
        <v>3780</v>
      </c>
      <c r="C1122" t="s">
        <v>3781</v>
      </c>
      <c r="D1122" t="s">
        <v>3782</v>
      </c>
      <c r="E1122" t="s">
        <v>3782</v>
      </c>
      <c r="H1122" t="s">
        <v>3780</v>
      </c>
    </row>
    <row r="1123" spans="2:8" x14ac:dyDescent="0.25">
      <c r="B1123" t="s">
        <v>3783</v>
      </c>
      <c r="C1123" t="s">
        <v>3784</v>
      </c>
      <c r="D1123" t="s">
        <v>3785</v>
      </c>
      <c r="E1123" t="s">
        <v>3785</v>
      </c>
      <c r="H1123" t="s">
        <v>3783</v>
      </c>
    </row>
    <row r="1124" spans="2:8" x14ac:dyDescent="0.25">
      <c r="B1124" t="s">
        <v>3786</v>
      </c>
      <c r="C1124" t="s">
        <v>3784</v>
      </c>
      <c r="D1124" t="s">
        <v>3787</v>
      </c>
      <c r="E1124" t="s">
        <v>3787</v>
      </c>
      <c r="H1124" t="s">
        <v>3786</v>
      </c>
    </row>
    <row r="1125" spans="2:8" x14ac:dyDescent="0.25">
      <c r="B1125" t="s">
        <v>3788</v>
      </c>
      <c r="C1125" t="s">
        <v>3789</v>
      </c>
      <c r="D1125" t="s">
        <v>3790</v>
      </c>
      <c r="E1125" t="s">
        <v>3790</v>
      </c>
      <c r="H1125" t="s">
        <v>3788</v>
      </c>
    </row>
    <row r="1126" spans="2:8" x14ac:dyDescent="0.25">
      <c r="B1126" t="s">
        <v>3791</v>
      </c>
      <c r="C1126" t="s">
        <v>3789</v>
      </c>
      <c r="D1126" t="s">
        <v>3792</v>
      </c>
      <c r="E1126" t="s">
        <v>3792</v>
      </c>
      <c r="H1126" t="s">
        <v>3791</v>
      </c>
    </row>
    <row r="1127" spans="2:8" x14ac:dyDescent="0.25">
      <c r="B1127" t="s">
        <v>3793</v>
      </c>
      <c r="C1127" t="s">
        <v>3794</v>
      </c>
      <c r="D1127" t="s">
        <v>3795</v>
      </c>
      <c r="E1127" t="s">
        <v>3795</v>
      </c>
      <c r="H1127" t="s">
        <v>3793</v>
      </c>
    </row>
    <row r="1128" spans="2:8" x14ac:dyDescent="0.25">
      <c r="B1128" t="s">
        <v>3796</v>
      </c>
      <c r="C1128" t="s">
        <v>3794</v>
      </c>
      <c r="D1128" t="s">
        <v>3797</v>
      </c>
      <c r="E1128" t="s">
        <v>3797</v>
      </c>
      <c r="H1128" t="s">
        <v>3796</v>
      </c>
    </row>
    <row r="1129" spans="2:8" x14ac:dyDescent="0.25">
      <c r="B1129" t="s">
        <v>3798</v>
      </c>
      <c r="C1129" t="s">
        <v>3794</v>
      </c>
      <c r="D1129" t="s">
        <v>3799</v>
      </c>
      <c r="E1129" t="s">
        <v>3799</v>
      </c>
      <c r="H1129" t="s">
        <v>3798</v>
      </c>
    </row>
    <row r="1130" spans="2:8" x14ac:dyDescent="0.25">
      <c r="B1130" t="s">
        <v>3800</v>
      </c>
      <c r="C1130" t="s">
        <v>3801</v>
      </c>
      <c r="D1130" t="s">
        <v>3802</v>
      </c>
      <c r="E1130" t="s">
        <v>3802</v>
      </c>
      <c r="H1130" t="s">
        <v>3800</v>
      </c>
    </row>
    <row r="1131" spans="2:8" x14ac:dyDescent="0.25">
      <c r="B1131" t="s">
        <v>3803</v>
      </c>
      <c r="C1131" t="s">
        <v>3804</v>
      </c>
      <c r="D1131" t="s">
        <v>3805</v>
      </c>
      <c r="E1131" t="s">
        <v>3805</v>
      </c>
      <c r="H1131" t="s">
        <v>3803</v>
      </c>
    </row>
    <row r="1132" spans="2:8" x14ac:dyDescent="0.25">
      <c r="B1132" t="s">
        <v>3806</v>
      </c>
      <c r="C1132" t="s">
        <v>3807</v>
      </c>
      <c r="D1132" t="s">
        <v>3808</v>
      </c>
      <c r="E1132" t="s">
        <v>3808</v>
      </c>
      <c r="H1132" t="s">
        <v>3806</v>
      </c>
    </row>
    <row r="1133" spans="2:8" x14ac:dyDescent="0.25">
      <c r="B1133" t="s">
        <v>3809</v>
      </c>
      <c r="C1133" t="s">
        <v>3810</v>
      </c>
      <c r="D1133" t="s">
        <v>3811</v>
      </c>
      <c r="E1133" t="s">
        <v>3811</v>
      </c>
      <c r="H1133" t="s">
        <v>3809</v>
      </c>
    </row>
    <row r="1134" spans="2:8" x14ac:dyDescent="0.25">
      <c r="B1134" t="s">
        <v>3812</v>
      </c>
      <c r="C1134" t="s">
        <v>3813</v>
      </c>
      <c r="D1134" t="s">
        <v>3814</v>
      </c>
      <c r="E1134" t="s">
        <v>3814</v>
      </c>
      <c r="H1134" t="s">
        <v>3812</v>
      </c>
    </row>
    <row r="1135" spans="2:8" x14ac:dyDescent="0.25">
      <c r="B1135" t="s">
        <v>3815</v>
      </c>
      <c r="C1135" t="s">
        <v>3816</v>
      </c>
      <c r="D1135" t="s">
        <v>3817</v>
      </c>
      <c r="E1135" t="s">
        <v>3817</v>
      </c>
      <c r="H1135" t="s">
        <v>3815</v>
      </c>
    </row>
    <row r="1136" spans="2:8" x14ac:dyDescent="0.25">
      <c r="B1136" t="s">
        <v>3818</v>
      </c>
      <c r="C1136" t="s">
        <v>3819</v>
      </c>
      <c r="D1136" t="s">
        <v>3820</v>
      </c>
      <c r="E1136" t="s">
        <v>3820</v>
      </c>
      <c r="H1136" t="s">
        <v>3818</v>
      </c>
    </row>
    <row r="1137" spans="2:8" x14ac:dyDescent="0.25">
      <c r="B1137" t="s">
        <v>3821</v>
      </c>
      <c r="C1137" t="s">
        <v>3822</v>
      </c>
      <c r="D1137" t="s">
        <v>3823</v>
      </c>
      <c r="E1137" t="s">
        <v>3823</v>
      </c>
      <c r="H1137" t="s">
        <v>3821</v>
      </c>
    </row>
    <row r="1138" spans="2:8" x14ac:dyDescent="0.25">
      <c r="B1138" t="s">
        <v>3824</v>
      </c>
      <c r="C1138" t="s">
        <v>3825</v>
      </c>
      <c r="D1138" t="s">
        <v>3826</v>
      </c>
      <c r="E1138" t="s">
        <v>3826</v>
      </c>
      <c r="H1138" t="s">
        <v>3824</v>
      </c>
    </row>
    <row r="1139" spans="2:8" x14ac:dyDescent="0.25">
      <c r="B1139" t="s">
        <v>3827</v>
      </c>
      <c r="C1139" t="s">
        <v>3828</v>
      </c>
      <c r="D1139" t="s">
        <v>3829</v>
      </c>
      <c r="E1139" t="s">
        <v>3829</v>
      </c>
      <c r="H1139" t="s">
        <v>3827</v>
      </c>
    </row>
    <row r="1140" spans="2:8" x14ac:dyDescent="0.25">
      <c r="B1140" t="s">
        <v>3830</v>
      </c>
      <c r="C1140" t="s">
        <v>3831</v>
      </c>
      <c r="D1140" t="s">
        <v>3832</v>
      </c>
      <c r="E1140" t="s">
        <v>3832</v>
      </c>
      <c r="H1140" t="s">
        <v>3830</v>
      </c>
    </row>
    <row r="1141" spans="2:8" x14ac:dyDescent="0.25">
      <c r="B1141" t="s">
        <v>3833</v>
      </c>
      <c r="C1141" t="s">
        <v>3834</v>
      </c>
      <c r="D1141" t="s">
        <v>3835</v>
      </c>
      <c r="E1141" t="s">
        <v>3835</v>
      </c>
      <c r="H1141" t="s">
        <v>3833</v>
      </c>
    </row>
    <row r="1142" spans="2:8" x14ac:dyDescent="0.25">
      <c r="B1142" t="s">
        <v>3836</v>
      </c>
      <c r="C1142" t="s">
        <v>3837</v>
      </c>
      <c r="D1142" t="s">
        <v>3838</v>
      </c>
      <c r="E1142" t="s">
        <v>3838</v>
      </c>
      <c r="H1142" t="s">
        <v>3836</v>
      </c>
    </row>
    <row r="1143" spans="2:8" x14ac:dyDescent="0.25">
      <c r="B1143" t="s">
        <v>3839</v>
      </c>
      <c r="C1143" t="s">
        <v>3840</v>
      </c>
      <c r="D1143" t="s">
        <v>3841</v>
      </c>
      <c r="E1143" t="s">
        <v>3841</v>
      </c>
      <c r="H1143" t="s">
        <v>3839</v>
      </c>
    </row>
    <row r="1144" spans="2:8" x14ac:dyDescent="0.25">
      <c r="B1144" t="s">
        <v>3842</v>
      </c>
      <c r="C1144" t="s">
        <v>3843</v>
      </c>
      <c r="D1144" t="s">
        <v>3844</v>
      </c>
      <c r="E1144" t="s">
        <v>3844</v>
      </c>
      <c r="H1144" t="s">
        <v>3842</v>
      </c>
    </row>
    <row r="1145" spans="2:8" x14ac:dyDescent="0.25">
      <c r="B1145" t="s">
        <v>3845</v>
      </c>
      <c r="C1145" t="s">
        <v>3846</v>
      </c>
      <c r="D1145" t="s">
        <v>3847</v>
      </c>
      <c r="E1145" t="s">
        <v>3847</v>
      </c>
      <c r="H1145" t="s">
        <v>3845</v>
      </c>
    </row>
    <row r="1146" spans="2:8" x14ac:dyDescent="0.25">
      <c r="B1146" t="s">
        <v>3848</v>
      </c>
      <c r="C1146" t="s">
        <v>3849</v>
      </c>
      <c r="D1146" t="s">
        <v>3850</v>
      </c>
      <c r="E1146" t="s">
        <v>3850</v>
      </c>
      <c r="H1146" t="s">
        <v>3848</v>
      </c>
    </row>
    <row r="1147" spans="2:8" x14ac:dyDescent="0.25">
      <c r="B1147" t="s">
        <v>3851</v>
      </c>
      <c r="C1147" t="s">
        <v>3852</v>
      </c>
      <c r="D1147" t="s">
        <v>3853</v>
      </c>
      <c r="E1147" t="s">
        <v>3853</v>
      </c>
      <c r="H1147" t="s">
        <v>3851</v>
      </c>
    </row>
    <row r="1148" spans="2:8" x14ac:dyDescent="0.25">
      <c r="B1148" t="s">
        <v>3854</v>
      </c>
      <c r="C1148" t="s">
        <v>3855</v>
      </c>
      <c r="D1148" t="s">
        <v>3856</v>
      </c>
      <c r="E1148" t="s">
        <v>3856</v>
      </c>
      <c r="H1148" t="s">
        <v>3854</v>
      </c>
    </row>
    <row r="1149" spans="2:8" x14ac:dyDescent="0.25">
      <c r="B1149" t="s">
        <v>3860</v>
      </c>
      <c r="C1149" t="s">
        <v>3861</v>
      </c>
      <c r="D1149" t="s">
        <v>3862</v>
      </c>
      <c r="E1149" t="s">
        <v>3862</v>
      </c>
      <c r="H1149" t="s">
        <v>3860</v>
      </c>
    </row>
    <row r="1150" spans="2:8" x14ac:dyDescent="0.25">
      <c r="B1150" t="s">
        <v>3863</v>
      </c>
      <c r="C1150" t="s">
        <v>3861</v>
      </c>
      <c r="D1150" t="s">
        <v>3864</v>
      </c>
      <c r="E1150" t="s">
        <v>3864</v>
      </c>
      <c r="H1150" t="s">
        <v>3863</v>
      </c>
    </row>
    <row r="1151" spans="2:8" x14ac:dyDescent="0.25">
      <c r="B1151" t="s">
        <v>3866</v>
      </c>
      <c r="C1151" t="s">
        <v>3865</v>
      </c>
      <c r="D1151" t="s">
        <v>3867</v>
      </c>
      <c r="E1151" t="s">
        <v>3867</v>
      </c>
      <c r="H1151" t="s">
        <v>3866</v>
      </c>
    </row>
    <row r="1152" spans="2:8" x14ac:dyDescent="0.25">
      <c r="B1152" t="s">
        <v>3868</v>
      </c>
      <c r="C1152" t="s">
        <v>3865</v>
      </c>
      <c r="D1152" t="s">
        <v>3869</v>
      </c>
      <c r="E1152" t="s">
        <v>3869</v>
      </c>
      <c r="H1152" t="s">
        <v>3868</v>
      </c>
    </row>
    <row r="1153" spans="2:8" x14ac:dyDescent="0.25">
      <c r="B1153" t="s">
        <v>3870</v>
      </c>
      <c r="C1153" t="s">
        <v>3871</v>
      </c>
      <c r="D1153" t="s">
        <v>3872</v>
      </c>
      <c r="E1153" t="s">
        <v>3872</v>
      </c>
      <c r="H1153" t="s">
        <v>3870</v>
      </c>
    </row>
    <row r="1154" spans="2:8" x14ac:dyDescent="0.25">
      <c r="B1154" t="s">
        <v>3873</v>
      </c>
      <c r="C1154" t="s">
        <v>3874</v>
      </c>
      <c r="D1154" t="s">
        <v>3875</v>
      </c>
      <c r="E1154" t="s">
        <v>3875</v>
      </c>
      <c r="H1154" t="s">
        <v>3873</v>
      </c>
    </row>
    <row r="1155" spans="2:8" x14ac:dyDescent="0.25">
      <c r="B1155" t="s">
        <v>3876</v>
      </c>
      <c r="C1155" t="s">
        <v>3877</v>
      </c>
      <c r="D1155" t="s">
        <v>3878</v>
      </c>
      <c r="E1155" t="s">
        <v>3878</v>
      </c>
      <c r="H1155" t="s">
        <v>3876</v>
      </c>
    </row>
    <row r="1156" spans="2:8" x14ac:dyDescent="0.25">
      <c r="B1156" t="s">
        <v>3134</v>
      </c>
      <c r="C1156" t="s">
        <v>3135</v>
      </c>
      <c r="D1156" t="s">
        <v>3136</v>
      </c>
      <c r="E1156" t="s">
        <v>3136</v>
      </c>
      <c r="H1156" t="s">
        <v>3134</v>
      </c>
    </row>
    <row r="1157" spans="2:8" x14ac:dyDescent="0.25">
      <c r="B1157" t="s">
        <v>3137</v>
      </c>
      <c r="C1157" t="s">
        <v>3138</v>
      </c>
      <c r="D1157" t="s">
        <v>3139</v>
      </c>
      <c r="E1157" t="s">
        <v>3139</v>
      </c>
      <c r="H1157" t="s">
        <v>3137</v>
      </c>
    </row>
    <row r="1158" spans="2:8" x14ac:dyDescent="0.25">
      <c r="B1158" t="s">
        <v>3140</v>
      </c>
      <c r="C1158" t="s">
        <v>3141</v>
      </c>
      <c r="D1158" t="s">
        <v>3142</v>
      </c>
      <c r="E1158" t="s">
        <v>3142</v>
      </c>
      <c r="H1158" t="s">
        <v>3140</v>
      </c>
    </row>
    <row r="1159" spans="2:8" x14ac:dyDescent="0.25">
      <c r="B1159" t="s">
        <v>3143</v>
      </c>
      <c r="C1159" t="s">
        <v>3141</v>
      </c>
      <c r="D1159" t="s">
        <v>3144</v>
      </c>
      <c r="E1159" t="s">
        <v>3144</v>
      </c>
      <c r="H1159" t="s">
        <v>3143</v>
      </c>
    </row>
    <row r="1160" spans="2:8" x14ac:dyDescent="0.25">
      <c r="B1160" t="s">
        <v>3145</v>
      </c>
      <c r="C1160" t="s">
        <v>3141</v>
      </c>
      <c r="D1160" t="s">
        <v>3146</v>
      </c>
      <c r="E1160" t="s">
        <v>3146</v>
      </c>
      <c r="H1160" t="s">
        <v>3145</v>
      </c>
    </row>
    <row r="1161" spans="2:8" x14ac:dyDescent="0.25">
      <c r="B1161" t="s">
        <v>3147</v>
      </c>
      <c r="C1161" t="s">
        <v>3148</v>
      </c>
      <c r="D1161" t="s">
        <v>3149</v>
      </c>
      <c r="E1161" t="s">
        <v>3149</v>
      </c>
      <c r="H1161" t="s">
        <v>3147</v>
      </c>
    </row>
    <row r="1162" spans="2:8" x14ac:dyDescent="0.25">
      <c r="B1162" t="s">
        <v>3150</v>
      </c>
      <c r="C1162" t="s">
        <v>3148</v>
      </c>
      <c r="D1162" t="s">
        <v>3151</v>
      </c>
      <c r="E1162" t="s">
        <v>3151</v>
      </c>
      <c r="H1162" t="s">
        <v>3150</v>
      </c>
    </row>
    <row r="1163" spans="2:8" x14ac:dyDescent="0.25">
      <c r="B1163" t="s">
        <v>3152</v>
      </c>
      <c r="C1163" t="s">
        <v>3148</v>
      </c>
      <c r="D1163" t="s">
        <v>3153</v>
      </c>
      <c r="E1163" t="s">
        <v>3153</v>
      </c>
      <c r="H1163" t="s">
        <v>3152</v>
      </c>
    </row>
    <row r="1164" spans="2:8" x14ac:dyDescent="0.25">
      <c r="B1164" t="s">
        <v>3154</v>
      </c>
      <c r="C1164" t="s">
        <v>3148</v>
      </c>
      <c r="D1164" t="s">
        <v>3155</v>
      </c>
      <c r="E1164" t="s">
        <v>3155</v>
      </c>
      <c r="H1164" t="s">
        <v>3154</v>
      </c>
    </row>
    <row r="1165" spans="2:8" x14ac:dyDescent="0.25">
      <c r="B1165" t="s">
        <v>3156</v>
      </c>
      <c r="C1165" t="s">
        <v>3157</v>
      </c>
      <c r="D1165" t="s">
        <v>3158</v>
      </c>
      <c r="E1165" t="s">
        <v>3158</v>
      </c>
      <c r="H1165" t="s">
        <v>3156</v>
      </c>
    </row>
    <row r="1166" spans="2:8" x14ac:dyDescent="0.25">
      <c r="B1166" t="s">
        <v>3159</v>
      </c>
      <c r="C1166" t="s">
        <v>3157</v>
      </c>
      <c r="D1166" t="s">
        <v>3160</v>
      </c>
      <c r="E1166" t="s">
        <v>3160</v>
      </c>
      <c r="H1166" t="s">
        <v>3159</v>
      </c>
    </row>
    <row r="1167" spans="2:8" x14ac:dyDescent="0.25">
      <c r="B1167" t="s">
        <v>3879</v>
      </c>
      <c r="C1167" t="s">
        <v>3880</v>
      </c>
      <c r="D1167" t="s">
        <v>3881</v>
      </c>
      <c r="E1167" t="s">
        <v>3881</v>
      </c>
      <c r="H1167" t="s">
        <v>3879</v>
      </c>
    </row>
    <row r="1168" spans="2:8" x14ac:dyDescent="0.25">
      <c r="B1168" t="s">
        <v>3882</v>
      </c>
      <c r="C1168" t="s">
        <v>3880</v>
      </c>
      <c r="D1168" t="s">
        <v>3883</v>
      </c>
      <c r="E1168" t="s">
        <v>3883</v>
      </c>
      <c r="H1168" t="s">
        <v>3882</v>
      </c>
    </row>
    <row r="1169" spans="2:8" x14ac:dyDescent="0.25">
      <c r="B1169" t="s">
        <v>3884</v>
      </c>
      <c r="C1169" t="s">
        <v>3880</v>
      </c>
      <c r="D1169" t="s">
        <v>3885</v>
      </c>
      <c r="E1169" t="s">
        <v>3885</v>
      </c>
      <c r="H1169" t="s">
        <v>3884</v>
      </c>
    </row>
    <row r="1170" spans="2:8" x14ac:dyDescent="0.25">
      <c r="B1170" t="s">
        <v>3886</v>
      </c>
      <c r="C1170" t="s">
        <v>3880</v>
      </c>
      <c r="D1170" t="s">
        <v>3887</v>
      </c>
      <c r="E1170" t="s">
        <v>3887</v>
      </c>
      <c r="H1170" t="s">
        <v>3886</v>
      </c>
    </row>
    <row r="1171" spans="2:8" x14ac:dyDescent="0.25">
      <c r="B1171" t="s">
        <v>3888</v>
      </c>
      <c r="C1171" t="s">
        <v>3880</v>
      </c>
      <c r="D1171" t="s">
        <v>3889</v>
      </c>
      <c r="E1171" t="s">
        <v>3889</v>
      </c>
      <c r="H1171" t="s">
        <v>3888</v>
      </c>
    </row>
    <row r="1172" spans="2:8" x14ac:dyDescent="0.25">
      <c r="B1172" t="s">
        <v>3890</v>
      </c>
      <c r="C1172" t="s">
        <v>3880</v>
      </c>
      <c r="D1172" t="s">
        <v>3891</v>
      </c>
      <c r="E1172" t="s">
        <v>3891</v>
      </c>
      <c r="H1172" t="s">
        <v>3890</v>
      </c>
    </row>
    <row r="1173" spans="2:8" x14ac:dyDescent="0.25">
      <c r="B1173" t="s">
        <v>3892</v>
      </c>
      <c r="C1173" t="s">
        <v>3893</v>
      </c>
      <c r="D1173" t="s">
        <v>3894</v>
      </c>
      <c r="E1173" t="s">
        <v>3894</v>
      </c>
      <c r="H1173" t="s">
        <v>3892</v>
      </c>
    </row>
    <row r="1174" spans="2:8" x14ac:dyDescent="0.25">
      <c r="B1174" t="s">
        <v>3895</v>
      </c>
      <c r="C1174" t="s">
        <v>3893</v>
      </c>
      <c r="D1174" t="s">
        <v>3896</v>
      </c>
      <c r="E1174" t="s">
        <v>3896</v>
      </c>
      <c r="H1174" t="s">
        <v>3895</v>
      </c>
    </row>
    <row r="1175" spans="2:8" x14ac:dyDescent="0.25">
      <c r="B1175" t="s">
        <v>3897</v>
      </c>
      <c r="C1175" t="s">
        <v>3893</v>
      </c>
      <c r="D1175" t="s">
        <v>3898</v>
      </c>
      <c r="E1175" t="s">
        <v>3898</v>
      </c>
      <c r="H1175" t="s">
        <v>3897</v>
      </c>
    </row>
    <row r="1176" spans="2:8" x14ac:dyDescent="0.25">
      <c r="B1176" t="s">
        <v>3899</v>
      </c>
      <c r="C1176" t="s">
        <v>3893</v>
      </c>
      <c r="D1176" t="s">
        <v>3900</v>
      </c>
      <c r="E1176" t="s">
        <v>3900</v>
      </c>
      <c r="H1176" t="s">
        <v>3899</v>
      </c>
    </row>
    <row r="1177" spans="2:8" x14ac:dyDescent="0.25">
      <c r="B1177" t="s">
        <v>3901</v>
      </c>
      <c r="C1177" t="s">
        <v>3902</v>
      </c>
      <c r="D1177" t="s">
        <v>3903</v>
      </c>
      <c r="E1177" t="s">
        <v>3903</v>
      </c>
      <c r="H1177" t="s">
        <v>3901</v>
      </c>
    </row>
    <row r="1178" spans="2:8" x14ac:dyDescent="0.25">
      <c r="B1178" t="s">
        <v>3904</v>
      </c>
      <c r="C1178" t="s">
        <v>3902</v>
      </c>
      <c r="D1178" t="s">
        <v>3905</v>
      </c>
      <c r="E1178" t="s">
        <v>3905</v>
      </c>
      <c r="H1178" t="s">
        <v>3904</v>
      </c>
    </row>
    <row r="1179" spans="2:8" x14ac:dyDescent="0.25">
      <c r="B1179" t="s">
        <v>3906</v>
      </c>
      <c r="C1179" t="s">
        <v>3902</v>
      </c>
      <c r="D1179" t="s">
        <v>3907</v>
      </c>
      <c r="E1179" t="s">
        <v>3907</v>
      </c>
      <c r="H1179" t="s">
        <v>3906</v>
      </c>
    </row>
    <row r="1180" spans="2:8" x14ac:dyDescent="0.25">
      <c r="B1180" t="s">
        <v>3908</v>
      </c>
      <c r="C1180" t="s">
        <v>3902</v>
      </c>
      <c r="D1180" t="s">
        <v>3909</v>
      </c>
      <c r="E1180" t="s">
        <v>3909</v>
      </c>
      <c r="H1180" t="s">
        <v>3908</v>
      </c>
    </row>
    <row r="1181" spans="2:8" x14ac:dyDescent="0.25">
      <c r="B1181" t="s">
        <v>3910</v>
      </c>
      <c r="C1181" t="s">
        <v>3902</v>
      </c>
      <c r="D1181" t="s">
        <v>3911</v>
      </c>
      <c r="E1181" t="s">
        <v>3911</v>
      </c>
      <c r="H1181" t="s">
        <v>3910</v>
      </c>
    </row>
    <row r="1182" spans="2:8" x14ac:dyDescent="0.25">
      <c r="B1182" t="s">
        <v>3912</v>
      </c>
      <c r="C1182" t="s">
        <v>3902</v>
      </c>
      <c r="D1182" t="s">
        <v>3913</v>
      </c>
      <c r="E1182" t="s">
        <v>3913</v>
      </c>
      <c r="H1182" t="s">
        <v>3912</v>
      </c>
    </row>
    <row r="1183" spans="2:8" x14ac:dyDescent="0.25">
      <c r="B1183" t="s">
        <v>3914</v>
      </c>
      <c r="C1183" t="s">
        <v>3902</v>
      </c>
      <c r="D1183" t="s">
        <v>3915</v>
      </c>
      <c r="E1183" t="s">
        <v>3915</v>
      </c>
      <c r="H1183" t="s">
        <v>3914</v>
      </c>
    </row>
    <row r="1184" spans="2:8" x14ac:dyDescent="0.25">
      <c r="B1184" t="s">
        <v>3916</v>
      </c>
      <c r="C1184" t="s">
        <v>3902</v>
      </c>
      <c r="D1184" t="s">
        <v>3917</v>
      </c>
      <c r="E1184" t="s">
        <v>3917</v>
      </c>
      <c r="H1184" t="s">
        <v>3916</v>
      </c>
    </row>
    <row r="1185" spans="2:8" x14ac:dyDescent="0.25">
      <c r="B1185" t="s">
        <v>3161</v>
      </c>
      <c r="C1185" t="s">
        <v>3162</v>
      </c>
      <c r="D1185" t="s">
        <v>3163</v>
      </c>
      <c r="E1185" t="s">
        <v>3163</v>
      </c>
      <c r="H1185" t="s">
        <v>3161</v>
      </c>
    </row>
    <row r="1186" spans="2:8" x14ac:dyDescent="0.25">
      <c r="B1186" t="s">
        <v>3918</v>
      </c>
      <c r="C1186" t="s">
        <v>3919</v>
      </c>
      <c r="D1186" t="s">
        <v>3920</v>
      </c>
      <c r="E1186" t="s">
        <v>3920</v>
      </c>
      <c r="H1186" t="s">
        <v>3918</v>
      </c>
    </row>
    <row r="1187" spans="2:8" x14ac:dyDescent="0.25">
      <c r="B1187" t="s">
        <v>3921</v>
      </c>
      <c r="C1187" t="s">
        <v>3922</v>
      </c>
      <c r="D1187" t="s">
        <v>3923</v>
      </c>
      <c r="E1187" t="s">
        <v>3923</v>
      </c>
      <c r="H1187" t="s">
        <v>3921</v>
      </c>
    </row>
    <row r="1188" spans="2:8" x14ac:dyDescent="0.25">
      <c r="B1188" t="s">
        <v>3164</v>
      </c>
      <c r="C1188" t="s">
        <v>3162</v>
      </c>
      <c r="D1188" t="s">
        <v>3165</v>
      </c>
      <c r="E1188" t="s">
        <v>3165</v>
      </c>
      <c r="H1188" t="s">
        <v>3164</v>
      </c>
    </row>
    <row r="1189" spans="2:8" x14ac:dyDescent="0.25">
      <c r="B1189" t="s">
        <v>3924</v>
      </c>
      <c r="C1189" t="s">
        <v>3919</v>
      </c>
      <c r="D1189" t="s">
        <v>3925</v>
      </c>
      <c r="E1189" t="s">
        <v>3925</v>
      </c>
      <c r="H1189" t="s">
        <v>3924</v>
      </c>
    </row>
    <row r="1190" spans="2:8" x14ac:dyDescent="0.25">
      <c r="B1190" t="s">
        <v>3926</v>
      </c>
      <c r="C1190" t="s">
        <v>3922</v>
      </c>
      <c r="D1190" t="s">
        <v>3927</v>
      </c>
      <c r="E1190" t="s">
        <v>3927</v>
      </c>
      <c r="H1190" t="s">
        <v>3926</v>
      </c>
    </row>
    <row r="1191" spans="2:8" x14ac:dyDescent="0.25">
      <c r="B1191" t="s">
        <v>3928</v>
      </c>
      <c r="C1191" t="s">
        <v>3929</v>
      </c>
      <c r="D1191" t="s">
        <v>3930</v>
      </c>
      <c r="E1191" t="s">
        <v>3930</v>
      </c>
      <c r="H1191" t="s">
        <v>3928</v>
      </c>
    </row>
    <row r="1192" spans="2:8" x14ac:dyDescent="0.25">
      <c r="B1192" t="s">
        <v>3931</v>
      </c>
      <c r="C1192" t="s">
        <v>3929</v>
      </c>
      <c r="D1192" t="s">
        <v>3932</v>
      </c>
      <c r="E1192" t="s">
        <v>3932</v>
      </c>
      <c r="H1192" t="s">
        <v>3931</v>
      </c>
    </row>
    <row r="1193" spans="2:8" x14ac:dyDescent="0.25">
      <c r="B1193" t="s">
        <v>3933</v>
      </c>
      <c r="C1193" t="s">
        <v>3929</v>
      </c>
      <c r="D1193" t="s">
        <v>3934</v>
      </c>
      <c r="E1193" t="s">
        <v>3934</v>
      </c>
      <c r="H1193" t="s">
        <v>3933</v>
      </c>
    </row>
    <row r="1194" spans="2:8" x14ac:dyDescent="0.25">
      <c r="B1194" t="s">
        <v>3935</v>
      </c>
      <c r="C1194" t="s">
        <v>3936</v>
      </c>
      <c r="D1194" t="s">
        <v>3937</v>
      </c>
      <c r="E1194" t="s">
        <v>3937</v>
      </c>
      <c r="H1194" t="s">
        <v>3935</v>
      </c>
    </row>
    <row r="1195" spans="2:8" x14ac:dyDescent="0.25">
      <c r="B1195" t="s">
        <v>3938</v>
      </c>
      <c r="C1195" t="s">
        <v>3936</v>
      </c>
      <c r="D1195" t="s">
        <v>3939</v>
      </c>
      <c r="E1195" t="s">
        <v>3939</v>
      </c>
      <c r="H1195" t="s">
        <v>3938</v>
      </c>
    </row>
    <row r="1196" spans="2:8" x14ac:dyDescent="0.25">
      <c r="B1196" t="s">
        <v>3940</v>
      </c>
      <c r="C1196" t="s">
        <v>3936</v>
      </c>
      <c r="D1196" t="s">
        <v>3941</v>
      </c>
      <c r="E1196" t="s">
        <v>3941</v>
      </c>
      <c r="H1196" t="s">
        <v>3940</v>
      </c>
    </row>
    <row r="1197" spans="2:8" x14ac:dyDescent="0.25">
      <c r="B1197" t="s">
        <v>3942</v>
      </c>
      <c r="C1197" t="s">
        <v>3943</v>
      </c>
      <c r="D1197" t="s">
        <v>3944</v>
      </c>
      <c r="E1197" t="s">
        <v>3944</v>
      </c>
      <c r="H1197" t="s">
        <v>3942</v>
      </c>
    </row>
    <row r="1198" spans="2:8" x14ac:dyDescent="0.25">
      <c r="B1198" t="s">
        <v>3945</v>
      </c>
      <c r="C1198" t="s">
        <v>3943</v>
      </c>
      <c r="D1198" t="s">
        <v>3946</v>
      </c>
      <c r="E1198" t="s">
        <v>3946</v>
      </c>
      <c r="H1198" t="s">
        <v>3945</v>
      </c>
    </row>
    <row r="1199" spans="2:8" x14ac:dyDescent="0.25">
      <c r="B1199" t="s">
        <v>3947</v>
      </c>
      <c r="C1199" t="s">
        <v>3943</v>
      </c>
      <c r="D1199" t="s">
        <v>3948</v>
      </c>
      <c r="E1199" t="s">
        <v>3948</v>
      </c>
      <c r="H1199" t="s">
        <v>3947</v>
      </c>
    </row>
    <row r="1200" spans="2:8" x14ac:dyDescent="0.25">
      <c r="B1200" t="s">
        <v>3949</v>
      </c>
      <c r="C1200" t="s">
        <v>3950</v>
      </c>
      <c r="D1200" t="s">
        <v>3951</v>
      </c>
      <c r="E1200" t="s">
        <v>3951</v>
      </c>
      <c r="H1200" t="s">
        <v>3949</v>
      </c>
    </row>
    <row r="1201" spans="2:8" x14ac:dyDescent="0.25">
      <c r="B1201" t="s">
        <v>3952</v>
      </c>
      <c r="C1201" t="s">
        <v>3950</v>
      </c>
      <c r="D1201" t="s">
        <v>3953</v>
      </c>
      <c r="E1201" t="s">
        <v>3953</v>
      </c>
      <c r="H1201" t="s">
        <v>3952</v>
      </c>
    </row>
    <row r="1202" spans="2:8" x14ac:dyDescent="0.25">
      <c r="B1202" t="s">
        <v>3954</v>
      </c>
      <c r="C1202" t="s">
        <v>3950</v>
      </c>
      <c r="D1202" t="s">
        <v>3955</v>
      </c>
      <c r="E1202" t="s">
        <v>3955</v>
      </c>
      <c r="H1202" t="s">
        <v>3954</v>
      </c>
    </row>
    <row r="1203" spans="2:8" x14ac:dyDescent="0.25">
      <c r="B1203" t="s">
        <v>3956</v>
      </c>
      <c r="C1203" t="s">
        <v>3957</v>
      </c>
      <c r="D1203" t="s">
        <v>3958</v>
      </c>
      <c r="E1203" t="s">
        <v>3958</v>
      </c>
      <c r="H1203" t="s">
        <v>3956</v>
      </c>
    </row>
    <row r="1204" spans="2:8" x14ac:dyDescent="0.25">
      <c r="B1204" t="s">
        <v>3959</v>
      </c>
      <c r="C1204" t="s">
        <v>3957</v>
      </c>
      <c r="D1204" t="s">
        <v>3960</v>
      </c>
      <c r="E1204" t="s">
        <v>3960</v>
      </c>
      <c r="H1204" t="s">
        <v>3959</v>
      </c>
    </row>
    <row r="1205" spans="2:8" x14ac:dyDescent="0.25">
      <c r="B1205" t="s">
        <v>3961</v>
      </c>
      <c r="C1205" t="s">
        <v>3962</v>
      </c>
      <c r="D1205" t="s">
        <v>3963</v>
      </c>
      <c r="E1205" t="s">
        <v>3963</v>
      </c>
      <c r="H1205" t="s">
        <v>3961</v>
      </c>
    </row>
    <row r="1206" spans="2:8" x14ac:dyDescent="0.25">
      <c r="B1206" t="s">
        <v>3964</v>
      </c>
      <c r="C1206" t="s">
        <v>3962</v>
      </c>
      <c r="D1206" t="s">
        <v>3965</v>
      </c>
      <c r="E1206" t="s">
        <v>3965</v>
      </c>
      <c r="H1206" t="s">
        <v>3964</v>
      </c>
    </row>
    <row r="1207" spans="2:8" x14ac:dyDescent="0.25">
      <c r="B1207" t="s">
        <v>3966</v>
      </c>
      <c r="C1207" t="s">
        <v>3962</v>
      </c>
      <c r="D1207" t="s">
        <v>3967</v>
      </c>
      <c r="E1207" t="s">
        <v>3967</v>
      </c>
      <c r="H1207" t="s">
        <v>3966</v>
      </c>
    </row>
    <row r="1208" spans="2:8" x14ac:dyDescent="0.25">
      <c r="B1208" t="s">
        <v>3968</v>
      </c>
      <c r="C1208" t="s">
        <v>3962</v>
      </c>
      <c r="D1208" t="s">
        <v>3969</v>
      </c>
      <c r="E1208" t="s">
        <v>3969</v>
      </c>
      <c r="H1208" t="s">
        <v>3968</v>
      </c>
    </row>
    <row r="1209" spans="2:8" x14ac:dyDescent="0.25">
      <c r="B1209" t="s">
        <v>3970</v>
      </c>
      <c r="C1209" t="s">
        <v>3971</v>
      </c>
      <c r="D1209" t="s">
        <v>3972</v>
      </c>
      <c r="E1209" t="s">
        <v>3972</v>
      </c>
      <c r="H1209" t="s">
        <v>3970</v>
      </c>
    </row>
    <row r="1210" spans="2:8" x14ac:dyDescent="0.25">
      <c r="B1210" t="s">
        <v>3973</v>
      </c>
      <c r="C1210" t="s">
        <v>3971</v>
      </c>
      <c r="D1210" t="s">
        <v>3974</v>
      </c>
      <c r="E1210" t="s">
        <v>3974</v>
      </c>
      <c r="H1210" t="s">
        <v>3973</v>
      </c>
    </row>
    <row r="1211" spans="2:8" x14ac:dyDescent="0.25">
      <c r="B1211" t="s">
        <v>3975</v>
      </c>
      <c r="C1211" t="s">
        <v>3971</v>
      </c>
      <c r="D1211" t="s">
        <v>3976</v>
      </c>
      <c r="E1211" t="s">
        <v>3976</v>
      </c>
      <c r="H1211" t="s">
        <v>3975</v>
      </c>
    </row>
    <row r="1212" spans="2:8" x14ac:dyDescent="0.25">
      <c r="B1212" t="s">
        <v>3977</v>
      </c>
      <c r="C1212" t="s">
        <v>3971</v>
      </c>
      <c r="D1212" t="s">
        <v>3978</v>
      </c>
      <c r="E1212" t="s">
        <v>3978</v>
      </c>
      <c r="H1212" t="s">
        <v>3977</v>
      </c>
    </row>
    <row r="1213" spans="2:8" x14ac:dyDescent="0.25">
      <c r="B1213" t="s">
        <v>3979</v>
      </c>
      <c r="C1213" t="s">
        <v>3980</v>
      </c>
      <c r="D1213" t="s">
        <v>3981</v>
      </c>
      <c r="E1213" t="s">
        <v>3981</v>
      </c>
      <c r="H1213" t="s">
        <v>3979</v>
      </c>
    </row>
    <row r="1214" spans="2:8" x14ac:dyDescent="0.25">
      <c r="B1214" t="s">
        <v>3982</v>
      </c>
      <c r="C1214" t="s">
        <v>3980</v>
      </c>
      <c r="D1214" t="s">
        <v>3983</v>
      </c>
      <c r="E1214" t="s">
        <v>3983</v>
      </c>
      <c r="H1214" t="s">
        <v>3982</v>
      </c>
    </row>
    <row r="1215" spans="2:8" x14ac:dyDescent="0.25">
      <c r="B1215" t="s">
        <v>3984</v>
      </c>
      <c r="C1215" t="s">
        <v>3980</v>
      </c>
      <c r="D1215" t="s">
        <v>3985</v>
      </c>
      <c r="E1215" t="s">
        <v>3985</v>
      </c>
      <c r="H1215" t="s">
        <v>3984</v>
      </c>
    </row>
    <row r="1216" spans="2:8" x14ac:dyDescent="0.25">
      <c r="B1216" t="s">
        <v>3986</v>
      </c>
      <c r="C1216" t="s">
        <v>3980</v>
      </c>
      <c r="D1216" t="s">
        <v>3987</v>
      </c>
      <c r="E1216" t="s">
        <v>3987</v>
      </c>
      <c r="H1216" t="s">
        <v>3986</v>
      </c>
    </row>
    <row r="1217" spans="2:8" x14ac:dyDescent="0.25">
      <c r="B1217" t="s">
        <v>3994</v>
      </c>
      <c r="C1217" t="s">
        <v>3995</v>
      </c>
      <c r="D1217" t="s">
        <v>3996</v>
      </c>
      <c r="E1217" t="s">
        <v>3996</v>
      </c>
      <c r="H1217" t="s">
        <v>3994</v>
      </c>
    </row>
    <row r="1218" spans="2:8" x14ac:dyDescent="0.25">
      <c r="B1218" t="s">
        <v>3997</v>
      </c>
      <c r="C1218" t="s">
        <v>3998</v>
      </c>
      <c r="D1218" t="s">
        <v>3999</v>
      </c>
      <c r="E1218" t="s">
        <v>3999</v>
      </c>
      <c r="H1218" t="s">
        <v>3997</v>
      </c>
    </row>
    <row r="1219" spans="2:8" x14ac:dyDescent="0.25">
      <c r="B1219" t="s">
        <v>4000</v>
      </c>
      <c r="C1219" t="s">
        <v>4001</v>
      </c>
      <c r="D1219" t="s">
        <v>4002</v>
      </c>
      <c r="E1219" t="s">
        <v>4002</v>
      </c>
      <c r="H1219" t="s">
        <v>4000</v>
      </c>
    </row>
    <row r="1220" spans="2:8" x14ac:dyDescent="0.25">
      <c r="B1220" t="s">
        <v>4003</v>
      </c>
      <c r="C1220" t="s">
        <v>4004</v>
      </c>
      <c r="D1220" t="s">
        <v>4005</v>
      </c>
      <c r="E1220" t="s">
        <v>4005</v>
      </c>
      <c r="H1220" t="s">
        <v>4003</v>
      </c>
    </row>
    <row r="1221" spans="2:8" x14ac:dyDescent="0.25">
      <c r="B1221" t="s">
        <v>4006</v>
      </c>
      <c r="C1221" t="s">
        <v>4007</v>
      </c>
      <c r="D1221" t="s">
        <v>4008</v>
      </c>
      <c r="E1221" t="s">
        <v>4008</v>
      </c>
      <c r="H1221" t="s">
        <v>4006</v>
      </c>
    </row>
    <row r="1222" spans="2:8" x14ac:dyDescent="0.25">
      <c r="B1222" t="s">
        <v>4015</v>
      </c>
      <c r="C1222" t="s">
        <v>4016</v>
      </c>
      <c r="D1222" t="s">
        <v>4017</v>
      </c>
      <c r="E1222" t="s">
        <v>4017</v>
      </c>
      <c r="H1222" t="s">
        <v>4015</v>
      </c>
    </row>
    <row r="1223" spans="2:8" x14ac:dyDescent="0.25">
      <c r="B1223" t="s">
        <v>4018</v>
      </c>
      <c r="C1223" t="s">
        <v>4016</v>
      </c>
      <c r="D1223" t="s">
        <v>4019</v>
      </c>
      <c r="E1223" t="s">
        <v>4019</v>
      </c>
      <c r="H1223" t="s">
        <v>4018</v>
      </c>
    </row>
    <row r="1224" spans="2:8" x14ac:dyDescent="0.25">
      <c r="B1224" t="s">
        <v>4020</v>
      </c>
      <c r="C1224" t="s">
        <v>4016</v>
      </c>
      <c r="D1224" t="s">
        <v>4021</v>
      </c>
      <c r="E1224" t="s">
        <v>4021</v>
      </c>
      <c r="H1224" t="s">
        <v>4020</v>
      </c>
    </row>
    <row r="1225" spans="2:8" x14ac:dyDescent="0.25">
      <c r="B1225" t="s">
        <v>4022</v>
      </c>
      <c r="C1225" t="s">
        <v>4016</v>
      </c>
      <c r="D1225" t="s">
        <v>4023</v>
      </c>
      <c r="E1225" t="s">
        <v>4023</v>
      </c>
      <c r="H1225" t="s">
        <v>4022</v>
      </c>
    </row>
    <row r="1226" spans="2:8" x14ac:dyDescent="0.25">
      <c r="B1226" t="s">
        <v>4024</v>
      </c>
      <c r="C1226" t="s">
        <v>4016</v>
      </c>
      <c r="D1226" t="s">
        <v>4025</v>
      </c>
      <c r="E1226" t="s">
        <v>4025</v>
      </c>
      <c r="H1226" t="s">
        <v>4024</v>
      </c>
    </row>
    <row r="1227" spans="2:8" x14ac:dyDescent="0.25">
      <c r="B1227" t="s">
        <v>4026</v>
      </c>
      <c r="C1227" t="s">
        <v>4016</v>
      </c>
      <c r="D1227" t="s">
        <v>4027</v>
      </c>
      <c r="E1227" t="s">
        <v>4027</v>
      </c>
      <c r="H1227" t="s">
        <v>4026</v>
      </c>
    </row>
    <row r="1228" spans="2:8" x14ac:dyDescent="0.25">
      <c r="B1228" t="s">
        <v>4028</v>
      </c>
      <c r="C1228" t="s">
        <v>4029</v>
      </c>
      <c r="D1228" t="s">
        <v>4030</v>
      </c>
      <c r="E1228" t="s">
        <v>4030</v>
      </c>
      <c r="H1228" t="s">
        <v>4028</v>
      </c>
    </row>
    <row r="1229" spans="2:8" x14ac:dyDescent="0.25">
      <c r="B1229" t="s">
        <v>4031</v>
      </c>
      <c r="C1229" t="s">
        <v>4029</v>
      </c>
      <c r="D1229" t="s">
        <v>4032</v>
      </c>
      <c r="E1229" t="s">
        <v>4032</v>
      </c>
      <c r="H1229" t="s">
        <v>4031</v>
      </c>
    </row>
    <row r="1230" spans="2:8" x14ac:dyDescent="0.25">
      <c r="B1230" t="s">
        <v>4033</v>
      </c>
      <c r="C1230" t="s">
        <v>4029</v>
      </c>
      <c r="D1230" t="s">
        <v>4034</v>
      </c>
      <c r="E1230" t="s">
        <v>4034</v>
      </c>
      <c r="H1230" t="s">
        <v>4033</v>
      </c>
    </row>
    <row r="1231" spans="2:8" x14ac:dyDescent="0.25">
      <c r="B1231" t="s">
        <v>4035</v>
      </c>
      <c r="C1231" t="s">
        <v>4029</v>
      </c>
      <c r="D1231" t="s">
        <v>4036</v>
      </c>
      <c r="E1231" t="s">
        <v>4036</v>
      </c>
      <c r="H1231" t="s">
        <v>4035</v>
      </c>
    </row>
    <row r="1232" spans="2:8" x14ac:dyDescent="0.25">
      <c r="B1232" t="s">
        <v>4037</v>
      </c>
      <c r="C1232" t="s">
        <v>4029</v>
      </c>
      <c r="D1232" t="s">
        <v>4038</v>
      </c>
      <c r="E1232" t="s">
        <v>4038</v>
      </c>
      <c r="H1232" t="s">
        <v>4037</v>
      </c>
    </row>
    <row r="1233" spans="2:8" x14ac:dyDescent="0.25">
      <c r="B1233" t="s">
        <v>4039</v>
      </c>
      <c r="C1233" t="s">
        <v>4029</v>
      </c>
      <c r="D1233" t="s">
        <v>4040</v>
      </c>
      <c r="E1233" t="s">
        <v>4040</v>
      </c>
      <c r="H1233" t="s">
        <v>4039</v>
      </c>
    </row>
    <row r="1234" spans="2:8" x14ac:dyDescent="0.25">
      <c r="B1234" t="s">
        <v>4041</v>
      </c>
      <c r="C1234" t="s">
        <v>4042</v>
      </c>
      <c r="D1234" t="s">
        <v>4043</v>
      </c>
      <c r="E1234" t="s">
        <v>4043</v>
      </c>
      <c r="H1234" t="s">
        <v>4041</v>
      </c>
    </row>
    <row r="1235" spans="2:8" x14ac:dyDescent="0.25">
      <c r="B1235" t="s">
        <v>4044</v>
      </c>
      <c r="C1235" t="s">
        <v>4042</v>
      </c>
      <c r="D1235" t="s">
        <v>4045</v>
      </c>
      <c r="E1235" t="s">
        <v>4045</v>
      </c>
      <c r="H1235" t="s">
        <v>4044</v>
      </c>
    </row>
    <row r="1236" spans="2:8" x14ac:dyDescent="0.25">
      <c r="B1236" t="s">
        <v>4046</v>
      </c>
      <c r="C1236" t="s">
        <v>4042</v>
      </c>
      <c r="D1236" t="s">
        <v>4047</v>
      </c>
      <c r="E1236" t="s">
        <v>4047</v>
      </c>
      <c r="H1236" t="s">
        <v>4046</v>
      </c>
    </row>
    <row r="1237" spans="2:8" x14ac:dyDescent="0.25">
      <c r="B1237" t="s">
        <v>4048</v>
      </c>
      <c r="C1237" t="s">
        <v>4042</v>
      </c>
      <c r="D1237" t="s">
        <v>4049</v>
      </c>
      <c r="E1237" t="s">
        <v>4049</v>
      </c>
      <c r="H1237" t="s">
        <v>4048</v>
      </c>
    </row>
    <row r="1238" spans="2:8" x14ac:dyDescent="0.25">
      <c r="B1238" t="s">
        <v>4050</v>
      </c>
      <c r="C1238" t="s">
        <v>4042</v>
      </c>
      <c r="D1238" t="s">
        <v>4051</v>
      </c>
      <c r="E1238" t="s">
        <v>4051</v>
      </c>
      <c r="H1238" t="s">
        <v>4050</v>
      </c>
    </row>
    <row r="1239" spans="2:8" x14ac:dyDescent="0.25">
      <c r="B1239" t="s">
        <v>4052</v>
      </c>
      <c r="C1239" t="s">
        <v>4042</v>
      </c>
      <c r="D1239" t="s">
        <v>4053</v>
      </c>
      <c r="E1239" t="s">
        <v>4053</v>
      </c>
      <c r="H1239" t="s">
        <v>4052</v>
      </c>
    </row>
    <row r="1240" spans="2:8" x14ac:dyDescent="0.25">
      <c r="B1240" t="s">
        <v>4054</v>
      </c>
      <c r="C1240" t="s">
        <v>4055</v>
      </c>
      <c r="D1240" t="s">
        <v>4056</v>
      </c>
      <c r="E1240" t="s">
        <v>4056</v>
      </c>
      <c r="H1240" t="s">
        <v>4054</v>
      </c>
    </row>
    <row r="1241" spans="2:8" x14ac:dyDescent="0.25">
      <c r="B1241" t="s">
        <v>4057</v>
      </c>
      <c r="C1241" t="s">
        <v>4058</v>
      </c>
      <c r="D1241" t="s">
        <v>4059</v>
      </c>
      <c r="E1241" t="s">
        <v>4059</v>
      </c>
      <c r="H1241" t="s">
        <v>4057</v>
      </c>
    </row>
    <row r="1242" spans="2:8" x14ac:dyDescent="0.25">
      <c r="B1242" t="s">
        <v>4060</v>
      </c>
      <c r="C1242" t="s">
        <v>4055</v>
      </c>
      <c r="D1242" t="s">
        <v>4061</v>
      </c>
      <c r="E1242" t="s">
        <v>4061</v>
      </c>
      <c r="H1242" t="s">
        <v>4060</v>
      </c>
    </row>
    <row r="1243" spans="2:8" x14ac:dyDescent="0.25">
      <c r="B1243" t="s">
        <v>4062</v>
      </c>
      <c r="C1243" t="s">
        <v>4058</v>
      </c>
      <c r="D1243" t="s">
        <v>4063</v>
      </c>
      <c r="E1243" t="s">
        <v>4063</v>
      </c>
      <c r="H1243" t="s">
        <v>4062</v>
      </c>
    </row>
    <row r="1244" spans="2:8" x14ac:dyDescent="0.25">
      <c r="B1244" t="s">
        <v>4064</v>
      </c>
      <c r="C1244" t="s">
        <v>4055</v>
      </c>
      <c r="D1244" t="s">
        <v>4065</v>
      </c>
      <c r="E1244" t="s">
        <v>4065</v>
      </c>
      <c r="H1244" t="s">
        <v>4064</v>
      </c>
    </row>
    <row r="1245" spans="2:8" x14ac:dyDescent="0.25">
      <c r="B1245" t="s">
        <v>4066</v>
      </c>
      <c r="C1245" t="s">
        <v>4058</v>
      </c>
      <c r="D1245" t="s">
        <v>4067</v>
      </c>
      <c r="E1245" t="s">
        <v>4067</v>
      </c>
      <c r="H1245" t="s">
        <v>4066</v>
      </c>
    </row>
    <row r="1246" spans="2:8" x14ac:dyDescent="0.25">
      <c r="B1246" t="s">
        <v>4068</v>
      </c>
      <c r="C1246" t="s">
        <v>4069</v>
      </c>
      <c r="D1246" t="s">
        <v>4070</v>
      </c>
      <c r="E1246" t="s">
        <v>4070</v>
      </c>
      <c r="H1246" t="s">
        <v>4068</v>
      </c>
    </row>
    <row r="1247" spans="2:8" x14ac:dyDescent="0.25">
      <c r="B1247" t="s">
        <v>4071</v>
      </c>
      <c r="C1247" t="s">
        <v>4072</v>
      </c>
      <c r="D1247" t="s">
        <v>4073</v>
      </c>
      <c r="E1247" t="s">
        <v>4073</v>
      </c>
      <c r="H1247" t="s">
        <v>4071</v>
      </c>
    </row>
    <row r="1248" spans="2:8" x14ac:dyDescent="0.25">
      <c r="B1248" t="s">
        <v>4074</v>
      </c>
      <c r="C1248" t="s">
        <v>4075</v>
      </c>
      <c r="D1248" t="s">
        <v>4076</v>
      </c>
      <c r="E1248" t="s">
        <v>4076</v>
      </c>
      <c r="H1248" t="s">
        <v>4074</v>
      </c>
    </row>
    <row r="1249" spans="2:8" x14ac:dyDescent="0.25">
      <c r="B1249" t="s">
        <v>4077</v>
      </c>
      <c r="C1249" t="s">
        <v>4075</v>
      </c>
      <c r="D1249" t="s">
        <v>4078</v>
      </c>
      <c r="E1249" t="s">
        <v>4078</v>
      </c>
      <c r="H1249" t="s">
        <v>4077</v>
      </c>
    </row>
    <row r="1250" spans="2:8" x14ac:dyDescent="0.25">
      <c r="B1250" t="s">
        <v>4079</v>
      </c>
      <c r="C1250" t="s">
        <v>4075</v>
      </c>
      <c r="D1250" t="s">
        <v>4080</v>
      </c>
      <c r="E1250" t="s">
        <v>4080</v>
      </c>
      <c r="H1250" t="s">
        <v>4079</v>
      </c>
    </row>
    <row r="1251" spans="2:8" x14ac:dyDescent="0.25">
      <c r="B1251" t="s">
        <v>3166</v>
      </c>
      <c r="C1251" t="s">
        <v>3167</v>
      </c>
      <c r="D1251" t="s">
        <v>3168</v>
      </c>
      <c r="E1251" t="s">
        <v>3168</v>
      </c>
      <c r="H1251" t="s">
        <v>3166</v>
      </c>
    </row>
    <row r="1252" spans="2:8" x14ac:dyDescent="0.25">
      <c r="B1252" t="s">
        <v>3169</v>
      </c>
      <c r="C1252" t="s">
        <v>3167</v>
      </c>
      <c r="D1252" t="s">
        <v>3170</v>
      </c>
      <c r="E1252" t="s">
        <v>3170</v>
      </c>
      <c r="H1252" t="s">
        <v>3169</v>
      </c>
    </row>
    <row r="1253" spans="2:8" x14ac:dyDescent="0.25">
      <c r="B1253" t="s">
        <v>3171</v>
      </c>
      <c r="C1253" t="s">
        <v>3167</v>
      </c>
      <c r="D1253" t="s">
        <v>3172</v>
      </c>
      <c r="E1253" t="s">
        <v>3172</v>
      </c>
      <c r="H1253" t="s">
        <v>3171</v>
      </c>
    </row>
    <row r="1254" spans="2:8" x14ac:dyDescent="0.25">
      <c r="B1254" t="s">
        <v>3173</v>
      </c>
      <c r="C1254" t="s">
        <v>3174</v>
      </c>
      <c r="D1254" t="s">
        <v>3175</v>
      </c>
      <c r="E1254" t="s">
        <v>3175</v>
      </c>
      <c r="H1254" t="s">
        <v>3173</v>
      </c>
    </row>
    <row r="1255" spans="2:8" x14ac:dyDescent="0.25">
      <c r="B1255" t="s">
        <v>4081</v>
      </c>
      <c r="C1255" t="s">
        <v>3174</v>
      </c>
      <c r="D1255" t="s">
        <v>4082</v>
      </c>
      <c r="E1255" t="s">
        <v>4082</v>
      </c>
      <c r="H1255" t="s">
        <v>4081</v>
      </c>
    </row>
    <row r="1256" spans="2:8" x14ac:dyDescent="0.25">
      <c r="B1256" t="s">
        <v>4083</v>
      </c>
      <c r="C1256" t="s">
        <v>3174</v>
      </c>
      <c r="D1256" t="s">
        <v>4084</v>
      </c>
      <c r="E1256" t="s">
        <v>4084</v>
      </c>
      <c r="H1256" t="s">
        <v>4083</v>
      </c>
    </row>
    <row r="1257" spans="2:8" x14ac:dyDescent="0.25">
      <c r="B1257" t="s">
        <v>4085</v>
      </c>
      <c r="C1257" t="s">
        <v>4086</v>
      </c>
      <c r="D1257" t="s">
        <v>4087</v>
      </c>
      <c r="E1257" t="s">
        <v>4087</v>
      </c>
      <c r="H1257" t="s">
        <v>4085</v>
      </c>
    </row>
    <row r="1258" spans="2:8" x14ac:dyDescent="0.25">
      <c r="B1258" t="s">
        <v>4088</v>
      </c>
      <c r="C1258" t="s">
        <v>4086</v>
      </c>
      <c r="D1258" t="s">
        <v>4089</v>
      </c>
      <c r="E1258" t="s">
        <v>4089</v>
      </c>
      <c r="H1258" t="s">
        <v>4088</v>
      </c>
    </row>
    <row r="1259" spans="2:8" x14ac:dyDescent="0.25">
      <c r="B1259" t="s">
        <v>4090</v>
      </c>
      <c r="C1259" t="s">
        <v>4091</v>
      </c>
      <c r="D1259" t="s">
        <v>4092</v>
      </c>
      <c r="E1259" t="s">
        <v>4092</v>
      </c>
      <c r="H1259" t="s">
        <v>4090</v>
      </c>
    </row>
    <row r="1260" spans="2:8" x14ac:dyDescent="0.25">
      <c r="B1260" t="s">
        <v>4093</v>
      </c>
      <c r="C1260" t="s">
        <v>4091</v>
      </c>
      <c r="D1260" t="s">
        <v>4094</v>
      </c>
      <c r="E1260" t="s">
        <v>4094</v>
      </c>
      <c r="H1260" t="s">
        <v>4093</v>
      </c>
    </row>
    <row r="1261" spans="2:8" x14ac:dyDescent="0.25">
      <c r="B1261" t="s">
        <v>4095</v>
      </c>
      <c r="C1261" t="s">
        <v>4096</v>
      </c>
      <c r="D1261" t="s">
        <v>4097</v>
      </c>
      <c r="E1261" t="s">
        <v>4097</v>
      </c>
      <c r="H1261" t="s">
        <v>4095</v>
      </c>
    </row>
    <row r="1262" spans="2:8" x14ac:dyDescent="0.25">
      <c r="B1262" t="s">
        <v>4098</v>
      </c>
      <c r="C1262" t="s">
        <v>4096</v>
      </c>
      <c r="D1262" t="s">
        <v>4099</v>
      </c>
      <c r="E1262" t="s">
        <v>4099</v>
      </c>
      <c r="H1262" t="s">
        <v>4098</v>
      </c>
    </row>
    <row r="1263" spans="2:8" x14ac:dyDescent="0.25">
      <c r="B1263" t="s">
        <v>3176</v>
      </c>
      <c r="C1263" t="s">
        <v>3177</v>
      </c>
      <c r="D1263" t="s">
        <v>3178</v>
      </c>
      <c r="E1263" t="s">
        <v>3178</v>
      </c>
      <c r="H1263" t="s">
        <v>3176</v>
      </c>
    </row>
    <row r="1264" spans="2:8" x14ac:dyDescent="0.25">
      <c r="B1264" t="s">
        <v>3179</v>
      </c>
      <c r="C1264" t="s">
        <v>3177</v>
      </c>
      <c r="D1264" t="s">
        <v>3180</v>
      </c>
      <c r="E1264" t="s">
        <v>3180</v>
      </c>
      <c r="H1264" t="s">
        <v>3179</v>
      </c>
    </row>
    <row r="1265" spans="2:8" x14ac:dyDescent="0.25">
      <c r="B1265" t="s">
        <v>3181</v>
      </c>
      <c r="C1265" t="s">
        <v>3177</v>
      </c>
      <c r="D1265" t="s">
        <v>3182</v>
      </c>
      <c r="E1265" t="s">
        <v>3182</v>
      </c>
      <c r="H1265" t="s">
        <v>3181</v>
      </c>
    </row>
    <row r="1266" spans="2:8" x14ac:dyDescent="0.25">
      <c r="B1266" t="s">
        <v>4100</v>
      </c>
      <c r="C1266" t="s">
        <v>4101</v>
      </c>
      <c r="D1266" t="s">
        <v>4102</v>
      </c>
      <c r="E1266" t="s">
        <v>4102</v>
      </c>
      <c r="H1266" t="s">
        <v>4100</v>
      </c>
    </row>
    <row r="1267" spans="2:8" x14ac:dyDescent="0.25">
      <c r="B1267" t="s">
        <v>4103</v>
      </c>
      <c r="C1267" t="s">
        <v>4104</v>
      </c>
      <c r="D1267" t="s">
        <v>4105</v>
      </c>
      <c r="E1267" t="s">
        <v>4105</v>
      </c>
      <c r="H1267" t="s">
        <v>4103</v>
      </c>
    </row>
    <row r="1268" spans="2:8" x14ac:dyDescent="0.25">
      <c r="B1268" t="s">
        <v>4106</v>
      </c>
      <c r="C1268" t="s">
        <v>4107</v>
      </c>
      <c r="D1268" t="s">
        <v>4108</v>
      </c>
      <c r="E1268" t="s">
        <v>4108</v>
      </c>
      <c r="H1268" t="s">
        <v>4106</v>
      </c>
    </row>
    <row r="1269" spans="2:8" x14ac:dyDescent="0.25">
      <c r="B1269" t="s">
        <v>4109</v>
      </c>
      <c r="C1269" t="s">
        <v>4107</v>
      </c>
      <c r="D1269" t="s">
        <v>4110</v>
      </c>
      <c r="E1269" t="s">
        <v>4110</v>
      </c>
      <c r="H1269" t="s">
        <v>4109</v>
      </c>
    </row>
    <row r="1270" spans="2:8" x14ac:dyDescent="0.25">
      <c r="B1270" t="s">
        <v>4119</v>
      </c>
      <c r="C1270" t="s">
        <v>4117</v>
      </c>
      <c r="D1270" t="s">
        <v>4120</v>
      </c>
      <c r="E1270" t="s">
        <v>4120</v>
      </c>
      <c r="H1270" t="s">
        <v>4119</v>
      </c>
    </row>
    <row r="1271" spans="2:8" x14ac:dyDescent="0.25">
      <c r="B1271" t="s">
        <v>4121</v>
      </c>
      <c r="C1271" t="s">
        <v>4122</v>
      </c>
      <c r="D1271" t="s">
        <v>4123</v>
      </c>
      <c r="E1271" t="s">
        <v>4123</v>
      </c>
      <c r="H1271" t="s">
        <v>4121</v>
      </c>
    </row>
    <row r="1272" spans="2:8" x14ac:dyDescent="0.25">
      <c r="B1272" t="s">
        <v>4124</v>
      </c>
      <c r="C1272" t="s">
        <v>4122</v>
      </c>
      <c r="D1272" t="s">
        <v>4125</v>
      </c>
      <c r="E1272" t="s">
        <v>4125</v>
      </c>
      <c r="H1272" t="s">
        <v>4124</v>
      </c>
    </row>
    <row r="1273" spans="2:8" x14ac:dyDescent="0.25">
      <c r="B1273" t="s">
        <v>4126</v>
      </c>
      <c r="C1273" t="s">
        <v>4122</v>
      </c>
      <c r="D1273" t="s">
        <v>4127</v>
      </c>
      <c r="E1273" t="s">
        <v>4127</v>
      </c>
      <c r="H1273" t="s">
        <v>4126</v>
      </c>
    </row>
    <row r="1274" spans="2:8" x14ac:dyDescent="0.25">
      <c r="B1274" t="s">
        <v>4128</v>
      </c>
      <c r="C1274" t="s">
        <v>4122</v>
      </c>
      <c r="D1274" t="s">
        <v>4129</v>
      </c>
      <c r="E1274" t="s">
        <v>4129</v>
      </c>
      <c r="H1274" t="s">
        <v>4128</v>
      </c>
    </row>
    <row r="1275" spans="2:8" x14ac:dyDescent="0.25">
      <c r="B1275" t="s">
        <v>4130</v>
      </c>
      <c r="C1275" t="s">
        <v>4131</v>
      </c>
      <c r="D1275" t="s">
        <v>4132</v>
      </c>
      <c r="E1275" t="s">
        <v>4132</v>
      </c>
      <c r="H1275" t="s">
        <v>4130</v>
      </c>
    </row>
    <row r="1276" spans="2:8" x14ac:dyDescent="0.25">
      <c r="B1276" t="s">
        <v>4133</v>
      </c>
      <c r="C1276" t="s">
        <v>4131</v>
      </c>
      <c r="D1276" t="s">
        <v>4134</v>
      </c>
      <c r="E1276" t="s">
        <v>4134</v>
      </c>
      <c r="H1276" t="s">
        <v>4133</v>
      </c>
    </row>
    <row r="1277" spans="2:8" x14ac:dyDescent="0.25">
      <c r="B1277" t="s">
        <v>4135</v>
      </c>
      <c r="C1277" t="s">
        <v>4131</v>
      </c>
      <c r="D1277" t="s">
        <v>4136</v>
      </c>
      <c r="E1277" t="s">
        <v>4136</v>
      </c>
      <c r="H1277" t="s">
        <v>4135</v>
      </c>
    </row>
    <row r="1278" spans="2:8" x14ac:dyDescent="0.25">
      <c r="B1278" t="s">
        <v>4137</v>
      </c>
      <c r="C1278" t="s">
        <v>4138</v>
      </c>
      <c r="D1278" t="s">
        <v>4139</v>
      </c>
      <c r="E1278" t="s">
        <v>4139</v>
      </c>
      <c r="H1278" t="s">
        <v>4137</v>
      </c>
    </row>
    <row r="1279" spans="2:8" x14ac:dyDescent="0.25">
      <c r="B1279" t="s">
        <v>4140</v>
      </c>
      <c r="C1279" t="s">
        <v>4138</v>
      </c>
      <c r="D1279" t="s">
        <v>4141</v>
      </c>
      <c r="E1279" t="s">
        <v>4141</v>
      </c>
      <c r="H1279" t="s">
        <v>4140</v>
      </c>
    </row>
    <row r="1280" spans="2:8" x14ac:dyDescent="0.25">
      <c r="B1280" t="s">
        <v>4142</v>
      </c>
      <c r="C1280" t="s">
        <v>4138</v>
      </c>
      <c r="D1280" t="s">
        <v>4143</v>
      </c>
      <c r="E1280" t="s">
        <v>4143</v>
      </c>
      <c r="H1280" t="s">
        <v>4142</v>
      </c>
    </row>
    <row r="1281" spans="2:8" x14ac:dyDescent="0.25">
      <c r="B1281" t="s">
        <v>4144</v>
      </c>
      <c r="C1281" t="s">
        <v>4145</v>
      </c>
      <c r="D1281" t="s">
        <v>4146</v>
      </c>
      <c r="E1281" t="s">
        <v>4146</v>
      </c>
      <c r="H1281" t="s">
        <v>4144</v>
      </c>
    </row>
    <row r="1282" spans="2:8" x14ac:dyDescent="0.25">
      <c r="B1282" t="s">
        <v>4147</v>
      </c>
      <c r="C1282" t="s">
        <v>4145</v>
      </c>
      <c r="D1282" t="s">
        <v>4148</v>
      </c>
      <c r="E1282" t="s">
        <v>4148</v>
      </c>
      <c r="H1282" t="s">
        <v>4147</v>
      </c>
    </row>
    <row r="1283" spans="2:8" x14ac:dyDescent="0.25">
      <c r="B1283" t="s">
        <v>4149</v>
      </c>
      <c r="C1283" t="s">
        <v>4145</v>
      </c>
      <c r="D1283" t="s">
        <v>4150</v>
      </c>
      <c r="E1283" t="s">
        <v>4150</v>
      </c>
      <c r="H1283" t="s">
        <v>4149</v>
      </c>
    </row>
    <row r="1284" spans="2:8" x14ac:dyDescent="0.25">
      <c r="B1284" t="s">
        <v>4151</v>
      </c>
      <c r="C1284" t="s">
        <v>4152</v>
      </c>
      <c r="D1284" t="s">
        <v>4153</v>
      </c>
      <c r="E1284" t="s">
        <v>4153</v>
      </c>
      <c r="H1284" t="s">
        <v>4151</v>
      </c>
    </row>
    <row r="1285" spans="2:8" x14ac:dyDescent="0.25">
      <c r="B1285" t="s">
        <v>4154</v>
      </c>
      <c r="C1285" t="s">
        <v>4152</v>
      </c>
      <c r="D1285" t="s">
        <v>4155</v>
      </c>
      <c r="E1285" t="s">
        <v>4155</v>
      </c>
      <c r="H1285" t="s">
        <v>4154</v>
      </c>
    </row>
    <row r="1286" spans="2:8" x14ac:dyDescent="0.25">
      <c r="B1286" t="s">
        <v>4156</v>
      </c>
      <c r="C1286" t="s">
        <v>4152</v>
      </c>
      <c r="D1286" t="s">
        <v>4157</v>
      </c>
      <c r="E1286" t="s">
        <v>4157</v>
      </c>
      <c r="H1286" t="s">
        <v>4156</v>
      </c>
    </row>
    <row r="1287" spans="2:8" x14ac:dyDescent="0.25">
      <c r="B1287" t="s">
        <v>3183</v>
      </c>
      <c r="C1287" t="s">
        <v>3184</v>
      </c>
      <c r="D1287" t="s">
        <v>3185</v>
      </c>
      <c r="E1287" t="s">
        <v>3185</v>
      </c>
      <c r="H1287" t="s">
        <v>3183</v>
      </c>
    </row>
    <row r="1288" spans="2:8" x14ac:dyDescent="0.25">
      <c r="B1288" t="s">
        <v>3186</v>
      </c>
      <c r="C1288" t="s">
        <v>3184</v>
      </c>
      <c r="D1288" t="s">
        <v>3187</v>
      </c>
      <c r="E1288" t="s">
        <v>3187</v>
      </c>
      <c r="H1288" t="s">
        <v>3186</v>
      </c>
    </row>
    <row r="1289" spans="2:8" x14ac:dyDescent="0.25">
      <c r="B1289" t="s">
        <v>3188</v>
      </c>
      <c r="C1289" t="s">
        <v>3184</v>
      </c>
      <c r="D1289" t="s">
        <v>3189</v>
      </c>
      <c r="E1289" t="s">
        <v>3189</v>
      </c>
      <c r="H1289" t="s">
        <v>3188</v>
      </c>
    </row>
    <row r="1290" spans="2:8" x14ac:dyDescent="0.25">
      <c r="B1290" t="s">
        <v>3190</v>
      </c>
      <c r="C1290" t="s">
        <v>3191</v>
      </c>
      <c r="D1290" t="s">
        <v>3192</v>
      </c>
      <c r="E1290" t="s">
        <v>3192</v>
      </c>
      <c r="H1290" t="s">
        <v>3190</v>
      </c>
    </row>
    <row r="1291" spans="2:8" x14ac:dyDescent="0.25">
      <c r="B1291" t="s">
        <v>3193</v>
      </c>
      <c r="C1291" t="s">
        <v>3191</v>
      </c>
      <c r="D1291" t="s">
        <v>3194</v>
      </c>
      <c r="E1291" t="s">
        <v>3194</v>
      </c>
      <c r="H1291" t="s">
        <v>3193</v>
      </c>
    </row>
    <row r="1292" spans="2:8" x14ac:dyDescent="0.25">
      <c r="B1292" t="s">
        <v>3195</v>
      </c>
      <c r="C1292" t="s">
        <v>3191</v>
      </c>
      <c r="D1292" t="s">
        <v>3196</v>
      </c>
      <c r="E1292" t="s">
        <v>3196</v>
      </c>
      <c r="H1292" t="s">
        <v>3195</v>
      </c>
    </row>
    <row r="1293" spans="2:8" x14ac:dyDescent="0.25">
      <c r="B1293" t="s">
        <v>3197</v>
      </c>
      <c r="C1293" t="s">
        <v>3198</v>
      </c>
      <c r="D1293" t="s">
        <v>3199</v>
      </c>
      <c r="E1293" t="s">
        <v>3199</v>
      </c>
      <c r="H1293" t="s">
        <v>3197</v>
      </c>
    </row>
    <row r="1294" spans="2:8" x14ac:dyDescent="0.25">
      <c r="B1294" t="s">
        <v>3200</v>
      </c>
      <c r="C1294" t="s">
        <v>3198</v>
      </c>
      <c r="D1294" t="s">
        <v>3201</v>
      </c>
      <c r="E1294" t="s">
        <v>3201</v>
      </c>
      <c r="H1294" t="s">
        <v>3200</v>
      </c>
    </row>
    <row r="1295" spans="2:8" x14ac:dyDescent="0.25">
      <c r="B1295" t="s">
        <v>3202</v>
      </c>
      <c r="C1295" t="s">
        <v>3198</v>
      </c>
      <c r="D1295" t="s">
        <v>3203</v>
      </c>
      <c r="E1295" t="s">
        <v>3203</v>
      </c>
      <c r="H1295" t="s">
        <v>3202</v>
      </c>
    </row>
    <row r="1296" spans="2:8" x14ac:dyDescent="0.25">
      <c r="B1296" t="s">
        <v>4158</v>
      </c>
      <c r="C1296" t="s">
        <v>4159</v>
      </c>
      <c r="D1296" t="s">
        <v>4160</v>
      </c>
      <c r="E1296" t="s">
        <v>4160</v>
      </c>
      <c r="H1296" t="s">
        <v>4158</v>
      </c>
    </row>
    <row r="1297" spans="2:8" x14ac:dyDescent="0.25">
      <c r="B1297" t="s">
        <v>4161</v>
      </c>
      <c r="C1297" t="s">
        <v>4159</v>
      </c>
      <c r="D1297" t="s">
        <v>4162</v>
      </c>
      <c r="E1297" t="s">
        <v>4162</v>
      </c>
      <c r="H1297" t="s">
        <v>4161</v>
      </c>
    </row>
    <row r="1298" spans="2:8" x14ac:dyDescent="0.25">
      <c r="B1298" t="s">
        <v>4163</v>
      </c>
      <c r="C1298" t="s">
        <v>4159</v>
      </c>
      <c r="D1298" t="s">
        <v>4164</v>
      </c>
      <c r="E1298" t="s">
        <v>4164</v>
      </c>
      <c r="H1298" t="s">
        <v>4163</v>
      </c>
    </row>
    <row r="1299" spans="2:8" x14ac:dyDescent="0.25">
      <c r="B1299" t="s">
        <v>4180</v>
      </c>
      <c r="C1299" t="s">
        <v>4181</v>
      </c>
      <c r="D1299" t="s">
        <v>4182</v>
      </c>
      <c r="E1299" t="s">
        <v>4182</v>
      </c>
      <c r="H1299" t="s">
        <v>4180</v>
      </c>
    </row>
    <row r="1300" spans="2:8" x14ac:dyDescent="0.25">
      <c r="B1300" t="s">
        <v>4183</v>
      </c>
      <c r="C1300" t="s">
        <v>4184</v>
      </c>
      <c r="D1300" t="s">
        <v>4185</v>
      </c>
      <c r="E1300" t="s">
        <v>4185</v>
      </c>
      <c r="H1300" t="s">
        <v>4183</v>
      </c>
    </row>
    <row r="1301" spans="2:8" x14ac:dyDescent="0.25">
      <c r="B1301" t="s">
        <v>4186</v>
      </c>
      <c r="C1301" t="s">
        <v>4187</v>
      </c>
      <c r="D1301" t="s">
        <v>4188</v>
      </c>
      <c r="E1301" t="s">
        <v>4188</v>
      </c>
      <c r="H1301" t="s">
        <v>4186</v>
      </c>
    </row>
    <row r="1302" spans="2:8" x14ac:dyDescent="0.25">
      <c r="B1302" t="s">
        <v>4189</v>
      </c>
      <c r="C1302" t="s">
        <v>4190</v>
      </c>
      <c r="D1302" t="s">
        <v>4191</v>
      </c>
      <c r="E1302" t="s">
        <v>4191</v>
      </c>
      <c r="H1302" t="s">
        <v>4189</v>
      </c>
    </row>
    <row r="1303" spans="2:8" x14ac:dyDescent="0.25">
      <c r="B1303" t="s">
        <v>4192</v>
      </c>
      <c r="C1303" t="s">
        <v>4193</v>
      </c>
      <c r="D1303" t="s">
        <v>4194</v>
      </c>
      <c r="E1303" t="s">
        <v>4194</v>
      </c>
      <c r="H1303" t="s">
        <v>4192</v>
      </c>
    </row>
    <row r="1304" spans="2:8" x14ac:dyDescent="0.25">
      <c r="B1304" t="s">
        <v>4195</v>
      </c>
      <c r="C1304" t="s">
        <v>4196</v>
      </c>
      <c r="D1304" t="s">
        <v>4197</v>
      </c>
      <c r="E1304" t="s">
        <v>4197</v>
      </c>
      <c r="H1304" t="s">
        <v>4195</v>
      </c>
    </row>
    <row r="1305" spans="2:8" x14ac:dyDescent="0.25">
      <c r="B1305" t="s">
        <v>4198</v>
      </c>
      <c r="C1305" t="s">
        <v>4199</v>
      </c>
      <c r="D1305" t="s">
        <v>4200</v>
      </c>
      <c r="E1305" t="s">
        <v>4200</v>
      </c>
      <c r="H1305" t="s">
        <v>4198</v>
      </c>
    </row>
    <row r="1306" spans="2:8" x14ac:dyDescent="0.25">
      <c r="B1306" t="s">
        <v>4201</v>
      </c>
      <c r="C1306" t="s">
        <v>4202</v>
      </c>
      <c r="D1306" t="s">
        <v>4203</v>
      </c>
      <c r="E1306" t="s">
        <v>4203</v>
      </c>
      <c r="H1306" t="s">
        <v>4201</v>
      </c>
    </row>
    <row r="1307" spans="2:8" x14ac:dyDescent="0.25">
      <c r="B1307" t="s">
        <v>4204</v>
      </c>
      <c r="C1307" t="s">
        <v>4202</v>
      </c>
      <c r="D1307" t="s">
        <v>4205</v>
      </c>
      <c r="E1307" t="s">
        <v>4205</v>
      </c>
      <c r="H1307" t="s">
        <v>4204</v>
      </c>
    </row>
    <row r="1308" spans="2:8" x14ac:dyDescent="0.25">
      <c r="B1308" t="s">
        <v>4206</v>
      </c>
      <c r="C1308" t="s">
        <v>4207</v>
      </c>
      <c r="D1308" t="s">
        <v>4208</v>
      </c>
      <c r="E1308" t="s">
        <v>4208</v>
      </c>
      <c r="H1308" t="s">
        <v>4206</v>
      </c>
    </row>
    <row r="1309" spans="2:8" x14ac:dyDescent="0.25">
      <c r="B1309" t="s">
        <v>4209</v>
      </c>
      <c r="C1309" t="s">
        <v>4207</v>
      </c>
      <c r="D1309" t="s">
        <v>4210</v>
      </c>
      <c r="E1309" t="s">
        <v>4210</v>
      </c>
      <c r="H1309" t="s">
        <v>4209</v>
      </c>
    </row>
    <row r="1310" spans="2:8" x14ac:dyDescent="0.25">
      <c r="B1310" t="s">
        <v>4211</v>
      </c>
      <c r="C1310" t="s">
        <v>4207</v>
      </c>
      <c r="D1310" t="s">
        <v>4212</v>
      </c>
      <c r="E1310" t="s">
        <v>4212</v>
      </c>
      <c r="H1310" t="s">
        <v>4211</v>
      </c>
    </row>
    <row r="1311" spans="2:8" x14ac:dyDescent="0.25">
      <c r="B1311" t="s">
        <v>4213</v>
      </c>
      <c r="C1311" t="s">
        <v>4207</v>
      </c>
      <c r="D1311" t="s">
        <v>4214</v>
      </c>
      <c r="E1311" t="s">
        <v>4214</v>
      </c>
      <c r="H1311" t="s">
        <v>4213</v>
      </c>
    </row>
    <row r="1312" spans="2:8" x14ac:dyDescent="0.25">
      <c r="B1312" t="s">
        <v>4215</v>
      </c>
      <c r="C1312" t="s">
        <v>4216</v>
      </c>
      <c r="D1312" t="s">
        <v>4217</v>
      </c>
      <c r="E1312" t="s">
        <v>4217</v>
      </c>
      <c r="H1312" t="s">
        <v>4215</v>
      </c>
    </row>
    <row r="1313" spans="2:8" x14ac:dyDescent="0.25">
      <c r="B1313" t="s">
        <v>4218</v>
      </c>
      <c r="C1313" t="s">
        <v>4216</v>
      </c>
      <c r="D1313" t="s">
        <v>4219</v>
      </c>
      <c r="E1313" t="s">
        <v>4219</v>
      </c>
      <c r="H1313" t="s">
        <v>4218</v>
      </c>
    </row>
    <row r="1314" spans="2:8" x14ac:dyDescent="0.25">
      <c r="B1314" t="s">
        <v>4220</v>
      </c>
      <c r="C1314" t="s">
        <v>4216</v>
      </c>
      <c r="D1314" t="s">
        <v>4221</v>
      </c>
      <c r="E1314" t="s">
        <v>4221</v>
      </c>
      <c r="H1314" t="s">
        <v>4220</v>
      </c>
    </row>
    <row r="1315" spans="2:8" x14ac:dyDescent="0.25">
      <c r="B1315" t="s">
        <v>4222</v>
      </c>
      <c r="C1315" t="s">
        <v>4223</v>
      </c>
      <c r="D1315" t="s">
        <v>4224</v>
      </c>
      <c r="E1315" t="s">
        <v>4224</v>
      </c>
      <c r="H1315" t="s">
        <v>4222</v>
      </c>
    </row>
    <row r="1316" spans="2:8" x14ac:dyDescent="0.25">
      <c r="B1316" t="s">
        <v>4225</v>
      </c>
      <c r="C1316" t="s">
        <v>4223</v>
      </c>
      <c r="D1316" t="s">
        <v>4226</v>
      </c>
      <c r="E1316" t="s">
        <v>4226</v>
      </c>
      <c r="H1316" t="s">
        <v>4225</v>
      </c>
    </row>
    <row r="1317" spans="2:8" x14ac:dyDescent="0.25">
      <c r="B1317" t="s">
        <v>4227</v>
      </c>
      <c r="C1317" t="s">
        <v>4223</v>
      </c>
      <c r="D1317" t="s">
        <v>4228</v>
      </c>
      <c r="E1317" t="s">
        <v>4228</v>
      </c>
      <c r="H1317" t="s">
        <v>4227</v>
      </c>
    </row>
    <row r="1318" spans="2:8" x14ac:dyDescent="0.25">
      <c r="B1318" t="s">
        <v>4229</v>
      </c>
      <c r="C1318" t="s">
        <v>4230</v>
      </c>
      <c r="D1318" t="s">
        <v>4231</v>
      </c>
      <c r="E1318" t="s">
        <v>4231</v>
      </c>
      <c r="H1318" t="s">
        <v>4229</v>
      </c>
    </row>
    <row r="1319" spans="2:8" x14ac:dyDescent="0.25">
      <c r="B1319" t="s">
        <v>4232</v>
      </c>
      <c r="C1319" t="s">
        <v>4230</v>
      </c>
      <c r="D1319" t="s">
        <v>4233</v>
      </c>
      <c r="E1319" t="s">
        <v>4233</v>
      </c>
      <c r="H1319" t="s">
        <v>4232</v>
      </c>
    </row>
    <row r="1320" spans="2:8" x14ac:dyDescent="0.25">
      <c r="B1320" t="s">
        <v>4234</v>
      </c>
      <c r="C1320" t="s">
        <v>4230</v>
      </c>
      <c r="D1320" t="s">
        <v>4235</v>
      </c>
      <c r="E1320" t="s">
        <v>4235</v>
      </c>
      <c r="H1320" t="s">
        <v>4234</v>
      </c>
    </row>
    <row r="1321" spans="2:8" x14ac:dyDescent="0.25">
      <c r="B1321" t="s">
        <v>4236</v>
      </c>
      <c r="C1321" t="s">
        <v>4237</v>
      </c>
      <c r="D1321" t="s">
        <v>4238</v>
      </c>
      <c r="E1321" t="s">
        <v>4238</v>
      </c>
      <c r="H1321" t="s">
        <v>4236</v>
      </c>
    </row>
    <row r="1322" spans="2:8" x14ac:dyDescent="0.25">
      <c r="B1322" t="s">
        <v>4239</v>
      </c>
      <c r="C1322" t="s">
        <v>4237</v>
      </c>
      <c r="D1322" t="s">
        <v>4240</v>
      </c>
      <c r="E1322" t="s">
        <v>4240</v>
      </c>
      <c r="H1322" t="s">
        <v>4239</v>
      </c>
    </row>
    <row r="1323" spans="2:8" x14ac:dyDescent="0.25">
      <c r="B1323" t="s">
        <v>4241</v>
      </c>
      <c r="C1323" t="s">
        <v>4237</v>
      </c>
      <c r="D1323" t="s">
        <v>4242</v>
      </c>
      <c r="E1323" t="s">
        <v>4242</v>
      </c>
      <c r="H1323" t="s">
        <v>4241</v>
      </c>
    </row>
    <row r="1324" spans="2:8" x14ac:dyDescent="0.25">
      <c r="B1324" t="s">
        <v>4243</v>
      </c>
      <c r="C1324" t="s">
        <v>4244</v>
      </c>
      <c r="D1324" t="s">
        <v>4245</v>
      </c>
      <c r="E1324" t="s">
        <v>4245</v>
      </c>
      <c r="H1324" t="s">
        <v>4243</v>
      </c>
    </row>
    <row r="1325" spans="2:8" x14ac:dyDescent="0.25">
      <c r="B1325" t="s">
        <v>4246</v>
      </c>
      <c r="C1325" t="s">
        <v>4244</v>
      </c>
      <c r="D1325" t="s">
        <v>4247</v>
      </c>
      <c r="E1325" t="s">
        <v>4247</v>
      </c>
      <c r="H1325" t="s">
        <v>4246</v>
      </c>
    </row>
    <row r="1326" spans="2:8" x14ac:dyDescent="0.25">
      <c r="B1326" t="s">
        <v>4248</v>
      </c>
      <c r="C1326" t="s">
        <v>4244</v>
      </c>
      <c r="D1326" t="s">
        <v>4249</v>
      </c>
      <c r="E1326" t="s">
        <v>4249</v>
      </c>
      <c r="H1326" t="s">
        <v>4248</v>
      </c>
    </row>
    <row r="1327" spans="2:8" x14ac:dyDescent="0.25">
      <c r="B1327" t="s">
        <v>4250</v>
      </c>
      <c r="C1327" t="s">
        <v>4251</v>
      </c>
      <c r="D1327" t="s">
        <v>4252</v>
      </c>
      <c r="E1327" t="s">
        <v>4252</v>
      </c>
      <c r="H1327" t="s">
        <v>4250</v>
      </c>
    </row>
    <row r="1328" spans="2:8" x14ac:dyDescent="0.25">
      <c r="B1328" t="s">
        <v>4253</v>
      </c>
      <c r="C1328" t="s">
        <v>4251</v>
      </c>
      <c r="D1328" t="s">
        <v>4254</v>
      </c>
      <c r="E1328" t="s">
        <v>4254</v>
      </c>
      <c r="H1328" t="s">
        <v>4253</v>
      </c>
    </row>
    <row r="1329" spans="2:8" x14ac:dyDescent="0.25">
      <c r="B1329" t="s">
        <v>4255</v>
      </c>
      <c r="C1329" t="s">
        <v>4251</v>
      </c>
      <c r="D1329" t="s">
        <v>4256</v>
      </c>
      <c r="E1329" t="s">
        <v>4256</v>
      </c>
      <c r="H1329" t="s">
        <v>4255</v>
      </c>
    </row>
    <row r="1330" spans="2:8" x14ac:dyDescent="0.25">
      <c r="B1330" t="s">
        <v>4257</v>
      </c>
      <c r="C1330" t="s">
        <v>4258</v>
      </c>
      <c r="D1330" t="s">
        <v>4259</v>
      </c>
      <c r="E1330" t="s">
        <v>4259</v>
      </c>
      <c r="H1330" t="s">
        <v>4257</v>
      </c>
    </row>
    <row r="1331" spans="2:8" x14ac:dyDescent="0.25">
      <c r="B1331" t="s">
        <v>4260</v>
      </c>
      <c r="C1331" t="s">
        <v>4258</v>
      </c>
      <c r="D1331" t="s">
        <v>4261</v>
      </c>
      <c r="E1331" t="s">
        <v>4261</v>
      </c>
      <c r="H1331" t="s">
        <v>4260</v>
      </c>
    </row>
    <row r="1332" spans="2:8" x14ac:dyDescent="0.25">
      <c r="B1332" t="s">
        <v>4262</v>
      </c>
      <c r="C1332" t="s">
        <v>4258</v>
      </c>
      <c r="D1332" t="s">
        <v>4263</v>
      </c>
      <c r="E1332" t="s">
        <v>4263</v>
      </c>
      <c r="H1332" t="s">
        <v>4262</v>
      </c>
    </row>
    <row r="1333" spans="2:8" x14ac:dyDescent="0.25">
      <c r="B1333" t="s">
        <v>3204</v>
      </c>
      <c r="C1333" t="s">
        <v>3135</v>
      </c>
      <c r="D1333" t="s">
        <v>3205</v>
      </c>
      <c r="E1333" t="s">
        <v>3205</v>
      </c>
      <c r="H1333" t="s">
        <v>3204</v>
      </c>
    </row>
    <row r="1334" spans="2:8" x14ac:dyDescent="0.25">
      <c r="B1334" t="s">
        <v>4264</v>
      </c>
      <c r="C1334" t="s">
        <v>4265</v>
      </c>
      <c r="D1334" t="s">
        <v>4266</v>
      </c>
      <c r="E1334" t="s">
        <v>4266</v>
      </c>
      <c r="H1334" t="s">
        <v>4264</v>
      </c>
    </row>
    <row r="1335" spans="2:8" x14ac:dyDescent="0.25">
      <c r="B1335" t="s">
        <v>4267</v>
      </c>
      <c r="C1335" t="s">
        <v>4268</v>
      </c>
      <c r="D1335" t="s">
        <v>4269</v>
      </c>
      <c r="E1335" t="s">
        <v>4269</v>
      </c>
      <c r="H1335" t="s">
        <v>4267</v>
      </c>
    </row>
    <row r="1336" spans="2:8" x14ac:dyDescent="0.25">
      <c r="B1336" t="s">
        <v>4270</v>
      </c>
      <c r="C1336" t="s">
        <v>4271</v>
      </c>
      <c r="D1336" t="s">
        <v>4272</v>
      </c>
      <c r="E1336" t="s">
        <v>4272</v>
      </c>
      <c r="H1336" t="s">
        <v>4270</v>
      </c>
    </row>
    <row r="1337" spans="2:8" x14ac:dyDescent="0.25">
      <c r="B1337" t="s">
        <v>4273</v>
      </c>
      <c r="C1337" t="s">
        <v>4274</v>
      </c>
      <c r="D1337" t="s">
        <v>4275</v>
      </c>
      <c r="E1337" t="s">
        <v>4275</v>
      </c>
      <c r="H1337" t="s">
        <v>4273</v>
      </c>
    </row>
    <row r="1338" spans="2:8" x14ac:dyDescent="0.25">
      <c r="B1338" t="s">
        <v>4276</v>
      </c>
      <c r="C1338" t="s">
        <v>4277</v>
      </c>
      <c r="D1338" t="s">
        <v>4278</v>
      </c>
      <c r="E1338" t="s">
        <v>4278</v>
      </c>
      <c r="H1338" t="s">
        <v>4276</v>
      </c>
    </row>
    <row r="1339" spans="2:8" x14ac:dyDescent="0.25">
      <c r="B1339" t="s">
        <v>4279</v>
      </c>
      <c r="C1339" t="s">
        <v>4280</v>
      </c>
      <c r="D1339" t="s">
        <v>4281</v>
      </c>
      <c r="E1339" t="s">
        <v>4281</v>
      </c>
      <c r="H1339" t="s">
        <v>4279</v>
      </c>
    </row>
    <row r="1340" spans="2:8" x14ac:dyDescent="0.25">
      <c r="B1340" t="s">
        <v>4282</v>
      </c>
      <c r="C1340" t="s">
        <v>4283</v>
      </c>
      <c r="D1340" t="s">
        <v>4284</v>
      </c>
      <c r="E1340" t="s">
        <v>4284</v>
      </c>
      <c r="H1340" t="s">
        <v>4282</v>
      </c>
    </row>
    <row r="1341" spans="2:8" x14ac:dyDescent="0.25">
      <c r="B1341" t="s">
        <v>4285</v>
      </c>
      <c r="C1341" t="s">
        <v>4286</v>
      </c>
      <c r="D1341" t="s">
        <v>4287</v>
      </c>
      <c r="E1341" t="s">
        <v>4287</v>
      </c>
      <c r="H1341" t="s">
        <v>4285</v>
      </c>
    </row>
    <row r="1342" spans="2:8" x14ac:dyDescent="0.25">
      <c r="B1342" t="s">
        <v>4288</v>
      </c>
      <c r="C1342" t="s">
        <v>4289</v>
      </c>
      <c r="D1342" t="s">
        <v>4290</v>
      </c>
      <c r="E1342" t="s">
        <v>4290</v>
      </c>
      <c r="H1342" t="s">
        <v>4288</v>
      </c>
    </row>
    <row r="1343" spans="2:8" x14ac:dyDescent="0.25">
      <c r="B1343" t="s">
        <v>4291</v>
      </c>
      <c r="C1343" t="s">
        <v>4292</v>
      </c>
      <c r="D1343" t="s">
        <v>4293</v>
      </c>
      <c r="E1343" t="s">
        <v>4293</v>
      </c>
      <c r="H1343" t="s">
        <v>4291</v>
      </c>
    </row>
    <row r="1344" spans="2:8" x14ac:dyDescent="0.25">
      <c r="B1344" t="s">
        <v>4294</v>
      </c>
      <c r="C1344" t="s">
        <v>4295</v>
      </c>
      <c r="D1344" t="s">
        <v>4296</v>
      </c>
      <c r="E1344" t="s">
        <v>4296</v>
      </c>
      <c r="H1344" t="s">
        <v>4294</v>
      </c>
    </row>
    <row r="1345" spans="2:8" x14ac:dyDescent="0.25">
      <c r="B1345" t="s">
        <v>4297</v>
      </c>
      <c r="C1345" t="s">
        <v>4298</v>
      </c>
      <c r="D1345" t="s">
        <v>4299</v>
      </c>
      <c r="E1345" t="s">
        <v>4299</v>
      </c>
      <c r="H1345" t="s">
        <v>4297</v>
      </c>
    </row>
    <row r="1346" spans="2:8" x14ac:dyDescent="0.25">
      <c r="B1346" t="s">
        <v>4300</v>
      </c>
      <c r="C1346" t="s">
        <v>4301</v>
      </c>
      <c r="D1346" t="s">
        <v>4302</v>
      </c>
      <c r="E1346" t="s">
        <v>4302</v>
      </c>
      <c r="H1346" t="s">
        <v>4300</v>
      </c>
    </row>
    <row r="1347" spans="2:8" x14ac:dyDescent="0.25">
      <c r="B1347" t="s">
        <v>4303</v>
      </c>
      <c r="C1347" t="s">
        <v>4304</v>
      </c>
      <c r="D1347" t="s">
        <v>4305</v>
      </c>
      <c r="E1347" t="s">
        <v>4305</v>
      </c>
      <c r="H1347" t="s">
        <v>4303</v>
      </c>
    </row>
    <row r="1348" spans="2:8" x14ac:dyDescent="0.25">
      <c r="B1348" t="s">
        <v>4306</v>
      </c>
      <c r="C1348" t="s">
        <v>4307</v>
      </c>
      <c r="D1348" t="s">
        <v>4308</v>
      </c>
      <c r="E1348" t="s">
        <v>4308</v>
      </c>
      <c r="H1348" t="s">
        <v>4306</v>
      </c>
    </row>
    <row r="1349" spans="2:8" x14ac:dyDescent="0.25">
      <c r="B1349" t="s">
        <v>4309</v>
      </c>
      <c r="C1349" t="s">
        <v>4310</v>
      </c>
      <c r="D1349" t="s">
        <v>4311</v>
      </c>
      <c r="E1349" t="s">
        <v>4311</v>
      </c>
      <c r="H1349" t="s">
        <v>4309</v>
      </c>
    </row>
    <row r="1350" spans="2:8" x14ac:dyDescent="0.25">
      <c r="B1350" t="s">
        <v>4312</v>
      </c>
      <c r="C1350" t="s">
        <v>4313</v>
      </c>
      <c r="D1350" t="s">
        <v>4314</v>
      </c>
      <c r="E1350" t="s">
        <v>4314</v>
      </c>
      <c r="H1350" t="s">
        <v>4312</v>
      </c>
    </row>
    <row r="1351" spans="2:8" x14ac:dyDescent="0.25">
      <c r="B1351" t="s">
        <v>4315</v>
      </c>
      <c r="C1351" t="s">
        <v>4316</v>
      </c>
      <c r="D1351" t="s">
        <v>4317</v>
      </c>
      <c r="E1351" t="s">
        <v>4317</v>
      </c>
      <c r="H1351" t="s">
        <v>4315</v>
      </c>
    </row>
    <row r="1352" spans="2:8" x14ac:dyDescent="0.25">
      <c r="B1352" t="s">
        <v>4318</v>
      </c>
      <c r="C1352" t="s">
        <v>4292</v>
      </c>
      <c r="D1352" t="s">
        <v>4319</v>
      </c>
      <c r="E1352" t="s">
        <v>4319</v>
      </c>
      <c r="H1352" t="s">
        <v>4318</v>
      </c>
    </row>
    <row r="1353" spans="2:8" x14ac:dyDescent="0.25">
      <c r="B1353" t="s">
        <v>4320</v>
      </c>
      <c r="C1353" t="s">
        <v>4321</v>
      </c>
      <c r="D1353" t="s">
        <v>4322</v>
      </c>
      <c r="E1353" t="s">
        <v>4322</v>
      </c>
      <c r="H1353" t="s">
        <v>4320</v>
      </c>
    </row>
    <row r="1354" spans="2:8" x14ac:dyDescent="0.25">
      <c r="B1354" t="s">
        <v>3206</v>
      </c>
      <c r="C1354" t="s">
        <v>3207</v>
      </c>
      <c r="D1354" t="s">
        <v>3208</v>
      </c>
      <c r="E1354" t="s">
        <v>3208</v>
      </c>
      <c r="H1354" t="s">
        <v>3206</v>
      </c>
    </row>
    <row r="1355" spans="2:8" x14ac:dyDescent="0.25">
      <c r="B1355" t="s">
        <v>3209</v>
      </c>
      <c r="C1355" t="s">
        <v>3207</v>
      </c>
      <c r="D1355" t="s">
        <v>3210</v>
      </c>
      <c r="E1355" t="s">
        <v>3210</v>
      </c>
      <c r="H1355" t="s">
        <v>3209</v>
      </c>
    </row>
    <row r="1356" spans="2:8" x14ac:dyDescent="0.25">
      <c r="B1356" t="s">
        <v>3211</v>
      </c>
      <c r="C1356" t="s">
        <v>3207</v>
      </c>
      <c r="D1356" t="s">
        <v>3212</v>
      </c>
      <c r="E1356" t="s">
        <v>3212</v>
      </c>
      <c r="H1356" t="s">
        <v>3211</v>
      </c>
    </row>
    <row r="1357" spans="2:8" x14ac:dyDescent="0.25">
      <c r="B1357" t="s">
        <v>3213</v>
      </c>
      <c r="C1357" t="s">
        <v>3207</v>
      </c>
      <c r="D1357" t="s">
        <v>3214</v>
      </c>
      <c r="E1357" t="s">
        <v>3214</v>
      </c>
      <c r="H1357" t="s">
        <v>3213</v>
      </c>
    </row>
    <row r="1358" spans="2:8" x14ac:dyDescent="0.25">
      <c r="B1358" t="s">
        <v>3215</v>
      </c>
      <c r="C1358" t="s">
        <v>3207</v>
      </c>
      <c r="D1358" t="s">
        <v>3216</v>
      </c>
      <c r="E1358" t="s">
        <v>3216</v>
      </c>
      <c r="H1358" t="s">
        <v>3215</v>
      </c>
    </row>
    <row r="1359" spans="2:8" x14ac:dyDescent="0.25">
      <c r="B1359" t="s">
        <v>3217</v>
      </c>
      <c r="C1359" t="s">
        <v>3207</v>
      </c>
      <c r="D1359" t="s">
        <v>3218</v>
      </c>
      <c r="E1359" t="s">
        <v>3218</v>
      </c>
      <c r="H1359" t="s">
        <v>3217</v>
      </c>
    </row>
    <row r="1360" spans="2:8" x14ac:dyDescent="0.25">
      <c r="B1360" t="s">
        <v>4323</v>
      </c>
      <c r="C1360" t="s">
        <v>4324</v>
      </c>
      <c r="D1360" t="s">
        <v>4325</v>
      </c>
      <c r="E1360" t="s">
        <v>4325</v>
      </c>
      <c r="H1360" t="s">
        <v>4323</v>
      </c>
    </row>
    <row r="1361" spans="2:8" x14ac:dyDescent="0.25">
      <c r="B1361" t="s">
        <v>4326</v>
      </c>
      <c r="C1361" t="s">
        <v>4324</v>
      </c>
      <c r="D1361" t="s">
        <v>4327</v>
      </c>
      <c r="E1361" t="s">
        <v>4327</v>
      </c>
      <c r="H1361" t="s">
        <v>4326</v>
      </c>
    </row>
    <row r="1362" spans="2:8" x14ac:dyDescent="0.25">
      <c r="B1362" t="s">
        <v>4328</v>
      </c>
      <c r="C1362" t="s">
        <v>4329</v>
      </c>
      <c r="D1362" t="s">
        <v>4330</v>
      </c>
      <c r="E1362" t="s">
        <v>4330</v>
      </c>
      <c r="H1362" t="s">
        <v>4328</v>
      </c>
    </row>
    <row r="1363" spans="2:8" x14ac:dyDescent="0.25">
      <c r="B1363" t="s">
        <v>4331</v>
      </c>
      <c r="C1363" t="s">
        <v>4329</v>
      </c>
      <c r="D1363" t="s">
        <v>4332</v>
      </c>
      <c r="E1363" t="s">
        <v>4332</v>
      </c>
      <c r="H1363" t="s">
        <v>4331</v>
      </c>
    </row>
    <row r="1364" spans="2:8" x14ac:dyDescent="0.25">
      <c r="B1364" t="s">
        <v>4333</v>
      </c>
      <c r="C1364" t="s">
        <v>4334</v>
      </c>
      <c r="D1364" t="s">
        <v>4335</v>
      </c>
      <c r="E1364" t="s">
        <v>4335</v>
      </c>
      <c r="H1364" t="s">
        <v>4333</v>
      </c>
    </row>
    <row r="1365" spans="2:8" x14ac:dyDescent="0.25">
      <c r="B1365" t="s">
        <v>4336</v>
      </c>
      <c r="C1365" t="s">
        <v>4337</v>
      </c>
      <c r="D1365" t="s">
        <v>4338</v>
      </c>
      <c r="E1365" t="s">
        <v>4338</v>
      </c>
      <c r="H1365" t="s">
        <v>4336</v>
      </c>
    </row>
    <row r="1366" spans="2:8" x14ac:dyDescent="0.25">
      <c r="B1366" t="s">
        <v>4339</v>
      </c>
      <c r="C1366" t="s">
        <v>4340</v>
      </c>
      <c r="D1366" t="s">
        <v>4341</v>
      </c>
      <c r="E1366" t="s">
        <v>4341</v>
      </c>
      <c r="H1366" t="s">
        <v>4339</v>
      </c>
    </row>
    <row r="1367" spans="2:8" x14ac:dyDescent="0.25">
      <c r="B1367" t="s">
        <v>4342</v>
      </c>
      <c r="C1367" t="s">
        <v>4334</v>
      </c>
      <c r="D1367" t="s">
        <v>4343</v>
      </c>
      <c r="E1367" t="s">
        <v>4343</v>
      </c>
      <c r="H1367" t="s">
        <v>4342</v>
      </c>
    </row>
    <row r="1368" spans="2:8" x14ac:dyDescent="0.25">
      <c r="B1368" t="s">
        <v>4344</v>
      </c>
      <c r="C1368" t="s">
        <v>4337</v>
      </c>
      <c r="D1368" t="s">
        <v>4338</v>
      </c>
      <c r="E1368" t="s">
        <v>4338</v>
      </c>
      <c r="H1368" t="s">
        <v>4344</v>
      </c>
    </row>
    <row r="1369" spans="2:8" x14ac:dyDescent="0.25">
      <c r="B1369" t="s">
        <v>4345</v>
      </c>
      <c r="C1369" t="s">
        <v>4340</v>
      </c>
      <c r="D1369" t="s">
        <v>4346</v>
      </c>
      <c r="E1369" t="s">
        <v>4346</v>
      </c>
      <c r="H1369" t="s">
        <v>4345</v>
      </c>
    </row>
    <row r="1370" spans="2:8" x14ac:dyDescent="0.25">
      <c r="B1370" t="s">
        <v>4347</v>
      </c>
      <c r="C1370" t="s">
        <v>4334</v>
      </c>
      <c r="D1370" t="s">
        <v>4348</v>
      </c>
      <c r="E1370" t="s">
        <v>4348</v>
      </c>
      <c r="H1370" t="s">
        <v>4347</v>
      </c>
    </row>
    <row r="1371" spans="2:8" x14ac:dyDescent="0.25">
      <c r="B1371" t="s">
        <v>4349</v>
      </c>
      <c r="C1371" t="s">
        <v>4337</v>
      </c>
      <c r="D1371" t="s">
        <v>4350</v>
      </c>
      <c r="E1371" t="s">
        <v>4350</v>
      </c>
      <c r="H1371" t="s">
        <v>4349</v>
      </c>
    </row>
    <row r="1372" spans="2:8" x14ac:dyDescent="0.25">
      <c r="B1372" t="s">
        <v>4351</v>
      </c>
      <c r="C1372" t="s">
        <v>4340</v>
      </c>
      <c r="D1372" t="s">
        <v>4352</v>
      </c>
      <c r="E1372" t="s">
        <v>4352</v>
      </c>
      <c r="H1372" t="s">
        <v>4351</v>
      </c>
    </row>
    <row r="1373" spans="2:8" x14ac:dyDescent="0.25">
      <c r="B1373" t="s">
        <v>4353</v>
      </c>
      <c r="C1373" t="s">
        <v>4334</v>
      </c>
      <c r="D1373" t="s">
        <v>4354</v>
      </c>
      <c r="E1373" t="s">
        <v>4354</v>
      </c>
      <c r="H1373" t="s">
        <v>4353</v>
      </c>
    </row>
    <row r="1374" spans="2:8" x14ac:dyDescent="0.25">
      <c r="B1374" t="s">
        <v>4355</v>
      </c>
      <c r="C1374" t="s">
        <v>4337</v>
      </c>
      <c r="D1374" t="s">
        <v>4356</v>
      </c>
      <c r="E1374" t="s">
        <v>4356</v>
      </c>
      <c r="H1374" t="s">
        <v>4355</v>
      </c>
    </row>
    <row r="1375" spans="2:8" x14ac:dyDescent="0.25">
      <c r="B1375" t="s">
        <v>4357</v>
      </c>
      <c r="C1375" t="s">
        <v>4340</v>
      </c>
      <c r="D1375" t="s">
        <v>4358</v>
      </c>
      <c r="E1375" t="s">
        <v>4358</v>
      </c>
      <c r="H1375" t="s">
        <v>4357</v>
      </c>
    </row>
    <row r="1376" spans="2:8" x14ac:dyDescent="0.25">
      <c r="B1376" t="s">
        <v>4359</v>
      </c>
      <c r="C1376" t="s">
        <v>4360</v>
      </c>
      <c r="D1376" t="s">
        <v>4361</v>
      </c>
      <c r="E1376" t="s">
        <v>4361</v>
      </c>
      <c r="H1376" t="s">
        <v>4359</v>
      </c>
    </row>
    <row r="1377" spans="2:8" x14ac:dyDescent="0.25">
      <c r="B1377" t="s">
        <v>4362</v>
      </c>
      <c r="C1377" t="s">
        <v>4360</v>
      </c>
      <c r="D1377" t="s">
        <v>4363</v>
      </c>
      <c r="E1377" t="s">
        <v>4363</v>
      </c>
      <c r="H1377" t="s">
        <v>4362</v>
      </c>
    </row>
    <row r="1378" spans="2:8" x14ac:dyDescent="0.25">
      <c r="B1378" t="s">
        <v>4364</v>
      </c>
      <c r="C1378" t="s">
        <v>4365</v>
      </c>
      <c r="D1378" t="s">
        <v>4366</v>
      </c>
      <c r="E1378" t="s">
        <v>4366</v>
      </c>
      <c r="H1378" t="s">
        <v>4364</v>
      </c>
    </row>
    <row r="1379" spans="2:8" x14ac:dyDescent="0.25">
      <c r="B1379" t="s">
        <v>4367</v>
      </c>
      <c r="C1379" t="s">
        <v>4365</v>
      </c>
      <c r="D1379" t="s">
        <v>4368</v>
      </c>
      <c r="E1379" t="s">
        <v>4368</v>
      </c>
      <c r="H1379" t="s">
        <v>4367</v>
      </c>
    </row>
    <row r="1380" spans="2:8" x14ac:dyDescent="0.25">
      <c r="B1380" t="s">
        <v>3219</v>
      </c>
      <c r="C1380" t="s">
        <v>3220</v>
      </c>
      <c r="D1380" t="s">
        <v>3221</v>
      </c>
      <c r="E1380" t="s">
        <v>3221</v>
      </c>
      <c r="H1380" t="s">
        <v>3219</v>
      </c>
    </row>
    <row r="1381" spans="2:8" x14ac:dyDescent="0.25">
      <c r="B1381" t="s">
        <v>3231</v>
      </c>
      <c r="C1381" t="s">
        <v>3232</v>
      </c>
      <c r="D1381" t="s">
        <v>3233</v>
      </c>
      <c r="E1381" t="s">
        <v>3233</v>
      </c>
      <c r="H1381" t="s">
        <v>3231</v>
      </c>
    </row>
    <row r="1382" spans="2:8" x14ac:dyDescent="0.25">
      <c r="B1382" t="s">
        <v>3238</v>
      </c>
      <c r="C1382" t="s">
        <v>3229</v>
      </c>
      <c r="D1382" t="s">
        <v>3239</v>
      </c>
      <c r="E1382" t="s">
        <v>3239</v>
      </c>
      <c r="H1382" t="s">
        <v>3238</v>
      </c>
    </row>
    <row r="1383" spans="2:8" x14ac:dyDescent="0.25">
      <c r="B1383" t="s">
        <v>3240</v>
      </c>
      <c r="C1383" t="s">
        <v>3232</v>
      </c>
      <c r="D1383" t="s">
        <v>3241</v>
      </c>
      <c r="E1383" t="s">
        <v>3241</v>
      </c>
      <c r="H1383" t="s">
        <v>3240</v>
      </c>
    </row>
    <row r="1384" spans="2:8" x14ac:dyDescent="0.25">
      <c r="B1384" t="s">
        <v>3242</v>
      </c>
      <c r="C1384" t="s">
        <v>3243</v>
      </c>
      <c r="D1384" t="s">
        <v>3244</v>
      </c>
      <c r="E1384" t="s">
        <v>3244</v>
      </c>
      <c r="H1384" t="s">
        <v>3242</v>
      </c>
    </row>
    <row r="1385" spans="2:8" x14ac:dyDescent="0.25">
      <c r="B1385" t="s">
        <v>3245</v>
      </c>
      <c r="C1385" t="s">
        <v>3220</v>
      </c>
      <c r="D1385" t="s">
        <v>3246</v>
      </c>
      <c r="E1385" t="s">
        <v>3246</v>
      </c>
      <c r="H1385" t="s">
        <v>3245</v>
      </c>
    </row>
    <row r="1386" spans="2:8" x14ac:dyDescent="0.25">
      <c r="B1386" t="s">
        <v>3247</v>
      </c>
      <c r="C1386" t="s">
        <v>3243</v>
      </c>
      <c r="D1386" t="s">
        <v>3248</v>
      </c>
      <c r="E1386" t="s">
        <v>3248</v>
      </c>
      <c r="H1386" t="s">
        <v>3247</v>
      </c>
    </row>
    <row r="1387" spans="2:8" x14ac:dyDescent="0.25">
      <c r="B1387" t="s">
        <v>4369</v>
      </c>
      <c r="C1387" t="s">
        <v>4370</v>
      </c>
      <c r="D1387" t="s">
        <v>4371</v>
      </c>
      <c r="E1387" t="s">
        <v>4371</v>
      </c>
      <c r="H1387" t="s">
        <v>4369</v>
      </c>
    </row>
    <row r="1388" spans="2:8" x14ac:dyDescent="0.25">
      <c r="B1388" t="s">
        <v>4372</v>
      </c>
      <c r="C1388" t="s">
        <v>4370</v>
      </c>
      <c r="D1388" t="s">
        <v>4373</v>
      </c>
      <c r="E1388" t="s">
        <v>4373</v>
      </c>
      <c r="H1388" t="s">
        <v>4372</v>
      </c>
    </row>
    <row r="1389" spans="2:8" x14ac:dyDescent="0.25">
      <c r="B1389" t="s">
        <v>4374</v>
      </c>
      <c r="C1389" t="s">
        <v>4370</v>
      </c>
      <c r="D1389" t="s">
        <v>4375</v>
      </c>
      <c r="E1389" t="s">
        <v>4375</v>
      </c>
      <c r="H1389" t="s">
        <v>4374</v>
      </c>
    </row>
    <row r="1390" spans="2:8" x14ac:dyDescent="0.25">
      <c r="B1390" t="s">
        <v>4376</v>
      </c>
      <c r="C1390" t="s">
        <v>4377</v>
      </c>
      <c r="D1390" t="s">
        <v>4378</v>
      </c>
      <c r="E1390" t="s">
        <v>4378</v>
      </c>
      <c r="H1390" t="s">
        <v>4376</v>
      </c>
    </row>
    <row r="1391" spans="2:8" x14ac:dyDescent="0.25">
      <c r="B1391" t="s">
        <v>4379</v>
      </c>
      <c r="C1391" t="s">
        <v>4377</v>
      </c>
      <c r="D1391" t="s">
        <v>4380</v>
      </c>
      <c r="E1391" t="s">
        <v>4380</v>
      </c>
      <c r="H1391" t="s">
        <v>4379</v>
      </c>
    </row>
    <row r="1392" spans="2:8" x14ac:dyDescent="0.25">
      <c r="B1392" t="s">
        <v>4381</v>
      </c>
      <c r="C1392" t="s">
        <v>4377</v>
      </c>
      <c r="D1392" t="s">
        <v>4382</v>
      </c>
      <c r="E1392" t="s">
        <v>4382</v>
      </c>
      <c r="H1392" t="s">
        <v>4381</v>
      </c>
    </row>
    <row r="1393" spans="2:8" x14ac:dyDescent="0.25">
      <c r="B1393" t="s">
        <v>4383</v>
      </c>
      <c r="C1393" t="s">
        <v>4384</v>
      </c>
      <c r="D1393" t="s">
        <v>4385</v>
      </c>
      <c r="E1393" t="s">
        <v>4385</v>
      </c>
      <c r="H1393" t="s">
        <v>4383</v>
      </c>
    </row>
    <row r="1394" spans="2:8" x14ac:dyDescent="0.25">
      <c r="B1394" t="s">
        <v>4386</v>
      </c>
      <c r="C1394" t="s">
        <v>4384</v>
      </c>
      <c r="D1394" t="s">
        <v>4387</v>
      </c>
      <c r="E1394" t="s">
        <v>4387</v>
      </c>
      <c r="H1394" t="s">
        <v>4386</v>
      </c>
    </row>
    <row r="1395" spans="2:8" x14ac:dyDescent="0.25">
      <c r="B1395" t="s">
        <v>4388</v>
      </c>
      <c r="C1395" t="s">
        <v>4384</v>
      </c>
      <c r="D1395" t="s">
        <v>4389</v>
      </c>
      <c r="E1395" t="s">
        <v>4389</v>
      </c>
      <c r="H1395" t="s">
        <v>4388</v>
      </c>
    </row>
    <row r="1396" spans="2:8" x14ac:dyDescent="0.25">
      <c r="B1396" t="s">
        <v>4390</v>
      </c>
      <c r="C1396" t="s">
        <v>4391</v>
      </c>
      <c r="D1396" t="s">
        <v>4392</v>
      </c>
      <c r="E1396" t="s">
        <v>4392</v>
      </c>
      <c r="H1396" t="s">
        <v>4390</v>
      </c>
    </row>
    <row r="1397" spans="2:8" x14ac:dyDescent="0.25">
      <c r="B1397" t="s">
        <v>4393</v>
      </c>
      <c r="C1397" t="s">
        <v>4394</v>
      </c>
      <c r="D1397" t="s">
        <v>4395</v>
      </c>
      <c r="E1397" t="s">
        <v>4395</v>
      </c>
      <c r="H1397" t="s">
        <v>4393</v>
      </c>
    </row>
    <row r="1398" spans="2:8" x14ac:dyDescent="0.25">
      <c r="B1398" t="s">
        <v>4396</v>
      </c>
      <c r="C1398" t="s">
        <v>4397</v>
      </c>
      <c r="D1398" t="s">
        <v>4398</v>
      </c>
      <c r="E1398" t="s">
        <v>4398</v>
      </c>
      <c r="H1398" t="s">
        <v>4396</v>
      </c>
    </row>
    <row r="1399" spans="2:8" x14ac:dyDescent="0.25">
      <c r="B1399" t="s">
        <v>4399</v>
      </c>
      <c r="C1399" t="s">
        <v>4400</v>
      </c>
      <c r="D1399" t="s">
        <v>4401</v>
      </c>
      <c r="E1399" t="s">
        <v>4401</v>
      </c>
      <c r="H1399" t="s">
        <v>4399</v>
      </c>
    </row>
    <row r="1400" spans="2:8" x14ac:dyDescent="0.25">
      <c r="B1400" t="s">
        <v>4402</v>
      </c>
      <c r="C1400" t="s">
        <v>4400</v>
      </c>
      <c r="D1400" t="s">
        <v>4403</v>
      </c>
      <c r="E1400" t="s">
        <v>4403</v>
      </c>
      <c r="H1400" t="s">
        <v>4402</v>
      </c>
    </row>
    <row r="1401" spans="2:8" x14ac:dyDescent="0.25">
      <c r="B1401" t="s">
        <v>4404</v>
      </c>
      <c r="C1401" t="s">
        <v>4400</v>
      </c>
      <c r="D1401" t="s">
        <v>4405</v>
      </c>
      <c r="E1401" t="s">
        <v>4405</v>
      </c>
      <c r="H1401" t="s">
        <v>4404</v>
      </c>
    </row>
    <row r="1402" spans="2:8" x14ac:dyDescent="0.25">
      <c r="B1402" t="s">
        <v>4406</v>
      </c>
      <c r="C1402" t="s">
        <v>4407</v>
      </c>
      <c r="D1402" t="s">
        <v>4408</v>
      </c>
      <c r="E1402" t="s">
        <v>4408</v>
      </c>
      <c r="H1402" t="s">
        <v>4406</v>
      </c>
    </row>
    <row r="1403" spans="2:8" x14ac:dyDescent="0.25">
      <c r="B1403" t="s">
        <v>4409</v>
      </c>
      <c r="C1403" t="s">
        <v>4407</v>
      </c>
      <c r="D1403" t="s">
        <v>4410</v>
      </c>
      <c r="E1403" t="s">
        <v>4410</v>
      </c>
      <c r="H1403" t="s">
        <v>4409</v>
      </c>
    </row>
    <row r="1404" spans="2:8" x14ac:dyDescent="0.25">
      <c r="B1404" t="s">
        <v>4411</v>
      </c>
      <c r="C1404" t="s">
        <v>4407</v>
      </c>
      <c r="D1404" t="s">
        <v>4412</v>
      </c>
      <c r="E1404" t="s">
        <v>4412</v>
      </c>
      <c r="H1404" t="s">
        <v>4411</v>
      </c>
    </row>
    <row r="1405" spans="2:8" x14ac:dyDescent="0.25">
      <c r="B1405" t="s">
        <v>4413</v>
      </c>
      <c r="C1405" t="s">
        <v>4414</v>
      </c>
      <c r="D1405" t="s">
        <v>4415</v>
      </c>
      <c r="E1405" t="s">
        <v>4415</v>
      </c>
      <c r="H1405" t="s">
        <v>4413</v>
      </c>
    </row>
    <row r="1406" spans="2:8" x14ac:dyDescent="0.25">
      <c r="B1406" t="s">
        <v>4416</v>
      </c>
      <c r="C1406" t="s">
        <v>4414</v>
      </c>
      <c r="D1406" t="s">
        <v>4417</v>
      </c>
      <c r="E1406" t="s">
        <v>4417</v>
      </c>
      <c r="H1406" t="s">
        <v>4416</v>
      </c>
    </row>
    <row r="1407" spans="2:8" x14ac:dyDescent="0.25">
      <c r="B1407" t="s">
        <v>3249</v>
      </c>
      <c r="C1407" t="s">
        <v>3250</v>
      </c>
      <c r="D1407" t="s">
        <v>3251</v>
      </c>
      <c r="E1407" t="s">
        <v>3251</v>
      </c>
      <c r="H1407" t="s">
        <v>3249</v>
      </c>
    </row>
    <row r="1408" spans="2:8" x14ac:dyDescent="0.25">
      <c r="B1408" t="s">
        <v>3252</v>
      </c>
      <c r="C1408" t="s">
        <v>3250</v>
      </c>
      <c r="D1408" t="s">
        <v>3253</v>
      </c>
      <c r="E1408" t="s">
        <v>3253</v>
      </c>
      <c r="H1408" t="s">
        <v>3252</v>
      </c>
    </row>
    <row r="1409" spans="2:8" x14ac:dyDescent="0.25">
      <c r="B1409" t="s">
        <v>3254</v>
      </c>
      <c r="C1409" t="s">
        <v>3250</v>
      </c>
      <c r="D1409" t="s">
        <v>3255</v>
      </c>
      <c r="E1409" t="s">
        <v>3255</v>
      </c>
      <c r="H1409" t="s">
        <v>3254</v>
      </c>
    </row>
    <row r="1410" spans="2:8" x14ac:dyDescent="0.25">
      <c r="B1410" t="s">
        <v>3256</v>
      </c>
      <c r="C1410" t="s">
        <v>3250</v>
      </c>
      <c r="D1410" t="s">
        <v>3257</v>
      </c>
      <c r="E1410" t="s">
        <v>3257</v>
      </c>
      <c r="H1410" t="s">
        <v>3256</v>
      </c>
    </row>
    <row r="1411" spans="2:8" x14ac:dyDescent="0.25">
      <c r="B1411" t="s">
        <v>4421</v>
      </c>
      <c r="C1411" t="s">
        <v>4422</v>
      </c>
      <c r="D1411" t="s">
        <v>4423</v>
      </c>
      <c r="E1411" t="s">
        <v>4423</v>
      </c>
      <c r="H1411" t="s">
        <v>4421</v>
      </c>
    </row>
    <row r="1412" spans="2:8" x14ac:dyDescent="0.25">
      <c r="B1412" t="s">
        <v>4424</v>
      </c>
      <c r="C1412" t="s">
        <v>4425</v>
      </c>
      <c r="D1412" t="s">
        <v>4426</v>
      </c>
      <c r="E1412" t="s">
        <v>4426</v>
      </c>
      <c r="H1412" t="s">
        <v>4424</v>
      </c>
    </row>
    <row r="1413" spans="2:8" x14ac:dyDescent="0.25">
      <c r="B1413" t="s">
        <v>4427</v>
      </c>
      <c r="C1413" t="s">
        <v>4428</v>
      </c>
      <c r="D1413" t="s">
        <v>4429</v>
      </c>
      <c r="E1413" t="s">
        <v>4429</v>
      </c>
      <c r="H1413" t="s">
        <v>4427</v>
      </c>
    </row>
    <row r="1414" spans="2:8" x14ac:dyDescent="0.25">
      <c r="B1414" t="s">
        <v>4430</v>
      </c>
      <c r="C1414" t="s">
        <v>4431</v>
      </c>
      <c r="D1414" t="s">
        <v>4432</v>
      </c>
      <c r="E1414" t="s">
        <v>4432</v>
      </c>
      <c r="H1414" t="s">
        <v>4430</v>
      </c>
    </row>
    <row r="1415" spans="2:8" x14ac:dyDescent="0.25">
      <c r="B1415" t="s">
        <v>4433</v>
      </c>
      <c r="C1415" t="s">
        <v>4434</v>
      </c>
      <c r="D1415" t="s">
        <v>4435</v>
      </c>
      <c r="E1415" t="s">
        <v>4435</v>
      </c>
      <c r="H1415" t="s">
        <v>4433</v>
      </c>
    </row>
    <row r="1416" spans="2:8" x14ac:dyDescent="0.25">
      <c r="B1416" t="s">
        <v>4436</v>
      </c>
      <c r="C1416" t="s">
        <v>4434</v>
      </c>
      <c r="D1416" t="s">
        <v>4437</v>
      </c>
      <c r="E1416" t="s">
        <v>4437</v>
      </c>
      <c r="H1416" t="s">
        <v>4436</v>
      </c>
    </row>
    <row r="1417" spans="2:8" x14ac:dyDescent="0.25">
      <c r="B1417" t="s">
        <v>4438</v>
      </c>
      <c r="C1417" t="s">
        <v>4434</v>
      </c>
      <c r="D1417" t="s">
        <v>4439</v>
      </c>
      <c r="E1417" t="s">
        <v>4439</v>
      </c>
      <c r="H1417" t="s">
        <v>4438</v>
      </c>
    </row>
    <row r="1418" spans="2:8" x14ac:dyDescent="0.25">
      <c r="B1418" t="s">
        <v>4440</v>
      </c>
      <c r="C1418" t="s">
        <v>4441</v>
      </c>
      <c r="D1418" t="s">
        <v>4442</v>
      </c>
      <c r="E1418" t="s">
        <v>4442</v>
      </c>
      <c r="H1418" t="s">
        <v>4440</v>
      </c>
    </row>
    <row r="1419" spans="2:8" x14ac:dyDescent="0.25">
      <c r="B1419" t="s">
        <v>4443</v>
      </c>
      <c r="C1419" t="s">
        <v>4441</v>
      </c>
      <c r="D1419" t="s">
        <v>4444</v>
      </c>
      <c r="E1419" t="s">
        <v>4444</v>
      </c>
      <c r="H1419" t="s">
        <v>4443</v>
      </c>
    </row>
    <row r="1420" spans="2:8" x14ac:dyDescent="0.25">
      <c r="B1420" t="s">
        <v>4445</v>
      </c>
      <c r="C1420" t="s">
        <v>4441</v>
      </c>
      <c r="D1420" t="s">
        <v>4446</v>
      </c>
      <c r="E1420" t="s">
        <v>4446</v>
      </c>
      <c r="H1420" t="s">
        <v>4445</v>
      </c>
    </row>
    <row r="1421" spans="2:8" x14ac:dyDescent="0.25">
      <c r="B1421" t="s">
        <v>4447</v>
      </c>
      <c r="C1421" t="s">
        <v>4448</v>
      </c>
      <c r="D1421" t="s">
        <v>4449</v>
      </c>
      <c r="E1421" t="s">
        <v>4449</v>
      </c>
      <c r="H1421" t="s">
        <v>4447</v>
      </c>
    </row>
    <row r="1422" spans="2:8" x14ac:dyDescent="0.25">
      <c r="B1422" t="s">
        <v>4450</v>
      </c>
      <c r="C1422" t="s">
        <v>4448</v>
      </c>
      <c r="D1422" t="s">
        <v>4451</v>
      </c>
      <c r="E1422" t="s">
        <v>4451</v>
      </c>
      <c r="H1422" t="s">
        <v>4450</v>
      </c>
    </row>
    <row r="1423" spans="2:8" x14ac:dyDescent="0.25">
      <c r="B1423" t="s">
        <v>4452</v>
      </c>
      <c r="C1423" t="s">
        <v>4453</v>
      </c>
      <c r="D1423" t="s">
        <v>4454</v>
      </c>
      <c r="E1423" t="s">
        <v>4454</v>
      </c>
      <c r="H1423" t="s">
        <v>4452</v>
      </c>
    </row>
    <row r="1424" spans="2:8" x14ac:dyDescent="0.25">
      <c r="B1424" t="s">
        <v>4455</v>
      </c>
      <c r="C1424" t="s">
        <v>4456</v>
      </c>
      <c r="D1424" t="s">
        <v>4457</v>
      </c>
      <c r="E1424" t="s">
        <v>4457</v>
      </c>
      <c r="H1424" t="s">
        <v>4455</v>
      </c>
    </row>
    <row r="1425" spans="2:8" x14ac:dyDescent="0.25">
      <c r="B1425" t="s">
        <v>4458</v>
      </c>
      <c r="C1425" t="s">
        <v>4459</v>
      </c>
      <c r="D1425" t="s">
        <v>4460</v>
      </c>
      <c r="E1425" t="s">
        <v>4460</v>
      </c>
      <c r="H1425" t="s">
        <v>4458</v>
      </c>
    </row>
    <row r="1426" spans="2:8" x14ac:dyDescent="0.25">
      <c r="B1426" t="s">
        <v>4461</v>
      </c>
      <c r="C1426" t="s">
        <v>4462</v>
      </c>
      <c r="D1426" t="s">
        <v>4463</v>
      </c>
      <c r="E1426" t="s">
        <v>4463</v>
      </c>
      <c r="H1426" t="s">
        <v>4461</v>
      </c>
    </row>
    <row r="1427" spans="2:8" x14ac:dyDescent="0.25">
      <c r="B1427" t="s">
        <v>4464</v>
      </c>
      <c r="C1427" t="s">
        <v>4465</v>
      </c>
      <c r="D1427" t="s">
        <v>4466</v>
      </c>
      <c r="E1427" t="s">
        <v>4466</v>
      </c>
      <c r="H1427" t="s">
        <v>4464</v>
      </c>
    </row>
    <row r="1428" spans="2:8" x14ac:dyDescent="0.25">
      <c r="B1428" t="s">
        <v>4467</v>
      </c>
      <c r="C1428" t="s">
        <v>4465</v>
      </c>
      <c r="D1428" t="s">
        <v>4468</v>
      </c>
      <c r="E1428" t="s">
        <v>4468</v>
      </c>
      <c r="H1428" t="s">
        <v>4467</v>
      </c>
    </row>
    <row r="1429" spans="2:8" x14ac:dyDescent="0.25">
      <c r="B1429" t="s">
        <v>4469</v>
      </c>
      <c r="C1429" t="s">
        <v>4465</v>
      </c>
      <c r="D1429" t="s">
        <v>4470</v>
      </c>
      <c r="E1429" t="s">
        <v>4470</v>
      </c>
      <c r="H1429" t="s">
        <v>4469</v>
      </c>
    </row>
    <row r="1430" spans="2:8" x14ac:dyDescent="0.25">
      <c r="B1430" t="s">
        <v>4472</v>
      </c>
      <c r="C1430" t="s">
        <v>4471</v>
      </c>
      <c r="D1430" t="s">
        <v>4473</v>
      </c>
      <c r="E1430" t="s">
        <v>4473</v>
      </c>
      <c r="H1430" t="s">
        <v>4472</v>
      </c>
    </row>
    <row r="1431" spans="2:8" x14ac:dyDescent="0.25">
      <c r="B1431" t="s">
        <v>4474</v>
      </c>
      <c r="C1431" t="s">
        <v>4471</v>
      </c>
      <c r="D1431" t="s">
        <v>4475</v>
      </c>
      <c r="E1431" t="s">
        <v>4475</v>
      </c>
      <c r="H1431" t="s">
        <v>4474</v>
      </c>
    </row>
    <row r="1432" spans="2:8" x14ac:dyDescent="0.25">
      <c r="B1432" t="s">
        <v>4476</v>
      </c>
      <c r="C1432" t="s">
        <v>4471</v>
      </c>
      <c r="D1432" t="s">
        <v>4477</v>
      </c>
      <c r="E1432" t="s">
        <v>4477</v>
      </c>
      <c r="H1432" t="s">
        <v>4476</v>
      </c>
    </row>
    <row r="1433" spans="2:8" x14ac:dyDescent="0.25">
      <c r="B1433" t="s">
        <v>4478</v>
      </c>
      <c r="C1433" t="s">
        <v>4471</v>
      </c>
      <c r="D1433" t="s">
        <v>4479</v>
      </c>
      <c r="E1433" t="s">
        <v>4479</v>
      </c>
      <c r="H1433" t="s">
        <v>4478</v>
      </c>
    </row>
    <row r="1434" spans="2:8" x14ac:dyDescent="0.25">
      <c r="B1434" t="s">
        <v>4480</v>
      </c>
      <c r="C1434" t="s">
        <v>4481</v>
      </c>
      <c r="D1434" t="s">
        <v>4482</v>
      </c>
      <c r="E1434" t="s">
        <v>4482</v>
      </c>
      <c r="H1434" t="s">
        <v>4480</v>
      </c>
    </row>
    <row r="1435" spans="2:8" x14ac:dyDescent="0.25">
      <c r="B1435" t="s">
        <v>4483</v>
      </c>
      <c r="C1435" t="s">
        <v>4481</v>
      </c>
      <c r="D1435" t="s">
        <v>4484</v>
      </c>
      <c r="E1435" t="s">
        <v>4484</v>
      </c>
      <c r="H1435" t="s">
        <v>4483</v>
      </c>
    </row>
    <row r="1436" spans="2:8" x14ac:dyDescent="0.25">
      <c r="B1436" t="s">
        <v>4485</v>
      </c>
      <c r="C1436" t="s">
        <v>4481</v>
      </c>
      <c r="D1436" t="s">
        <v>4486</v>
      </c>
      <c r="E1436" t="s">
        <v>4486</v>
      </c>
      <c r="H1436" t="s">
        <v>4485</v>
      </c>
    </row>
    <row r="1437" spans="2:8" x14ac:dyDescent="0.25">
      <c r="B1437" t="s">
        <v>4487</v>
      </c>
      <c r="C1437" t="s">
        <v>4481</v>
      </c>
      <c r="D1437" t="s">
        <v>4488</v>
      </c>
      <c r="E1437" t="s">
        <v>4488</v>
      </c>
      <c r="H1437" t="s">
        <v>4487</v>
      </c>
    </row>
    <row r="1438" spans="2:8" x14ac:dyDescent="0.25">
      <c r="B1438" t="s">
        <v>4489</v>
      </c>
      <c r="C1438" t="s">
        <v>4490</v>
      </c>
      <c r="D1438" t="s">
        <v>4491</v>
      </c>
      <c r="E1438" t="s">
        <v>4491</v>
      </c>
      <c r="H1438" t="s">
        <v>4489</v>
      </c>
    </row>
    <row r="1439" spans="2:8" x14ac:dyDescent="0.25">
      <c r="B1439" t="s">
        <v>4492</v>
      </c>
      <c r="C1439" t="s">
        <v>4493</v>
      </c>
      <c r="D1439" t="s">
        <v>4494</v>
      </c>
      <c r="E1439" t="s">
        <v>4494</v>
      </c>
      <c r="H1439" t="s">
        <v>4492</v>
      </c>
    </row>
    <row r="1440" spans="2:8" x14ac:dyDescent="0.25">
      <c r="B1440" t="s">
        <v>4495</v>
      </c>
      <c r="C1440" t="s">
        <v>4496</v>
      </c>
      <c r="D1440" t="s">
        <v>4497</v>
      </c>
      <c r="E1440" t="s">
        <v>4497</v>
      </c>
      <c r="H1440" t="s">
        <v>4495</v>
      </c>
    </row>
    <row r="1441" spans="2:8" x14ac:dyDescent="0.25">
      <c r="B1441" t="s">
        <v>4498</v>
      </c>
      <c r="C1441" t="s">
        <v>4496</v>
      </c>
      <c r="D1441" t="s">
        <v>4499</v>
      </c>
      <c r="E1441" t="s">
        <v>4499</v>
      </c>
      <c r="H1441" t="s">
        <v>4498</v>
      </c>
    </row>
    <row r="1442" spans="2:8" x14ac:dyDescent="0.25">
      <c r="B1442" t="s">
        <v>4500</v>
      </c>
      <c r="C1442" t="s">
        <v>4459</v>
      </c>
      <c r="D1442" t="s">
        <v>4501</v>
      </c>
      <c r="E1442" t="s">
        <v>4501</v>
      </c>
      <c r="H1442" t="s">
        <v>4500</v>
      </c>
    </row>
    <row r="1443" spans="2:8" x14ac:dyDescent="0.25">
      <c r="B1443" t="s">
        <v>3258</v>
      </c>
      <c r="C1443" t="s">
        <v>3259</v>
      </c>
      <c r="D1443" t="s">
        <v>3260</v>
      </c>
      <c r="E1443" t="s">
        <v>3260</v>
      </c>
      <c r="H1443" t="s">
        <v>3258</v>
      </c>
    </row>
    <row r="1444" spans="2:8" x14ac:dyDescent="0.25">
      <c r="B1444" t="s">
        <v>3261</v>
      </c>
      <c r="C1444" t="s">
        <v>3259</v>
      </c>
      <c r="D1444" t="s">
        <v>3262</v>
      </c>
      <c r="E1444" t="s">
        <v>3262</v>
      </c>
      <c r="H1444" t="s">
        <v>3261</v>
      </c>
    </row>
    <row r="1445" spans="2:8" x14ac:dyDescent="0.25">
      <c r="B1445" t="s">
        <v>3263</v>
      </c>
      <c r="C1445" t="s">
        <v>3259</v>
      </c>
      <c r="D1445" t="s">
        <v>3264</v>
      </c>
      <c r="E1445" t="s">
        <v>3264</v>
      </c>
      <c r="H1445" t="s">
        <v>3263</v>
      </c>
    </row>
    <row r="1446" spans="2:8" x14ac:dyDescent="0.25">
      <c r="B1446" t="s">
        <v>3265</v>
      </c>
      <c r="C1446" t="s">
        <v>3266</v>
      </c>
      <c r="D1446" t="s">
        <v>3267</v>
      </c>
      <c r="E1446" t="s">
        <v>3267</v>
      </c>
      <c r="H1446" t="s">
        <v>3265</v>
      </c>
    </row>
    <row r="1447" spans="2:8" x14ac:dyDescent="0.25">
      <c r="B1447" t="s">
        <v>3268</v>
      </c>
      <c r="C1447" t="s">
        <v>3266</v>
      </c>
      <c r="D1447" t="s">
        <v>3269</v>
      </c>
      <c r="E1447" t="s">
        <v>3269</v>
      </c>
      <c r="H1447" t="s">
        <v>3268</v>
      </c>
    </row>
    <row r="1448" spans="2:8" x14ac:dyDescent="0.25">
      <c r="B1448" t="s">
        <v>3270</v>
      </c>
      <c r="C1448" t="s">
        <v>3266</v>
      </c>
      <c r="D1448" t="s">
        <v>3271</v>
      </c>
      <c r="E1448" t="s">
        <v>3271</v>
      </c>
      <c r="H1448" t="s">
        <v>3270</v>
      </c>
    </row>
    <row r="1449" spans="2:8" x14ac:dyDescent="0.25">
      <c r="B1449" t="s">
        <v>4512</v>
      </c>
      <c r="C1449" t="s">
        <v>4513</v>
      </c>
      <c r="D1449" t="s">
        <v>4514</v>
      </c>
      <c r="E1449" t="s">
        <v>4514</v>
      </c>
      <c r="H1449" t="s">
        <v>4512</v>
      </c>
    </row>
    <row r="1450" spans="2:8" x14ac:dyDescent="0.25">
      <c r="B1450" t="s">
        <v>4515</v>
      </c>
      <c r="C1450" t="s">
        <v>4513</v>
      </c>
      <c r="D1450" t="s">
        <v>4516</v>
      </c>
      <c r="E1450" t="s">
        <v>4516</v>
      </c>
      <c r="H1450" t="s">
        <v>4515</v>
      </c>
    </row>
    <row r="1451" spans="2:8" x14ac:dyDescent="0.25">
      <c r="B1451" t="s">
        <v>4517</v>
      </c>
      <c r="C1451" t="s">
        <v>4518</v>
      </c>
      <c r="D1451" t="s">
        <v>4519</v>
      </c>
      <c r="E1451" t="s">
        <v>4519</v>
      </c>
      <c r="H1451" t="s">
        <v>4517</v>
      </c>
    </row>
    <row r="1452" spans="2:8" x14ac:dyDescent="0.25">
      <c r="B1452" t="s">
        <v>4520</v>
      </c>
      <c r="C1452" t="s">
        <v>4518</v>
      </c>
      <c r="D1452" t="s">
        <v>4521</v>
      </c>
      <c r="E1452" t="s">
        <v>4521</v>
      </c>
      <c r="H1452" t="s">
        <v>4520</v>
      </c>
    </row>
    <row r="1453" spans="2:8" x14ac:dyDescent="0.25">
      <c r="B1453" t="s">
        <v>4522</v>
      </c>
      <c r="C1453" t="s">
        <v>4523</v>
      </c>
      <c r="D1453" t="s">
        <v>4524</v>
      </c>
      <c r="E1453" t="s">
        <v>4524</v>
      </c>
      <c r="H1453" t="s">
        <v>4522</v>
      </c>
    </row>
    <row r="1454" spans="2:8" x14ac:dyDescent="0.25">
      <c r="B1454" t="s">
        <v>4525</v>
      </c>
      <c r="C1454" t="s">
        <v>4523</v>
      </c>
      <c r="D1454" t="s">
        <v>4526</v>
      </c>
      <c r="E1454" t="s">
        <v>4526</v>
      </c>
      <c r="H1454" t="s">
        <v>4525</v>
      </c>
    </row>
    <row r="1455" spans="2:8" x14ac:dyDescent="0.25">
      <c r="B1455" t="s">
        <v>4527</v>
      </c>
      <c r="C1455" t="s">
        <v>4528</v>
      </c>
      <c r="D1455" t="s">
        <v>4529</v>
      </c>
      <c r="E1455" t="s">
        <v>4529</v>
      </c>
      <c r="H1455" t="s">
        <v>4527</v>
      </c>
    </row>
    <row r="1456" spans="2:8" x14ac:dyDescent="0.25">
      <c r="B1456" t="s">
        <v>4530</v>
      </c>
      <c r="C1456" t="s">
        <v>4528</v>
      </c>
      <c r="D1456" t="s">
        <v>4531</v>
      </c>
      <c r="E1456" t="s">
        <v>4531</v>
      </c>
      <c r="H1456" t="s">
        <v>4530</v>
      </c>
    </row>
    <row r="1457" spans="2:8" x14ac:dyDescent="0.25">
      <c r="B1457" t="s">
        <v>4532</v>
      </c>
      <c r="C1457" t="s">
        <v>4533</v>
      </c>
      <c r="D1457" t="s">
        <v>4534</v>
      </c>
      <c r="E1457" t="s">
        <v>4534</v>
      </c>
      <c r="H1457" t="s">
        <v>4532</v>
      </c>
    </row>
    <row r="1458" spans="2:8" x14ac:dyDescent="0.25">
      <c r="B1458" t="s">
        <v>4535</v>
      </c>
      <c r="C1458" t="s">
        <v>4533</v>
      </c>
      <c r="D1458" t="s">
        <v>4536</v>
      </c>
      <c r="E1458" t="s">
        <v>4536</v>
      </c>
      <c r="H1458" t="s">
        <v>4535</v>
      </c>
    </row>
    <row r="1459" spans="2:8" x14ac:dyDescent="0.25">
      <c r="B1459" t="s">
        <v>4537</v>
      </c>
      <c r="C1459" t="s">
        <v>4538</v>
      </c>
      <c r="D1459" t="s">
        <v>4539</v>
      </c>
      <c r="E1459" t="s">
        <v>4539</v>
      </c>
      <c r="H1459" t="s">
        <v>4537</v>
      </c>
    </row>
    <row r="1460" spans="2:8" x14ac:dyDescent="0.25">
      <c r="B1460" t="s">
        <v>4540</v>
      </c>
      <c r="C1460" t="s">
        <v>4538</v>
      </c>
      <c r="D1460" t="s">
        <v>4541</v>
      </c>
      <c r="E1460" t="s">
        <v>4541</v>
      </c>
      <c r="H1460" t="s">
        <v>4540</v>
      </c>
    </row>
    <row r="1461" spans="2:8" x14ac:dyDescent="0.25">
      <c r="B1461" t="s">
        <v>4542</v>
      </c>
      <c r="C1461" t="s">
        <v>4543</v>
      </c>
      <c r="D1461" t="s">
        <v>4544</v>
      </c>
      <c r="E1461" t="s">
        <v>4544</v>
      </c>
      <c r="H1461" t="s">
        <v>4542</v>
      </c>
    </row>
    <row r="1462" spans="2:8" x14ac:dyDescent="0.25">
      <c r="B1462" t="s">
        <v>4545</v>
      </c>
      <c r="C1462" t="s">
        <v>4543</v>
      </c>
      <c r="D1462" t="s">
        <v>4546</v>
      </c>
      <c r="E1462" t="s">
        <v>4546</v>
      </c>
      <c r="H1462" t="s">
        <v>4545</v>
      </c>
    </row>
    <row r="1463" spans="2:8" x14ac:dyDescent="0.25">
      <c r="B1463" t="s">
        <v>4547</v>
      </c>
      <c r="C1463" t="s">
        <v>4548</v>
      </c>
      <c r="D1463" t="s">
        <v>4549</v>
      </c>
      <c r="E1463" t="s">
        <v>4549</v>
      </c>
      <c r="H1463" t="s">
        <v>4547</v>
      </c>
    </row>
    <row r="1464" spans="2:8" x14ac:dyDescent="0.25">
      <c r="B1464" t="s">
        <v>4550</v>
      </c>
      <c r="C1464" t="s">
        <v>4548</v>
      </c>
      <c r="D1464" t="s">
        <v>4551</v>
      </c>
      <c r="E1464" t="s">
        <v>4551</v>
      </c>
      <c r="H1464" t="s">
        <v>4550</v>
      </c>
    </row>
    <row r="1465" spans="2:8" x14ac:dyDescent="0.25">
      <c r="B1465" t="s">
        <v>3272</v>
      </c>
      <c r="C1465" t="s">
        <v>3273</v>
      </c>
      <c r="D1465" t="s">
        <v>3274</v>
      </c>
      <c r="E1465" t="s">
        <v>3274</v>
      </c>
      <c r="H1465" t="s">
        <v>3272</v>
      </c>
    </row>
    <row r="1466" spans="2:8" x14ac:dyDescent="0.25">
      <c r="B1466" t="s">
        <v>3275</v>
      </c>
      <c r="C1466" t="s">
        <v>3273</v>
      </c>
      <c r="D1466" t="s">
        <v>3276</v>
      </c>
      <c r="E1466" t="s">
        <v>3276</v>
      </c>
      <c r="H1466" t="s">
        <v>3275</v>
      </c>
    </row>
    <row r="1467" spans="2:8" x14ac:dyDescent="0.25">
      <c r="B1467" t="s">
        <v>3277</v>
      </c>
      <c r="C1467" t="s">
        <v>3273</v>
      </c>
      <c r="D1467" t="s">
        <v>3278</v>
      </c>
      <c r="E1467" t="s">
        <v>3278</v>
      </c>
      <c r="H1467" t="s">
        <v>3277</v>
      </c>
    </row>
    <row r="1468" spans="2:8" x14ac:dyDescent="0.25">
      <c r="B1468" t="s">
        <v>3279</v>
      </c>
      <c r="C1468" t="s">
        <v>3280</v>
      </c>
      <c r="D1468" t="s">
        <v>3281</v>
      </c>
      <c r="E1468" t="s">
        <v>3281</v>
      </c>
      <c r="H1468" t="s">
        <v>3279</v>
      </c>
    </row>
    <row r="1469" spans="2:8" x14ac:dyDescent="0.25">
      <c r="B1469" t="s">
        <v>3282</v>
      </c>
      <c r="C1469" t="s">
        <v>3283</v>
      </c>
      <c r="D1469" t="s">
        <v>3284</v>
      </c>
      <c r="E1469" t="s">
        <v>3284</v>
      </c>
      <c r="H1469" t="s">
        <v>3282</v>
      </c>
    </row>
    <row r="1470" spans="2:8" x14ac:dyDescent="0.25">
      <c r="B1470" t="s">
        <v>3285</v>
      </c>
      <c r="C1470" t="s">
        <v>3280</v>
      </c>
      <c r="D1470" t="s">
        <v>3286</v>
      </c>
      <c r="E1470" t="s">
        <v>3286</v>
      </c>
      <c r="H1470" t="s">
        <v>3285</v>
      </c>
    </row>
    <row r="1471" spans="2:8" x14ac:dyDescent="0.25">
      <c r="B1471" t="s">
        <v>4552</v>
      </c>
      <c r="C1471" t="s">
        <v>4553</v>
      </c>
      <c r="D1471" t="s">
        <v>4554</v>
      </c>
      <c r="E1471" t="s">
        <v>4554</v>
      </c>
      <c r="H1471" t="s">
        <v>4552</v>
      </c>
    </row>
    <row r="1472" spans="2:8" x14ac:dyDescent="0.25">
      <c r="B1472" t="s">
        <v>4555</v>
      </c>
      <c r="C1472" t="s">
        <v>4553</v>
      </c>
      <c r="D1472" t="s">
        <v>4556</v>
      </c>
      <c r="E1472" t="s">
        <v>4556</v>
      </c>
      <c r="H1472" t="s">
        <v>4555</v>
      </c>
    </row>
    <row r="1473" spans="2:8" x14ac:dyDescent="0.25">
      <c r="B1473" t="s">
        <v>3287</v>
      </c>
      <c r="C1473" t="s">
        <v>3288</v>
      </c>
      <c r="D1473" t="s">
        <v>3289</v>
      </c>
      <c r="E1473" t="s">
        <v>3289</v>
      </c>
      <c r="H1473" t="s">
        <v>3287</v>
      </c>
    </row>
    <row r="1474" spans="2:8" x14ac:dyDescent="0.25">
      <c r="B1474" t="s">
        <v>3290</v>
      </c>
      <c r="C1474" t="s">
        <v>3288</v>
      </c>
      <c r="D1474" t="s">
        <v>3291</v>
      </c>
      <c r="E1474" t="s">
        <v>3291</v>
      </c>
      <c r="H1474" t="s">
        <v>3290</v>
      </c>
    </row>
    <row r="1475" spans="2:8" x14ac:dyDescent="0.25">
      <c r="B1475" t="s">
        <v>4557</v>
      </c>
      <c r="C1475" t="s">
        <v>4558</v>
      </c>
      <c r="D1475" t="s">
        <v>4559</v>
      </c>
      <c r="E1475" t="s">
        <v>4559</v>
      </c>
      <c r="H1475" t="s">
        <v>4557</v>
      </c>
    </row>
    <row r="1476" spans="2:8" x14ac:dyDescent="0.25">
      <c r="B1476" t="s">
        <v>4560</v>
      </c>
      <c r="C1476" t="s">
        <v>4558</v>
      </c>
      <c r="D1476" t="s">
        <v>4561</v>
      </c>
      <c r="E1476" t="s">
        <v>4561</v>
      </c>
      <c r="H1476" t="s">
        <v>4560</v>
      </c>
    </row>
    <row r="1477" spans="2:8" x14ac:dyDescent="0.25">
      <c r="B1477" t="s">
        <v>4562</v>
      </c>
      <c r="C1477" t="s">
        <v>4563</v>
      </c>
      <c r="D1477" t="s">
        <v>4564</v>
      </c>
      <c r="E1477" t="s">
        <v>4564</v>
      </c>
      <c r="H1477" t="s">
        <v>4562</v>
      </c>
    </row>
    <row r="1478" spans="2:8" x14ac:dyDescent="0.25">
      <c r="B1478" t="s">
        <v>4565</v>
      </c>
      <c r="C1478" t="s">
        <v>4566</v>
      </c>
      <c r="D1478" t="s">
        <v>4567</v>
      </c>
      <c r="E1478" t="s">
        <v>4567</v>
      </c>
      <c r="H1478" t="s">
        <v>4565</v>
      </c>
    </row>
    <row r="1479" spans="2:8" x14ac:dyDescent="0.25">
      <c r="B1479" t="s">
        <v>4574</v>
      </c>
      <c r="C1479" t="s">
        <v>4575</v>
      </c>
      <c r="D1479" t="s">
        <v>4576</v>
      </c>
      <c r="E1479" t="s">
        <v>4577</v>
      </c>
      <c r="H1479" t="s">
        <v>4574</v>
      </c>
    </row>
    <row r="1480" spans="2:8" x14ac:dyDescent="0.25">
      <c r="B1480" t="s">
        <v>4578</v>
      </c>
      <c r="C1480" t="s">
        <v>4579</v>
      </c>
      <c r="D1480" t="s">
        <v>2212</v>
      </c>
      <c r="E1480" t="s">
        <v>2212</v>
      </c>
      <c r="H1480" t="s">
        <v>4578</v>
      </c>
    </row>
    <row r="1481" spans="2:8" x14ac:dyDescent="0.25">
      <c r="B1481" t="s">
        <v>3292</v>
      </c>
      <c r="C1481" t="s">
        <v>3293</v>
      </c>
      <c r="D1481" t="s">
        <v>3294</v>
      </c>
      <c r="E1481" t="s">
        <v>3294</v>
      </c>
      <c r="H1481" t="s">
        <v>3292</v>
      </c>
    </row>
    <row r="1482" spans="2:8" x14ac:dyDescent="0.25">
      <c r="B1482" t="s">
        <v>4580</v>
      </c>
      <c r="C1482" t="s">
        <v>4581</v>
      </c>
      <c r="D1482" t="s">
        <v>4582</v>
      </c>
      <c r="E1482" t="s">
        <v>4582</v>
      </c>
      <c r="H1482" t="s">
        <v>4580</v>
      </c>
    </row>
    <row r="1483" spans="2:8" x14ac:dyDescent="0.25">
      <c r="B1483" t="s">
        <v>4583</v>
      </c>
      <c r="C1483" t="s">
        <v>4581</v>
      </c>
      <c r="D1483" t="s">
        <v>4584</v>
      </c>
      <c r="E1483" t="s">
        <v>4584</v>
      </c>
      <c r="H1483" t="s">
        <v>4583</v>
      </c>
    </row>
    <row r="1484" spans="2:8" x14ac:dyDescent="0.25">
      <c r="B1484" t="s">
        <v>4593</v>
      </c>
      <c r="C1484" t="s">
        <v>4591</v>
      </c>
      <c r="D1484" t="s">
        <v>4594</v>
      </c>
      <c r="E1484" t="s">
        <v>4594</v>
      </c>
      <c r="H1484" t="s">
        <v>4593</v>
      </c>
    </row>
    <row r="1485" spans="2:8" x14ac:dyDescent="0.25">
      <c r="B1485" t="s">
        <v>4595</v>
      </c>
      <c r="C1485" t="s">
        <v>4596</v>
      </c>
      <c r="D1485" t="s">
        <v>4597</v>
      </c>
      <c r="E1485" t="s">
        <v>4597</v>
      </c>
      <c r="H1485" t="s">
        <v>4595</v>
      </c>
    </row>
    <row r="1486" spans="2:8" x14ac:dyDescent="0.25">
      <c r="B1486" t="s">
        <v>4598</v>
      </c>
      <c r="C1486" t="s">
        <v>4596</v>
      </c>
      <c r="D1486" t="s">
        <v>4599</v>
      </c>
      <c r="E1486" t="s">
        <v>4599</v>
      </c>
      <c r="H1486" t="s">
        <v>4598</v>
      </c>
    </row>
    <row r="1487" spans="2:8" x14ac:dyDescent="0.25">
      <c r="B1487" t="s">
        <v>4600</v>
      </c>
      <c r="C1487" t="s">
        <v>4601</v>
      </c>
      <c r="D1487" t="s">
        <v>4602</v>
      </c>
      <c r="E1487" t="s">
        <v>4602</v>
      </c>
      <c r="H1487" t="s">
        <v>4600</v>
      </c>
    </row>
    <row r="1488" spans="2:8" x14ac:dyDescent="0.25">
      <c r="B1488" t="s">
        <v>4603</v>
      </c>
      <c r="C1488" t="s">
        <v>4601</v>
      </c>
      <c r="D1488" t="s">
        <v>4604</v>
      </c>
      <c r="E1488" t="s">
        <v>4604</v>
      </c>
      <c r="H1488" t="s">
        <v>4603</v>
      </c>
    </row>
    <row r="1489" spans="2:8" x14ac:dyDescent="0.25">
      <c r="B1489" t="s">
        <v>4605</v>
      </c>
      <c r="C1489" t="s">
        <v>4606</v>
      </c>
      <c r="D1489" t="s">
        <v>4607</v>
      </c>
      <c r="E1489" t="s">
        <v>4607</v>
      </c>
      <c r="H1489" t="s">
        <v>4605</v>
      </c>
    </row>
    <row r="1490" spans="2:8" x14ac:dyDescent="0.25">
      <c r="B1490" t="s">
        <v>4608</v>
      </c>
      <c r="C1490" t="s">
        <v>4606</v>
      </c>
      <c r="D1490" t="s">
        <v>4609</v>
      </c>
      <c r="E1490" t="s">
        <v>4609</v>
      </c>
      <c r="H1490" t="s">
        <v>4608</v>
      </c>
    </row>
    <row r="1491" spans="2:8" x14ac:dyDescent="0.25">
      <c r="B1491" t="s">
        <v>4610</v>
      </c>
      <c r="C1491" t="s">
        <v>4611</v>
      </c>
      <c r="D1491" t="s">
        <v>4612</v>
      </c>
      <c r="E1491" t="s">
        <v>4612</v>
      </c>
      <c r="H1491" t="s">
        <v>4610</v>
      </c>
    </row>
    <row r="1492" spans="2:8" x14ac:dyDescent="0.25">
      <c r="B1492" t="s">
        <v>4613</v>
      </c>
      <c r="C1492" t="s">
        <v>4611</v>
      </c>
      <c r="D1492" t="s">
        <v>4614</v>
      </c>
      <c r="E1492" t="s">
        <v>4614</v>
      </c>
      <c r="H1492" t="s">
        <v>4613</v>
      </c>
    </row>
    <row r="1493" spans="2:8" x14ac:dyDescent="0.25">
      <c r="B1493" t="s">
        <v>4615</v>
      </c>
      <c r="C1493" t="s">
        <v>4616</v>
      </c>
      <c r="D1493" t="s">
        <v>4617</v>
      </c>
      <c r="E1493" t="s">
        <v>4617</v>
      </c>
      <c r="H1493" t="s">
        <v>4615</v>
      </c>
    </row>
    <row r="1494" spans="2:8" x14ac:dyDescent="0.25">
      <c r="B1494" t="s">
        <v>4618</v>
      </c>
      <c r="C1494" t="s">
        <v>4616</v>
      </c>
      <c r="D1494" t="s">
        <v>4619</v>
      </c>
      <c r="E1494" t="s">
        <v>4619</v>
      </c>
      <c r="H1494" t="s">
        <v>4618</v>
      </c>
    </row>
    <row r="1495" spans="2:8" x14ac:dyDescent="0.25">
      <c r="B1495" t="s">
        <v>3295</v>
      </c>
      <c r="C1495" t="s">
        <v>3296</v>
      </c>
      <c r="D1495" t="s">
        <v>3297</v>
      </c>
      <c r="E1495" t="s">
        <v>3297</v>
      </c>
      <c r="H1495" t="s">
        <v>3295</v>
      </c>
    </row>
    <row r="1496" spans="2:8" x14ac:dyDescent="0.25">
      <c r="B1496" t="s">
        <v>3298</v>
      </c>
      <c r="C1496" t="s">
        <v>3296</v>
      </c>
      <c r="D1496" t="s">
        <v>3299</v>
      </c>
      <c r="E1496" t="s">
        <v>3299</v>
      </c>
      <c r="H1496" t="s">
        <v>3298</v>
      </c>
    </row>
    <row r="1497" spans="2:8" x14ac:dyDescent="0.25">
      <c r="B1497" t="s">
        <v>3300</v>
      </c>
      <c r="C1497" t="s">
        <v>3301</v>
      </c>
      <c r="D1497" t="s">
        <v>3302</v>
      </c>
      <c r="E1497" t="s">
        <v>3302</v>
      </c>
      <c r="H1497" t="s">
        <v>3300</v>
      </c>
    </row>
    <row r="1498" spans="2:8" x14ac:dyDescent="0.25">
      <c r="B1498" t="s">
        <v>3303</v>
      </c>
      <c r="C1498" t="s">
        <v>3301</v>
      </c>
      <c r="D1498" t="s">
        <v>3304</v>
      </c>
      <c r="E1498" t="s">
        <v>3304</v>
      </c>
      <c r="H1498" t="s">
        <v>3303</v>
      </c>
    </row>
    <row r="1499" spans="2:8" x14ac:dyDescent="0.25">
      <c r="B1499" t="s">
        <v>4620</v>
      </c>
      <c r="C1499" t="s">
        <v>4621</v>
      </c>
      <c r="D1499" t="s">
        <v>4622</v>
      </c>
      <c r="E1499" t="s">
        <v>4622</v>
      </c>
      <c r="H1499" t="s">
        <v>4620</v>
      </c>
    </row>
    <row r="1500" spans="2:8" x14ac:dyDescent="0.25">
      <c r="B1500" t="s">
        <v>4623</v>
      </c>
      <c r="C1500" t="s">
        <v>4621</v>
      </c>
      <c r="D1500" t="s">
        <v>4624</v>
      </c>
      <c r="E1500" t="s">
        <v>4624</v>
      </c>
      <c r="H1500" t="s">
        <v>4623</v>
      </c>
    </row>
    <row r="1501" spans="2:8" x14ac:dyDescent="0.25">
      <c r="B1501" t="s">
        <v>4625</v>
      </c>
      <c r="C1501" t="s">
        <v>4626</v>
      </c>
      <c r="D1501" t="s">
        <v>4627</v>
      </c>
      <c r="E1501" t="s">
        <v>4627</v>
      </c>
      <c r="H1501" t="s">
        <v>4625</v>
      </c>
    </row>
    <row r="1502" spans="2:8" x14ac:dyDescent="0.25">
      <c r="B1502" t="s">
        <v>4628</v>
      </c>
      <c r="C1502" t="s">
        <v>4626</v>
      </c>
      <c r="D1502" t="s">
        <v>4629</v>
      </c>
      <c r="E1502" t="s">
        <v>4629</v>
      </c>
      <c r="H1502" t="s">
        <v>4628</v>
      </c>
    </row>
    <row r="1503" spans="2:8" x14ac:dyDescent="0.25">
      <c r="B1503" t="s">
        <v>4630</v>
      </c>
      <c r="C1503" t="s">
        <v>4631</v>
      </c>
      <c r="D1503" t="s">
        <v>4632</v>
      </c>
      <c r="E1503" t="s">
        <v>4632</v>
      </c>
      <c r="H1503" t="s">
        <v>4630</v>
      </c>
    </row>
    <row r="1504" spans="2:8" x14ac:dyDescent="0.25">
      <c r="B1504" t="s">
        <v>4633</v>
      </c>
      <c r="C1504" t="s">
        <v>4631</v>
      </c>
      <c r="D1504" t="s">
        <v>4634</v>
      </c>
      <c r="E1504" t="s">
        <v>4634</v>
      </c>
      <c r="H1504" t="s">
        <v>4633</v>
      </c>
    </row>
    <row r="1505" spans="2:8" x14ac:dyDescent="0.25">
      <c r="B1505" t="s">
        <v>4635</v>
      </c>
      <c r="C1505" t="s">
        <v>4636</v>
      </c>
      <c r="D1505" t="s">
        <v>4637</v>
      </c>
      <c r="E1505" t="s">
        <v>4637</v>
      </c>
      <c r="H1505" t="s">
        <v>4635</v>
      </c>
    </row>
    <row r="1506" spans="2:8" x14ac:dyDescent="0.25">
      <c r="B1506" t="s">
        <v>4638</v>
      </c>
      <c r="C1506" t="s">
        <v>4636</v>
      </c>
      <c r="D1506" t="s">
        <v>4639</v>
      </c>
      <c r="E1506" t="s">
        <v>4639</v>
      </c>
      <c r="H1506" t="s">
        <v>4638</v>
      </c>
    </row>
    <row r="1507" spans="2:8" x14ac:dyDescent="0.25">
      <c r="B1507" t="s">
        <v>4640</v>
      </c>
      <c r="C1507" t="s">
        <v>4636</v>
      </c>
      <c r="D1507" t="s">
        <v>4641</v>
      </c>
      <c r="E1507" t="s">
        <v>4641</v>
      </c>
      <c r="H1507" t="s">
        <v>4640</v>
      </c>
    </row>
    <row r="1508" spans="2:8" x14ac:dyDescent="0.25">
      <c r="B1508" t="s">
        <v>4642</v>
      </c>
      <c r="C1508" t="s">
        <v>4152</v>
      </c>
      <c r="D1508" t="s">
        <v>4643</v>
      </c>
      <c r="E1508" t="s">
        <v>4643</v>
      </c>
      <c r="H1508" t="s">
        <v>4642</v>
      </c>
    </row>
    <row r="1509" spans="2:8" x14ac:dyDescent="0.25">
      <c r="B1509" t="s">
        <v>4644</v>
      </c>
      <c r="C1509" t="s">
        <v>4152</v>
      </c>
      <c r="D1509" t="s">
        <v>4645</v>
      </c>
      <c r="E1509" t="s">
        <v>4645</v>
      </c>
      <c r="H1509" t="s">
        <v>4644</v>
      </c>
    </row>
    <row r="1510" spans="2:8" x14ac:dyDescent="0.25">
      <c r="B1510" t="s">
        <v>4646</v>
      </c>
      <c r="C1510" t="s">
        <v>4152</v>
      </c>
      <c r="D1510" t="s">
        <v>4647</v>
      </c>
      <c r="E1510" t="s">
        <v>4647</v>
      </c>
      <c r="H1510" t="s">
        <v>4646</v>
      </c>
    </row>
    <row r="1511" spans="2:8" x14ac:dyDescent="0.25">
      <c r="B1511" t="s">
        <v>4648</v>
      </c>
      <c r="C1511" t="s">
        <v>4649</v>
      </c>
      <c r="D1511" t="s">
        <v>4650</v>
      </c>
      <c r="E1511" t="s">
        <v>4650</v>
      </c>
      <c r="H1511" t="s">
        <v>4648</v>
      </c>
    </row>
    <row r="1512" spans="2:8" x14ac:dyDescent="0.25">
      <c r="B1512" t="s">
        <v>4651</v>
      </c>
      <c r="C1512" t="s">
        <v>4652</v>
      </c>
      <c r="D1512" t="s">
        <v>4653</v>
      </c>
      <c r="E1512" t="s">
        <v>4653</v>
      </c>
      <c r="H1512" t="s">
        <v>4651</v>
      </c>
    </row>
    <row r="1513" spans="2:8" x14ac:dyDescent="0.25">
      <c r="B1513" t="s">
        <v>4654</v>
      </c>
      <c r="C1513" t="s">
        <v>4655</v>
      </c>
      <c r="D1513" t="s">
        <v>4656</v>
      </c>
      <c r="E1513" t="s">
        <v>4656</v>
      </c>
      <c r="H1513" t="s">
        <v>4654</v>
      </c>
    </row>
    <row r="1514" spans="2:8" x14ac:dyDescent="0.25">
      <c r="B1514" t="s">
        <v>4657</v>
      </c>
      <c r="C1514" t="s">
        <v>4649</v>
      </c>
      <c r="D1514" t="s">
        <v>4658</v>
      </c>
      <c r="E1514" t="s">
        <v>4658</v>
      </c>
      <c r="H1514" t="s">
        <v>4657</v>
      </c>
    </row>
    <row r="1515" spans="2:8" x14ac:dyDescent="0.25">
      <c r="B1515" t="s">
        <v>4659</v>
      </c>
      <c r="C1515" t="s">
        <v>4652</v>
      </c>
      <c r="D1515" t="s">
        <v>4660</v>
      </c>
      <c r="E1515" t="s">
        <v>4660</v>
      </c>
      <c r="H1515" t="s">
        <v>4659</v>
      </c>
    </row>
    <row r="1516" spans="2:8" x14ac:dyDescent="0.25">
      <c r="B1516" t="s">
        <v>4661</v>
      </c>
      <c r="C1516" t="s">
        <v>4655</v>
      </c>
      <c r="D1516" t="s">
        <v>4662</v>
      </c>
      <c r="E1516" t="s">
        <v>4662</v>
      </c>
      <c r="H1516" t="s">
        <v>4661</v>
      </c>
    </row>
    <row r="1517" spans="2:8" x14ac:dyDescent="0.25">
      <c r="B1517" t="s">
        <v>4663</v>
      </c>
      <c r="C1517" t="s">
        <v>4664</v>
      </c>
      <c r="D1517" t="s">
        <v>4665</v>
      </c>
      <c r="E1517" t="s">
        <v>4665</v>
      </c>
      <c r="H1517" t="s">
        <v>4663</v>
      </c>
    </row>
    <row r="1518" spans="2:8" x14ac:dyDescent="0.25">
      <c r="B1518" t="s">
        <v>4666</v>
      </c>
      <c r="C1518" t="s">
        <v>4667</v>
      </c>
      <c r="D1518" t="s">
        <v>4668</v>
      </c>
      <c r="E1518" t="s">
        <v>4668</v>
      </c>
      <c r="H1518" t="s">
        <v>4666</v>
      </c>
    </row>
    <row r="1519" spans="2:8" x14ac:dyDescent="0.25">
      <c r="B1519" t="s">
        <v>4669</v>
      </c>
      <c r="C1519" t="s">
        <v>4670</v>
      </c>
      <c r="D1519" t="s">
        <v>4671</v>
      </c>
      <c r="E1519" t="s">
        <v>4671</v>
      </c>
      <c r="H1519" t="s">
        <v>4669</v>
      </c>
    </row>
    <row r="1520" spans="2:8" x14ac:dyDescent="0.25">
      <c r="B1520" t="s">
        <v>4672</v>
      </c>
      <c r="C1520" t="s">
        <v>4673</v>
      </c>
      <c r="D1520" t="s">
        <v>4674</v>
      </c>
      <c r="E1520" t="s">
        <v>4674</v>
      </c>
      <c r="H1520" t="s">
        <v>4672</v>
      </c>
    </row>
    <row r="1521" spans="2:8" x14ac:dyDescent="0.25">
      <c r="B1521" t="s">
        <v>4675</v>
      </c>
      <c r="C1521" t="s">
        <v>4676</v>
      </c>
      <c r="D1521" t="s">
        <v>4677</v>
      </c>
      <c r="E1521" t="s">
        <v>4677</v>
      </c>
      <c r="H1521" t="s">
        <v>4675</v>
      </c>
    </row>
    <row r="1522" spans="2:8" x14ac:dyDescent="0.25">
      <c r="B1522" t="s">
        <v>4678</v>
      </c>
      <c r="C1522" t="s">
        <v>4679</v>
      </c>
      <c r="D1522" t="s">
        <v>4680</v>
      </c>
      <c r="E1522" t="s">
        <v>4680</v>
      </c>
      <c r="H1522" t="s">
        <v>4678</v>
      </c>
    </row>
    <row r="1523" spans="2:8" x14ac:dyDescent="0.25">
      <c r="B1523" t="s">
        <v>3305</v>
      </c>
      <c r="C1523" t="s">
        <v>3306</v>
      </c>
      <c r="D1523" t="s">
        <v>3307</v>
      </c>
      <c r="E1523" t="s">
        <v>3307</v>
      </c>
      <c r="H1523" t="s">
        <v>3305</v>
      </c>
    </row>
    <row r="1524" spans="2:8" x14ac:dyDescent="0.25">
      <c r="B1524" t="s">
        <v>3308</v>
      </c>
      <c r="C1524" t="s">
        <v>3309</v>
      </c>
      <c r="D1524" t="s">
        <v>3310</v>
      </c>
      <c r="E1524" t="s">
        <v>3310</v>
      </c>
      <c r="H1524" t="s">
        <v>3308</v>
      </c>
    </row>
    <row r="1525" spans="2:8" x14ac:dyDescent="0.25">
      <c r="B1525" t="s">
        <v>4681</v>
      </c>
      <c r="C1525" t="s">
        <v>4682</v>
      </c>
      <c r="D1525" t="s">
        <v>4683</v>
      </c>
      <c r="E1525" t="s">
        <v>4683</v>
      </c>
      <c r="H1525" t="s">
        <v>4681</v>
      </c>
    </row>
    <row r="1526" spans="2:8" x14ac:dyDescent="0.25">
      <c r="B1526" t="s">
        <v>4684</v>
      </c>
      <c r="C1526" t="s">
        <v>4682</v>
      </c>
      <c r="D1526" t="s">
        <v>4685</v>
      </c>
      <c r="E1526" t="s">
        <v>4685</v>
      </c>
      <c r="H1526" t="s">
        <v>4684</v>
      </c>
    </row>
    <row r="1527" spans="2:8" x14ac:dyDescent="0.25">
      <c r="B1527" t="s">
        <v>4686</v>
      </c>
      <c r="C1527" t="s">
        <v>4682</v>
      </c>
      <c r="D1527" t="s">
        <v>4687</v>
      </c>
      <c r="E1527" t="s">
        <v>4687</v>
      </c>
      <c r="H1527" t="s">
        <v>4686</v>
      </c>
    </row>
    <row r="1528" spans="2:8" x14ac:dyDescent="0.25">
      <c r="B1528" t="s">
        <v>4688</v>
      </c>
      <c r="C1528" t="s">
        <v>4689</v>
      </c>
      <c r="D1528" t="s">
        <v>4690</v>
      </c>
      <c r="E1528" t="s">
        <v>4690</v>
      </c>
      <c r="H1528" t="s">
        <v>4688</v>
      </c>
    </row>
    <row r="1529" spans="2:8" x14ac:dyDescent="0.25">
      <c r="B1529" t="s">
        <v>4691</v>
      </c>
      <c r="C1529" t="s">
        <v>4692</v>
      </c>
      <c r="D1529" t="s">
        <v>4693</v>
      </c>
      <c r="E1529" t="s">
        <v>4693</v>
      </c>
      <c r="H1529" t="s">
        <v>4691</v>
      </c>
    </row>
    <row r="1530" spans="2:8" x14ac:dyDescent="0.25">
      <c r="B1530" t="s">
        <v>4694</v>
      </c>
      <c r="C1530" t="s">
        <v>4689</v>
      </c>
      <c r="D1530" t="s">
        <v>4695</v>
      </c>
      <c r="E1530" t="s">
        <v>4695</v>
      </c>
      <c r="H1530" t="s">
        <v>4694</v>
      </c>
    </row>
    <row r="1531" spans="2:8" x14ac:dyDescent="0.25">
      <c r="B1531" t="s">
        <v>4696</v>
      </c>
      <c r="C1531" t="s">
        <v>4692</v>
      </c>
      <c r="D1531" t="s">
        <v>4697</v>
      </c>
      <c r="E1531" t="s">
        <v>4697</v>
      </c>
      <c r="H1531" t="s">
        <v>4696</v>
      </c>
    </row>
    <row r="1532" spans="2:8" x14ac:dyDescent="0.25">
      <c r="B1532" t="s">
        <v>4698</v>
      </c>
      <c r="C1532" t="s">
        <v>4689</v>
      </c>
      <c r="D1532" t="s">
        <v>4699</v>
      </c>
      <c r="E1532" t="s">
        <v>4699</v>
      </c>
      <c r="H1532" t="s">
        <v>4698</v>
      </c>
    </row>
    <row r="1533" spans="2:8" x14ac:dyDescent="0.25">
      <c r="B1533" t="s">
        <v>4700</v>
      </c>
      <c r="C1533" t="s">
        <v>4692</v>
      </c>
      <c r="D1533" t="s">
        <v>4701</v>
      </c>
      <c r="E1533" t="s">
        <v>4701</v>
      </c>
      <c r="H1533" t="s">
        <v>4700</v>
      </c>
    </row>
    <row r="1534" spans="2:8" x14ac:dyDescent="0.25">
      <c r="B1534" t="s">
        <v>4702</v>
      </c>
      <c r="C1534" t="s">
        <v>4703</v>
      </c>
      <c r="D1534" t="s">
        <v>4704</v>
      </c>
      <c r="E1534" t="s">
        <v>4704</v>
      </c>
      <c r="H1534" t="s">
        <v>4702</v>
      </c>
    </row>
    <row r="1535" spans="2:8" x14ac:dyDescent="0.25">
      <c r="B1535" t="s">
        <v>4705</v>
      </c>
      <c r="C1535" t="s">
        <v>4703</v>
      </c>
      <c r="D1535" t="s">
        <v>4706</v>
      </c>
      <c r="E1535" t="s">
        <v>4706</v>
      </c>
      <c r="H1535" t="s">
        <v>4705</v>
      </c>
    </row>
    <row r="1536" spans="2:8" x14ac:dyDescent="0.25">
      <c r="B1536" t="s">
        <v>4707</v>
      </c>
      <c r="C1536" t="s">
        <v>4708</v>
      </c>
      <c r="D1536" t="s">
        <v>4709</v>
      </c>
      <c r="E1536" t="s">
        <v>4709</v>
      </c>
      <c r="H1536" t="s">
        <v>4707</v>
      </c>
    </row>
    <row r="1537" spans="2:8" x14ac:dyDescent="0.25">
      <c r="B1537" t="s">
        <v>4710</v>
      </c>
      <c r="C1537" t="s">
        <v>4711</v>
      </c>
      <c r="D1537" t="s">
        <v>4712</v>
      </c>
      <c r="E1537" t="s">
        <v>4712</v>
      </c>
      <c r="H1537" t="s">
        <v>4710</v>
      </c>
    </row>
    <row r="1538" spans="2:8" x14ac:dyDescent="0.25">
      <c r="B1538" t="s">
        <v>4713</v>
      </c>
      <c r="C1538" t="s">
        <v>4714</v>
      </c>
      <c r="D1538" t="s">
        <v>4715</v>
      </c>
      <c r="E1538" t="s">
        <v>4715</v>
      </c>
      <c r="H1538" t="s">
        <v>4713</v>
      </c>
    </row>
    <row r="1539" spans="2:8" x14ac:dyDescent="0.25">
      <c r="B1539" t="s">
        <v>4716</v>
      </c>
      <c r="C1539" t="s">
        <v>4711</v>
      </c>
      <c r="D1539" t="s">
        <v>4717</v>
      </c>
      <c r="E1539" t="s">
        <v>4717</v>
      </c>
      <c r="H1539" t="s">
        <v>4716</v>
      </c>
    </row>
    <row r="1540" spans="2:8" x14ac:dyDescent="0.25">
      <c r="B1540" t="s">
        <v>4718</v>
      </c>
      <c r="C1540" t="s">
        <v>4719</v>
      </c>
      <c r="D1540" t="s">
        <v>4720</v>
      </c>
      <c r="E1540" t="s">
        <v>4720</v>
      </c>
      <c r="H1540" t="s">
        <v>4718</v>
      </c>
    </row>
    <row r="1541" spans="2:8" x14ac:dyDescent="0.25">
      <c r="B1541" t="s">
        <v>4721</v>
      </c>
      <c r="C1541" t="s">
        <v>4722</v>
      </c>
      <c r="D1541" t="s">
        <v>4723</v>
      </c>
      <c r="E1541" t="s">
        <v>4723</v>
      </c>
      <c r="H1541" t="s">
        <v>4721</v>
      </c>
    </row>
    <row r="1542" spans="2:8" x14ac:dyDescent="0.25">
      <c r="B1542" t="s">
        <v>4724</v>
      </c>
      <c r="C1542" t="s">
        <v>4722</v>
      </c>
      <c r="D1542" t="s">
        <v>4725</v>
      </c>
      <c r="E1542" t="s">
        <v>4725</v>
      </c>
      <c r="H1542" t="s">
        <v>4724</v>
      </c>
    </row>
    <row r="1543" spans="2:8" x14ac:dyDescent="0.25">
      <c r="B1543" t="s">
        <v>4726</v>
      </c>
      <c r="C1543" t="s">
        <v>4727</v>
      </c>
      <c r="D1543" t="s">
        <v>4728</v>
      </c>
      <c r="E1543" t="s">
        <v>4728</v>
      </c>
      <c r="H1543" t="s">
        <v>4726</v>
      </c>
    </row>
    <row r="1544" spans="2:8" x14ac:dyDescent="0.25">
      <c r="B1544" t="s">
        <v>4729</v>
      </c>
      <c r="C1544" t="s">
        <v>4727</v>
      </c>
      <c r="D1544" t="s">
        <v>4730</v>
      </c>
      <c r="E1544" t="s">
        <v>4730</v>
      </c>
      <c r="H1544" t="s">
        <v>4729</v>
      </c>
    </row>
    <row r="1545" spans="2:8" x14ac:dyDescent="0.25">
      <c r="B1545" t="s">
        <v>4731</v>
      </c>
      <c r="C1545" t="s">
        <v>4732</v>
      </c>
      <c r="D1545" t="s">
        <v>4733</v>
      </c>
      <c r="E1545" t="s">
        <v>4733</v>
      </c>
      <c r="H1545" t="s">
        <v>4731</v>
      </c>
    </row>
    <row r="1546" spans="2:8" x14ac:dyDescent="0.25">
      <c r="B1546" t="s">
        <v>4734</v>
      </c>
      <c r="C1546" t="s">
        <v>4732</v>
      </c>
      <c r="D1546" t="s">
        <v>4735</v>
      </c>
      <c r="E1546" t="s">
        <v>4735</v>
      </c>
      <c r="H1546" t="s">
        <v>4734</v>
      </c>
    </row>
    <row r="1547" spans="2:8" x14ac:dyDescent="0.25">
      <c r="B1547" t="s">
        <v>4737</v>
      </c>
      <c r="C1547" t="s">
        <v>4736</v>
      </c>
      <c r="D1547" t="s">
        <v>4738</v>
      </c>
      <c r="E1547" t="s">
        <v>4738</v>
      </c>
      <c r="H1547" t="s">
        <v>4737</v>
      </c>
    </row>
    <row r="1548" spans="2:8" x14ac:dyDescent="0.25">
      <c r="B1548" t="s">
        <v>3311</v>
      </c>
      <c r="C1548" t="s">
        <v>3312</v>
      </c>
      <c r="D1548" t="s">
        <v>3313</v>
      </c>
      <c r="E1548" t="s">
        <v>3313</v>
      </c>
      <c r="H1548" t="s">
        <v>3311</v>
      </c>
    </row>
    <row r="1549" spans="2:8" x14ac:dyDescent="0.25">
      <c r="B1549" t="s">
        <v>3314</v>
      </c>
      <c r="C1549" t="s">
        <v>3312</v>
      </c>
      <c r="D1549" t="s">
        <v>3315</v>
      </c>
      <c r="E1549" t="s">
        <v>3315</v>
      </c>
      <c r="H1549" t="s">
        <v>3314</v>
      </c>
    </row>
    <row r="1550" spans="2:8" x14ac:dyDescent="0.25">
      <c r="B1550" t="s">
        <v>3316</v>
      </c>
      <c r="C1550" t="s">
        <v>3317</v>
      </c>
      <c r="D1550" t="s">
        <v>3318</v>
      </c>
      <c r="E1550" t="s">
        <v>3318</v>
      </c>
      <c r="H1550" t="s">
        <v>3316</v>
      </c>
    </row>
    <row r="1551" spans="2:8" x14ac:dyDescent="0.25">
      <c r="B1551" t="s">
        <v>3319</v>
      </c>
      <c r="C1551" t="s">
        <v>3317</v>
      </c>
      <c r="D1551" t="s">
        <v>3320</v>
      </c>
      <c r="E1551" t="s">
        <v>3320</v>
      </c>
      <c r="H1551" t="s">
        <v>3319</v>
      </c>
    </row>
    <row r="1552" spans="2:8" x14ac:dyDescent="0.25">
      <c r="B1552" t="s">
        <v>3321</v>
      </c>
      <c r="C1552" t="s">
        <v>3317</v>
      </c>
      <c r="D1552" t="s">
        <v>3322</v>
      </c>
      <c r="E1552" t="s">
        <v>3322</v>
      </c>
      <c r="H1552" t="s">
        <v>3321</v>
      </c>
    </row>
    <row r="1553" spans="2:8" x14ac:dyDescent="0.25">
      <c r="B1553" t="s">
        <v>3323</v>
      </c>
      <c r="C1553" t="s">
        <v>3324</v>
      </c>
      <c r="D1553" t="s">
        <v>3325</v>
      </c>
      <c r="E1553" t="s">
        <v>3325</v>
      </c>
      <c r="H1553" t="s">
        <v>3323</v>
      </c>
    </row>
    <row r="1554" spans="2:8" x14ac:dyDescent="0.25">
      <c r="B1554" t="s">
        <v>4742</v>
      </c>
      <c r="C1554" t="s">
        <v>4743</v>
      </c>
      <c r="D1554" t="s">
        <v>4744</v>
      </c>
      <c r="E1554" t="s">
        <v>4744</v>
      </c>
      <c r="H1554" t="s">
        <v>4742</v>
      </c>
    </row>
    <row r="1555" spans="2:8" x14ac:dyDescent="0.25">
      <c r="B1555" t="s">
        <v>3326</v>
      </c>
      <c r="C1555" t="s">
        <v>3327</v>
      </c>
      <c r="D1555" t="s">
        <v>3328</v>
      </c>
      <c r="E1555" t="s">
        <v>3328</v>
      </c>
      <c r="H1555" t="s">
        <v>3326</v>
      </c>
    </row>
    <row r="1556" spans="2:8" x14ac:dyDescent="0.25">
      <c r="B1556" t="s">
        <v>3329</v>
      </c>
      <c r="C1556" t="s">
        <v>3327</v>
      </c>
      <c r="D1556" t="s">
        <v>3330</v>
      </c>
      <c r="E1556" t="s">
        <v>3330</v>
      </c>
      <c r="H1556" t="s">
        <v>3329</v>
      </c>
    </row>
    <row r="1557" spans="2:8" x14ac:dyDescent="0.25">
      <c r="B1557" t="s">
        <v>4745</v>
      </c>
      <c r="C1557" t="s">
        <v>4746</v>
      </c>
      <c r="D1557" t="s">
        <v>4747</v>
      </c>
      <c r="E1557" t="s">
        <v>4747</v>
      </c>
      <c r="H1557" t="s">
        <v>4745</v>
      </c>
    </row>
    <row r="1558" spans="2:8" x14ac:dyDescent="0.25">
      <c r="B1558" t="s">
        <v>4750</v>
      </c>
      <c r="C1558" t="s">
        <v>4751</v>
      </c>
      <c r="D1558" t="s">
        <v>4752</v>
      </c>
      <c r="E1558" t="s">
        <v>4752</v>
      </c>
      <c r="H1558" t="s">
        <v>4750</v>
      </c>
    </row>
    <row r="1559" spans="2:8" x14ac:dyDescent="0.25">
      <c r="B1559" t="s">
        <v>4753</v>
      </c>
      <c r="C1559" t="s">
        <v>4751</v>
      </c>
      <c r="D1559" t="s">
        <v>4754</v>
      </c>
      <c r="E1559" t="s">
        <v>4754</v>
      </c>
      <c r="H1559" t="s">
        <v>4753</v>
      </c>
    </row>
    <row r="1560" spans="2:8" x14ac:dyDescent="0.25">
      <c r="B1560" t="s">
        <v>4758</v>
      </c>
      <c r="C1560" t="s">
        <v>4759</v>
      </c>
      <c r="D1560" t="s">
        <v>4760</v>
      </c>
      <c r="E1560" t="s">
        <v>4760</v>
      </c>
      <c r="H1560" t="s">
        <v>4758</v>
      </c>
    </row>
    <row r="1561" spans="2:8" x14ac:dyDescent="0.25">
      <c r="B1561" t="s">
        <v>4761</v>
      </c>
      <c r="C1561" t="s">
        <v>4759</v>
      </c>
      <c r="D1561" t="s">
        <v>4762</v>
      </c>
      <c r="E1561" t="s">
        <v>4762</v>
      </c>
      <c r="H1561" t="s">
        <v>4761</v>
      </c>
    </row>
    <row r="1562" spans="2:8" x14ac:dyDescent="0.25">
      <c r="B1562" t="s">
        <v>3331</v>
      </c>
      <c r="C1562" t="s">
        <v>3332</v>
      </c>
      <c r="D1562" t="s">
        <v>3333</v>
      </c>
      <c r="E1562" t="s">
        <v>3333</v>
      </c>
      <c r="H1562" t="s">
        <v>3331</v>
      </c>
    </row>
    <row r="1563" spans="2:8" x14ac:dyDescent="0.25">
      <c r="B1563" t="s">
        <v>3334</v>
      </c>
      <c r="C1563" t="s">
        <v>3332</v>
      </c>
      <c r="D1563" t="s">
        <v>3335</v>
      </c>
      <c r="E1563" t="s">
        <v>3335</v>
      </c>
      <c r="H1563" t="s">
        <v>3334</v>
      </c>
    </row>
    <row r="1564" spans="2:8" x14ac:dyDescent="0.25">
      <c r="B1564" t="s">
        <v>3336</v>
      </c>
      <c r="C1564" t="s">
        <v>3332</v>
      </c>
      <c r="D1564" t="s">
        <v>3337</v>
      </c>
      <c r="E1564" t="s">
        <v>3337</v>
      </c>
      <c r="H1564" t="s">
        <v>3336</v>
      </c>
    </row>
    <row r="1565" spans="2:8" x14ac:dyDescent="0.25">
      <c r="B1565" t="s">
        <v>4763</v>
      </c>
      <c r="C1565" t="s">
        <v>3332</v>
      </c>
      <c r="D1565" t="s">
        <v>4764</v>
      </c>
      <c r="E1565" t="s">
        <v>4764</v>
      </c>
      <c r="H1565" t="s">
        <v>4763</v>
      </c>
    </row>
    <row r="1566" spans="2:8" x14ac:dyDescent="0.25">
      <c r="B1566" t="s">
        <v>4765</v>
      </c>
      <c r="C1566" t="s">
        <v>4766</v>
      </c>
      <c r="D1566" t="s">
        <v>4767</v>
      </c>
      <c r="E1566" t="s">
        <v>4767</v>
      </c>
      <c r="H1566" t="s">
        <v>4765</v>
      </c>
    </row>
    <row r="1567" spans="2:8" x14ac:dyDescent="0.25">
      <c r="B1567" t="s">
        <v>6201</v>
      </c>
      <c r="C1567" t="s">
        <v>4766</v>
      </c>
      <c r="D1567" t="s">
        <v>6202</v>
      </c>
      <c r="E1567" t="s">
        <v>6202</v>
      </c>
      <c r="H1567" t="s">
        <v>6201</v>
      </c>
    </row>
    <row r="1568" spans="2:8" x14ac:dyDescent="0.25">
      <c r="B1568" t="s">
        <v>4768</v>
      </c>
      <c r="C1568" t="s">
        <v>4766</v>
      </c>
      <c r="D1568" t="s">
        <v>4769</v>
      </c>
      <c r="E1568" t="s">
        <v>4769</v>
      </c>
      <c r="H1568" t="s">
        <v>4768</v>
      </c>
    </row>
    <row r="1569" spans="2:8" x14ac:dyDescent="0.25">
      <c r="B1569" t="s">
        <v>4770</v>
      </c>
      <c r="C1569" t="s">
        <v>4771</v>
      </c>
      <c r="D1569" t="s">
        <v>4772</v>
      </c>
      <c r="E1569" t="s">
        <v>4772</v>
      </c>
      <c r="H1569" t="s">
        <v>4770</v>
      </c>
    </row>
    <row r="1570" spans="2:8" x14ac:dyDescent="0.25">
      <c r="B1570" t="s">
        <v>4773</v>
      </c>
      <c r="C1570" t="s">
        <v>4771</v>
      </c>
      <c r="D1570" t="s">
        <v>4774</v>
      </c>
      <c r="E1570" t="s">
        <v>4774</v>
      </c>
      <c r="H1570" t="s">
        <v>4773</v>
      </c>
    </row>
    <row r="1571" spans="2:8" x14ac:dyDescent="0.25">
      <c r="B1571" t="s">
        <v>4775</v>
      </c>
      <c r="C1571" t="s">
        <v>4771</v>
      </c>
      <c r="D1571" t="s">
        <v>4776</v>
      </c>
      <c r="E1571" t="s">
        <v>4776</v>
      </c>
      <c r="H1571" t="s">
        <v>4775</v>
      </c>
    </row>
    <row r="1572" spans="2:8" x14ac:dyDescent="0.25">
      <c r="B1572" t="s">
        <v>4777</v>
      </c>
      <c r="C1572" t="s">
        <v>4778</v>
      </c>
      <c r="D1572" t="s">
        <v>4779</v>
      </c>
      <c r="E1572" t="s">
        <v>4779</v>
      </c>
      <c r="H1572" t="s">
        <v>4777</v>
      </c>
    </row>
    <row r="1573" spans="2:8" x14ac:dyDescent="0.25">
      <c r="B1573" t="s">
        <v>4780</v>
      </c>
      <c r="C1573" t="s">
        <v>4781</v>
      </c>
      <c r="D1573" t="s">
        <v>4782</v>
      </c>
      <c r="E1573" t="s">
        <v>4782</v>
      </c>
      <c r="H1573" t="s">
        <v>4780</v>
      </c>
    </row>
    <row r="1574" spans="2:8" x14ac:dyDescent="0.25">
      <c r="B1574" t="s">
        <v>4783</v>
      </c>
      <c r="C1574" t="s">
        <v>4784</v>
      </c>
      <c r="D1574" t="s">
        <v>4785</v>
      </c>
      <c r="E1574" t="s">
        <v>4785</v>
      </c>
      <c r="H1574" t="s">
        <v>4783</v>
      </c>
    </row>
    <row r="1575" spans="2:8" x14ac:dyDescent="0.25">
      <c r="B1575" t="s">
        <v>4789</v>
      </c>
      <c r="C1575" t="s">
        <v>4790</v>
      </c>
      <c r="D1575" t="s">
        <v>4791</v>
      </c>
      <c r="E1575" t="s">
        <v>4791</v>
      </c>
      <c r="H1575" t="s">
        <v>4789</v>
      </c>
    </row>
    <row r="1576" spans="2:8" x14ac:dyDescent="0.25">
      <c r="B1576" t="s">
        <v>4792</v>
      </c>
      <c r="C1576" t="s">
        <v>4790</v>
      </c>
      <c r="D1576" t="s">
        <v>4793</v>
      </c>
      <c r="E1576" t="s">
        <v>4793</v>
      </c>
      <c r="H1576" t="s">
        <v>4792</v>
      </c>
    </row>
    <row r="1577" spans="2:8" x14ac:dyDescent="0.25">
      <c r="B1577" t="s">
        <v>4794</v>
      </c>
      <c r="C1577" t="s">
        <v>4795</v>
      </c>
      <c r="D1577" t="s">
        <v>4796</v>
      </c>
      <c r="E1577" t="s">
        <v>4796</v>
      </c>
      <c r="H1577" t="s">
        <v>4794</v>
      </c>
    </row>
    <row r="1578" spans="2:8" x14ac:dyDescent="0.25">
      <c r="B1578" t="s">
        <v>4797</v>
      </c>
      <c r="C1578" t="s">
        <v>4795</v>
      </c>
      <c r="D1578" t="s">
        <v>4798</v>
      </c>
      <c r="E1578" t="s">
        <v>4798</v>
      </c>
      <c r="H1578" t="s">
        <v>4797</v>
      </c>
    </row>
    <row r="1579" spans="2:8" x14ac:dyDescent="0.25">
      <c r="B1579" t="s">
        <v>4799</v>
      </c>
      <c r="C1579" t="s">
        <v>4800</v>
      </c>
      <c r="D1579" t="s">
        <v>4801</v>
      </c>
      <c r="E1579" t="s">
        <v>4801</v>
      </c>
      <c r="H1579" t="s">
        <v>4799</v>
      </c>
    </row>
    <row r="1580" spans="2:8" x14ac:dyDescent="0.25">
      <c r="B1580" t="s">
        <v>4802</v>
      </c>
      <c r="C1580" t="s">
        <v>4795</v>
      </c>
      <c r="D1580" t="s">
        <v>4803</v>
      </c>
      <c r="E1580" t="s">
        <v>4803</v>
      </c>
      <c r="H1580" t="s">
        <v>4802</v>
      </c>
    </row>
    <row r="1581" spans="2:8" x14ac:dyDescent="0.25">
      <c r="B1581" t="s">
        <v>4804</v>
      </c>
      <c r="C1581" t="s">
        <v>4805</v>
      </c>
      <c r="D1581" t="s">
        <v>4806</v>
      </c>
      <c r="E1581" t="s">
        <v>4806</v>
      </c>
      <c r="H1581" t="s">
        <v>4804</v>
      </c>
    </row>
    <row r="1582" spans="2:8" x14ac:dyDescent="0.25">
      <c r="B1582" t="s">
        <v>4807</v>
      </c>
      <c r="C1582" t="s">
        <v>4805</v>
      </c>
      <c r="D1582" t="s">
        <v>4808</v>
      </c>
      <c r="E1582" t="s">
        <v>4808</v>
      </c>
      <c r="H1582" t="s">
        <v>4807</v>
      </c>
    </row>
    <row r="1583" spans="2:8" x14ac:dyDescent="0.25">
      <c r="B1583" t="s">
        <v>4809</v>
      </c>
      <c r="C1583" t="s">
        <v>4805</v>
      </c>
      <c r="D1583" t="s">
        <v>4810</v>
      </c>
      <c r="E1583" t="s">
        <v>4810</v>
      </c>
      <c r="H1583" t="s">
        <v>4809</v>
      </c>
    </row>
    <row r="1584" spans="2:8" x14ac:dyDescent="0.25">
      <c r="B1584" t="s">
        <v>4811</v>
      </c>
      <c r="C1584" t="s">
        <v>4805</v>
      </c>
      <c r="D1584" t="s">
        <v>4812</v>
      </c>
      <c r="E1584" t="s">
        <v>4812</v>
      </c>
      <c r="H1584" t="s">
        <v>4811</v>
      </c>
    </row>
    <row r="1585" spans="2:8" x14ac:dyDescent="0.25">
      <c r="B1585" t="s">
        <v>4813</v>
      </c>
      <c r="C1585" t="s">
        <v>4805</v>
      </c>
      <c r="D1585" t="s">
        <v>4814</v>
      </c>
      <c r="E1585" t="s">
        <v>4814</v>
      </c>
      <c r="H1585" t="s">
        <v>4813</v>
      </c>
    </row>
    <row r="1586" spans="2:8" x14ac:dyDescent="0.25">
      <c r="B1586" t="s">
        <v>4815</v>
      </c>
      <c r="C1586" t="s">
        <v>4805</v>
      </c>
      <c r="D1586" t="s">
        <v>4816</v>
      </c>
      <c r="E1586" t="s">
        <v>4816</v>
      </c>
      <c r="H1586" t="s">
        <v>4815</v>
      </c>
    </row>
    <row r="1587" spans="2:8" x14ac:dyDescent="0.25">
      <c r="B1587" t="s">
        <v>4817</v>
      </c>
      <c r="C1587" t="s">
        <v>4818</v>
      </c>
      <c r="D1587" t="s">
        <v>4819</v>
      </c>
      <c r="E1587" t="s">
        <v>4819</v>
      </c>
      <c r="H1587" t="s">
        <v>4817</v>
      </c>
    </row>
    <row r="1588" spans="2:8" x14ac:dyDescent="0.25">
      <c r="B1588" t="s">
        <v>4820</v>
      </c>
      <c r="C1588" t="s">
        <v>4821</v>
      </c>
      <c r="D1588" t="s">
        <v>4822</v>
      </c>
      <c r="E1588" t="s">
        <v>4822</v>
      </c>
      <c r="H1588" t="s">
        <v>4820</v>
      </c>
    </row>
    <row r="1589" spans="2:8" x14ac:dyDescent="0.25">
      <c r="B1589" t="s">
        <v>4823</v>
      </c>
      <c r="C1589" t="s">
        <v>4821</v>
      </c>
      <c r="D1589" t="s">
        <v>4824</v>
      </c>
      <c r="E1589" t="s">
        <v>4824</v>
      </c>
      <c r="H1589" t="s">
        <v>4823</v>
      </c>
    </row>
    <row r="1590" spans="2:8" x14ac:dyDescent="0.25">
      <c r="B1590" t="s">
        <v>4825</v>
      </c>
      <c r="C1590" t="s">
        <v>4821</v>
      </c>
      <c r="D1590" t="s">
        <v>4826</v>
      </c>
      <c r="E1590" t="s">
        <v>4826</v>
      </c>
      <c r="H1590" t="s">
        <v>4825</v>
      </c>
    </row>
    <row r="1591" spans="2:8" x14ac:dyDescent="0.25">
      <c r="B1591" t="s">
        <v>4827</v>
      </c>
      <c r="C1591" t="s">
        <v>4821</v>
      </c>
      <c r="D1591" t="s">
        <v>4828</v>
      </c>
      <c r="E1591" t="s">
        <v>4828</v>
      </c>
      <c r="H1591" t="s">
        <v>4827</v>
      </c>
    </row>
    <row r="1592" spans="2:8" x14ac:dyDescent="0.25">
      <c r="B1592" t="s">
        <v>4829</v>
      </c>
      <c r="C1592" t="s">
        <v>4821</v>
      </c>
      <c r="D1592" t="s">
        <v>4830</v>
      </c>
      <c r="E1592" t="s">
        <v>4830</v>
      </c>
      <c r="H1592" t="s">
        <v>4829</v>
      </c>
    </row>
    <row r="1593" spans="2:8" x14ac:dyDescent="0.25">
      <c r="B1593" t="s">
        <v>4831</v>
      </c>
      <c r="C1593" t="s">
        <v>4832</v>
      </c>
      <c r="D1593" t="s">
        <v>4833</v>
      </c>
      <c r="E1593" t="s">
        <v>4833</v>
      </c>
      <c r="H1593" t="s">
        <v>4831</v>
      </c>
    </row>
    <row r="1594" spans="2:8" x14ac:dyDescent="0.25">
      <c r="B1594" t="s">
        <v>4834</v>
      </c>
      <c r="C1594" t="s">
        <v>4832</v>
      </c>
      <c r="D1594" t="s">
        <v>4835</v>
      </c>
      <c r="E1594" t="s">
        <v>4835</v>
      </c>
      <c r="H1594" t="s">
        <v>4834</v>
      </c>
    </row>
    <row r="1595" spans="2:8" x14ac:dyDescent="0.25">
      <c r="B1595" t="s">
        <v>4836</v>
      </c>
      <c r="C1595" t="s">
        <v>4832</v>
      </c>
      <c r="D1595" t="s">
        <v>4837</v>
      </c>
      <c r="E1595" t="s">
        <v>4837</v>
      </c>
      <c r="H1595" t="s">
        <v>4836</v>
      </c>
    </row>
    <row r="1596" spans="2:8" x14ac:dyDescent="0.25">
      <c r="B1596" t="s">
        <v>4838</v>
      </c>
      <c r="C1596" t="s">
        <v>4832</v>
      </c>
      <c r="D1596" t="s">
        <v>4839</v>
      </c>
      <c r="E1596" t="s">
        <v>4839</v>
      </c>
      <c r="H1596" t="s">
        <v>4838</v>
      </c>
    </row>
    <row r="1597" spans="2:8" x14ac:dyDescent="0.25">
      <c r="B1597" t="s">
        <v>4840</v>
      </c>
      <c r="C1597" t="s">
        <v>4832</v>
      </c>
      <c r="D1597" t="s">
        <v>4841</v>
      </c>
      <c r="E1597" t="s">
        <v>4841</v>
      </c>
      <c r="H1597" t="s">
        <v>4840</v>
      </c>
    </row>
    <row r="1598" spans="2:8" x14ac:dyDescent="0.25">
      <c r="B1598" t="s">
        <v>4842</v>
      </c>
      <c r="C1598" t="s">
        <v>4832</v>
      </c>
      <c r="D1598" t="s">
        <v>4843</v>
      </c>
      <c r="E1598" t="s">
        <v>4843</v>
      </c>
      <c r="H1598" t="s">
        <v>4842</v>
      </c>
    </row>
    <row r="1599" spans="2:8" x14ac:dyDescent="0.25">
      <c r="B1599" t="s">
        <v>4844</v>
      </c>
      <c r="C1599" t="s">
        <v>4845</v>
      </c>
      <c r="D1599" t="s">
        <v>4846</v>
      </c>
      <c r="E1599" t="s">
        <v>4846</v>
      </c>
      <c r="H1599" t="s">
        <v>4844</v>
      </c>
    </row>
    <row r="1600" spans="2:8" x14ac:dyDescent="0.25">
      <c r="B1600" t="s">
        <v>4847</v>
      </c>
      <c r="C1600" t="s">
        <v>4845</v>
      </c>
      <c r="D1600" t="s">
        <v>4848</v>
      </c>
      <c r="E1600" t="s">
        <v>4848</v>
      </c>
      <c r="H1600" t="s">
        <v>4847</v>
      </c>
    </row>
    <row r="1601" spans="2:8" x14ac:dyDescent="0.25">
      <c r="B1601" t="s">
        <v>4849</v>
      </c>
      <c r="C1601" t="s">
        <v>4845</v>
      </c>
      <c r="D1601" t="s">
        <v>4850</v>
      </c>
      <c r="E1601" t="s">
        <v>4850</v>
      </c>
      <c r="H1601" t="s">
        <v>4849</v>
      </c>
    </row>
    <row r="1602" spans="2:8" x14ac:dyDescent="0.25">
      <c r="B1602" t="s">
        <v>4853</v>
      </c>
      <c r="C1602" t="s">
        <v>4854</v>
      </c>
      <c r="D1602" t="s">
        <v>4855</v>
      </c>
      <c r="E1602" t="s">
        <v>4855</v>
      </c>
      <c r="H1602" t="s">
        <v>4853</v>
      </c>
    </row>
    <row r="1603" spans="2:8" x14ac:dyDescent="0.25">
      <c r="B1603" t="s">
        <v>4856</v>
      </c>
      <c r="C1603" t="s">
        <v>4857</v>
      </c>
      <c r="D1603" t="s">
        <v>4858</v>
      </c>
      <c r="E1603" t="s">
        <v>4858</v>
      </c>
      <c r="H1603" t="s">
        <v>4856</v>
      </c>
    </row>
    <row r="1604" spans="2:8" x14ac:dyDescent="0.25">
      <c r="B1604" t="s">
        <v>3338</v>
      </c>
      <c r="C1604" t="s">
        <v>3339</v>
      </c>
      <c r="D1604" t="s">
        <v>3340</v>
      </c>
      <c r="E1604" t="s">
        <v>3340</v>
      </c>
      <c r="H1604" t="s">
        <v>3338</v>
      </c>
    </row>
    <row r="1605" spans="2:8" x14ac:dyDescent="0.25">
      <c r="B1605" t="s">
        <v>3341</v>
      </c>
      <c r="C1605" t="s">
        <v>3342</v>
      </c>
      <c r="D1605" t="s">
        <v>3343</v>
      </c>
      <c r="E1605" t="s">
        <v>3343</v>
      </c>
      <c r="H1605" t="s">
        <v>3341</v>
      </c>
    </row>
    <row r="1606" spans="2:8" x14ac:dyDescent="0.25">
      <c r="B1606" t="s">
        <v>3344</v>
      </c>
      <c r="C1606" t="s">
        <v>3345</v>
      </c>
      <c r="D1606" t="s">
        <v>3346</v>
      </c>
      <c r="E1606" t="s">
        <v>3346</v>
      </c>
      <c r="H1606" t="s">
        <v>3344</v>
      </c>
    </row>
    <row r="1607" spans="2:8" x14ac:dyDescent="0.25">
      <c r="B1607" t="s">
        <v>3347</v>
      </c>
      <c r="C1607" t="s">
        <v>3345</v>
      </c>
      <c r="D1607" t="s">
        <v>3348</v>
      </c>
      <c r="E1607" t="s">
        <v>3348</v>
      </c>
      <c r="H1607" t="s">
        <v>3347</v>
      </c>
    </row>
    <row r="1608" spans="2:8" x14ac:dyDescent="0.25">
      <c r="B1608" t="s">
        <v>3349</v>
      </c>
      <c r="C1608" t="s">
        <v>3350</v>
      </c>
      <c r="D1608" t="s">
        <v>3351</v>
      </c>
      <c r="E1608" t="s">
        <v>3351</v>
      </c>
      <c r="H1608" t="s">
        <v>3349</v>
      </c>
    </row>
    <row r="1609" spans="2:8" x14ac:dyDescent="0.25">
      <c r="B1609" t="s">
        <v>3352</v>
      </c>
      <c r="C1609" t="s">
        <v>3342</v>
      </c>
      <c r="D1609" t="s">
        <v>3353</v>
      </c>
      <c r="E1609" t="s">
        <v>3353</v>
      </c>
      <c r="H1609" t="s">
        <v>3352</v>
      </c>
    </row>
    <row r="1610" spans="2:8" x14ac:dyDescent="0.25">
      <c r="B1610" t="s">
        <v>3354</v>
      </c>
      <c r="C1610" t="s">
        <v>3355</v>
      </c>
      <c r="D1610" t="s">
        <v>3356</v>
      </c>
      <c r="E1610" t="s">
        <v>3356</v>
      </c>
      <c r="H1610" t="s">
        <v>3354</v>
      </c>
    </row>
    <row r="1611" spans="2:8" x14ac:dyDescent="0.25">
      <c r="B1611" t="s">
        <v>3357</v>
      </c>
      <c r="C1611" t="s">
        <v>3358</v>
      </c>
      <c r="D1611" t="s">
        <v>3359</v>
      </c>
      <c r="E1611" t="s">
        <v>3359</v>
      </c>
      <c r="H1611" t="s">
        <v>3357</v>
      </c>
    </row>
    <row r="1612" spans="2:8" x14ac:dyDescent="0.25">
      <c r="B1612" t="s">
        <v>3360</v>
      </c>
      <c r="C1612" t="s">
        <v>3358</v>
      </c>
      <c r="D1612" t="s">
        <v>3361</v>
      </c>
      <c r="E1612" t="s">
        <v>3361</v>
      </c>
      <c r="H1612" t="s">
        <v>3360</v>
      </c>
    </row>
    <row r="1613" spans="2:8" x14ac:dyDescent="0.25">
      <c r="B1613" t="s">
        <v>3362</v>
      </c>
      <c r="C1613" t="s">
        <v>3358</v>
      </c>
      <c r="D1613" t="s">
        <v>3363</v>
      </c>
      <c r="E1613" t="s">
        <v>3363</v>
      </c>
      <c r="H1613" t="s">
        <v>3362</v>
      </c>
    </row>
    <row r="1614" spans="2:8" x14ac:dyDescent="0.25">
      <c r="B1614" t="s">
        <v>3364</v>
      </c>
      <c r="C1614" t="s">
        <v>3365</v>
      </c>
      <c r="D1614" t="s">
        <v>3366</v>
      </c>
      <c r="E1614" t="s">
        <v>3366</v>
      </c>
      <c r="H1614" t="s">
        <v>3364</v>
      </c>
    </row>
    <row r="1615" spans="2:8" x14ac:dyDescent="0.25">
      <c r="B1615" t="s">
        <v>3367</v>
      </c>
      <c r="C1615" t="s">
        <v>3365</v>
      </c>
      <c r="D1615" t="s">
        <v>3368</v>
      </c>
      <c r="E1615" t="s">
        <v>3368</v>
      </c>
      <c r="H1615" t="s">
        <v>3367</v>
      </c>
    </row>
    <row r="1616" spans="2:8" x14ac:dyDescent="0.25">
      <c r="B1616" t="s">
        <v>3369</v>
      </c>
      <c r="C1616" t="s">
        <v>3365</v>
      </c>
      <c r="D1616" t="s">
        <v>3370</v>
      </c>
      <c r="E1616" t="s">
        <v>3370</v>
      </c>
      <c r="H1616" t="s">
        <v>3369</v>
      </c>
    </row>
    <row r="1617" spans="2:8" x14ac:dyDescent="0.25">
      <c r="B1617" t="s">
        <v>3371</v>
      </c>
      <c r="C1617" t="s">
        <v>3372</v>
      </c>
      <c r="D1617" t="s">
        <v>3373</v>
      </c>
      <c r="E1617" t="s">
        <v>3373</v>
      </c>
      <c r="H1617" t="s">
        <v>3371</v>
      </c>
    </row>
    <row r="1618" spans="2:8" x14ac:dyDescent="0.25">
      <c r="B1618" t="s">
        <v>3374</v>
      </c>
      <c r="C1618" t="s">
        <v>3372</v>
      </c>
      <c r="D1618" t="s">
        <v>3375</v>
      </c>
      <c r="E1618" t="s">
        <v>3375</v>
      </c>
      <c r="H1618" t="s">
        <v>3374</v>
      </c>
    </row>
    <row r="1619" spans="2:8" x14ac:dyDescent="0.25">
      <c r="B1619" t="s">
        <v>3376</v>
      </c>
      <c r="C1619" t="s">
        <v>3372</v>
      </c>
      <c r="D1619" t="s">
        <v>3377</v>
      </c>
      <c r="E1619" t="s">
        <v>3377</v>
      </c>
      <c r="H1619" t="s">
        <v>3376</v>
      </c>
    </row>
    <row r="1620" spans="2:8" x14ac:dyDescent="0.25">
      <c r="B1620" t="s">
        <v>3378</v>
      </c>
      <c r="C1620" t="s">
        <v>3379</v>
      </c>
      <c r="D1620" t="s">
        <v>3380</v>
      </c>
      <c r="E1620" t="s">
        <v>3380</v>
      </c>
      <c r="H1620" t="s">
        <v>3378</v>
      </c>
    </row>
    <row r="1621" spans="2:8" x14ac:dyDescent="0.25">
      <c r="B1621" t="s">
        <v>3381</v>
      </c>
      <c r="C1621" t="s">
        <v>3379</v>
      </c>
      <c r="D1621" t="s">
        <v>3382</v>
      </c>
      <c r="E1621" t="s">
        <v>3382</v>
      </c>
      <c r="H1621" t="s">
        <v>3381</v>
      </c>
    </row>
    <row r="1622" spans="2:8" x14ac:dyDescent="0.25">
      <c r="B1622" t="s">
        <v>3383</v>
      </c>
      <c r="C1622" t="s">
        <v>3379</v>
      </c>
      <c r="D1622" t="s">
        <v>3384</v>
      </c>
      <c r="E1622" t="s">
        <v>3384</v>
      </c>
      <c r="H1622" t="s">
        <v>3383</v>
      </c>
    </row>
    <row r="1623" spans="2:8" x14ac:dyDescent="0.25">
      <c r="B1623" t="s">
        <v>3385</v>
      </c>
      <c r="C1623" t="s">
        <v>3386</v>
      </c>
      <c r="D1623" t="s">
        <v>3387</v>
      </c>
      <c r="E1623" t="s">
        <v>3387</v>
      </c>
      <c r="H1623" t="s">
        <v>3385</v>
      </c>
    </row>
    <row r="1624" spans="2:8" x14ac:dyDescent="0.25">
      <c r="B1624" t="s">
        <v>3388</v>
      </c>
      <c r="C1624" t="s">
        <v>3386</v>
      </c>
      <c r="D1624" t="s">
        <v>3389</v>
      </c>
      <c r="E1624" t="s">
        <v>3389</v>
      </c>
      <c r="H1624" t="s">
        <v>3388</v>
      </c>
    </row>
    <row r="1625" spans="2:8" x14ac:dyDescent="0.25">
      <c r="B1625" t="s">
        <v>4859</v>
      </c>
      <c r="C1625" t="s">
        <v>3386</v>
      </c>
      <c r="D1625" t="s">
        <v>4860</v>
      </c>
      <c r="E1625" t="s">
        <v>4860</v>
      </c>
      <c r="H1625" t="s">
        <v>4859</v>
      </c>
    </row>
    <row r="1626" spans="2:8" x14ac:dyDescent="0.25">
      <c r="B1626" t="s">
        <v>3390</v>
      </c>
      <c r="C1626" t="s">
        <v>3391</v>
      </c>
      <c r="D1626" t="s">
        <v>3392</v>
      </c>
      <c r="E1626" t="s">
        <v>3392</v>
      </c>
      <c r="H1626" t="s">
        <v>3390</v>
      </c>
    </row>
    <row r="1627" spans="2:8" x14ac:dyDescent="0.25">
      <c r="B1627" t="s">
        <v>3393</v>
      </c>
      <c r="C1627" t="s">
        <v>3391</v>
      </c>
      <c r="D1627" t="s">
        <v>3394</v>
      </c>
      <c r="E1627" t="s">
        <v>3394</v>
      </c>
      <c r="H1627" t="s">
        <v>3393</v>
      </c>
    </row>
    <row r="1628" spans="2:8" x14ac:dyDescent="0.25">
      <c r="B1628" t="s">
        <v>4861</v>
      </c>
      <c r="C1628" t="s">
        <v>3391</v>
      </c>
      <c r="D1628" t="s">
        <v>4862</v>
      </c>
      <c r="E1628" t="s">
        <v>4862</v>
      </c>
      <c r="H1628" t="s">
        <v>4861</v>
      </c>
    </row>
    <row r="1629" spans="2:8" x14ac:dyDescent="0.25">
      <c r="B1629" t="s">
        <v>3395</v>
      </c>
      <c r="C1629" t="s">
        <v>3396</v>
      </c>
      <c r="D1629" t="s">
        <v>3397</v>
      </c>
      <c r="E1629" t="s">
        <v>3397</v>
      </c>
      <c r="H1629" t="s">
        <v>3395</v>
      </c>
    </row>
    <row r="1630" spans="2:8" x14ac:dyDescent="0.25">
      <c r="B1630" t="s">
        <v>3398</v>
      </c>
      <c r="C1630" t="s">
        <v>3396</v>
      </c>
      <c r="D1630" t="s">
        <v>3399</v>
      </c>
      <c r="E1630" t="s">
        <v>3399</v>
      </c>
      <c r="H1630" t="s">
        <v>3398</v>
      </c>
    </row>
    <row r="1631" spans="2:8" x14ac:dyDescent="0.25">
      <c r="B1631" t="s">
        <v>4863</v>
      </c>
      <c r="C1631" t="s">
        <v>3396</v>
      </c>
      <c r="D1631" t="s">
        <v>4864</v>
      </c>
      <c r="E1631" t="s">
        <v>4864</v>
      </c>
      <c r="H1631" t="s">
        <v>4863</v>
      </c>
    </row>
    <row r="1632" spans="2:8" x14ac:dyDescent="0.25">
      <c r="B1632" t="s">
        <v>3400</v>
      </c>
      <c r="C1632" t="s">
        <v>3401</v>
      </c>
      <c r="D1632" t="s">
        <v>3402</v>
      </c>
      <c r="E1632" t="s">
        <v>3402</v>
      </c>
      <c r="H1632" t="s">
        <v>3400</v>
      </c>
    </row>
    <row r="1633" spans="2:8" x14ac:dyDescent="0.25">
      <c r="B1633" t="s">
        <v>3403</v>
      </c>
      <c r="C1633" t="s">
        <v>3401</v>
      </c>
      <c r="D1633" t="s">
        <v>3404</v>
      </c>
      <c r="E1633" t="s">
        <v>3404</v>
      </c>
      <c r="H1633" t="s">
        <v>3403</v>
      </c>
    </row>
    <row r="1634" spans="2:8" x14ac:dyDescent="0.25">
      <c r="B1634" t="s">
        <v>3405</v>
      </c>
      <c r="C1634" t="s">
        <v>3401</v>
      </c>
      <c r="D1634" t="s">
        <v>3406</v>
      </c>
      <c r="E1634" t="s">
        <v>3406</v>
      </c>
      <c r="H1634" t="s">
        <v>3405</v>
      </c>
    </row>
    <row r="1635" spans="2:8" x14ac:dyDescent="0.25">
      <c r="B1635" t="s">
        <v>3407</v>
      </c>
      <c r="C1635" t="s">
        <v>3408</v>
      </c>
      <c r="D1635" t="s">
        <v>3409</v>
      </c>
      <c r="E1635" t="s">
        <v>3409</v>
      </c>
      <c r="H1635" t="s">
        <v>3407</v>
      </c>
    </row>
    <row r="1636" spans="2:8" x14ac:dyDescent="0.25">
      <c r="B1636" t="s">
        <v>3410</v>
      </c>
      <c r="C1636" t="s">
        <v>3408</v>
      </c>
      <c r="D1636" t="s">
        <v>3411</v>
      </c>
      <c r="E1636" t="s">
        <v>3411</v>
      </c>
      <c r="H1636" t="s">
        <v>3410</v>
      </c>
    </row>
    <row r="1637" spans="2:8" x14ac:dyDescent="0.25">
      <c r="B1637" t="s">
        <v>3412</v>
      </c>
      <c r="C1637" t="s">
        <v>3408</v>
      </c>
      <c r="D1637" t="s">
        <v>3413</v>
      </c>
      <c r="E1637" t="s">
        <v>3413</v>
      </c>
      <c r="H1637" t="s">
        <v>3412</v>
      </c>
    </row>
    <row r="1638" spans="2:8" x14ac:dyDescent="0.25">
      <c r="B1638" t="s">
        <v>4865</v>
      </c>
      <c r="C1638" t="s">
        <v>4866</v>
      </c>
      <c r="D1638" t="s">
        <v>4867</v>
      </c>
      <c r="E1638" t="s">
        <v>4867</v>
      </c>
      <c r="H1638" t="s">
        <v>4865</v>
      </c>
    </row>
    <row r="1639" spans="2:8" x14ac:dyDescent="0.25">
      <c r="B1639" t="s">
        <v>4868</v>
      </c>
      <c r="C1639" t="s">
        <v>4866</v>
      </c>
      <c r="D1639" t="s">
        <v>4869</v>
      </c>
      <c r="E1639" t="s">
        <v>4869</v>
      </c>
      <c r="H1639" t="s">
        <v>4868</v>
      </c>
    </row>
    <row r="1640" spans="2:8" x14ac:dyDescent="0.25">
      <c r="B1640" t="s">
        <v>4870</v>
      </c>
      <c r="C1640" t="s">
        <v>4866</v>
      </c>
      <c r="D1640" t="s">
        <v>4871</v>
      </c>
      <c r="E1640" t="s">
        <v>4871</v>
      </c>
      <c r="H1640" t="s">
        <v>4870</v>
      </c>
    </row>
    <row r="1641" spans="2:8" x14ac:dyDescent="0.25">
      <c r="B1641" t="s">
        <v>4872</v>
      </c>
      <c r="C1641" t="s">
        <v>4873</v>
      </c>
      <c r="D1641" t="s">
        <v>4874</v>
      </c>
      <c r="E1641" t="s">
        <v>4874</v>
      </c>
      <c r="H1641" t="s">
        <v>4872</v>
      </c>
    </row>
    <row r="1642" spans="2:8" x14ac:dyDescent="0.25">
      <c r="B1642" t="s">
        <v>4875</v>
      </c>
      <c r="C1642" t="s">
        <v>4873</v>
      </c>
      <c r="D1642" t="s">
        <v>4876</v>
      </c>
      <c r="E1642" t="s">
        <v>4876</v>
      </c>
      <c r="H1642" t="s">
        <v>4875</v>
      </c>
    </row>
    <row r="1643" spans="2:8" x14ac:dyDescent="0.25">
      <c r="B1643" t="s">
        <v>4877</v>
      </c>
      <c r="C1643" t="s">
        <v>4873</v>
      </c>
      <c r="D1643" t="s">
        <v>4878</v>
      </c>
      <c r="E1643" t="s">
        <v>4878</v>
      </c>
      <c r="H1643" t="s">
        <v>4877</v>
      </c>
    </row>
    <row r="1644" spans="2:8" x14ac:dyDescent="0.25">
      <c r="B1644" t="s">
        <v>4924</v>
      </c>
      <c r="C1644" t="s">
        <v>1357</v>
      </c>
      <c r="D1644" t="s">
        <v>4925</v>
      </c>
      <c r="E1644" t="s">
        <v>4925</v>
      </c>
      <c r="H1644" t="s">
        <v>4924</v>
      </c>
    </row>
    <row r="1645" spans="2:8" x14ac:dyDescent="0.25">
      <c r="B1645" t="s">
        <v>4926</v>
      </c>
      <c r="C1645" t="s">
        <v>4927</v>
      </c>
      <c r="D1645" t="s">
        <v>4928</v>
      </c>
      <c r="E1645" t="s">
        <v>4928</v>
      </c>
      <c r="H1645" t="s">
        <v>4926</v>
      </c>
    </row>
    <row r="1646" spans="2:8" x14ac:dyDescent="0.25">
      <c r="B1646" t="s">
        <v>4929</v>
      </c>
      <c r="C1646" t="s">
        <v>1357</v>
      </c>
      <c r="D1646" t="s">
        <v>4930</v>
      </c>
      <c r="E1646" t="s">
        <v>4930</v>
      </c>
      <c r="H1646" t="s">
        <v>4929</v>
      </c>
    </row>
    <row r="1647" spans="2:8" x14ac:dyDescent="0.25">
      <c r="B1647" t="s">
        <v>4931</v>
      </c>
      <c r="C1647" t="s">
        <v>4927</v>
      </c>
      <c r="D1647" t="s">
        <v>4932</v>
      </c>
      <c r="E1647" t="s">
        <v>4932</v>
      </c>
      <c r="H1647" t="s">
        <v>4931</v>
      </c>
    </row>
    <row r="1648" spans="2:8" x14ac:dyDescent="0.25">
      <c r="B1648" t="s">
        <v>4933</v>
      </c>
      <c r="C1648" t="s">
        <v>4934</v>
      </c>
      <c r="D1648" t="s">
        <v>4935</v>
      </c>
      <c r="E1648" t="s">
        <v>4935</v>
      </c>
      <c r="H1648" t="s">
        <v>4933</v>
      </c>
    </row>
    <row r="1649" spans="2:8" x14ac:dyDescent="0.25">
      <c r="B1649" t="s">
        <v>4936</v>
      </c>
      <c r="C1649" t="s">
        <v>4934</v>
      </c>
      <c r="D1649" t="s">
        <v>4937</v>
      </c>
      <c r="E1649" t="s">
        <v>4937</v>
      </c>
      <c r="H1649" t="s">
        <v>4936</v>
      </c>
    </row>
    <row r="1650" spans="2:8" x14ac:dyDescent="0.25">
      <c r="B1650" t="s">
        <v>4938</v>
      </c>
      <c r="C1650" t="s">
        <v>4939</v>
      </c>
      <c r="D1650" t="s">
        <v>4940</v>
      </c>
      <c r="E1650" t="s">
        <v>4940</v>
      </c>
      <c r="H1650" t="s">
        <v>4938</v>
      </c>
    </row>
    <row r="1651" spans="2:8" x14ac:dyDescent="0.25">
      <c r="B1651" t="s">
        <v>4941</v>
      </c>
      <c r="C1651" t="s">
        <v>4942</v>
      </c>
      <c r="D1651" t="s">
        <v>4943</v>
      </c>
      <c r="E1651" t="s">
        <v>4943</v>
      </c>
      <c r="H1651" t="s">
        <v>4941</v>
      </c>
    </row>
    <row r="1652" spans="2:8" x14ac:dyDescent="0.25">
      <c r="B1652" t="s">
        <v>4944</v>
      </c>
      <c r="C1652" t="s">
        <v>4939</v>
      </c>
      <c r="D1652" t="s">
        <v>4945</v>
      </c>
      <c r="E1652" t="s">
        <v>4945</v>
      </c>
      <c r="H1652" t="s">
        <v>4944</v>
      </c>
    </row>
    <row r="1653" spans="2:8" x14ac:dyDescent="0.25">
      <c r="B1653" t="s">
        <v>4946</v>
      </c>
      <c r="C1653" t="s">
        <v>4942</v>
      </c>
      <c r="D1653" t="s">
        <v>4947</v>
      </c>
      <c r="E1653" t="s">
        <v>4947</v>
      </c>
      <c r="H1653" t="s">
        <v>4946</v>
      </c>
    </row>
    <row r="1654" spans="2:8" x14ac:dyDescent="0.25">
      <c r="B1654" t="s">
        <v>4948</v>
      </c>
      <c r="C1654" t="s">
        <v>4949</v>
      </c>
      <c r="D1654" t="s">
        <v>4950</v>
      </c>
      <c r="E1654" t="s">
        <v>4950</v>
      </c>
      <c r="H1654" t="s">
        <v>4948</v>
      </c>
    </row>
    <row r="1655" spans="2:8" x14ac:dyDescent="0.25">
      <c r="B1655" t="s">
        <v>4951</v>
      </c>
      <c r="C1655" t="s">
        <v>4952</v>
      </c>
      <c r="D1655" t="s">
        <v>4953</v>
      </c>
      <c r="E1655" t="s">
        <v>4953</v>
      </c>
      <c r="H1655" t="s">
        <v>4951</v>
      </c>
    </row>
    <row r="1656" spans="2:8" x14ac:dyDescent="0.25">
      <c r="B1656" t="s">
        <v>4954</v>
      </c>
      <c r="C1656" t="s">
        <v>4949</v>
      </c>
      <c r="D1656" t="s">
        <v>4955</v>
      </c>
      <c r="E1656" t="s">
        <v>4955</v>
      </c>
      <c r="H1656" t="s">
        <v>4954</v>
      </c>
    </row>
    <row r="1657" spans="2:8" x14ac:dyDescent="0.25">
      <c r="B1657" t="s">
        <v>4956</v>
      </c>
      <c r="C1657" t="s">
        <v>4952</v>
      </c>
      <c r="D1657" t="s">
        <v>4957</v>
      </c>
      <c r="E1657" t="s">
        <v>4957</v>
      </c>
      <c r="H1657" t="s">
        <v>4956</v>
      </c>
    </row>
    <row r="1658" spans="2:8" x14ac:dyDescent="0.25">
      <c r="B1658" t="s">
        <v>4958</v>
      </c>
      <c r="C1658" t="s">
        <v>4949</v>
      </c>
      <c r="D1658" t="s">
        <v>4959</v>
      </c>
      <c r="E1658" t="s">
        <v>4959</v>
      </c>
      <c r="H1658" t="s">
        <v>4958</v>
      </c>
    </row>
    <row r="1659" spans="2:8" x14ac:dyDescent="0.25">
      <c r="B1659" t="s">
        <v>4960</v>
      </c>
      <c r="C1659" t="s">
        <v>4952</v>
      </c>
      <c r="D1659" t="s">
        <v>4961</v>
      </c>
      <c r="E1659" t="s">
        <v>4961</v>
      </c>
      <c r="H1659" t="s">
        <v>4960</v>
      </c>
    </row>
    <row r="1660" spans="2:8" x14ac:dyDescent="0.25">
      <c r="B1660" t="s">
        <v>4962</v>
      </c>
      <c r="C1660" t="s">
        <v>4963</v>
      </c>
      <c r="D1660" t="s">
        <v>4964</v>
      </c>
      <c r="E1660" t="s">
        <v>4964</v>
      </c>
      <c r="H1660" t="s">
        <v>4962</v>
      </c>
    </row>
    <row r="1661" spans="2:8" x14ac:dyDescent="0.25">
      <c r="B1661" t="s">
        <v>4965</v>
      </c>
      <c r="C1661" t="s">
        <v>4966</v>
      </c>
      <c r="D1661" t="s">
        <v>4967</v>
      </c>
      <c r="E1661" t="s">
        <v>4967</v>
      </c>
      <c r="H1661" t="s">
        <v>4965</v>
      </c>
    </row>
    <row r="1662" spans="2:8" x14ac:dyDescent="0.25">
      <c r="B1662" t="s">
        <v>4968</v>
      </c>
      <c r="C1662" t="s">
        <v>4963</v>
      </c>
      <c r="D1662" t="s">
        <v>4969</v>
      </c>
      <c r="E1662" t="s">
        <v>4969</v>
      </c>
      <c r="H1662" t="s">
        <v>4968</v>
      </c>
    </row>
    <row r="1663" spans="2:8" x14ac:dyDescent="0.25">
      <c r="B1663" t="s">
        <v>4970</v>
      </c>
      <c r="C1663" t="s">
        <v>4966</v>
      </c>
      <c r="D1663" t="s">
        <v>4971</v>
      </c>
      <c r="E1663" t="s">
        <v>4971</v>
      </c>
      <c r="H1663" t="s">
        <v>4970</v>
      </c>
    </row>
    <row r="1664" spans="2:8" x14ac:dyDescent="0.25">
      <c r="B1664" t="s">
        <v>4972</v>
      </c>
      <c r="C1664" t="s">
        <v>4963</v>
      </c>
      <c r="D1664" t="s">
        <v>4973</v>
      </c>
      <c r="E1664" t="s">
        <v>4973</v>
      </c>
      <c r="H1664" t="s">
        <v>4972</v>
      </c>
    </row>
    <row r="1665" spans="2:8" x14ac:dyDescent="0.25">
      <c r="B1665" t="s">
        <v>4974</v>
      </c>
      <c r="C1665" t="s">
        <v>4966</v>
      </c>
      <c r="D1665" t="s">
        <v>4975</v>
      </c>
      <c r="E1665" t="s">
        <v>4975</v>
      </c>
      <c r="H1665" t="s">
        <v>4974</v>
      </c>
    </row>
    <row r="1666" spans="2:8" x14ac:dyDescent="0.25">
      <c r="B1666" t="s">
        <v>4976</v>
      </c>
      <c r="C1666" t="s">
        <v>4977</v>
      </c>
      <c r="D1666" t="s">
        <v>4978</v>
      </c>
      <c r="E1666" t="s">
        <v>4978</v>
      </c>
      <c r="H1666" t="s">
        <v>4976</v>
      </c>
    </row>
    <row r="1667" spans="2:8" x14ac:dyDescent="0.25">
      <c r="B1667" t="s">
        <v>4979</v>
      </c>
      <c r="C1667" t="s">
        <v>4980</v>
      </c>
      <c r="D1667" t="s">
        <v>4981</v>
      </c>
      <c r="E1667" t="s">
        <v>4981</v>
      </c>
      <c r="H1667" t="s">
        <v>4979</v>
      </c>
    </row>
    <row r="1668" spans="2:8" x14ac:dyDescent="0.25">
      <c r="B1668" t="s">
        <v>4982</v>
      </c>
      <c r="C1668" t="s">
        <v>4983</v>
      </c>
      <c r="D1668" t="s">
        <v>4984</v>
      </c>
      <c r="E1668" t="s">
        <v>4984</v>
      </c>
      <c r="H1668" t="s">
        <v>4982</v>
      </c>
    </row>
    <row r="1669" spans="2:8" x14ac:dyDescent="0.25">
      <c r="B1669" t="s">
        <v>4985</v>
      </c>
      <c r="C1669" t="s">
        <v>4986</v>
      </c>
      <c r="D1669" t="s">
        <v>4987</v>
      </c>
      <c r="E1669" t="s">
        <v>4987</v>
      </c>
      <c r="H1669" t="s">
        <v>4985</v>
      </c>
    </row>
    <row r="1670" spans="2:8" x14ac:dyDescent="0.25">
      <c r="B1670" t="s">
        <v>4988</v>
      </c>
      <c r="C1670" t="s">
        <v>4989</v>
      </c>
      <c r="D1670" t="s">
        <v>4990</v>
      </c>
      <c r="E1670" t="s">
        <v>4990</v>
      </c>
      <c r="H1670" t="s">
        <v>4988</v>
      </c>
    </row>
    <row r="1671" spans="2:8" x14ac:dyDescent="0.25">
      <c r="B1671" t="s">
        <v>4991</v>
      </c>
      <c r="C1671" t="s">
        <v>4992</v>
      </c>
      <c r="D1671" t="s">
        <v>4993</v>
      </c>
      <c r="E1671" t="s">
        <v>4993</v>
      </c>
      <c r="H1671" t="s">
        <v>4991</v>
      </c>
    </row>
    <row r="1672" spans="2:8" x14ac:dyDescent="0.25">
      <c r="B1672" t="s">
        <v>4994</v>
      </c>
      <c r="C1672" t="s">
        <v>4995</v>
      </c>
      <c r="D1672" t="s">
        <v>4996</v>
      </c>
      <c r="E1672" t="s">
        <v>4996</v>
      </c>
      <c r="H1672" t="s">
        <v>4994</v>
      </c>
    </row>
    <row r="1673" spans="2:8" x14ac:dyDescent="0.25">
      <c r="B1673" t="s">
        <v>4997</v>
      </c>
      <c r="C1673" t="s">
        <v>4998</v>
      </c>
      <c r="D1673" t="s">
        <v>4999</v>
      </c>
      <c r="E1673" t="s">
        <v>4999</v>
      </c>
      <c r="H1673" t="s">
        <v>4997</v>
      </c>
    </row>
    <row r="1674" spans="2:8" x14ac:dyDescent="0.25">
      <c r="B1674" t="s">
        <v>5000</v>
      </c>
      <c r="C1674" t="s">
        <v>5001</v>
      </c>
      <c r="D1674" t="s">
        <v>5002</v>
      </c>
      <c r="E1674" t="s">
        <v>5002</v>
      </c>
      <c r="H1674" t="s">
        <v>5000</v>
      </c>
    </row>
    <row r="1675" spans="2:8" x14ac:dyDescent="0.25">
      <c r="B1675" t="s">
        <v>5003</v>
      </c>
      <c r="C1675" t="s">
        <v>5004</v>
      </c>
      <c r="D1675" t="s">
        <v>5005</v>
      </c>
      <c r="E1675" t="s">
        <v>5005</v>
      </c>
      <c r="H1675" t="s">
        <v>5003</v>
      </c>
    </row>
    <row r="1676" spans="2:8" x14ac:dyDescent="0.25">
      <c r="B1676" t="s">
        <v>5006</v>
      </c>
      <c r="C1676" t="s">
        <v>5007</v>
      </c>
      <c r="D1676" t="s">
        <v>5008</v>
      </c>
      <c r="E1676" t="s">
        <v>5008</v>
      </c>
      <c r="H1676" t="s">
        <v>5006</v>
      </c>
    </row>
    <row r="1677" spans="2:8" x14ac:dyDescent="0.25">
      <c r="B1677" t="s">
        <v>5009</v>
      </c>
      <c r="C1677" t="s">
        <v>5010</v>
      </c>
      <c r="D1677" t="s">
        <v>5011</v>
      </c>
      <c r="E1677" t="s">
        <v>5011</v>
      </c>
      <c r="H1677" t="s">
        <v>5009</v>
      </c>
    </row>
    <row r="1678" spans="2:8" x14ac:dyDescent="0.25">
      <c r="B1678" t="s">
        <v>3414</v>
      </c>
      <c r="C1678" t="s">
        <v>3415</v>
      </c>
      <c r="D1678" t="s">
        <v>3416</v>
      </c>
      <c r="E1678" t="s">
        <v>3416</v>
      </c>
      <c r="H1678" t="s">
        <v>3414</v>
      </c>
    </row>
    <row r="1679" spans="2:8" x14ac:dyDescent="0.25">
      <c r="B1679" t="s">
        <v>3417</v>
      </c>
      <c r="C1679" t="s">
        <v>3415</v>
      </c>
      <c r="D1679" t="s">
        <v>3418</v>
      </c>
      <c r="E1679" t="s">
        <v>3418</v>
      </c>
      <c r="H1679" t="s">
        <v>3417</v>
      </c>
    </row>
    <row r="1680" spans="2:8" x14ac:dyDescent="0.25">
      <c r="B1680" t="s">
        <v>3419</v>
      </c>
      <c r="C1680" t="s">
        <v>3415</v>
      </c>
      <c r="D1680" t="s">
        <v>3420</v>
      </c>
      <c r="E1680" t="s">
        <v>3420</v>
      </c>
      <c r="H1680" t="s">
        <v>3419</v>
      </c>
    </row>
    <row r="1681" spans="2:8" x14ac:dyDescent="0.25">
      <c r="B1681" t="s">
        <v>5012</v>
      </c>
      <c r="C1681" t="s">
        <v>5013</v>
      </c>
      <c r="D1681" t="s">
        <v>5014</v>
      </c>
      <c r="E1681" t="s">
        <v>5014</v>
      </c>
      <c r="H1681" t="s">
        <v>5012</v>
      </c>
    </row>
    <row r="1682" spans="2:8" x14ac:dyDescent="0.25">
      <c r="B1682" t="s">
        <v>5015</v>
      </c>
      <c r="C1682" t="s">
        <v>5013</v>
      </c>
      <c r="D1682" t="s">
        <v>5016</v>
      </c>
      <c r="E1682" t="s">
        <v>5016</v>
      </c>
      <c r="H1682" t="s">
        <v>5015</v>
      </c>
    </row>
    <row r="1683" spans="2:8" x14ac:dyDescent="0.25">
      <c r="B1683" t="s">
        <v>5017</v>
      </c>
      <c r="C1683" t="s">
        <v>5013</v>
      </c>
      <c r="D1683" t="s">
        <v>5018</v>
      </c>
      <c r="E1683" t="s">
        <v>5018</v>
      </c>
      <c r="H1683" t="s">
        <v>5017</v>
      </c>
    </row>
    <row r="1684" spans="2:8" x14ac:dyDescent="0.25">
      <c r="B1684" t="s">
        <v>5019</v>
      </c>
      <c r="C1684" t="s">
        <v>5020</v>
      </c>
      <c r="D1684" t="s">
        <v>5021</v>
      </c>
      <c r="E1684" t="s">
        <v>5021</v>
      </c>
      <c r="H1684" t="s">
        <v>5019</v>
      </c>
    </row>
    <row r="1685" spans="2:8" x14ac:dyDescent="0.25">
      <c r="B1685" t="s">
        <v>5022</v>
      </c>
      <c r="C1685" t="s">
        <v>5020</v>
      </c>
      <c r="D1685" t="s">
        <v>5023</v>
      </c>
      <c r="E1685" t="s">
        <v>5023</v>
      </c>
      <c r="H1685" t="s">
        <v>5022</v>
      </c>
    </row>
    <row r="1686" spans="2:8" x14ac:dyDescent="0.25">
      <c r="B1686" t="s">
        <v>5024</v>
      </c>
      <c r="C1686" t="s">
        <v>5020</v>
      </c>
      <c r="D1686" t="s">
        <v>5025</v>
      </c>
      <c r="E1686" t="s">
        <v>5025</v>
      </c>
      <c r="H1686" t="s">
        <v>5024</v>
      </c>
    </row>
    <row r="1687" spans="2:8" x14ac:dyDescent="0.25">
      <c r="B1687" t="s">
        <v>5026</v>
      </c>
      <c r="C1687" t="s">
        <v>5027</v>
      </c>
      <c r="D1687" t="s">
        <v>5028</v>
      </c>
      <c r="E1687" t="s">
        <v>5028</v>
      </c>
      <c r="H1687" t="s">
        <v>5026</v>
      </c>
    </row>
    <row r="1688" spans="2:8" x14ac:dyDescent="0.25">
      <c r="B1688" t="s">
        <v>5029</v>
      </c>
      <c r="C1688" t="s">
        <v>5027</v>
      </c>
      <c r="D1688" t="s">
        <v>5030</v>
      </c>
      <c r="E1688" t="s">
        <v>5030</v>
      </c>
      <c r="H1688" t="s">
        <v>5029</v>
      </c>
    </row>
    <row r="1689" spans="2:8" x14ac:dyDescent="0.25">
      <c r="B1689" t="s">
        <v>5031</v>
      </c>
      <c r="C1689" t="s">
        <v>5027</v>
      </c>
      <c r="D1689" t="s">
        <v>5032</v>
      </c>
      <c r="E1689" t="s">
        <v>5032</v>
      </c>
      <c r="H1689" t="s">
        <v>5031</v>
      </c>
    </row>
    <row r="1690" spans="2:8" x14ac:dyDescent="0.25">
      <c r="B1690" t="s">
        <v>3421</v>
      </c>
      <c r="C1690" t="s">
        <v>3422</v>
      </c>
      <c r="D1690" t="s">
        <v>3423</v>
      </c>
      <c r="E1690" t="s">
        <v>3423</v>
      </c>
      <c r="H1690" t="s">
        <v>3421</v>
      </c>
    </row>
    <row r="1691" spans="2:8" x14ac:dyDescent="0.25">
      <c r="B1691" t="s">
        <v>3424</v>
      </c>
      <c r="C1691" t="s">
        <v>3422</v>
      </c>
      <c r="D1691" t="s">
        <v>3425</v>
      </c>
      <c r="E1691" t="s">
        <v>3425</v>
      </c>
      <c r="H1691" t="s">
        <v>3424</v>
      </c>
    </row>
    <row r="1692" spans="2:8" x14ac:dyDescent="0.25">
      <c r="B1692" t="s">
        <v>3426</v>
      </c>
      <c r="C1692" t="s">
        <v>3422</v>
      </c>
      <c r="D1692" t="s">
        <v>3427</v>
      </c>
      <c r="E1692" t="s">
        <v>3427</v>
      </c>
      <c r="H1692" t="s">
        <v>3426</v>
      </c>
    </row>
    <row r="1693" spans="2:8" x14ac:dyDescent="0.25">
      <c r="B1693" t="s">
        <v>5033</v>
      </c>
      <c r="C1693" t="s">
        <v>5034</v>
      </c>
      <c r="D1693" t="s">
        <v>5035</v>
      </c>
      <c r="E1693" t="s">
        <v>5035</v>
      </c>
      <c r="H1693" t="s">
        <v>5033</v>
      </c>
    </row>
    <row r="1694" spans="2:8" x14ac:dyDescent="0.25">
      <c r="B1694" t="s">
        <v>5036</v>
      </c>
      <c r="C1694" t="s">
        <v>5034</v>
      </c>
      <c r="D1694" t="s">
        <v>5037</v>
      </c>
      <c r="E1694" t="s">
        <v>5037</v>
      </c>
      <c r="H1694" t="s">
        <v>5036</v>
      </c>
    </row>
    <row r="1695" spans="2:8" x14ac:dyDescent="0.25">
      <c r="B1695" t="s">
        <v>5038</v>
      </c>
      <c r="C1695" t="s">
        <v>5034</v>
      </c>
      <c r="D1695" t="s">
        <v>5039</v>
      </c>
      <c r="E1695" t="s">
        <v>5039</v>
      </c>
      <c r="H1695" t="s">
        <v>5038</v>
      </c>
    </row>
    <row r="1696" spans="2:8" x14ac:dyDescent="0.25">
      <c r="B1696" t="s">
        <v>3428</v>
      </c>
      <c r="C1696" t="s">
        <v>3429</v>
      </c>
      <c r="D1696" t="s">
        <v>3430</v>
      </c>
      <c r="E1696" t="s">
        <v>3430</v>
      </c>
      <c r="H1696" t="s">
        <v>3428</v>
      </c>
    </row>
    <row r="1697" spans="2:8" x14ac:dyDescent="0.25">
      <c r="B1697" t="s">
        <v>3431</v>
      </c>
      <c r="C1697" t="s">
        <v>3429</v>
      </c>
      <c r="D1697" t="s">
        <v>3432</v>
      </c>
      <c r="E1697" t="s">
        <v>3432</v>
      </c>
      <c r="H1697" t="s">
        <v>3431</v>
      </c>
    </row>
    <row r="1698" spans="2:8" x14ac:dyDescent="0.25">
      <c r="B1698" t="s">
        <v>3433</v>
      </c>
      <c r="C1698" t="s">
        <v>3429</v>
      </c>
      <c r="D1698" t="s">
        <v>3434</v>
      </c>
      <c r="E1698" t="s">
        <v>3434</v>
      </c>
      <c r="H1698" t="s">
        <v>3433</v>
      </c>
    </row>
    <row r="1699" spans="2:8" x14ac:dyDescent="0.25">
      <c r="B1699" t="s">
        <v>5040</v>
      </c>
      <c r="C1699" t="s">
        <v>5041</v>
      </c>
      <c r="D1699" t="s">
        <v>5042</v>
      </c>
      <c r="E1699" t="s">
        <v>5042</v>
      </c>
      <c r="H1699" t="s">
        <v>5040</v>
      </c>
    </row>
    <row r="1700" spans="2:8" x14ac:dyDescent="0.25">
      <c r="B1700" t="s">
        <v>5043</v>
      </c>
      <c r="C1700" t="s">
        <v>5041</v>
      </c>
      <c r="D1700" t="s">
        <v>5044</v>
      </c>
      <c r="E1700" t="s">
        <v>5044</v>
      </c>
      <c r="H1700" t="s">
        <v>5043</v>
      </c>
    </row>
    <row r="1701" spans="2:8" x14ac:dyDescent="0.25">
      <c r="B1701" t="s">
        <v>5045</v>
      </c>
      <c r="C1701" t="s">
        <v>5041</v>
      </c>
      <c r="D1701" t="s">
        <v>5046</v>
      </c>
      <c r="E1701" t="s">
        <v>5046</v>
      </c>
      <c r="H1701" t="s">
        <v>5045</v>
      </c>
    </row>
    <row r="1702" spans="2:8" x14ac:dyDescent="0.25">
      <c r="B1702" t="s">
        <v>5047</v>
      </c>
      <c r="C1702" t="s">
        <v>5048</v>
      </c>
      <c r="D1702" t="s">
        <v>5049</v>
      </c>
      <c r="E1702" t="s">
        <v>5049</v>
      </c>
      <c r="H1702" t="s">
        <v>5047</v>
      </c>
    </row>
    <row r="1703" spans="2:8" x14ac:dyDescent="0.25">
      <c r="B1703" t="s">
        <v>5050</v>
      </c>
      <c r="C1703" t="s">
        <v>5051</v>
      </c>
      <c r="D1703" t="s">
        <v>5052</v>
      </c>
      <c r="E1703" t="s">
        <v>5052</v>
      </c>
      <c r="H1703" t="s">
        <v>5050</v>
      </c>
    </row>
    <row r="1704" spans="2:8" x14ac:dyDescent="0.25">
      <c r="B1704" t="s">
        <v>3435</v>
      </c>
      <c r="C1704" t="s">
        <v>3436</v>
      </c>
      <c r="D1704" t="s">
        <v>3437</v>
      </c>
      <c r="E1704" t="s">
        <v>3437</v>
      </c>
      <c r="H1704" t="s">
        <v>3435</v>
      </c>
    </row>
    <row r="1705" spans="2:8" x14ac:dyDescent="0.25">
      <c r="B1705" t="s">
        <v>5053</v>
      </c>
      <c r="C1705" t="s">
        <v>5048</v>
      </c>
      <c r="D1705" t="s">
        <v>5054</v>
      </c>
      <c r="E1705" t="s">
        <v>5054</v>
      </c>
      <c r="H1705" t="s">
        <v>5053</v>
      </c>
    </row>
    <row r="1706" spans="2:8" x14ac:dyDescent="0.25">
      <c r="B1706" t="s">
        <v>5055</v>
      </c>
      <c r="C1706" t="s">
        <v>5051</v>
      </c>
      <c r="D1706" t="s">
        <v>5056</v>
      </c>
      <c r="E1706" t="s">
        <v>5056</v>
      </c>
      <c r="H1706" t="s">
        <v>5055</v>
      </c>
    </row>
    <row r="1707" spans="2:8" x14ac:dyDescent="0.25">
      <c r="B1707" t="s">
        <v>3438</v>
      </c>
      <c r="C1707" t="s">
        <v>3436</v>
      </c>
      <c r="D1707" t="s">
        <v>3439</v>
      </c>
      <c r="E1707" t="s">
        <v>3439</v>
      </c>
      <c r="H1707" t="s">
        <v>3438</v>
      </c>
    </row>
    <row r="1708" spans="2:8" x14ac:dyDescent="0.25">
      <c r="B1708" t="s">
        <v>5057</v>
      </c>
      <c r="C1708" t="s">
        <v>5048</v>
      </c>
      <c r="D1708" t="s">
        <v>5058</v>
      </c>
      <c r="E1708" t="s">
        <v>5058</v>
      </c>
      <c r="H1708" t="s">
        <v>5057</v>
      </c>
    </row>
    <row r="1709" spans="2:8" x14ac:dyDescent="0.25">
      <c r="B1709" t="s">
        <v>5059</v>
      </c>
      <c r="C1709" t="s">
        <v>5051</v>
      </c>
      <c r="D1709" t="s">
        <v>5060</v>
      </c>
      <c r="E1709" t="s">
        <v>5060</v>
      </c>
      <c r="H1709" t="s">
        <v>5059</v>
      </c>
    </row>
    <row r="1710" spans="2:8" x14ac:dyDescent="0.25">
      <c r="B1710" t="s">
        <v>3440</v>
      </c>
      <c r="C1710" t="s">
        <v>3436</v>
      </c>
      <c r="D1710" t="s">
        <v>3441</v>
      </c>
      <c r="E1710" t="s">
        <v>3441</v>
      </c>
      <c r="H1710" t="s">
        <v>3440</v>
      </c>
    </row>
    <row r="1711" spans="2:8" x14ac:dyDescent="0.25">
      <c r="B1711" t="s">
        <v>3442</v>
      </c>
      <c r="C1711" t="s">
        <v>3443</v>
      </c>
      <c r="D1711" t="s">
        <v>3444</v>
      </c>
      <c r="E1711" t="s">
        <v>3444</v>
      </c>
      <c r="H1711" t="s">
        <v>3442</v>
      </c>
    </row>
    <row r="1712" spans="2:8" x14ac:dyDescent="0.25">
      <c r="B1712" t="s">
        <v>5061</v>
      </c>
      <c r="C1712" t="s">
        <v>5062</v>
      </c>
      <c r="D1712" t="s">
        <v>5063</v>
      </c>
      <c r="E1712" t="s">
        <v>5063</v>
      </c>
      <c r="H1712" t="s">
        <v>5061</v>
      </c>
    </row>
    <row r="1713" spans="2:8" x14ac:dyDescent="0.25">
      <c r="B1713" t="s">
        <v>5064</v>
      </c>
      <c r="C1713" t="s">
        <v>5065</v>
      </c>
      <c r="D1713" t="s">
        <v>5066</v>
      </c>
      <c r="E1713" t="s">
        <v>5066</v>
      </c>
      <c r="H1713" t="s">
        <v>5064</v>
      </c>
    </row>
    <row r="1714" spans="2:8" x14ac:dyDescent="0.25">
      <c r="B1714" t="s">
        <v>3445</v>
      </c>
      <c r="C1714" t="s">
        <v>3443</v>
      </c>
      <c r="D1714" t="s">
        <v>3446</v>
      </c>
      <c r="E1714" t="s">
        <v>3446</v>
      </c>
      <c r="H1714" t="s">
        <v>3445</v>
      </c>
    </row>
    <row r="1715" spans="2:8" x14ac:dyDescent="0.25">
      <c r="B1715" t="s">
        <v>5067</v>
      </c>
      <c r="C1715" t="s">
        <v>5062</v>
      </c>
      <c r="D1715" t="s">
        <v>5068</v>
      </c>
      <c r="E1715" t="s">
        <v>5068</v>
      </c>
      <c r="H1715" t="s">
        <v>5067</v>
      </c>
    </row>
    <row r="1716" spans="2:8" x14ac:dyDescent="0.25">
      <c r="B1716" t="s">
        <v>5069</v>
      </c>
      <c r="C1716" t="s">
        <v>5065</v>
      </c>
      <c r="D1716" t="s">
        <v>5070</v>
      </c>
      <c r="E1716" t="s">
        <v>5070</v>
      </c>
      <c r="H1716" t="s">
        <v>5069</v>
      </c>
    </row>
    <row r="1717" spans="2:8" x14ac:dyDescent="0.25">
      <c r="B1717" t="s">
        <v>3447</v>
      </c>
      <c r="C1717" t="s">
        <v>3443</v>
      </c>
      <c r="D1717" t="s">
        <v>3448</v>
      </c>
      <c r="E1717" t="s">
        <v>3448</v>
      </c>
      <c r="H1717" t="s">
        <v>3447</v>
      </c>
    </row>
    <row r="1718" spans="2:8" x14ac:dyDescent="0.25">
      <c r="B1718" t="s">
        <v>5071</v>
      </c>
      <c r="C1718" t="s">
        <v>5062</v>
      </c>
      <c r="D1718" t="s">
        <v>5072</v>
      </c>
      <c r="E1718" t="s">
        <v>5072</v>
      </c>
      <c r="H1718" t="s">
        <v>5071</v>
      </c>
    </row>
    <row r="1719" spans="2:8" x14ac:dyDescent="0.25">
      <c r="B1719" t="s">
        <v>5073</v>
      </c>
      <c r="C1719" t="s">
        <v>5065</v>
      </c>
      <c r="D1719" t="s">
        <v>5074</v>
      </c>
      <c r="E1719" t="s">
        <v>5074</v>
      </c>
      <c r="H1719" t="s">
        <v>5073</v>
      </c>
    </row>
    <row r="1720" spans="2:8" x14ac:dyDescent="0.25">
      <c r="B1720" t="s">
        <v>3449</v>
      </c>
      <c r="C1720" t="s">
        <v>3450</v>
      </c>
      <c r="D1720" t="s">
        <v>3451</v>
      </c>
      <c r="E1720" t="s">
        <v>3451</v>
      </c>
      <c r="H1720" t="s">
        <v>3449</v>
      </c>
    </row>
    <row r="1721" spans="2:8" x14ac:dyDescent="0.25">
      <c r="B1721" t="s">
        <v>5075</v>
      </c>
      <c r="C1721" t="s">
        <v>5076</v>
      </c>
      <c r="D1721" t="s">
        <v>5077</v>
      </c>
      <c r="E1721" t="s">
        <v>5077</v>
      </c>
      <c r="H1721" t="s">
        <v>5075</v>
      </c>
    </row>
    <row r="1722" spans="2:8" x14ac:dyDescent="0.25">
      <c r="B1722" t="s">
        <v>5078</v>
      </c>
      <c r="C1722" t="s">
        <v>5079</v>
      </c>
      <c r="D1722" t="s">
        <v>5080</v>
      </c>
      <c r="E1722" t="s">
        <v>5080</v>
      </c>
      <c r="H1722" t="s">
        <v>5078</v>
      </c>
    </row>
    <row r="1723" spans="2:8" x14ac:dyDescent="0.25">
      <c r="B1723" t="s">
        <v>3452</v>
      </c>
      <c r="C1723" t="s">
        <v>3450</v>
      </c>
      <c r="D1723" t="s">
        <v>3453</v>
      </c>
      <c r="E1723" t="s">
        <v>3453</v>
      </c>
      <c r="H1723" t="s">
        <v>3452</v>
      </c>
    </row>
    <row r="1724" spans="2:8" x14ac:dyDescent="0.25">
      <c r="B1724" t="s">
        <v>5081</v>
      </c>
      <c r="C1724" t="s">
        <v>5076</v>
      </c>
      <c r="D1724" t="s">
        <v>5082</v>
      </c>
      <c r="E1724" t="s">
        <v>5082</v>
      </c>
      <c r="H1724" t="s">
        <v>5081</v>
      </c>
    </row>
    <row r="1725" spans="2:8" x14ac:dyDescent="0.25">
      <c r="B1725" t="s">
        <v>5083</v>
      </c>
      <c r="C1725" t="s">
        <v>5079</v>
      </c>
      <c r="D1725" t="s">
        <v>5084</v>
      </c>
      <c r="E1725" t="s">
        <v>5084</v>
      </c>
      <c r="H1725" t="s">
        <v>5083</v>
      </c>
    </row>
    <row r="1726" spans="2:8" x14ac:dyDescent="0.25">
      <c r="B1726" t="s">
        <v>3454</v>
      </c>
      <c r="C1726" t="s">
        <v>3450</v>
      </c>
      <c r="D1726" t="s">
        <v>3455</v>
      </c>
      <c r="E1726" t="s">
        <v>3455</v>
      </c>
      <c r="H1726" t="s">
        <v>3454</v>
      </c>
    </row>
    <row r="1727" spans="2:8" x14ac:dyDescent="0.25">
      <c r="B1727" t="s">
        <v>5085</v>
      </c>
      <c r="C1727" t="s">
        <v>5076</v>
      </c>
      <c r="D1727" t="s">
        <v>5086</v>
      </c>
      <c r="E1727" t="s">
        <v>5086</v>
      </c>
      <c r="H1727" t="s">
        <v>5085</v>
      </c>
    </row>
    <row r="1728" spans="2:8" x14ac:dyDescent="0.25">
      <c r="B1728" t="s">
        <v>5087</v>
      </c>
      <c r="C1728" t="s">
        <v>5079</v>
      </c>
      <c r="D1728" t="s">
        <v>5088</v>
      </c>
      <c r="E1728" t="s">
        <v>5088</v>
      </c>
      <c r="H1728" t="s">
        <v>5087</v>
      </c>
    </row>
    <row r="1729" spans="2:8" x14ac:dyDescent="0.25">
      <c r="B1729" t="s">
        <v>5089</v>
      </c>
      <c r="C1729" t="s">
        <v>5090</v>
      </c>
      <c r="D1729" t="s">
        <v>5091</v>
      </c>
      <c r="E1729" t="s">
        <v>5091</v>
      </c>
      <c r="H1729" t="s">
        <v>5089</v>
      </c>
    </row>
    <row r="1730" spans="2:8" x14ac:dyDescent="0.25">
      <c r="B1730" t="s">
        <v>5092</v>
      </c>
      <c r="C1730" t="s">
        <v>5093</v>
      </c>
      <c r="D1730" t="s">
        <v>5094</v>
      </c>
      <c r="E1730" t="s">
        <v>5094</v>
      </c>
      <c r="H1730" t="s">
        <v>5092</v>
      </c>
    </row>
    <row r="1731" spans="2:8" x14ac:dyDescent="0.25">
      <c r="B1731" t="s">
        <v>3456</v>
      </c>
      <c r="C1731" t="s">
        <v>3457</v>
      </c>
      <c r="D1731" t="s">
        <v>3458</v>
      </c>
      <c r="E1731" t="s">
        <v>3458</v>
      </c>
      <c r="H1731" t="s">
        <v>3456</v>
      </c>
    </row>
    <row r="1732" spans="2:8" x14ac:dyDescent="0.25">
      <c r="B1732" t="s">
        <v>5095</v>
      </c>
      <c r="C1732" t="s">
        <v>5090</v>
      </c>
      <c r="D1732" t="s">
        <v>5096</v>
      </c>
      <c r="E1732" t="s">
        <v>5096</v>
      </c>
      <c r="H1732" t="s">
        <v>5095</v>
      </c>
    </row>
    <row r="1733" spans="2:8" x14ac:dyDescent="0.25">
      <c r="B1733" t="s">
        <v>5097</v>
      </c>
      <c r="C1733" t="s">
        <v>5093</v>
      </c>
      <c r="D1733" t="s">
        <v>5098</v>
      </c>
      <c r="E1733" t="s">
        <v>5098</v>
      </c>
      <c r="H1733" t="s">
        <v>5097</v>
      </c>
    </row>
    <row r="1734" spans="2:8" x14ac:dyDescent="0.25">
      <c r="B1734" t="s">
        <v>3459</v>
      </c>
      <c r="C1734" t="s">
        <v>3457</v>
      </c>
      <c r="D1734" t="s">
        <v>3460</v>
      </c>
      <c r="E1734" t="s">
        <v>3460</v>
      </c>
      <c r="H1734" t="s">
        <v>3459</v>
      </c>
    </row>
    <row r="1735" spans="2:8" x14ac:dyDescent="0.25">
      <c r="B1735" t="s">
        <v>5099</v>
      </c>
      <c r="C1735" t="s">
        <v>5090</v>
      </c>
      <c r="D1735" t="s">
        <v>5100</v>
      </c>
      <c r="E1735" t="s">
        <v>5100</v>
      </c>
      <c r="H1735" t="s">
        <v>5099</v>
      </c>
    </row>
    <row r="1736" spans="2:8" x14ac:dyDescent="0.25">
      <c r="B1736" t="s">
        <v>5101</v>
      </c>
      <c r="C1736" t="s">
        <v>5093</v>
      </c>
      <c r="D1736" t="s">
        <v>5102</v>
      </c>
      <c r="E1736" t="s">
        <v>5102</v>
      </c>
      <c r="H1736" t="s">
        <v>5101</v>
      </c>
    </row>
    <row r="1737" spans="2:8" x14ac:dyDescent="0.25">
      <c r="B1737" t="s">
        <v>3461</v>
      </c>
      <c r="C1737" t="s">
        <v>3457</v>
      </c>
      <c r="D1737" t="s">
        <v>3462</v>
      </c>
      <c r="E1737" t="s">
        <v>3462</v>
      </c>
      <c r="H1737" t="s">
        <v>3461</v>
      </c>
    </row>
    <row r="1738" spans="2:8" x14ac:dyDescent="0.25">
      <c r="B1738" t="s">
        <v>5103</v>
      </c>
      <c r="C1738" t="s">
        <v>5104</v>
      </c>
      <c r="D1738" t="s">
        <v>5105</v>
      </c>
      <c r="E1738" t="s">
        <v>5105</v>
      </c>
      <c r="H1738" t="s">
        <v>5103</v>
      </c>
    </row>
    <row r="1739" spans="2:8" x14ac:dyDescent="0.25">
      <c r="B1739" t="s">
        <v>5106</v>
      </c>
      <c r="C1739" t="s">
        <v>5107</v>
      </c>
      <c r="D1739" t="s">
        <v>5108</v>
      </c>
      <c r="E1739" t="s">
        <v>5108</v>
      </c>
      <c r="H1739" t="s">
        <v>5106</v>
      </c>
    </row>
    <row r="1740" spans="2:8" x14ac:dyDescent="0.25">
      <c r="B1740" t="s">
        <v>5109</v>
      </c>
      <c r="C1740" t="s">
        <v>5104</v>
      </c>
      <c r="D1740" t="s">
        <v>5110</v>
      </c>
      <c r="E1740" t="s">
        <v>5110</v>
      </c>
      <c r="H1740" t="s">
        <v>5109</v>
      </c>
    </row>
    <row r="1741" spans="2:8" x14ac:dyDescent="0.25">
      <c r="B1741" t="s">
        <v>5111</v>
      </c>
      <c r="C1741" t="s">
        <v>5112</v>
      </c>
      <c r="D1741" t="s">
        <v>5113</v>
      </c>
      <c r="E1741" t="s">
        <v>5113</v>
      </c>
      <c r="H1741" t="s">
        <v>5111</v>
      </c>
    </row>
    <row r="1742" spans="2:8" x14ac:dyDescent="0.25">
      <c r="B1742" t="s">
        <v>5114</v>
      </c>
      <c r="C1742" t="s">
        <v>5104</v>
      </c>
      <c r="D1742" t="s">
        <v>5115</v>
      </c>
      <c r="E1742" t="s">
        <v>5115</v>
      </c>
      <c r="H1742" t="s">
        <v>5114</v>
      </c>
    </row>
    <row r="1743" spans="2:8" x14ac:dyDescent="0.25">
      <c r="B1743" t="s">
        <v>5116</v>
      </c>
      <c r="C1743" t="s">
        <v>5107</v>
      </c>
      <c r="D1743" t="s">
        <v>5117</v>
      </c>
      <c r="E1743" t="s">
        <v>5117</v>
      </c>
      <c r="H1743" t="s">
        <v>5116</v>
      </c>
    </row>
    <row r="1744" spans="2:8" x14ac:dyDescent="0.25">
      <c r="B1744" t="s">
        <v>3466</v>
      </c>
      <c r="C1744" t="s">
        <v>3467</v>
      </c>
      <c r="D1744" t="s">
        <v>3468</v>
      </c>
      <c r="E1744" t="s">
        <v>3468</v>
      </c>
      <c r="H1744" t="s">
        <v>3466</v>
      </c>
    </row>
    <row r="1745" spans="2:8" x14ac:dyDescent="0.25">
      <c r="B1745" t="s">
        <v>3471</v>
      </c>
      <c r="C1745" t="s">
        <v>3467</v>
      </c>
      <c r="D1745" t="s">
        <v>3472</v>
      </c>
      <c r="E1745" t="s">
        <v>3472</v>
      </c>
      <c r="H1745" t="s">
        <v>3471</v>
      </c>
    </row>
    <row r="1746" spans="2:8" x14ac:dyDescent="0.25">
      <c r="B1746" t="s">
        <v>3475</v>
      </c>
      <c r="C1746" t="s">
        <v>3467</v>
      </c>
      <c r="D1746" t="s">
        <v>3476</v>
      </c>
      <c r="E1746" t="s">
        <v>3476</v>
      </c>
      <c r="H1746" t="s">
        <v>3475</v>
      </c>
    </row>
    <row r="1747" spans="2:8" x14ac:dyDescent="0.25">
      <c r="B1747" t="s">
        <v>5118</v>
      </c>
      <c r="C1747" t="s">
        <v>5119</v>
      </c>
      <c r="D1747" t="s">
        <v>5120</v>
      </c>
      <c r="E1747" t="s">
        <v>5120</v>
      </c>
      <c r="H1747" t="s">
        <v>5118</v>
      </c>
    </row>
    <row r="1748" spans="2:8" x14ac:dyDescent="0.25">
      <c r="B1748" t="s">
        <v>5121</v>
      </c>
      <c r="C1748" t="s">
        <v>5122</v>
      </c>
      <c r="D1748" t="s">
        <v>5123</v>
      </c>
      <c r="E1748" t="s">
        <v>5123</v>
      </c>
      <c r="H1748" t="s">
        <v>5121</v>
      </c>
    </row>
    <row r="1749" spans="2:8" x14ac:dyDescent="0.25">
      <c r="B1749" t="s">
        <v>5124</v>
      </c>
      <c r="C1749" t="s">
        <v>5125</v>
      </c>
      <c r="D1749" t="s">
        <v>5126</v>
      </c>
      <c r="E1749" t="s">
        <v>5126</v>
      </c>
      <c r="H1749" t="s">
        <v>5124</v>
      </c>
    </row>
    <row r="1750" spans="2:8" x14ac:dyDescent="0.25">
      <c r="B1750" t="s">
        <v>5127</v>
      </c>
      <c r="C1750" t="s">
        <v>5128</v>
      </c>
      <c r="D1750" t="s">
        <v>5129</v>
      </c>
      <c r="E1750" t="s">
        <v>5129</v>
      </c>
      <c r="H1750" t="s">
        <v>5127</v>
      </c>
    </row>
    <row r="1751" spans="2:8" x14ac:dyDescent="0.25">
      <c r="B1751" t="s">
        <v>5130</v>
      </c>
      <c r="C1751" t="s">
        <v>5131</v>
      </c>
      <c r="D1751" t="s">
        <v>5132</v>
      </c>
      <c r="E1751" t="s">
        <v>5132</v>
      </c>
      <c r="H1751" t="s">
        <v>5130</v>
      </c>
    </row>
    <row r="1752" spans="2:8" x14ac:dyDescent="0.25">
      <c r="B1752" t="s">
        <v>5133</v>
      </c>
      <c r="C1752" t="s">
        <v>5134</v>
      </c>
      <c r="D1752" t="s">
        <v>5135</v>
      </c>
      <c r="E1752" t="s">
        <v>5135</v>
      </c>
      <c r="H1752" t="s">
        <v>5133</v>
      </c>
    </row>
    <row r="1753" spans="2:8" x14ac:dyDescent="0.25">
      <c r="B1753" t="s">
        <v>5136</v>
      </c>
      <c r="C1753" t="s">
        <v>5137</v>
      </c>
      <c r="D1753" t="s">
        <v>5138</v>
      </c>
      <c r="E1753" t="s">
        <v>5138</v>
      </c>
      <c r="H1753" t="s">
        <v>5136</v>
      </c>
    </row>
    <row r="1754" spans="2:8" x14ac:dyDescent="0.25">
      <c r="B1754" t="s">
        <v>5139</v>
      </c>
      <c r="C1754" t="s">
        <v>5140</v>
      </c>
      <c r="D1754" t="s">
        <v>5141</v>
      </c>
      <c r="E1754" t="s">
        <v>5141</v>
      </c>
      <c r="H1754" t="s">
        <v>5139</v>
      </c>
    </row>
    <row r="1755" spans="2:8" x14ac:dyDescent="0.25">
      <c r="B1755" t="s">
        <v>5142</v>
      </c>
      <c r="C1755" t="s">
        <v>5143</v>
      </c>
      <c r="D1755" t="s">
        <v>5144</v>
      </c>
      <c r="E1755" t="s">
        <v>5144</v>
      </c>
      <c r="H1755" t="s">
        <v>5142</v>
      </c>
    </row>
    <row r="1756" spans="2:8" x14ac:dyDescent="0.25">
      <c r="B1756" t="s">
        <v>5145</v>
      </c>
      <c r="C1756" t="s">
        <v>5146</v>
      </c>
      <c r="D1756" t="s">
        <v>5147</v>
      </c>
      <c r="E1756" t="s">
        <v>5147</v>
      </c>
      <c r="H1756" t="s">
        <v>5145</v>
      </c>
    </row>
    <row r="1757" spans="2:8" x14ac:dyDescent="0.25">
      <c r="B1757" t="s">
        <v>5148</v>
      </c>
      <c r="C1757" t="s">
        <v>5149</v>
      </c>
      <c r="D1757" t="s">
        <v>5150</v>
      </c>
      <c r="E1757" t="s">
        <v>5150</v>
      </c>
      <c r="H1757" t="s">
        <v>5148</v>
      </c>
    </row>
    <row r="1758" spans="2:8" x14ac:dyDescent="0.25">
      <c r="B1758" t="s">
        <v>5151</v>
      </c>
      <c r="C1758" t="s">
        <v>5152</v>
      </c>
      <c r="D1758" t="s">
        <v>5153</v>
      </c>
      <c r="E1758" t="s">
        <v>5153</v>
      </c>
      <c r="H1758" t="s">
        <v>5151</v>
      </c>
    </row>
    <row r="1759" spans="2:8" x14ac:dyDescent="0.25">
      <c r="B1759" t="s">
        <v>5154</v>
      </c>
      <c r="C1759" t="s">
        <v>5155</v>
      </c>
      <c r="D1759" t="s">
        <v>5156</v>
      </c>
      <c r="E1759" t="s">
        <v>5156</v>
      </c>
      <c r="H1759" t="s">
        <v>5154</v>
      </c>
    </row>
    <row r="1760" spans="2:8" x14ac:dyDescent="0.25">
      <c r="B1760" t="s">
        <v>5157</v>
      </c>
      <c r="C1760" t="s">
        <v>5158</v>
      </c>
      <c r="D1760" t="s">
        <v>5159</v>
      </c>
      <c r="E1760" t="s">
        <v>5159</v>
      </c>
      <c r="H1760" t="s">
        <v>5157</v>
      </c>
    </row>
    <row r="1761" spans="2:8" x14ac:dyDescent="0.25">
      <c r="B1761" t="s">
        <v>5160</v>
      </c>
      <c r="C1761" t="s">
        <v>5161</v>
      </c>
      <c r="D1761" t="s">
        <v>5162</v>
      </c>
      <c r="E1761" t="s">
        <v>5162</v>
      </c>
      <c r="H1761" t="s">
        <v>5160</v>
      </c>
    </row>
    <row r="1762" spans="2:8" x14ac:dyDescent="0.25">
      <c r="B1762" t="s">
        <v>5163</v>
      </c>
      <c r="C1762" t="s">
        <v>5164</v>
      </c>
      <c r="D1762" t="s">
        <v>5165</v>
      </c>
      <c r="E1762" t="s">
        <v>5165</v>
      </c>
      <c r="H1762" t="s">
        <v>5163</v>
      </c>
    </row>
    <row r="1763" spans="2:8" x14ac:dyDescent="0.25">
      <c r="B1763" t="s">
        <v>5166</v>
      </c>
      <c r="C1763" t="s">
        <v>5167</v>
      </c>
      <c r="D1763" t="s">
        <v>5168</v>
      </c>
      <c r="E1763" t="s">
        <v>5168</v>
      </c>
      <c r="H1763" t="s">
        <v>5166</v>
      </c>
    </row>
    <row r="1764" spans="2:8" x14ac:dyDescent="0.25">
      <c r="B1764" t="s">
        <v>5169</v>
      </c>
      <c r="C1764" t="s">
        <v>5170</v>
      </c>
      <c r="D1764" t="s">
        <v>5171</v>
      </c>
      <c r="E1764" t="s">
        <v>5171</v>
      </c>
      <c r="H1764" t="s">
        <v>5169</v>
      </c>
    </row>
    <row r="1765" spans="2:8" x14ac:dyDescent="0.25">
      <c r="B1765" t="s">
        <v>5172</v>
      </c>
      <c r="C1765" t="s">
        <v>5173</v>
      </c>
      <c r="D1765" t="s">
        <v>5174</v>
      </c>
      <c r="E1765" t="s">
        <v>5174</v>
      </c>
      <c r="H1765" t="s">
        <v>5172</v>
      </c>
    </row>
    <row r="1766" spans="2:8" x14ac:dyDescent="0.25">
      <c r="B1766" t="s">
        <v>5175</v>
      </c>
      <c r="C1766" t="s">
        <v>5176</v>
      </c>
      <c r="D1766" t="s">
        <v>5177</v>
      </c>
      <c r="E1766" t="s">
        <v>5177</v>
      </c>
      <c r="H1766" t="s">
        <v>5175</v>
      </c>
    </row>
    <row r="1767" spans="2:8" x14ac:dyDescent="0.25">
      <c r="B1767" t="s">
        <v>5178</v>
      </c>
      <c r="C1767" t="s">
        <v>5179</v>
      </c>
      <c r="D1767" t="s">
        <v>5180</v>
      </c>
      <c r="E1767" t="s">
        <v>5180</v>
      </c>
      <c r="H1767" t="s">
        <v>5178</v>
      </c>
    </row>
    <row r="1768" spans="2:8" x14ac:dyDescent="0.25">
      <c r="B1768" t="s">
        <v>5181</v>
      </c>
      <c r="C1768" t="s">
        <v>5182</v>
      </c>
      <c r="D1768" t="s">
        <v>5183</v>
      </c>
      <c r="E1768" t="s">
        <v>5183</v>
      </c>
      <c r="H1768" t="s">
        <v>5181</v>
      </c>
    </row>
    <row r="1769" spans="2:8" x14ac:dyDescent="0.25">
      <c r="B1769" t="s">
        <v>5199</v>
      </c>
      <c r="C1769" t="s">
        <v>5200</v>
      </c>
      <c r="D1769" t="s">
        <v>5201</v>
      </c>
      <c r="E1769" t="s">
        <v>5201</v>
      </c>
      <c r="H1769" t="s">
        <v>5199</v>
      </c>
    </row>
    <row r="1770" spans="2:8" x14ac:dyDescent="0.25">
      <c r="B1770" t="s">
        <v>5202</v>
      </c>
      <c r="C1770" t="s">
        <v>5203</v>
      </c>
      <c r="D1770" t="s">
        <v>5204</v>
      </c>
      <c r="E1770" t="s">
        <v>5204</v>
      </c>
      <c r="H1770" t="s">
        <v>5202</v>
      </c>
    </row>
    <row r="1771" spans="2:8" x14ac:dyDescent="0.25">
      <c r="B1771" t="s">
        <v>5205</v>
      </c>
      <c r="C1771" t="s">
        <v>5206</v>
      </c>
      <c r="D1771" t="s">
        <v>5207</v>
      </c>
      <c r="E1771" t="s">
        <v>5207</v>
      </c>
      <c r="H1771" t="s">
        <v>5205</v>
      </c>
    </row>
    <row r="1772" spans="2:8" x14ac:dyDescent="0.25">
      <c r="B1772" t="s">
        <v>5208</v>
      </c>
      <c r="C1772" t="s">
        <v>5209</v>
      </c>
      <c r="D1772" t="s">
        <v>5210</v>
      </c>
      <c r="E1772" t="s">
        <v>5210</v>
      </c>
      <c r="H1772" t="s">
        <v>5208</v>
      </c>
    </row>
    <row r="1773" spans="2:8" x14ac:dyDescent="0.25">
      <c r="B1773" t="s">
        <v>5211</v>
      </c>
      <c r="C1773" t="s">
        <v>5212</v>
      </c>
      <c r="D1773" t="s">
        <v>5213</v>
      </c>
      <c r="E1773" t="s">
        <v>5213</v>
      </c>
      <c r="H1773" t="s">
        <v>5211</v>
      </c>
    </row>
    <row r="1774" spans="2:8" x14ac:dyDescent="0.25">
      <c r="B1774" t="s">
        <v>5214</v>
      </c>
      <c r="C1774" t="s">
        <v>5215</v>
      </c>
      <c r="D1774" t="s">
        <v>5216</v>
      </c>
      <c r="E1774" t="s">
        <v>5216</v>
      </c>
      <c r="H1774" t="s">
        <v>5214</v>
      </c>
    </row>
    <row r="1775" spans="2:8" x14ac:dyDescent="0.25">
      <c r="B1775" t="s">
        <v>5217</v>
      </c>
      <c r="C1775" t="s">
        <v>5218</v>
      </c>
      <c r="D1775" t="s">
        <v>5219</v>
      </c>
      <c r="E1775" t="s">
        <v>5219</v>
      </c>
      <c r="H1775" t="s">
        <v>5217</v>
      </c>
    </row>
    <row r="1776" spans="2:8" x14ac:dyDescent="0.25">
      <c r="B1776" t="s">
        <v>5220</v>
      </c>
      <c r="C1776" t="s">
        <v>5221</v>
      </c>
      <c r="D1776" t="s">
        <v>5222</v>
      </c>
      <c r="E1776" t="s">
        <v>5222</v>
      </c>
      <c r="H1776" t="s">
        <v>5220</v>
      </c>
    </row>
    <row r="1777" spans="2:8" x14ac:dyDescent="0.25">
      <c r="B1777" t="s">
        <v>5223</v>
      </c>
      <c r="C1777" t="s">
        <v>5224</v>
      </c>
      <c r="D1777" t="s">
        <v>5225</v>
      </c>
      <c r="E1777" t="s">
        <v>5225</v>
      </c>
      <c r="H1777" t="s">
        <v>5223</v>
      </c>
    </row>
    <row r="1778" spans="2:8" x14ac:dyDescent="0.25">
      <c r="B1778" t="s">
        <v>5226</v>
      </c>
      <c r="C1778" t="s">
        <v>5227</v>
      </c>
      <c r="D1778" t="s">
        <v>5228</v>
      </c>
      <c r="E1778" t="s">
        <v>5228</v>
      </c>
      <c r="H1778" t="s">
        <v>5226</v>
      </c>
    </row>
    <row r="1779" spans="2:8" x14ac:dyDescent="0.25">
      <c r="B1779" t="s">
        <v>5229</v>
      </c>
      <c r="C1779" t="s">
        <v>5230</v>
      </c>
      <c r="D1779" t="s">
        <v>5231</v>
      </c>
      <c r="E1779" t="s">
        <v>5231</v>
      </c>
      <c r="H1779" t="s">
        <v>5229</v>
      </c>
    </row>
    <row r="1780" spans="2:8" x14ac:dyDescent="0.25">
      <c r="B1780" t="s">
        <v>5232</v>
      </c>
      <c r="C1780" t="s">
        <v>5233</v>
      </c>
      <c r="D1780" t="s">
        <v>5234</v>
      </c>
      <c r="E1780" t="s">
        <v>5234</v>
      </c>
      <c r="H1780" t="s">
        <v>5232</v>
      </c>
    </row>
    <row r="1781" spans="2:8" x14ac:dyDescent="0.25">
      <c r="B1781" t="s">
        <v>5235</v>
      </c>
      <c r="C1781" t="s">
        <v>5236</v>
      </c>
      <c r="D1781" t="s">
        <v>5237</v>
      </c>
      <c r="E1781" t="s">
        <v>5237</v>
      </c>
      <c r="H1781" t="s">
        <v>5235</v>
      </c>
    </row>
    <row r="1782" spans="2:8" x14ac:dyDescent="0.25">
      <c r="B1782" t="s">
        <v>5238</v>
      </c>
      <c r="C1782" t="s">
        <v>5239</v>
      </c>
      <c r="D1782" t="s">
        <v>5240</v>
      </c>
      <c r="E1782" t="s">
        <v>5240</v>
      </c>
      <c r="H1782" t="s">
        <v>5238</v>
      </c>
    </row>
    <row r="1783" spans="2:8" x14ac:dyDescent="0.25">
      <c r="B1783" t="s">
        <v>5241</v>
      </c>
      <c r="C1783" t="s">
        <v>5242</v>
      </c>
      <c r="D1783" t="s">
        <v>5243</v>
      </c>
      <c r="E1783" t="s">
        <v>5243</v>
      </c>
      <c r="H1783" t="s">
        <v>5241</v>
      </c>
    </row>
    <row r="1784" spans="2:8" x14ac:dyDescent="0.25">
      <c r="B1784" t="s">
        <v>5244</v>
      </c>
      <c r="C1784" t="s">
        <v>5245</v>
      </c>
      <c r="D1784" t="s">
        <v>5246</v>
      </c>
      <c r="E1784" t="s">
        <v>5246</v>
      </c>
      <c r="H1784" t="s">
        <v>5244</v>
      </c>
    </row>
    <row r="1785" spans="2:8" x14ac:dyDescent="0.25">
      <c r="B1785" t="s">
        <v>5247</v>
      </c>
      <c r="C1785" t="s">
        <v>5248</v>
      </c>
      <c r="D1785" t="s">
        <v>5249</v>
      </c>
      <c r="E1785" t="s">
        <v>5249</v>
      </c>
      <c r="H1785" t="s">
        <v>5247</v>
      </c>
    </row>
    <row r="1786" spans="2:8" x14ac:dyDescent="0.25">
      <c r="B1786" t="s">
        <v>5250</v>
      </c>
      <c r="C1786" t="s">
        <v>5251</v>
      </c>
      <c r="D1786" t="s">
        <v>5252</v>
      </c>
      <c r="E1786" t="s">
        <v>5252</v>
      </c>
      <c r="H1786" t="s">
        <v>5250</v>
      </c>
    </row>
    <row r="1787" spans="2:8" x14ac:dyDescent="0.25">
      <c r="B1787" t="s">
        <v>5253</v>
      </c>
      <c r="C1787" t="s">
        <v>5254</v>
      </c>
      <c r="D1787" t="s">
        <v>5255</v>
      </c>
      <c r="E1787" t="s">
        <v>5255</v>
      </c>
      <c r="H1787" t="s">
        <v>5253</v>
      </c>
    </row>
    <row r="1788" spans="2:8" x14ac:dyDescent="0.25">
      <c r="B1788" t="s">
        <v>5256</v>
      </c>
      <c r="C1788" t="s">
        <v>5257</v>
      </c>
      <c r="D1788" t="s">
        <v>5258</v>
      </c>
      <c r="E1788" t="s">
        <v>5258</v>
      </c>
      <c r="H1788" t="s">
        <v>5256</v>
      </c>
    </row>
    <row r="1789" spans="2:8" x14ac:dyDescent="0.25">
      <c r="B1789" t="s">
        <v>5259</v>
      </c>
      <c r="C1789" t="s">
        <v>5260</v>
      </c>
      <c r="D1789" t="s">
        <v>5261</v>
      </c>
      <c r="E1789" t="s">
        <v>5261</v>
      </c>
      <c r="H1789" t="s">
        <v>5259</v>
      </c>
    </row>
    <row r="1790" spans="2:8" x14ac:dyDescent="0.25">
      <c r="B1790" t="s">
        <v>5262</v>
      </c>
      <c r="C1790" t="s">
        <v>5263</v>
      </c>
      <c r="D1790" t="s">
        <v>5264</v>
      </c>
      <c r="E1790" t="s">
        <v>5264</v>
      </c>
      <c r="H1790" t="s">
        <v>5262</v>
      </c>
    </row>
    <row r="1791" spans="2:8" x14ac:dyDescent="0.25">
      <c r="B1791" t="s">
        <v>5265</v>
      </c>
      <c r="C1791" t="s">
        <v>5266</v>
      </c>
      <c r="D1791" t="s">
        <v>5267</v>
      </c>
      <c r="E1791" t="s">
        <v>5267</v>
      </c>
      <c r="H1791" t="s">
        <v>5265</v>
      </c>
    </row>
    <row r="1792" spans="2:8" x14ac:dyDescent="0.25">
      <c r="B1792" t="s">
        <v>5268</v>
      </c>
      <c r="C1792" t="s">
        <v>5269</v>
      </c>
      <c r="D1792" t="s">
        <v>5270</v>
      </c>
      <c r="E1792" t="s">
        <v>5270</v>
      </c>
      <c r="H1792" t="s">
        <v>5268</v>
      </c>
    </row>
    <row r="1793" spans="2:8" x14ac:dyDescent="0.25">
      <c r="B1793" t="s">
        <v>5271</v>
      </c>
      <c r="C1793" t="s">
        <v>5272</v>
      </c>
      <c r="D1793" t="s">
        <v>5273</v>
      </c>
      <c r="E1793" t="s">
        <v>5273</v>
      </c>
      <c r="H1793" t="s">
        <v>5271</v>
      </c>
    </row>
    <row r="1794" spans="2:8" x14ac:dyDescent="0.25">
      <c r="B1794" t="s">
        <v>5274</v>
      </c>
      <c r="C1794" t="s">
        <v>5275</v>
      </c>
      <c r="D1794" t="s">
        <v>5276</v>
      </c>
      <c r="E1794" t="s">
        <v>5276</v>
      </c>
      <c r="H1794" t="s">
        <v>5274</v>
      </c>
    </row>
    <row r="1795" spans="2:8" x14ac:dyDescent="0.25">
      <c r="B1795" t="s">
        <v>5277</v>
      </c>
      <c r="C1795" t="s">
        <v>5278</v>
      </c>
      <c r="D1795" t="s">
        <v>5279</v>
      </c>
      <c r="E1795" t="s">
        <v>5279</v>
      </c>
      <c r="H1795" t="s">
        <v>5277</v>
      </c>
    </row>
    <row r="1796" spans="2:8" x14ac:dyDescent="0.25">
      <c r="B1796" t="s">
        <v>5280</v>
      </c>
      <c r="C1796" t="s">
        <v>5281</v>
      </c>
      <c r="D1796" t="s">
        <v>5282</v>
      </c>
      <c r="E1796" t="s">
        <v>5282</v>
      </c>
      <c r="H1796" t="s">
        <v>5280</v>
      </c>
    </row>
    <row r="1797" spans="2:8" x14ac:dyDescent="0.25">
      <c r="B1797" t="s">
        <v>5283</v>
      </c>
      <c r="C1797" t="s">
        <v>5284</v>
      </c>
      <c r="D1797" t="s">
        <v>5285</v>
      </c>
      <c r="E1797" t="s">
        <v>5285</v>
      </c>
      <c r="H1797" t="s">
        <v>5283</v>
      </c>
    </row>
    <row r="1798" spans="2:8" x14ac:dyDescent="0.25">
      <c r="B1798" t="s">
        <v>5286</v>
      </c>
      <c r="C1798" t="s">
        <v>5287</v>
      </c>
      <c r="D1798" t="s">
        <v>5288</v>
      </c>
      <c r="E1798" t="s">
        <v>5288</v>
      </c>
      <c r="H1798" t="s">
        <v>5286</v>
      </c>
    </row>
    <row r="1799" spans="2:8" x14ac:dyDescent="0.25">
      <c r="B1799" t="s">
        <v>5289</v>
      </c>
      <c r="C1799" t="s">
        <v>5290</v>
      </c>
      <c r="D1799" t="s">
        <v>5291</v>
      </c>
      <c r="E1799" t="s">
        <v>5291</v>
      </c>
      <c r="H1799" t="s">
        <v>5289</v>
      </c>
    </row>
    <row r="1800" spans="2:8" x14ac:dyDescent="0.25">
      <c r="B1800" t="s">
        <v>5292</v>
      </c>
      <c r="C1800" t="s">
        <v>5293</v>
      </c>
      <c r="D1800" t="s">
        <v>5294</v>
      </c>
      <c r="E1800" t="s">
        <v>5294</v>
      </c>
      <c r="H1800" t="s">
        <v>5292</v>
      </c>
    </row>
    <row r="1801" spans="2:8" x14ac:dyDescent="0.25">
      <c r="B1801" t="s">
        <v>5295</v>
      </c>
      <c r="C1801" t="s">
        <v>5296</v>
      </c>
      <c r="D1801" t="s">
        <v>5297</v>
      </c>
      <c r="E1801" t="s">
        <v>5297</v>
      </c>
      <c r="H1801" t="s">
        <v>5295</v>
      </c>
    </row>
    <row r="1802" spans="2:8" x14ac:dyDescent="0.25">
      <c r="B1802" t="s">
        <v>5298</v>
      </c>
      <c r="C1802" t="s">
        <v>5299</v>
      </c>
      <c r="D1802" t="s">
        <v>5300</v>
      </c>
      <c r="E1802" t="s">
        <v>5300</v>
      </c>
      <c r="H1802" t="s">
        <v>5298</v>
      </c>
    </row>
    <row r="1803" spans="2:8" x14ac:dyDescent="0.25">
      <c r="B1803" t="s">
        <v>5301</v>
      </c>
      <c r="C1803" t="s">
        <v>5302</v>
      </c>
      <c r="D1803" t="s">
        <v>5303</v>
      </c>
      <c r="E1803" t="s">
        <v>5303</v>
      </c>
      <c r="H1803" t="s">
        <v>5301</v>
      </c>
    </row>
    <row r="1804" spans="2:8" x14ac:dyDescent="0.25">
      <c r="B1804" t="s">
        <v>5304</v>
      </c>
      <c r="C1804" t="s">
        <v>5305</v>
      </c>
      <c r="D1804" t="s">
        <v>5306</v>
      </c>
      <c r="E1804" t="s">
        <v>5306</v>
      </c>
      <c r="H1804" t="s">
        <v>5304</v>
      </c>
    </row>
    <row r="1805" spans="2:8" x14ac:dyDescent="0.25">
      <c r="B1805" t="s">
        <v>5307</v>
      </c>
      <c r="C1805" t="s">
        <v>5308</v>
      </c>
      <c r="D1805" t="s">
        <v>5309</v>
      </c>
      <c r="E1805" t="s">
        <v>5309</v>
      </c>
      <c r="H1805" t="s">
        <v>5307</v>
      </c>
    </row>
    <row r="1806" spans="2:8" x14ac:dyDescent="0.25">
      <c r="B1806" t="s">
        <v>5310</v>
      </c>
      <c r="C1806" t="s">
        <v>5311</v>
      </c>
      <c r="D1806" t="s">
        <v>5312</v>
      </c>
      <c r="E1806" t="s">
        <v>5312</v>
      </c>
      <c r="H1806" t="s">
        <v>5310</v>
      </c>
    </row>
    <row r="1807" spans="2:8" x14ac:dyDescent="0.25">
      <c r="B1807" t="s">
        <v>5313</v>
      </c>
      <c r="C1807" t="s">
        <v>2671</v>
      </c>
      <c r="D1807" t="s">
        <v>5314</v>
      </c>
      <c r="E1807" t="s">
        <v>5314</v>
      </c>
      <c r="H1807" t="s">
        <v>5313</v>
      </c>
    </row>
    <row r="1808" spans="2:8" x14ac:dyDescent="0.25">
      <c r="B1808" t="s">
        <v>5315</v>
      </c>
      <c r="C1808" t="s">
        <v>2678</v>
      </c>
      <c r="D1808" t="s">
        <v>5316</v>
      </c>
      <c r="E1808" t="s">
        <v>5316</v>
      </c>
      <c r="H1808" t="s">
        <v>5315</v>
      </c>
    </row>
    <row r="1809" spans="2:8" x14ac:dyDescent="0.25">
      <c r="B1809" t="s">
        <v>5317</v>
      </c>
      <c r="C1809" t="s">
        <v>2685</v>
      </c>
      <c r="D1809" t="s">
        <v>5318</v>
      </c>
      <c r="E1809" t="s">
        <v>5318</v>
      </c>
      <c r="H1809" t="s">
        <v>5317</v>
      </c>
    </row>
    <row r="1810" spans="2:8" x14ac:dyDescent="0.25">
      <c r="B1810" t="s">
        <v>5322</v>
      </c>
      <c r="C1810" t="s">
        <v>3478</v>
      </c>
      <c r="D1810" t="s">
        <v>5323</v>
      </c>
      <c r="E1810" t="s">
        <v>5323</v>
      </c>
      <c r="H1810" t="s">
        <v>5322</v>
      </c>
    </row>
    <row r="1811" spans="2:8" x14ac:dyDescent="0.25">
      <c r="B1811" t="s">
        <v>5324</v>
      </c>
      <c r="C1811" t="s">
        <v>3478</v>
      </c>
      <c r="D1811" t="s">
        <v>5325</v>
      </c>
      <c r="E1811" t="s">
        <v>5325</v>
      </c>
      <c r="H1811" t="s">
        <v>5324</v>
      </c>
    </row>
    <row r="1812" spans="2:8" x14ac:dyDescent="0.25">
      <c r="B1812" t="s">
        <v>5326</v>
      </c>
      <c r="C1812" t="s">
        <v>3481</v>
      </c>
      <c r="D1812" t="s">
        <v>5327</v>
      </c>
      <c r="E1812" t="s">
        <v>5327</v>
      </c>
      <c r="H1812" t="s">
        <v>5326</v>
      </c>
    </row>
    <row r="1813" spans="2:8" x14ac:dyDescent="0.25">
      <c r="B1813" t="s">
        <v>5328</v>
      </c>
      <c r="C1813" t="s">
        <v>5329</v>
      </c>
      <c r="D1813" t="s">
        <v>5330</v>
      </c>
      <c r="E1813" t="s">
        <v>5330</v>
      </c>
      <c r="H1813" t="s">
        <v>5328</v>
      </c>
    </row>
    <row r="1814" spans="2:8" x14ac:dyDescent="0.25">
      <c r="B1814" t="s">
        <v>5331</v>
      </c>
      <c r="C1814" t="s">
        <v>5332</v>
      </c>
      <c r="D1814" t="s">
        <v>5333</v>
      </c>
      <c r="E1814" t="s">
        <v>5333</v>
      </c>
      <c r="H1814" t="s">
        <v>5331</v>
      </c>
    </row>
    <row r="1815" spans="2:8" x14ac:dyDescent="0.25">
      <c r="B1815" t="s">
        <v>5334</v>
      </c>
      <c r="C1815" t="s">
        <v>5335</v>
      </c>
      <c r="D1815" t="s">
        <v>5336</v>
      </c>
      <c r="E1815" t="s">
        <v>5336</v>
      </c>
      <c r="H1815" t="s">
        <v>5334</v>
      </c>
    </row>
    <row r="1816" spans="2:8" x14ac:dyDescent="0.25">
      <c r="B1816" t="s">
        <v>5337</v>
      </c>
      <c r="C1816" t="s">
        <v>5335</v>
      </c>
      <c r="D1816" t="s">
        <v>5338</v>
      </c>
      <c r="E1816" t="s">
        <v>5338</v>
      </c>
      <c r="H1816" t="s">
        <v>5337</v>
      </c>
    </row>
    <row r="1817" spans="2:8" x14ac:dyDescent="0.25">
      <c r="B1817" t="s">
        <v>5339</v>
      </c>
      <c r="C1817" t="s">
        <v>5340</v>
      </c>
      <c r="D1817" t="s">
        <v>5341</v>
      </c>
      <c r="E1817" t="s">
        <v>5341</v>
      </c>
      <c r="H1817" t="s">
        <v>5339</v>
      </c>
    </row>
    <row r="1818" spans="2:8" x14ac:dyDescent="0.25">
      <c r="B1818" t="s">
        <v>5342</v>
      </c>
      <c r="C1818" t="s">
        <v>5340</v>
      </c>
      <c r="D1818" t="s">
        <v>5343</v>
      </c>
      <c r="E1818" t="s">
        <v>5343</v>
      </c>
      <c r="H1818" t="s">
        <v>5342</v>
      </c>
    </row>
    <row r="1819" spans="2:8" x14ac:dyDescent="0.25">
      <c r="B1819" t="s">
        <v>5344</v>
      </c>
      <c r="C1819" t="s">
        <v>5345</v>
      </c>
      <c r="D1819" t="s">
        <v>5346</v>
      </c>
      <c r="E1819" t="s">
        <v>5346</v>
      </c>
      <c r="H1819" t="s">
        <v>5344</v>
      </c>
    </row>
    <row r="1820" spans="2:8" x14ac:dyDescent="0.25">
      <c r="B1820" t="s">
        <v>5347</v>
      </c>
      <c r="C1820" t="s">
        <v>5348</v>
      </c>
      <c r="D1820" t="s">
        <v>5349</v>
      </c>
      <c r="E1820" t="s">
        <v>5349</v>
      </c>
      <c r="H1820" t="s">
        <v>5347</v>
      </c>
    </row>
    <row r="1821" spans="2:8" x14ac:dyDescent="0.25">
      <c r="B1821" t="s">
        <v>5350</v>
      </c>
      <c r="C1821" t="s">
        <v>4138</v>
      </c>
      <c r="D1821" t="s">
        <v>5351</v>
      </c>
      <c r="E1821" t="s">
        <v>5351</v>
      </c>
      <c r="H1821" t="s">
        <v>5350</v>
      </c>
    </row>
    <row r="1822" spans="2:8" x14ac:dyDescent="0.25">
      <c r="B1822" t="s">
        <v>5352</v>
      </c>
      <c r="C1822" t="s">
        <v>4138</v>
      </c>
      <c r="D1822" t="s">
        <v>5353</v>
      </c>
      <c r="E1822" t="s">
        <v>5353</v>
      </c>
      <c r="H1822" t="s">
        <v>5352</v>
      </c>
    </row>
    <row r="1823" spans="2:8" x14ac:dyDescent="0.25">
      <c r="B1823" t="s">
        <v>5369</v>
      </c>
      <c r="C1823" t="s">
        <v>5370</v>
      </c>
      <c r="D1823" t="s">
        <v>5371</v>
      </c>
      <c r="E1823" t="s">
        <v>5371</v>
      </c>
      <c r="H1823" t="s">
        <v>5369</v>
      </c>
    </row>
    <row r="1824" spans="2:8" x14ac:dyDescent="0.25">
      <c r="B1824" t="s">
        <v>5375</v>
      </c>
      <c r="C1824" t="s">
        <v>5376</v>
      </c>
      <c r="D1824" t="s">
        <v>5377</v>
      </c>
      <c r="E1824" t="s">
        <v>5377</v>
      </c>
      <c r="H1824" t="s">
        <v>5375</v>
      </c>
    </row>
    <row r="1825" spans="2:8" x14ac:dyDescent="0.25">
      <c r="B1825" t="s">
        <v>5378</v>
      </c>
      <c r="C1825" t="s">
        <v>5379</v>
      </c>
      <c r="D1825" t="s">
        <v>5380</v>
      </c>
      <c r="E1825" t="s">
        <v>5380</v>
      </c>
      <c r="H1825" t="s">
        <v>5378</v>
      </c>
    </row>
    <row r="1826" spans="2:8" x14ac:dyDescent="0.25">
      <c r="B1826" t="s">
        <v>5381</v>
      </c>
      <c r="C1826" t="s">
        <v>5382</v>
      </c>
      <c r="D1826" t="s">
        <v>5383</v>
      </c>
      <c r="E1826" t="s">
        <v>5383</v>
      </c>
      <c r="H1826" t="s">
        <v>5381</v>
      </c>
    </row>
    <row r="1827" spans="2:8" x14ac:dyDescent="0.25">
      <c r="B1827" t="s">
        <v>5399</v>
      </c>
      <c r="C1827" t="s">
        <v>5400</v>
      </c>
      <c r="D1827" t="s">
        <v>5401</v>
      </c>
      <c r="E1827" t="s">
        <v>5401</v>
      </c>
      <c r="H1827" t="s">
        <v>5399</v>
      </c>
    </row>
    <row r="1828" spans="2:8" x14ac:dyDescent="0.25">
      <c r="B1828" t="s">
        <v>5402</v>
      </c>
      <c r="C1828" t="s">
        <v>5400</v>
      </c>
      <c r="D1828" t="s">
        <v>5403</v>
      </c>
      <c r="E1828" t="s">
        <v>5403</v>
      </c>
      <c r="H1828" t="s">
        <v>5402</v>
      </c>
    </row>
    <row r="1829" spans="2:8" x14ac:dyDescent="0.25">
      <c r="B1829" t="s">
        <v>5404</v>
      </c>
      <c r="C1829" t="s">
        <v>5400</v>
      </c>
      <c r="D1829" t="s">
        <v>5405</v>
      </c>
      <c r="E1829" t="s">
        <v>5405</v>
      </c>
      <c r="H1829" t="s">
        <v>5404</v>
      </c>
    </row>
    <row r="1830" spans="2:8" x14ac:dyDescent="0.25">
      <c r="B1830" t="s">
        <v>5406</v>
      </c>
      <c r="C1830" t="s">
        <v>5407</v>
      </c>
      <c r="D1830" t="s">
        <v>5408</v>
      </c>
      <c r="E1830" t="s">
        <v>5408</v>
      </c>
      <c r="H1830" t="s">
        <v>5406</v>
      </c>
    </row>
    <row r="1831" spans="2:8" x14ac:dyDescent="0.25">
      <c r="B1831" t="s">
        <v>5409</v>
      </c>
      <c r="C1831" t="s">
        <v>5407</v>
      </c>
      <c r="D1831" t="s">
        <v>5410</v>
      </c>
      <c r="E1831" t="s">
        <v>5410</v>
      </c>
      <c r="H1831" t="s">
        <v>5409</v>
      </c>
    </row>
    <row r="1832" spans="2:8" x14ac:dyDescent="0.25">
      <c r="B1832" t="s">
        <v>5411</v>
      </c>
      <c r="C1832" t="s">
        <v>5407</v>
      </c>
      <c r="D1832" t="s">
        <v>5412</v>
      </c>
      <c r="E1832" t="s">
        <v>5412</v>
      </c>
      <c r="H1832" t="s">
        <v>5411</v>
      </c>
    </row>
    <row r="1833" spans="2:8" x14ac:dyDescent="0.25">
      <c r="B1833" t="s">
        <v>3488</v>
      </c>
      <c r="C1833" t="s">
        <v>3489</v>
      </c>
      <c r="D1833" t="s">
        <v>3490</v>
      </c>
      <c r="E1833" t="s">
        <v>3490</v>
      </c>
      <c r="H1833" t="s">
        <v>3488</v>
      </c>
    </row>
    <row r="1834" spans="2:8" x14ac:dyDescent="0.25">
      <c r="B1834" t="s">
        <v>3491</v>
      </c>
      <c r="C1834" t="s">
        <v>3489</v>
      </c>
      <c r="D1834" t="s">
        <v>3492</v>
      </c>
      <c r="E1834" t="s">
        <v>3492</v>
      </c>
      <c r="H1834" t="s">
        <v>3491</v>
      </c>
    </row>
    <row r="1835" spans="2:8" x14ac:dyDescent="0.25">
      <c r="B1835" t="s">
        <v>5413</v>
      </c>
      <c r="C1835" t="s">
        <v>5414</v>
      </c>
      <c r="D1835" t="s">
        <v>5415</v>
      </c>
      <c r="E1835" t="s">
        <v>5415</v>
      </c>
      <c r="H1835" t="s">
        <v>5413</v>
      </c>
    </row>
    <row r="1836" spans="2:8" x14ac:dyDescent="0.25">
      <c r="B1836" t="s">
        <v>5416</v>
      </c>
      <c r="C1836" t="s">
        <v>5414</v>
      </c>
      <c r="D1836" t="s">
        <v>5417</v>
      </c>
      <c r="E1836" t="s">
        <v>5417</v>
      </c>
      <c r="H1836" t="s">
        <v>5416</v>
      </c>
    </row>
    <row r="1837" spans="2:8" x14ac:dyDescent="0.25">
      <c r="B1837" t="s">
        <v>5418</v>
      </c>
      <c r="C1837" t="s">
        <v>5419</v>
      </c>
      <c r="D1837" t="s">
        <v>5420</v>
      </c>
      <c r="E1837" t="s">
        <v>5420</v>
      </c>
      <c r="H1837" t="s">
        <v>5418</v>
      </c>
    </row>
    <row r="1838" spans="2:8" x14ac:dyDescent="0.25">
      <c r="B1838" t="s">
        <v>5421</v>
      </c>
      <c r="C1838" t="s">
        <v>5419</v>
      </c>
      <c r="D1838" t="s">
        <v>5422</v>
      </c>
      <c r="E1838" t="s">
        <v>5422</v>
      </c>
      <c r="H1838" t="s">
        <v>5421</v>
      </c>
    </row>
    <row r="1839" spans="2:8" x14ac:dyDescent="0.25">
      <c r="B1839" t="s">
        <v>5423</v>
      </c>
      <c r="C1839" t="s">
        <v>5424</v>
      </c>
      <c r="D1839" t="s">
        <v>5425</v>
      </c>
      <c r="E1839" t="s">
        <v>5425</v>
      </c>
      <c r="H1839" t="s">
        <v>5423</v>
      </c>
    </row>
    <row r="1840" spans="2:8" x14ac:dyDescent="0.25">
      <c r="B1840" t="s">
        <v>5426</v>
      </c>
      <c r="C1840" t="s">
        <v>5424</v>
      </c>
      <c r="D1840" t="s">
        <v>5427</v>
      </c>
      <c r="E1840" t="s">
        <v>5427</v>
      </c>
      <c r="H1840" t="s">
        <v>5426</v>
      </c>
    </row>
    <row r="1841" spans="2:8" x14ac:dyDescent="0.25">
      <c r="B1841" t="s">
        <v>5428</v>
      </c>
      <c r="C1841" t="s">
        <v>5429</v>
      </c>
      <c r="D1841" t="s">
        <v>5430</v>
      </c>
      <c r="E1841" t="s">
        <v>5430</v>
      </c>
      <c r="H1841" t="s">
        <v>5428</v>
      </c>
    </row>
    <row r="1842" spans="2:8" x14ac:dyDescent="0.25">
      <c r="B1842" t="s">
        <v>5431</v>
      </c>
      <c r="C1842" t="s">
        <v>5429</v>
      </c>
      <c r="D1842" t="s">
        <v>5432</v>
      </c>
      <c r="E1842" t="s">
        <v>5432</v>
      </c>
      <c r="H1842" t="s">
        <v>5431</v>
      </c>
    </row>
    <row r="1843" spans="2:8" x14ac:dyDescent="0.25">
      <c r="B1843" t="s">
        <v>5433</v>
      </c>
      <c r="C1843" t="s">
        <v>5434</v>
      </c>
      <c r="D1843" t="s">
        <v>5435</v>
      </c>
      <c r="E1843" t="s">
        <v>5435</v>
      </c>
      <c r="H1843" t="s">
        <v>5433</v>
      </c>
    </row>
    <row r="1844" spans="2:8" x14ac:dyDescent="0.25">
      <c r="B1844" t="s">
        <v>5436</v>
      </c>
      <c r="C1844" t="s">
        <v>5434</v>
      </c>
      <c r="D1844" t="s">
        <v>5437</v>
      </c>
      <c r="E1844" t="s">
        <v>5437</v>
      </c>
      <c r="H1844" t="s">
        <v>5436</v>
      </c>
    </row>
    <row r="1845" spans="2:8" x14ac:dyDescent="0.25">
      <c r="B1845" t="s">
        <v>5438</v>
      </c>
      <c r="C1845" t="s">
        <v>5434</v>
      </c>
      <c r="D1845" t="s">
        <v>5439</v>
      </c>
      <c r="E1845" t="s">
        <v>5439</v>
      </c>
      <c r="H1845" t="s">
        <v>5438</v>
      </c>
    </row>
    <row r="1846" spans="2:8" x14ac:dyDescent="0.25">
      <c r="B1846" t="s">
        <v>5440</v>
      </c>
      <c r="C1846" t="s">
        <v>5441</v>
      </c>
      <c r="D1846" t="s">
        <v>5442</v>
      </c>
      <c r="E1846" t="s">
        <v>5442</v>
      </c>
      <c r="H1846" t="s">
        <v>5440</v>
      </c>
    </row>
    <row r="1847" spans="2:8" x14ac:dyDescent="0.25">
      <c r="B1847" t="s">
        <v>5443</v>
      </c>
      <c r="C1847" t="s">
        <v>5441</v>
      </c>
      <c r="D1847" t="s">
        <v>5444</v>
      </c>
      <c r="E1847" t="s">
        <v>5444</v>
      </c>
      <c r="H1847" t="s">
        <v>5443</v>
      </c>
    </row>
    <row r="1848" spans="2:8" x14ac:dyDescent="0.25">
      <c r="B1848" t="s">
        <v>5445</v>
      </c>
      <c r="C1848" t="s">
        <v>5441</v>
      </c>
      <c r="D1848" t="s">
        <v>5446</v>
      </c>
      <c r="E1848" t="s">
        <v>5446</v>
      </c>
      <c r="H1848" t="s">
        <v>5445</v>
      </c>
    </row>
    <row r="1849" spans="2:8" x14ac:dyDescent="0.25">
      <c r="B1849" t="s">
        <v>3493</v>
      </c>
      <c r="C1849" t="s">
        <v>3494</v>
      </c>
      <c r="D1849" t="s">
        <v>3495</v>
      </c>
      <c r="E1849" t="s">
        <v>3495</v>
      </c>
      <c r="H1849" t="s">
        <v>3493</v>
      </c>
    </row>
    <row r="1850" spans="2:8" x14ac:dyDescent="0.25">
      <c r="B1850" t="s">
        <v>3496</v>
      </c>
      <c r="C1850" t="s">
        <v>3494</v>
      </c>
      <c r="D1850" t="s">
        <v>3497</v>
      </c>
      <c r="E1850" t="s">
        <v>3497</v>
      </c>
      <c r="H1850" t="s">
        <v>3496</v>
      </c>
    </row>
    <row r="1851" spans="2:8" x14ac:dyDescent="0.25">
      <c r="B1851" t="s">
        <v>3498</v>
      </c>
      <c r="C1851" t="s">
        <v>3499</v>
      </c>
      <c r="D1851" t="s">
        <v>3500</v>
      </c>
      <c r="E1851" t="s">
        <v>3500</v>
      </c>
      <c r="H1851" t="s">
        <v>3498</v>
      </c>
    </row>
    <row r="1852" spans="2:8" x14ac:dyDescent="0.25">
      <c r="B1852" t="s">
        <v>3501</v>
      </c>
      <c r="C1852" t="s">
        <v>3499</v>
      </c>
      <c r="D1852" t="s">
        <v>3502</v>
      </c>
      <c r="E1852" t="s">
        <v>3502</v>
      </c>
      <c r="H1852" t="s">
        <v>3501</v>
      </c>
    </row>
    <row r="1853" spans="2:8" x14ac:dyDescent="0.25">
      <c r="B1853" t="s">
        <v>3503</v>
      </c>
      <c r="C1853" t="s">
        <v>3504</v>
      </c>
      <c r="D1853" t="s">
        <v>3505</v>
      </c>
      <c r="E1853" t="s">
        <v>3505</v>
      </c>
      <c r="H1853" t="s">
        <v>3503</v>
      </c>
    </row>
    <row r="1854" spans="2:8" x14ac:dyDescent="0.25">
      <c r="B1854" t="s">
        <v>5447</v>
      </c>
      <c r="C1854" t="s">
        <v>2235</v>
      </c>
      <c r="D1854" t="s">
        <v>5448</v>
      </c>
      <c r="E1854" t="s">
        <v>5448</v>
      </c>
      <c r="H1854" t="s">
        <v>5447</v>
      </c>
    </row>
    <row r="1855" spans="2:8" x14ac:dyDescent="0.25">
      <c r="B1855" t="s">
        <v>5449</v>
      </c>
      <c r="C1855" t="s">
        <v>2238</v>
      </c>
      <c r="D1855" t="s">
        <v>5450</v>
      </c>
      <c r="E1855" t="s">
        <v>5450</v>
      </c>
      <c r="H1855" t="s">
        <v>5449</v>
      </c>
    </row>
    <row r="1856" spans="2:8" x14ac:dyDescent="0.25">
      <c r="B1856" t="s">
        <v>5451</v>
      </c>
      <c r="C1856" t="s">
        <v>2241</v>
      </c>
      <c r="D1856" t="s">
        <v>5452</v>
      </c>
      <c r="E1856" t="s">
        <v>5452</v>
      </c>
      <c r="H1856" t="s">
        <v>5451</v>
      </c>
    </row>
    <row r="1857" spans="2:8" x14ac:dyDescent="0.25">
      <c r="B1857" t="s">
        <v>5453</v>
      </c>
      <c r="C1857" t="s">
        <v>2244</v>
      </c>
      <c r="D1857" t="s">
        <v>5454</v>
      </c>
      <c r="E1857" t="s">
        <v>5454</v>
      </c>
      <c r="H1857" t="s">
        <v>5453</v>
      </c>
    </row>
    <row r="1858" spans="2:8" x14ac:dyDescent="0.25">
      <c r="B1858" t="s">
        <v>5455</v>
      </c>
      <c r="C1858" t="s">
        <v>2247</v>
      </c>
      <c r="D1858" t="s">
        <v>5456</v>
      </c>
      <c r="E1858" t="s">
        <v>5456</v>
      </c>
      <c r="H1858" t="s">
        <v>5455</v>
      </c>
    </row>
    <row r="1859" spans="2:8" x14ac:dyDescent="0.25">
      <c r="B1859" t="s">
        <v>3506</v>
      </c>
      <c r="C1859" t="s">
        <v>3507</v>
      </c>
      <c r="D1859" t="s">
        <v>3508</v>
      </c>
      <c r="E1859" t="s">
        <v>3508</v>
      </c>
      <c r="H1859" t="s">
        <v>3506</v>
      </c>
    </row>
    <row r="1860" spans="2:8" x14ac:dyDescent="0.25">
      <c r="B1860" t="s">
        <v>5457</v>
      </c>
      <c r="C1860" t="s">
        <v>5458</v>
      </c>
      <c r="D1860" t="s">
        <v>5459</v>
      </c>
      <c r="E1860" t="s">
        <v>5459</v>
      </c>
      <c r="H1860" t="s">
        <v>5457</v>
      </c>
    </row>
    <row r="1861" spans="2:8" x14ac:dyDescent="0.25">
      <c r="B1861" t="s">
        <v>5460</v>
      </c>
      <c r="C1861" t="s">
        <v>5458</v>
      </c>
      <c r="D1861" t="s">
        <v>5461</v>
      </c>
      <c r="E1861" t="s">
        <v>5461</v>
      </c>
      <c r="H1861" t="s">
        <v>5460</v>
      </c>
    </row>
    <row r="1862" spans="2:8" x14ac:dyDescent="0.25">
      <c r="B1862" t="s">
        <v>5462</v>
      </c>
      <c r="C1862" t="s">
        <v>5463</v>
      </c>
      <c r="D1862" t="s">
        <v>5464</v>
      </c>
      <c r="E1862" t="s">
        <v>5464</v>
      </c>
      <c r="H1862" t="s">
        <v>5462</v>
      </c>
    </row>
    <row r="1863" spans="2:8" x14ac:dyDescent="0.25">
      <c r="B1863" t="s">
        <v>5465</v>
      </c>
      <c r="C1863" t="s">
        <v>5466</v>
      </c>
      <c r="D1863" t="s">
        <v>5467</v>
      </c>
      <c r="E1863" t="s">
        <v>5467</v>
      </c>
      <c r="H1863" t="s">
        <v>5465</v>
      </c>
    </row>
    <row r="1864" spans="2:8" x14ac:dyDescent="0.25">
      <c r="B1864" t="s">
        <v>5468</v>
      </c>
      <c r="C1864" t="s">
        <v>5466</v>
      </c>
      <c r="D1864" t="s">
        <v>5469</v>
      </c>
      <c r="E1864" t="s">
        <v>5469</v>
      </c>
      <c r="H1864" t="s">
        <v>5468</v>
      </c>
    </row>
    <row r="1865" spans="2:8" x14ac:dyDescent="0.25">
      <c r="B1865" t="s">
        <v>5470</v>
      </c>
      <c r="C1865" t="s">
        <v>5466</v>
      </c>
      <c r="D1865" t="s">
        <v>5471</v>
      </c>
      <c r="E1865" t="s">
        <v>5471</v>
      </c>
      <c r="H1865" t="s">
        <v>5470</v>
      </c>
    </row>
    <row r="1866" spans="2:8" x14ac:dyDescent="0.25">
      <c r="B1866" t="s">
        <v>5472</v>
      </c>
      <c r="C1866" t="s">
        <v>5473</v>
      </c>
      <c r="D1866" t="s">
        <v>5474</v>
      </c>
      <c r="E1866" t="s">
        <v>5474</v>
      </c>
      <c r="H1866" t="s">
        <v>5472</v>
      </c>
    </row>
    <row r="1867" spans="2:8" x14ac:dyDescent="0.25">
      <c r="B1867" t="s">
        <v>5475</v>
      </c>
      <c r="C1867" t="s">
        <v>5473</v>
      </c>
      <c r="D1867" t="s">
        <v>5476</v>
      </c>
      <c r="E1867" t="s">
        <v>5476</v>
      </c>
      <c r="H1867" t="s">
        <v>5475</v>
      </c>
    </row>
    <row r="1868" spans="2:8" x14ac:dyDescent="0.25">
      <c r="B1868" t="s">
        <v>5477</v>
      </c>
      <c r="C1868" t="s">
        <v>5473</v>
      </c>
      <c r="D1868" t="s">
        <v>5478</v>
      </c>
      <c r="E1868" t="s">
        <v>5478</v>
      </c>
      <c r="H1868" t="s">
        <v>5477</v>
      </c>
    </row>
    <row r="1869" spans="2:8" x14ac:dyDescent="0.25">
      <c r="B1869" t="s">
        <v>5479</v>
      </c>
      <c r="C1869" t="s">
        <v>5473</v>
      </c>
      <c r="D1869" t="s">
        <v>5480</v>
      </c>
      <c r="E1869" t="s">
        <v>5480</v>
      </c>
      <c r="H1869" t="s">
        <v>5479</v>
      </c>
    </row>
    <row r="1870" spans="2:8" x14ac:dyDescent="0.25">
      <c r="B1870" t="s">
        <v>3516</v>
      </c>
      <c r="C1870" t="s">
        <v>3517</v>
      </c>
      <c r="D1870" t="s">
        <v>3518</v>
      </c>
      <c r="E1870" t="s">
        <v>3518</v>
      </c>
      <c r="H1870" t="s">
        <v>3516</v>
      </c>
    </row>
    <row r="1871" spans="2:8" x14ac:dyDescent="0.25">
      <c r="B1871" t="s">
        <v>3519</v>
      </c>
      <c r="C1871" t="s">
        <v>3520</v>
      </c>
      <c r="D1871" t="s">
        <v>3521</v>
      </c>
      <c r="E1871" t="s">
        <v>3521</v>
      </c>
      <c r="H1871" t="s">
        <v>3519</v>
      </c>
    </row>
    <row r="1872" spans="2:8" x14ac:dyDescent="0.25">
      <c r="B1872" t="s">
        <v>3522</v>
      </c>
      <c r="C1872" t="s">
        <v>3523</v>
      </c>
      <c r="D1872" t="s">
        <v>3524</v>
      </c>
      <c r="E1872" t="s">
        <v>3524</v>
      </c>
      <c r="H1872" t="s">
        <v>3522</v>
      </c>
    </row>
    <row r="1873" spans="2:8" x14ac:dyDescent="0.25">
      <c r="B1873" t="s">
        <v>5481</v>
      </c>
      <c r="C1873" t="s">
        <v>5482</v>
      </c>
      <c r="D1873" t="s">
        <v>5483</v>
      </c>
      <c r="E1873" t="s">
        <v>5483</v>
      </c>
      <c r="H1873" t="s">
        <v>5481</v>
      </c>
    </row>
    <row r="1874" spans="2:8" x14ac:dyDescent="0.25">
      <c r="B1874" t="s">
        <v>5484</v>
      </c>
      <c r="C1874" t="s">
        <v>5485</v>
      </c>
      <c r="D1874" t="s">
        <v>5486</v>
      </c>
      <c r="E1874" t="s">
        <v>5486</v>
      </c>
      <c r="H1874" t="s">
        <v>5484</v>
      </c>
    </row>
    <row r="1875" spans="2:8" x14ac:dyDescent="0.25">
      <c r="B1875" t="s">
        <v>5487</v>
      </c>
      <c r="C1875" t="s">
        <v>5488</v>
      </c>
      <c r="D1875" t="s">
        <v>5489</v>
      </c>
      <c r="E1875" t="s">
        <v>5489</v>
      </c>
      <c r="H1875" t="s">
        <v>5487</v>
      </c>
    </row>
    <row r="1876" spans="2:8" x14ac:dyDescent="0.25">
      <c r="B1876" t="s">
        <v>5490</v>
      </c>
      <c r="C1876" t="s">
        <v>5491</v>
      </c>
      <c r="D1876" t="s">
        <v>5492</v>
      </c>
      <c r="E1876" t="s">
        <v>5492</v>
      </c>
      <c r="H1876" t="s">
        <v>5490</v>
      </c>
    </row>
    <row r="1877" spans="2:8" x14ac:dyDescent="0.25">
      <c r="B1877" t="s">
        <v>5493</v>
      </c>
      <c r="C1877" t="s">
        <v>5494</v>
      </c>
      <c r="D1877" t="s">
        <v>5495</v>
      </c>
      <c r="E1877" t="s">
        <v>5495</v>
      </c>
      <c r="H1877" t="s">
        <v>5493</v>
      </c>
    </row>
    <row r="1878" spans="2:8" x14ac:dyDescent="0.25">
      <c r="B1878" t="s">
        <v>5496</v>
      </c>
      <c r="C1878" t="s">
        <v>3533</v>
      </c>
      <c r="D1878" t="s">
        <v>5497</v>
      </c>
      <c r="E1878" t="s">
        <v>5497</v>
      </c>
      <c r="H1878" t="s">
        <v>5496</v>
      </c>
    </row>
    <row r="1879" spans="2:8" x14ac:dyDescent="0.25">
      <c r="B1879" t="s">
        <v>5498</v>
      </c>
      <c r="C1879" t="s">
        <v>3533</v>
      </c>
      <c r="D1879" t="s">
        <v>5499</v>
      </c>
      <c r="E1879" t="s">
        <v>5499</v>
      </c>
      <c r="H1879" t="s">
        <v>5498</v>
      </c>
    </row>
    <row r="1880" spans="2:8" x14ac:dyDescent="0.25">
      <c r="B1880" t="s">
        <v>5500</v>
      </c>
      <c r="C1880" t="s">
        <v>5501</v>
      </c>
      <c r="D1880" t="s">
        <v>5502</v>
      </c>
      <c r="E1880" t="s">
        <v>5502</v>
      </c>
      <c r="H1880" t="s">
        <v>5500</v>
      </c>
    </row>
    <row r="1881" spans="2:8" x14ac:dyDescent="0.25">
      <c r="B1881" t="s">
        <v>5503</v>
      </c>
      <c r="C1881" t="s">
        <v>5501</v>
      </c>
      <c r="D1881" t="s">
        <v>5504</v>
      </c>
      <c r="E1881" t="s">
        <v>5504</v>
      </c>
      <c r="H1881" t="s">
        <v>5503</v>
      </c>
    </row>
    <row r="1882" spans="2:8" x14ac:dyDescent="0.25">
      <c r="B1882" t="s">
        <v>5505</v>
      </c>
      <c r="C1882" t="s">
        <v>5501</v>
      </c>
      <c r="D1882" t="s">
        <v>5506</v>
      </c>
      <c r="E1882" t="s">
        <v>5506</v>
      </c>
      <c r="H1882" t="s">
        <v>5505</v>
      </c>
    </row>
    <row r="1883" spans="2:8" x14ac:dyDescent="0.25">
      <c r="B1883" t="s">
        <v>5507</v>
      </c>
      <c r="C1883" t="s">
        <v>5501</v>
      </c>
      <c r="D1883" t="s">
        <v>5508</v>
      </c>
      <c r="E1883" t="s">
        <v>5508</v>
      </c>
      <c r="H1883" t="s">
        <v>5507</v>
      </c>
    </row>
    <row r="1884" spans="2:8" x14ac:dyDescent="0.25">
      <c r="B1884" t="s">
        <v>5518</v>
      </c>
      <c r="C1884" t="s">
        <v>5519</v>
      </c>
      <c r="D1884" t="s">
        <v>5520</v>
      </c>
      <c r="E1884" t="s">
        <v>5520</v>
      </c>
      <c r="H1884" t="s">
        <v>5518</v>
      </c>
    </row>
    <row r="1885" spans="2:8" x14ac:dyDescent="0.25">
      <c r="B1885" t="s">
        <v>5521</v>
      </c>
      <c r="C1885" t="s">
        <v>5522</v>
      </c>
      <c r="D1885" t="s">
        <v>5523</v>
      </c>
      <c r="E1885" t="s">
        <v>5523</v>
      </c>
      <c r="H1885" t="s">
        <v>5521</v>
      </c>
    </row>
    <row r="1886" spans="2:8" x14ac:dyDescent="0.25">
      <c r="B1886" t="s">
        <v>5524</v>
      </c>
      <c r="C1886" t="s">
        <v>5525</v>
      </c>
      <c r="D1886" t="s">
        <v>5526</v>
      </c>
      <c r="E1886" t="s">
        <v>5526</v>
      </c>
      <c r="H1886" t="s">
        <v>5524</v>
      </c>
    </row>
    <row r="1887" spans="2:8" x14ac:dyDescent="0.25">
      <c r="B1887" t="s">
        <v>5539</v>
      </c>
      <c r="C1887" t="s">
        <v>5540</v>
      </c>
      <c r="D1887" t="s">
        <v>5541</v>
      </c>
      <c r="E1887" t="s">
        <v>5541</v>
      </c>
      <c r="H1887" t="s">
        <v>5539</v>
      </c>
    </row>
    <row r="1888" spans="2:8" x14ac:dyDescent="0.25">
      <c r="B1888" t="s">
        <v>5542</v>
      </c>
      <c r="C1888" t="s">
        <v>5543</v>
      </c>
      <c r="D1888" t="s">
        <v>5544</v>
      </c>
      <c r="E1888" t="s">
        <v>5544</v>
      </c>
      <c r="H1888" t="s">
        <v>5542</v>
      </c>
    </row>
    <row r="1889" spans="2:8" x14ac:dyDescent="0.25">
      <c r="B1889" t="s">
        <v>5551</v>
      </c>
      <c r="C1889" t="s">
        <v>5552</v>
      </c>
      <c r="D1889" t="s">
        <v>5553</v>
      </c>
      <c r="E1889" t="s">
        <v>5553</v>
      </c>
      <c r="H1889" t="s">
        <v>5551</v>
      </c>
    </row>
    <row r="1890" spans="2:8" x14ac:dyDescent="0.25">
      <c r="B1890" t="s">
        <v>5554</v>
      </c>
      <c r="C1890" t="s">
        <v>5555</v>
      </c>
      <c r="D1890" t="s">
        <v>5556</v>
      </c>
      <c r="E1890" t="s">
        <v>5556</v>
      </c>
      <c r="H1890" t="s">
        <v>5554</v>
      </c>
    </row>
    <row r="1891" spans="2:8" x14ac:dyDescent="0.25">
      <c r="B1891" t="s">
        <v>5557</v>
      </c>
      <c r="C1891" t="s">
        <v>5558</v>
      </c>
      <c r="D1891" t="s">
        <v>5559</v>
      </c>
      <c r="E1891" t="s">
        <v>5559</v>
      </c>
      <c r="H1891" t="s">
        <v>5557</v>
      </c>
    </row>
    <row r="1892" spans="2:8" x14ac:dyDescent="0.25">
      <c r="B1892" t="s">
        <v>5560</v>
      </c>
      <c r="C1892" t="s">
        <v>5561</v>
      </c>
      <c r="D1892" t="s">
        <v>5562</v>
      </c>
      <c r="E1892" t="s">
        <v>5562</v>
      </c>
      <c r="H1892" t="s">
        <v>5560</v>
      </c>
    </row>
    <row r="1893" spans="2:8" x14ac:dyDescent="0.25">
      <c r="B1893" t="s">
        <v>5563</v>
      </c>
      <c r="C1893" t="s">
        <v>5564</v>
      </c>
      <c r="D1893" t="s">
        <v>5565</v>
      </c>
      <c r="E1893" t="s">
        <v>5565</v>
      </c>
      <c r="H1893" t="s">
        <v>5563</v>
      </c>
    </row>
    <row r="1894" spans="2:8" x14ac:dyDescent="0.25">
      <c r="B1894" t="s">
        <v>5566</v>
      </c>
      <c r="C1894" t="s">
        <v>5567</v>
      </c>
      <c r="D1894" t="s">
        <v>5568</v>
      </c>
      <c r="E1894" t="s">
        <v>5568</v>
      </c>
      <c r="H1894" t="s">
        <v>5566</v>
      </c>
    </row>
    <row r="1895" spans="2:8" x14ac:dyDescent="0.25">
      <c r="B1895" t="s">
        <v>3542</v>
      </c>
      <c r="C1895" t="s">
        <v>3543</v>
      </c>
      <c r="D1895" t="s">
        <v>3544</v>
      </c>
      <c r="E1895" t="s">
        <v>3544</v>
      </c>
      <c r="H1895" t="s">
        <v>3542</v>
      </c>
    </row>
    <row r="1896" spans="2:8" x14ac:dyDescent="0.25">
      <c r="B1896" t="s">
        <v>3545</v>
      </c>
      <c r="C1896" t="s">
        <v>3546</v>
      </c>
      <c r="D1896" t="s">
        <v>3547</v>
      </c>
      <c r="E1896" t="s">
        <v>3547</v>
      </c>
      <c r="H1896" t="s">
        <v>3545</v>
      </c>
    </row>
    <row r="1897" spans="2:8" x14ac:dyDescent="0.25">
      <c r="B1897" t="s">
        <v>3548</v>
      </c>
      <c r="C1897" t="s">
        <v>3549</v>
      </c>
      <c r="D1897" t="s">
        <v>3550</v>
      </c>
      <c r="E1897" t="s">
        <v>3550</v>
      </c>
      <c r="H1897" t="s">
        <v>3548</v>
      </c>
    </row>
    <row r="1898" spans="2:8" x14ac:dyDescent="0.25">
      <c r="B1898" t="s">
        <v>5611</v>
      </c>
      <c r="C1898" t="s">
        <v>5612</v>
      </c>
      <c r="D1898" t="s">
        <v>5613</v>
      </c>
      <c r="E1898" t="s">
        <v>5613</v>
      </c>
      <c r="H1898" t="s">
        <v>5611</v>
      </c>
    </row>
    <row r="1899" spans="2:8" x14ac:dyDescent="0.25">
      <c r="B1899" t="s">
        <v>5614</v>
      </c>
      <c r="C1899" t="s">
        <v>5615</v>
      </c>
      <c r="D1899" t="s">
        <v>5616</v>
      </c>
      <c r="E1899" t="s">
        <v>5616</v>
      </c>
      <c r="H1899" t="s">
        <v>5614</v>
      </c>
    </row>
    <row r="1900" spans="2:8" x14ac:dyDescent="0.25">
      <c r="B1900" t="s">
        <v>5620</v>
      </c>
      <c r="C1900" t="s">
        <v>5621</v>
      </c>
      <c r="D1900" t="s">
        <v>5622</v>
      </c>
      <c r="E1900" t="s">
        <v>5622</v>
      </c>
      <c r="H1900" t="s">
        <v>5620</v>
      </c>
    </row>
    <row r="1901" spans="2:8" x14ac:dyDescent="0.25">
      <c r="B1901" t="s">
        <v>3572</v>
      </c>
      <c r="C1901" t="s">
        <v>3573</v>
      </c>
      <c r="D1901" t="s">
        <v>3574</v>
      </c>
      <c r="E1901" t="s">
        <v>3574</v>
      </c>
      <c r="H1901" t="s">
        <v>3572</v>
      </c>
    </row>
    <row r="1902" spans="2:8" x14ac:dyDescent="0.25">
      <c r="B1902" t="s">
        <v>3575</v>
      </c>
      <c r="C1902" t="s">
        <v>3573</v>
      </c>
      <c r="D1902" t="s">
        <v>3576</v>
      </c>
      <c r="E1902" t="s">
        <v>3576</v>
      </c>
      <c r="H1902" t="s">
        <v>3575</v>
      </c>
    </row>
    <row r="1903" spans="2:8" x14ac:dyDescent="0.25">
      <c r="B1903" t="s">
        <v>3577</v>
      </c>
      <c r="C1903" t="s">
        <v>3573</v>
      </c>
      <c r="D1903" t="s">
        <v>3578</v>
      </c>
      <c r="E1903" t="s">
        <v>3578</v>
      </c>
      <c r="H1903" t="s">
        <v>3577</v>
      </c>
    </row>
    <row r="1904" spans="2:8" x14ac:dyDescent="0.25">
      <c r="B1904" t="s">
        <v>5662</v>
      </c>
      <c r="C1904" t="s">
        <v>5663</v>
      </c>
      <c r="D1904" t="s">
        <v>5664</v>
      </c>
      <c r="E1904" t="s">
        <v>5664</v>
      </c>
      <c r="H1904" t="s">
        <v>5662</v>
      </c>
    </row>
    <row r="1905" spans="2:8" x14ac:dyDescent="0.25">
      <c r="B1905" t="s">
        <v>5665</v>
      </c>
      <c r="C1905" t="s">
        <v>5663</v>
      </c>
      <c r="D1905" t="s">
        <v>5666</v>
      </c>
      <c r="E1905" t="s">
        <v>5666</v>
      </c>
      <c r="H1905" t="s">
        <v>5665</v>
      </c>
    </row>
    <row r="1906" spans="2:8" x14ac:dyDescent="0.25">
      <c r="B1906" t="s">
        <v>5667</v>
      </c>
      <c r="C1906" t="s">
        <v>5663</v>
      </c>
      <c r="D1906" t="s">
        <v>5668</v>
      </c>
      <c r="E1906" t="s">
        <v>5668</v>
      </c>
      <c r="H1906" t="s">
        <v>5667</v>
      </c>
    </row>
    <row r="1907" spans="2:8" x14ac:dyDescent="0.25">
      <c r="B1907" t="s">
        <v>5669</v>
      </c>
      <c r="C1907" t="s">
        <v>5670</v>
      </c>
      <c r="D1907" t="s">
        <v>5671</v>
      </c>
      <c r="E1907" t="s">
        <v>5671</v>
      </c>
      <c r="H1907" t="s">
        <v>5669</v>
      </c>
    </row>
    <row r="1908" spans="2:8" x14ac:dyDescent="0.25">
      <c r="B1908" t="s">
        <v>5672</v>
      </c>
      <c r="C1908" t="s">
        <v>5670</v>
      </c>
      <c r="D1908" t="s">
        <v>5673</v>
      </c>
      <c r="E1908" t="s">
        <v>5673</v>
      </c>
      <c r="H1908" t="s">
        <v>5672</v>
      </c>
    </row>
    <row r="1909" spans="2:8" x14ac:dyDescent="0.25">
      <c r="B1909" t="s">
        <v>5674</v>
      </c>
      <c r="C1909" t="s">
        <v>5670</v>
      </c>
      <c r="D1909" t="s">
        <v>5675</v>
      </c>
      <c r="E1909" t="s">
        <v>5675</v>
      </c>
      <c r="H1909" t="s">
        <v>5674</v>
      </c>
    </row>
    <row r="1910" spans="2:8" x14ac:dyDescent="0.25">
      <c r="B1910" t="s">
        <v>5676</v>
      </c>
      <c r="C1910" t="s">
        <v>5677</v>
      </c>
      <c r="D1910" t="s">
        <v>5678</v>
      </c>
      <c r="E1910" t="s">
        <v>5678</v>
      </c>
      <c r="H1910" t="s">
        <v>5676</v>
      </c>
    </row>
    <row r="1911" spans="2:8" x14ac:dyDescent="0.25">
      <c r="B1911" t="s">
        <v>5679</v>
      </c>
      <c r="C1911" t="s">
        <v>5677</v>
      </c>
      <c r="D1911" t="s">
        <v>5680</v>
      </c>
      <c r="E1911" t="s">
        <v>5680</v>
      </c>
      <c r="H1911" t="s">
        <v>5679</v>
      </c>
    </row>
    <row r="1912" spans="2:8" x14ac:dyDescent="0.25">
      <c r="B1912" t="s">
        <v>5681</v>
      </c>
      <c r="C1912" t="s">
        <v>5677</v>
      </c>
      <c r="D1912" t="s">
        <v>5682</v>
      </c>
      <c r="E1912" t="s">
        <v>5682</v>
      </c>
      <c r="H1912" t="s">
        <v>5681</v>
      </c>
    </row>
    <row r="1913" spans="2:8" x14ac:dyDescent="0.25">
      <c r="B1913" t="s">
        <v>5683</v>
      </c>
      <c r="C1913" t="s">
        <v>5684</v>
      </c>
      <c r="D1913" t="s">
        <v>5685</v>
      </c>
      <c r="E1913" t="s">
        <v>5685</v>
      </c>
      <c r="H1913" t="s">
        <v>5683</v>
      </c>
    </row>
    <row r="1914" spans="2:8" x14ac:dyDescent="0.25">
      <c r="B1914" t="s">
        <v>5686</v>
      </c>
      <c r="C1914" t="s">
        <v>5684</v>
      </c>
      <c r="D1914" t="s">
        <v>5687</v>
      </c>
      <c r="E1914" t="s">
        <v>5687</v>
      </c>
      <c r="H1914" t="s">
        <v>5686</v>
      </c>
    </row>
    <row r="1915" spans="2:8" x14ac:dyDescent="0.25">
      <c r="B1915" t="s">
        <v>5688</v>
      </c>
      <c r="C1915" t="s">
        <v>5684</v>
      </c>
      <c r="D1915" t="s">
        <v>5689</v>
      </c>
      <c r="E1915" t="s">
        <v>5689</v>
      </c>
      <c r="H1915" t="s">
        <v>5688</v>
      </c>
    </row>
    <row r="1916" spans="2:8" x14ac:dyDescent="0.25">
      <c r="B1916" t="s">
        <v>5690</v>
      </c>
      <c r="C1916" t="s">
        <v>5691</v>
      </c>
      <c r="D1916" t="s">
        <v>5692</v>
      </c>
      <c r="E1916" t="s">
        <v>5692</v>
      </c>
      <c r="H1916" t="s">
        <v>5690</v>
      </c>
    </row>
    <row r="1917" spans="2:8" x14ac:dyDescent="0.25">
      <c r="B1917" t="s">
        <v>5693</v>
      </c>
      <c r="C1917" t="s">
        <v>5691</v>
      </c>
      <c r="D1917" t="s">
        <v>5694</v>
      </c>
      <c r="E1917" t="s">
        <v>5694</v>
      </c>
      <c r="H1917" t="s">
        <v>5693</v>
      </c>
    </row>
    <row r="1918" spans="2:8" x14ac:dyDescent="0.25">
      <c r="B1918" t="s">
        <v>5695</v>
      </c>
      <c r="C1918" t="s">
        <v>5691</v>
      </c>
      <c r="D1918" t="s">
        <v>5696</v>
      </c>
      <c r="E1918" t="s">
        <v>5696</v>
      </c>
      <c r="H1918" t="s">
        <v>5695</v>
      </c>
    </row>
    <row r="1919" spans="2:8" x14ac:dyDescent="0.25">
      <c r="B1919" t="s">
        <v>3579</v>
      </c>
      <c r="C1919" t="s">
        <v>3580</v>
      </c>
      <c r="D1919" t="s">
        <v>3581</v>
      </c>
      <c r="E1919" t="s">
        <v>3581</v>
      </c>
      <c r="H1919" t="s">
        <v>3579</v>
      </c>
    </row>
    <row r="1920" spans="2:8" x14ac:dyDescent="0.25">
      <c r="B1920" t="s">
        <v>3582</v>
      </c>
      <c r="C1920" t="s">
        <v>3580</v>
      </c>
      <c r="D1920" t="s">
        <v>3583</v>
      </c>
      <c r="E1920" t="s">
        <v>3583</v>
      </c>
      <c r="H1920" t="s">
        <v>3582</v>
      </c>
    </row>
    <row r="1921" spans="2:8" x14ac:dyDescent="0.25">
      <c r="B1921" t="s">
        <v>3584</v>
      </c>
      <c r="C1921" t="s">
        <v>3580</v>
      </c>
      <c r="D1921" t="s">
        <v>3585</v>
      </c>
      <c r="E1921" t="s">
        <v>3585</v>
      </c>
      <c r="H1921" t="s">
        <v>3584</v>
      </c>
    </row>
    <row r="1922" spans="2:8" x14ac:dyDescent="0.25">
      <c r="B1922" t="s">
        <v>3586</v>
      </c>
      <c r="C1922" t="s">
        <v>3587</v>
      </c>
      <c r="D1922" t="s">
        <v>3588</v>
      </c>
      <c r="E1922" t="s">
        <v>3588</v>
      </c>
      <c r="H1922" t="s">
        <v>3586</v>
      </c>
    </row>
    <row r="1923" spans="2:8" x14ac:dyDescent="0.25">
      <c r="B1923" t="s">
        <v>3589</v>
      </c>
      <c r="C1923" t="s">
        <v>3587</v>
      </c>
      <c r="D1923" t="s">
        <v>3590</v>
      </c>
      <c r="E1923" t="s">
        <v>3590</v>
      </c>
      <c r="H1923" t="s">
        <v>3589</v>
      </c>
    </row>
    <row r="1924" spans="2:8" x14ac:dyDescent="0.25">
      <c r="B1924" t="s">
        <v>3591</v>
      </c>
      <c r="C1924" t="s">
        <v>3587</v>
      </c>
      <c r="D1924" t="s">
        <v>3592</v>
      </c>
      <c r="E1924" t="s">
        <v>3592</v>
      </c>
      <c r="H1924" t="s">
        <v>3591</v>
      </c>
    </row>
    <row r="1925" spans="2:8" x14ac:dyDescent="0.25">
      <c r="B1925" t="s">
        <v>5697</v>
      </c>
      <c r="C1925" t="s">
        <v>5698</v>
      </c>
      <c r="D1925" t="s">
        <v>5699</v>
      </c>
      <c r="E1925" t="s">
        <v>5699</v>
      </c>
      <c r="H1925" t="s">
        <v>5697</v>
      </c>
    </row>
    <row r="1926" spans="2:8" x14ac:dyDescent="0.25">
      <c r="B1926" t="s">
        <v>5700</v>
      </c>
      <c r="C1926" t="s">
        <v>5698</v>
      </c>
      <c r="D1926" t="s">
        <v>5701</v>
      </c>
      <c r="E1926" t="s">
        <v>5701</v>
      </c>
      <c r="H1926" t="s">
        <v>5700</v>
      </c>
    </row>
    <row r="1927" spans="2:8" x14ac:dyDescent="0.25">
      <c r="B1927" t="s">
        <v>5702</v>
      </c>
      <c r="C1927" t="s">
        <v>5698</v>
      </c>
      <c r="D1927" t="s">
        <v>5703</v>
      </c>
      <c r="E1927" t="s">
        <v>5703</v>
      </c>
      <c r="H1927" t="s">
        <v>5702</v>
      </c>
    </row>
    <row r="1928" spans="2:8" x14ac:dyDescent="0.25">
      <c r="B1928" t="s">
        <v>5704</v>
      </c>
      <c r="C1928" t="s">
        <v>5705</v>
      </c>
      <c r="D1928" t="s">
        <v>5706</v>
      </c>
      <c r="E1928" t="s">
        <v>5706</v>
      </c>
      <c r="H1928" t="s">
        <v>5704</v>
      </c>
    </row>
    <row r="1929" spans="2:8" x14ac:dyDescent="0.25">
      <c r="B1929" t="s">
        <v>5707</v>
      </c>
      <c r="C1929" t="s">
        <v>5705</v>
      </c>
      <c r="D1929" t="s">
        <v>5708</v>
      </c>
      <c r="E1929" t="s">
        <v>5708</v>
      </c>
      <c r="H1929" t="s">
        <v>5707</v>
      </c>
    </row>
    <row r="1930" spans="2:8" x14ac:dyDescent="0.25">
      <c r="B1930" t="s">
        <v>5709</v>
      </c>
      <c r="C1930" t="s">
        <v>5705</v>
      </c>
      <c r="D1930" t="s">
        <v>5710</v>
      </c>
      <c r="E1930" t="s">
        <v>5710</v>
      </c>
      <c r="H1930" t="s">
        <v>5709</v>
      </c>
    </row>
    <row r="1931" spans="2:8" x14ac:dyDescent="0.25">
      <c r="B1931" t="s">
        <v>3593</v>
      </c>
      <c r="C1931" t="s">
        <v>3594</v>
      </c>
      <c r="D1931" t="s">
        <v>3595</v>
      </c>
      <c r="E1931" t="s">
        <v>3595</v>
      </c>
      <c r="H1931" t="s">
        <v>3593</v>
      </c>
    </row>
    <row r="1932" spans="2:8" x14ac:dyDescent="0.25">
      <c r="B1932" t="s">
        <v>3596</v>
      </c>
      <c r="C1932" t="s">
        <v>3594</v>
      </c>
      <c r="D1932" t="s">
        <v>3597</v>
      </c>
      <c r="E1932" t="s">
        <v>3597</v>
      </c>
      <c r="H1932" t="s">
        <v>3596</v>
      </c>
    </row>
    <row r="1933" spans="2:8" x14ac:dyDescent="0.25">
      <c r="B1933" t="s">
        <v>3598</v>
      </c>
      <c r="C1933" t="s">
        <v>3594</v>
      </c>
      <c r="D1933" t="s">
        <v>3599</v>
      </c>
      <c r="E1933" t="s">
        <v>3599</v>
      </c>
      <c r="H1933" t="s">
        <v>3598</v>
      </c>
    </row>
    <row r="1934" spans="2:8" x14ac:dyDescent="0.25">
      <c r="B1934" t="s">
        <v>5711</v>
      </c>
      <c r="C1934" t="s">
        <v>5712</v>
      </c>
      <c r="D1934" t="s">
        <v>5713</v>
      </c>
      <c r="E1934" t="s">
        <v>5713</v>
      </c>
      <c r="H1934" t="s">
        <v>5711</v>
      </c>
    </row>
    <row r="1935" spans="2:8" x14ac:dyDescent="0.25">
      <c r="B1935" t="s">
        <v>5714</v>
      </c>
      <c r="C1935" t="s">
        <v>5712</v>
      </c>
      <c r="D1935" t="s">
        <v>5715</v>
      </c>
      <c r="E1935" t="s">
        <v>5715</v>
      </c>
      <c r="H1935" t="s">
        <v>5714</v>
      </c>
    </row>
    <row r="1936" spans="2:8" x14ac:dyDescent="0.25">
      <c r="B1936" t="s">
        <v>5716</v>
      </c>
      <c r="C1936" t="s">
        <v>5712</v>
      </c>
      <c r="D1936" t="s">
        <v>5717</v>
      </c>
      <c r="E1936" t="s">
        <v>5717</v>
      </c>
      <c r="H1936" t="s">
        <v>5716</v>
      </c>
    </row>
    <row r="1937" spans="2:8" x14ac:dyDescent="0.25">
      <c r="B1937" t="s">
        <v>5718</v>
      </c>
      <c r="C1937" t="s">
        <v>5719</v>
      </c>
      <c r="D1937" t="s">
        <v>5720</v>
      </c>
      <c r="E1937" t="s">
        <v>5720</v>
      </c>
      <c r="H1937" t="s">
        <v>5718</v>
      </c>
    </row>
    <row r="1938" spans="2:8" x14ac:dyDescent="0.25">
      <c r="B1938" t="s">
        <v>5721</v>
      </c>
      <c r="C1938" t="s">
        <v>5719</v>
      </c>
      <c r="D1938" t="s">
        <v>5722</v>
      </c>
      <c r="E1938" t="s">
        <v>5722</v>
      </c>
      <c r="H1938" t="s">
        <v>5721</v>
      </c>
    </row>
    <row r="1939" spans="2:8" x14ac:dyDescent="0.25">
      <c r="B1939" t="s">
        <v>5723</v>
      </c>
      <c r="C1939" t="s">
        <v>5719</v>
      </c>
      <c r="D1939" t="s">
        <v>5724</v>
      </c>
      <c r="E1939" t="s">
        <v>5724</v>
      </c>
      <c r="H1939" t="s">
        <v>5723</v>
      </c>
    </row>
    <row r="1940" spans="2:8" x14ac:dyDescent="0.25">
      <c r="B1940" t="s">
        <v>5725</v>
      </c>
      <c r="C1940" t="s">
        <v>5726</v>
      </c>
      <c r="D1940" t="s">
        <v>5727</v>
      </c>
      <c r="E1940" t="s">
        <v>5727</v>
      </c>
      <c r="H1940" t="s">
        <v>5725</v>
      </c>
    </row>
    <row r="1941" spans="2:8" x14ac:dyDescent="0.25">
      <c r="B1941" t="s">
        <v>5728</v>
      </c>
      <c r="C1941" t="s">
        <v>5726</v>
      </c>
      <c r="D1941" t="s">
        <v>5729</v>
      </c>
      <c r="E1941" t="s">
        <v>5729</v>
      </c>
      <c r="H1941" t="s">
        <v>5728</v>
      </c>
    </row>
    <row r="1942" spans="2:8" x14ac:dyDescent="0.25">
      <c r="B1942" t="s">
        <v>5730</v>
      </c>
      <c r="C1942" t="s">
        <v>5726</v>
      </c>
      <c r="D1942" t="s">
        <v>5731</v>
      </c>
      <c r="E1942" t="s">
        <v>5731</v>
      </c>
      <c r="H1942" t="s">
        <v>5730</v>
      </c>
    </row>
    <row r="1943" spans="2:8" x14ac:dyDescent="0.25">
      <c r="B1943" t="s">
        <v>5732</v>
      </c>
      <c r="C1943" t="s">
        <v>5733</v>
      </c>
      <c r="D1943" t="s">
        <v>5734</v>
      </c>
      <c r="E1943" t="s">
        <v>5734</v>
      </c>
      <c r="H1943" t="s">
        <v>5732</v>
      </c>
    </row>
    <row r="1944" spans="2:8" x14ac:dyDescent="0.25">
      <c r="B1944" t="s">
        <v>5735</v>
      </c>
      <c r="C1944" t="s">
        <v>5733</v>
      </c>
      <c r="D1944" t="s">
        <v>5736</v>
      </c>
      <c r="E1944" t="s">
        <v>5736</v>
      </c>
      <c r="H1944" t="s">
        <v>5735</v>
      </c>
    </row>
    <row r="1945" spans="2:8" x14ac:dyDescent="0.25">
      <c r="B1945" t="s">
        <v>5737</v>
      </c>
      <c r="C1945" t="s">
        <v>5733</v>
      </c>
      <c r="D1945" t="s">
        <v>5738</v>
      </c>
      <c r="E1945" t="s">
        <v>5738</v>
      </c>
      <c r="H1945" t="s">
        <v>5737</v>
      </c>
    </row>
    <row r="1946" spans="2:8" x14ac:dyDescent="0.25">
      <c r="B1946" t="s">
        <v>5739</v>
      </c>
      <c r="C1946" t="s">
        <v>5740</v>
      </c>
      <c r="D1946" t="s">
        <v>5741</v>
      </c>
      <c r="E1946" t="s">
        <v>5741</v>
      </c>
      <c r="H1946" t="s">
        <v>5739</v>
      </c>
    </row>
    <row r="1947" spans="2:8" x14ac:dyDescent="0.25">
      <c r="B1947" t="s">
        <v>5742</v>
      </c>
      <c r="C1947" t="s">
        <v>5740</v>
      </c>
      <c r="D1947" t="s">
        <v>5743</v>
      </c>
      <c r="E1947" t="s">
        <v>5743</v>
      </c>
      <c r="H1947" t="s">
        <v>5742</v>
      </c>
    </row>
    <row r="1948" spans="2:8" x14ac:dyDescent="0.25">
      <c r="B1948" t="s">
        <v>5744</v>
      </c>
      <c r="C1948" t="s">
        <v>5740</v>
      </c>
      <c r="D1948" t="s">
        <v>5745</v>
      </c>
      <c r="E1948" t="s">
        <v>5745</v>
      </c>
      <c r="H1948" t="s">
        <v>5744</v>
      </c>
    </row>
    <row r="1949" spans="2:8" x14ac:dyDescent="0.25">
      <c r="B1949" t="s">
        <v>5746</v>
      </c>
      <c r="C1949" t="s">
        <v>5747</v>
      </c>
      <c r="D1949" t="s">
        <v>5748</v>
      </c>
      <c r="E1949" t="s">
        <v>5748</v>
      </c>
      <c r="H1949" t="s">
        <v>5746</v>
      </c>
    </row>
    <row r="1950" spans="2:8" x14ac:dyDescent="0.25">
      <c r="B1950" t="s">
        <v>5749</v>
      </c>
      <c r="C1950" t="s">
        <v>5747</v>
      </c>
      <c r="D1950" t="s">
        <v>5750</v>
      </c>
      <c r="E1950" t="s">
        <v>5750</v>
      </c>
      <c r="H1950" t="s">
        <v>5749</v>
      </c>
    </row>
    <row r="1951" spans="2:8" x14ac:dyDescent="0.25">
      <c r="B1951" t="s">
        <v>5751</v>
      </c>
      <c r="C1951" t="s">
        <v>5747</v>
      </c>
      <c r="D1951" t="s">
        <v>5752</v>
      </c>
      <c r="E1951" t="s">
        <v>5752</v>
      </c>
      <c r="H1951" t="s">
        <v>5751</v>
      </c>
    </row>
    <row r="1952" spans="2:8" x14ac:dyDescent="0.25">
      <c r="B1952" t="s">
        <v>5753</v>
      </c>
      <c r="C1952" t="s">
        <v>5754</v>
      </c>
      <c r="D1952" t="s">
        <v>5755</v>
      </c>
      <c r="E1952" t="s">
        <v>5755</v>
      </c>
      <c r="H1952" t="s">
        <v>5753</v>
      </c>
    </row>
    <row r="1953" spans="2:8" x14ac:dyDescent="0.25">
      <c r="B1953" t="s">
        <v>5756</v>
      </c>
      <c r="C1953" t="s">
        <v>5754</v>
      </c>
      <c r="D1953" t="s">
        <v>5757</v>
      </c>
      <c r="E1953" t="s">
        <v>5757</v>
      </c>
      <c r="H1953" t="s">
        <v>5756</v>
      </c>
    </row>
    <row r="1954" spans="2:8" x14ac:dyDescent="0.25">
      <c r="B1954" t="s">
        <v>5758</v>
      </c>
      <c r="C1954" t="s">
        <v>5759</v>
      </c>
      <c r="D1954" t="s">
        <v>5760</v>
      </c>
      <c r="E1954" t="s">
        <v>5760</v>
      </c>
      <c r="H1954" t="s">
        <v>5758</v>
      </c>
    </row>
    <row r="1955" spans="2:8" x14ac:dyDescent="0.25">
      <c r="B1955" t="s">
        <v>5761</v>
      </c>
      <c r="C1955" t="s">
        <v>5759</v>
      </c>
      <c r="D1955" t="s">
        <v>5762</v>
      </c>
      <c r="E1955" t="s">
        <v>5762</v>
      </c>
      <c r="H1955" t="s">
        <v>5761</v>
      </c>
    </row>
    <row r="1956" spans="2:8" x14ac:dyDescent="0.25">
      <c r="B1956" t="s">
        <v>5763</v>
      </c>
      <c r="C1956" t="s">
        <v>5764</v>
      </c>
      <c r="D1956" t="s">
        <v>5765</v>
      </c>
      <c r="E1956" t="s">
        <v>5765</v>
      </c>
      <c r="H1956" t="s">
        <v>5763</v>
      </c>
    </row>
    <row r="1957" spans="2:8" x14ac:dyDescent="0.25">
      <c r="B1957" t="s">
        <v>5766</v>
      </c>
      <c r="C1957" t="s">
        <v>5764</v>
      </c>
      <c r="D1957" t="s">
        <v>5767</v>
      </c>
      <c r="E1957" t="s">
        <v>5767</v>
      </c>
      <c r="H1957" t="s">
        <v>5766</v>
      </c>
    </row>
    <row r="1958" spans="2:8" x14ac:dyDescent="0.25">
      <c r="B1958" t="s">
        <v>5768</v>
      </c>
      <c r="C1958" t="s">
        <v>5769</v>
      </c>
      <c r="D1958" t="s">
        <v>5770</v>
      </c>
      <c r="E1958" t="s">
        <v>5770</v>
      </c>
      <c r="H1958" t="s">
        <v>5768</v>
      </c>
    </row>
    <row r="1959" spans="2:8" x14ac:dyDescent="0.25">
      <c r="B1959" t="s">
        <v>5771</v>
      </c>
      <c r="C1959" t="s">
        <v>5769</v>
      </c>
      <c r="D1959" t="s">
        <v>5772</v>
      </c>
      <c r="E1959" t="s">
        <v>5772</v>
      </c>
      <c r="H1959" t="s">
        <v>5771</v>
      </c>
    </row>
    <row r="1960" spans="2:8" x14ac:dyDescent="0.25">
      <c r="B1960" t="s">
        <v>5773</v>
      </c>
      <c r="C1960" t="s">
        <v>5774</v>
      </c>
      <c r="D1960" t="s">
        <v>5775</v>
      </c>
      <c r="E1960" t="s">
        <v>5775</v>
      </c>
      <c r="H1960" t="s">
        <v>5773</v>
      </c>
    </row>
    <row r="1961" spans="2:8" x14ac:dyDescent="0.25">
      <c r="B1961" t="s">
        <v>5776</v>
      </c>
      <c r="C1961" t="s">
        <v>5774</v>
      </c>
      <c r="D1961" t="s">
        <v>5777</v>
      </c>
      <c r="E1961" t="s">
        <v>5777</v>
      </c>
      <c r="H1961" t="s">
        <v>5776</v>
      </c>
    </row>
    <row r="1962" spans="2:8" x14ac:dyDescent="0.25">
      <c r="B1962" t="s">
        <v>5778</v>
      </c>
      <c r="C1962" t="s">
        <v>5779</v>
      </c>
      <c r="D1962" t="s">
        <v>5780</v>
      </c>
      <c r="E1962" t="s">
        <v>5780</v>
      </c>
      <c r="H1962" t="s">
        <v>5778</v>
      </c>
    </row>
    <row r="1963" spans="2:8" x14ac:dyDescent="0.25">
      <c r="B1963" t="s">
        <v>5781</v>
      </c>
      <c r="C1963" t="s">
        <v>5779</v>
      </c>
      <c r="D1963" t="s">
        <v>5782</v>
      </c>
      <c r="E1963" t="s">
        <v>5782</v>
      </c>
      <c r="H1963" t="s">
        <v>5781</v>
      </c>
    </row>
    <row r="1964" spans="2:8" x14ac:dyDescent="0.25">
      <c r="B1964" t="s">
        <v>5783</v>
      </c>
      <c r="C1964" t="s">
        <v>5779</v>
      </c>
      <c r="D1964" t="s">
        <v>5784</v>
      </c>
      <c r="E1964" t="s">
        <v>5784</v>
      </c>
      <c r="H1964" t="s">
        <v>5783</v>
      </c>
    </row>
    <row r="1965" spans="2:8" x14ac:dyDescent="0.25">
      <c r="B1965" t="s">
        <v>5785</v>
      </c>
      <c r="C1965" t="s">
        <v>5779</v>
      </c>
      <c r="D1965" t="s">
        <v>5786</v>
      </c>
      <c r="E1965" t="s">
        <v>5786</v>
      </c>
      <c r="H1965" t="s">
        <v>5785</v>
      </c>
    </row>
    <row r="1966" spans="2:8" x14ac:dyDescent="0.25">
      <c r="B1966" t="s">
        <v>3610</v>
      </c>
      <c r="C1966" t="s">
        <v>3611</v>
      </c>
      <c r="D1966" t="s">
        <v>3612</v>
      </c>
      <c r="E1966" t="s">
        <v>3612</v>
      </c>
      <c r="H1966" t="s">
        <v>3610</v>
      </c>
    </row>
    <row r="1967" spans="2:8" x14ac:dyDescent="0.25">
      <c r="B1967" t="s">
        <v>3613</v>
      </c>
      <c r="C1967" t="s">
        <v>3611</v>
      </c>
      <c r="D1967" t="s">
        <v>3614</v>
      </c>
      <c r="E1967" t="s">
        <v>3614</v>
      </c>
      <c r="H1967" t="s">
        <v>3613</v>
      </c>
    </row>
    <row r="1968" spans="2:8" x14ac:dyDescent="0.25">
      <c r="B1968" t="s">
        <v>3615</v>
      </c>
      <c r="C1968" t="s">
        <v>3611</v>
      </c>
      <c r="D1968" t="s">
        <v>3616</v>
      </c>
      <c r="E1968" t="s">
        <v>3616</v>
      </c>
      <c r="H1968" t="s">
        <v>3615</v>
      </c>
    </row>
    <row r="1969" spans="2:8" x14ac:dyDescent="0.25">
      <c r="B1969" t="s">
        <v>5787</v>
      </c>
      <c r="C1969" t="s">
        <v>5788</v>
      </c>
      <c r="D1969" t="s">
        <v>5789</v>
      </c>
      <c r="E1969" t="s">
        <v>5789</v>
      </c>
      <c r="H1969" t="s">
        <v>5787</v>
      </c>
    </row>
    <row r="1970" spans="2:8" x14ac:dyDescent="0.25">
      <c r="B1970" t="s">
        <v>5790</v>
      </c>
      <c r="C1970" t="s">
        <v>5788</v>
      </c>
      <c r="D1970" t="s">
        <v>5791</v>
      </c>
      <c r="E1970" t="s">
        <v>5791</v>
      </c>
      <c r="H1970" t="s">
        <v>5790</v>
      </c>
    </row>
    <row r="1971" spans="2:8" x14ac:dyDescent="0.25">
      <c r="B1971" t="s">
        <v>5792</v>
      </c>
      <c r="C1971" t="s">
        <v>5788</v>
      </c>
      <c r="D1971" t="s">
        <v>5793</v>
      </c>
      <c r="E1971" t="s">
        <v>5793</v>
      </c>
      <c r="H1971" t="s">
        <v>5792</v>
      </c>
    </row>
    <row r="1972" spans="2:8" x14ac:dyDescent="0.25">
      <c r="B1972" t="s">
        <v>3617</v>
      </c>
      <c r="C1972" t="s">
        <v>3618</v>
      </c>
      <c r="D1972" t="s">
        <v>3619</v>
      </c>
      <c r="E1972" t="s">
        <v>3619</v>
      </c>
      <c r="H1972" t="s">
        <v>3617</v>
      </c>
    </row>
    <row r="1973" spans="2:8" x14ac:dyDescent="0.25">
      <c r="B1973" t="s">
        <v>3620</v>
      </c>
      <c r="C1973" t="s">
        <v>3618</v>
      </c>
      <c r="D1973" t="s">
        <v>3621</v>
      </c>
      <c r="E1973" t="s">
        <v>3621</v>
      </c>
      <c r="H1973" t="s">
        <v>3620</v>
      </c>
    </row>
    <row r="1974" spans="2:8" x14ac:dyDescent="0.25">
      <c r="B1974" t="s">
        <v>3622</v>
      </c>
      <c r="C1974" t="s">
        <v>3618</v>
      </c>
      <c r="D1974" t="s">
        <v>3623</v>
      </c>
      <c r="E1974" t="s">
        <v>3623</v>
      </c>
      <c r="H1974" t="s">
        <v>3622</v>
      </c>
    </row>
    <row r="1975" spans="2:8" x14ac:dyDescent="0.25">
      <c r="B1975" t="s">
        <v>5794</v>
      </c>
      <c r="C1975" t="s">
        <v>5795</v>
      </c>
      <c r="D1975" t="s">
        <v>5796</v>
      </c>
      <c r="E1975" t="s">
        <v>5796</v>
      </c>
      <c r="H1975" t="s">
        <v>5794</v>
      </c>
    </row>
    <row r="1976" spans="2:8" x14ac:dyDescent="0.25">
      <c r="B1976" t="s">
        <v>5797</v>
      </c>
      <c r="C1976" t="s">
        <v>5795</v>
      </c>
      <c r="D1976" t="s">
        <v>5798</v>
      </c>
      <c r="E1976" t="s">
        <v>5798</v>
      </c>
      <c r="H1976" t="s">
        <v>5797</v>
      </c>
    </row>
    <row r="1977" spans="2:8" x14ac:dyDescent="0.25">
      <c r="B1977" t="s">
        <v>5799</v>
      </c>
      <c r="C1977" t="s">
        <v>5795</v>
      </c>
      <c r="D1977" t="s">
        <v>5800</v>
      </c>
      <c r="E1977" t="s">
        <v>5800</v>
      </c>
      <c r="H1977" t="s">
        <v>5799</v>
      </c>
    </row>
    <row r="1978" spans="2:8" x14ac:dyDescent="0.25">
      <c r="B1978" t="s">
        <v>3624</v>
      </c>
      <c r="C1978" t="s">
        <v>3625</v>
      </c>
      <c r="D1978" t="s">
        <v>3626</v>
      </c>
      <c r="E1978" t="s">
        <v>3626</v>
      </c>
      <c r="H1978" t="s">
        <v>3624</v>
      </c>
    </row>
    <row r="1979" spans="2:8" x14ac:dyDescent="0.25">
      <c r="B1979" t="s">
        <v>3627</v>
      </c>
      <c r="C1979" t="s">
        <v>3625</v>
      </c>
      <c r="D1979" t="s">
        <v>3628</v>
      </c>
      <c r="E1979" t="s">
        <v>3628</v>
      </c>
      <c r="H1979" t="s">
        <v>3627</v>
      </c>
    </row>
    <row r="1980" spans="2:8" x14ac:dyDescent="0.25">
      <c r="B1980" t="s">
        <v>3629</v>
      </c>
      <c r="C1980" t="s">
        <v>3625</v>
      </c>
      <c r="D1980" t="s">
        <v>3630</v>
      </c>
      <c r="E1980" t="s">
        <v>3630</v>
      </c>
      <c r="H1980" t="s">
        <v>3629</v>
      </c>
    </row>
    <row r="1981" spans="2:8" x14ac:dyDescent="0.25">
      <c r="B1981" t="s">
        <v>5801</v>
      </c>
      <c r="C1981" t="s">
        <v>3632</v>
      </c>
      <c r="D1981" t="s">
        <v>5802</v>
      </c>
      <c r="E1981" t="s">
        <v>5802</v>
      </c>
      <c r="H1981" t="s">
        <v>5801</v>
      </c>
    </row>
    <row r="1982" spans="2:8" x14ac:dyDescent="0.25">
      <c r="B1982" t="s">
        <v>3631</v>
      </c>
      <c r="C1982" t="s">
        <v>3632</v>
      </c>
      <c r="D1982" t="s">
        <v>3633</v>
      </c>
      <c r="E1982" t="s">
        <v>3633</v>
      </c>
      <c r="H1982" t="s">
        <v>3631</v>
      </c>
    </row>
    <row r="1983" spans="2:8" x14ac:dyDescent="0.25">
      <c r="B1983" t="s">
        <v>3634</v>
      </c>
      <c r="C1983" t="s">
        <v>3635</v>
      </c>
      <c r="D1983" t="s">
        <v>3636</v>
      </c>
      <c r="E1983" t="s">
        <v>3636</v>
      </c>
      <c r="H1983" t="s">
        <v>3634</v>
      </c>
    </row>
    <row r="1984" spans="2:8" x14ac:dyDescent="0.25">
      <c r="B1984" t="s">
        <v>3637</v>
      </c>
      <c r="C1984" t="s">
        <v>3635</v>
      </c>
      <c r="D1984" t="s">
        <v>3638</v>
      </c>
      <c r="E1984" t="s">
        <v>3638</v>
      </c>
      <c r="H1984" t="s">
        <v>3637</v>
      </c>
    </row>
    <row r="1985" spans="2:8" x14ac:dyDescent="0.25">
      <c r="B1985" t="s">
        <v>3641</v>
      </c>
      <c r="C1985" t="s">
        <v>3642</v>
      </c>
      <c r="D1985" t="s">
        <v>3643</v>
      </c>
      <c r="E1985" t="s">
        <v>3643</v>
      </c>
      <c r="H1985" t="s">
        <v>3641</v>
      </c>
    </row>
    <row r="1986" spans="2:8" x14ac:dyDescent="0.25">
      <c r="B1986" t="s">
        <v>3644</v>
      </c>
      <c r="C1986" t="s">
        <v>3642</v>
      </c>
      <c r="D1986" t="s">
        <v>3645</v>
      </c>
      <c r="E1986" t="s">
        <v>3645</v>
      </c>
      <c r="H1986" t="s">
        <v>3644</v>
      </c>
    </row>
    <row r="1987" spans="2:8" x14ac:dyDescent="0.25">
      <c r="B1987" t="s">
        <v>3646</v>
      </c>
      <c r="C1987" t="s">
        <v>3642</v>
      </c>
      <c r="D1987" t="s">
        <v>3647</v>
      </c>
      <c r="E1987" t="s">
        <v>3647</v>
      </c>
      <c r="H1987" t="s">
        <v>3646</v>
      </c>
    </row>
    <row r="1988" spans="2:8" x14ac:dyDescent="0.25">
      <c r="B1988" t="s">
        <v>5805</v>
      </c>
      <c r="C1988" t="s">
        <v>5806</v>
      </c>
      <c r="D1988" t="s">
        <v>5807</v>
      </c>
      <c r="E1988" t="s">
        <v>5807</v>
      </c>
      <c r="H1988" t="s">
        <v>5805</v>
      </c>
    </row>
    <row r="1989" spans="2:8" x14ac:dyDescent="0.25">
      <c r="B1989" t="s">
        <v>5808</v>
      </c>
      <c r="C1989" t="s">
        <v>5809</v>
      </c>
      <c r="D1989" t="s">
        <v>5810</v>
      </c>
      <c r="E1989" t="s">
        <v>5810</v>
      </c>
      <c r="H1989" t="s">
        <v>5808</v>
      </c>
    </row>
    <row r="1990" spans="2:8" x14ac:dyDescent="0.25">
      <c r="B1990" t="s">
        <v>5811</v>
      </c>
      <c r="C1990" t="s">
        <v>5812</v>
      </c>
      <c r="D1990" t="s">
        <v>5813</v>
      </c>
      <c r="E1990" t="s">
        <v>5813</v>
      </c>
      <c r="H1990" t="s">
        <v>5811</v>
      </c>
    </row>
    <row r="1991" spans="2:8" x14ac:dyDescent="0.25">
      <c r="B1991" t="s">
        <v>5814</v>
      </c>
      <c r="C1991" t="s">
        <v>5815</v>
      </c>
      <c r="D1991" t="s">
        <v>5816</v>
      </c>
      <c r="E1991" t="s">
        <v>5816</v>
      </c>
      <c r="H1991" t="s">
        <v>5814</v>
      </c>
    </row>
    <row r="1992" spans="2:8" x14ac:dyDescent="0.25">
      <c r="B1992" t="s">
        <v>5817</v>
      </c>
      <c r="C1992" t="s">
        <v>5818</v>
      </c>
      <c r="D1992" t="s">
        <v>5819</v>
      </c>
      <c r="E1992" t="s">
        <v>5819</v>
      </c>
      <c r="H1992" t="s">
        <v>5817</v>
      </c>
    </row>
    <row r="1993" spans="2:8" x14ac:dyDescent="0.25">
      <c r="B1993" t="s">
        <v>5820</v>
      </c>
      <c r="C1993" t="s">
        <v>5821</v>
      </c>
      <c r="D1993" t="s">
        <v>5822</v>
      </c>
      <c r="E1993" t="s">
        <v>5822</v>
      </c>
      <c r="H1993" t="s">
        <v>5820</v>
      </c>
    </row>
    <row r="1994" spans="2:8" x14ac:dyDescent="0.25">
      <c r="B1994" t="s">
        <v>3648</v>
      </c>
      <c r="C1994" t="s">
        <v>3649</v>
      </c>
      <c r="D1994" t="s">
        <v>3650</v>
      </c>
      <c r="E1994" t="s">
        <v>3650</v>
      </c>
      <c r="H1994" t="s">
        <v>3648</v>
      </c>
    </row>
    <row r="1995" spans="2:8" x14ac:dyDescent="0.25">
      <c r="B1995" t="s">
        <v>3651</v>
      </c>
      <c r="C1995" t="s">
        <v>3652</v>
      </c>
      <c r="D1995" t="s">
        <v>3653</v>
      </c>
      <c r="E1995" t="s">
        <v>3653</v>
      </c>
      <c r="H1995" t="s">
        <v>3651</v>
      </c>
    </row>
    <row r="1996" spans="2:8" x14ac:dyDescent="0.25">
      <c r="B1996" t="s">
        <v>3654</v>
      </c>
      <c r="C1996" t="s">
        <v>3655</v>
      </c>
      <c r="D1996" t="s">
        <v>3656</v>
      </c>
      <c r="E1996" t="s">
        <v>3656</v>
      </c>
      <c r="H1996" t="s">
        <v>3654</v>
      </c>
    </row>
    <row r="1997" spans="2:8" x14ac:dyDescent="0.25">
      <c r="B1997" t="s">
        <v>3657</v>
      </c>
      <c r="C1997" t="s">
        <v>3658</v>
      </c>
      <c r="D1997" t="s">
        <v>3659</v>
      </c>
      <c r="E1997" t="s">
        <v>3659</v>
      </c>
      <c r="H1997" t="s">
        <v>3657</v>
      </c>
    </row>
    <row r="1998" spans="2:8" x14ac:dyDescent="0.25">
      <c r="B1998" t="s">
        <v>3660</v>
      </c>
      <c r="C1998" t="s">
        <v>3661</v>
      </c>
      <c r="D1998" t="s">
        <v>3662</v>
      </c>
      <c r="E1998" t="s">
        <v>3662</v>
      </c>
      <c r="H1998" t="s">
        <v>3660</v>
      </c>
    </row>
    <row r="1999" spans="2:8" x14ac:dyDescent="0.25">
      <c r="B1999" t="s">
        <v>3663</v>
      </c>
      <c r="C1999" t="s">
        <v>3664</v>
      </c>
      <c r="D1999" t="s">
        <v>3665</v>
      </c>
      <c r="E1999" t="s">
        <v>3665</v>
      </c>
      <c r="H1999" t="s">
        <v>3663</v>
      </c>
    </row>
    <row r="2000" spans="2:8" x14ac:dyDescent="0.25">
      <c r="B2000" t="s">
        <v>5823</v>
      </c>
      <c r="C2000" t="s">
        <v>5824</v>
      </c>
      <c r="D2000" t="s">
        <v>5825</v>
      </c>
      <c r="E2000" t="s">
        <v>5825</v>
      </c>
      <c r="H2000" t="s">
        <v>5823</v>
      </c>
    </row>
    <row r="2001" spans="2:8" x14ac:dyDescent="0.25">
      <c r="B2001" t="s">
        <v>5826</v>
      </c>
      <c r="C2001" t="s">
        <v>5827</v>
      </c>
      <c r="D2001" t="s">
        <v>5828</v>
      </c>
      <c r="E2001" t="s">
        <v>5828</v>
      </c>
      <c r="H2001" t="s">
        <v>5826</v>
      </c>
    </row>
    <row r="2002" spans="2:8" x14ac:dyDescent="0.25">
      <c r="B2002" t="s">
        <v>5829</v>
      </c>
      <c r="C2002" t="s">
        <v>5830</v>
      </c>
      <c r="D2002" t="s">
        <v>5831</v>
      </c>
      <c r="E2002" t="s">
        <v>5831</v>
      </c>
      <c r="H2002" t="s">
        <v>5829</v>
      </c>
    </row>
    <row r="2003" spans="2:8" x14ac:dyDescent="0.25">
      <c r="B2003" t="s">
        <v>5832</v>
      </c>
      <c r="C2003" t="s">
        <v>5833</v>
      </c>
      <c r="D2003" t="s">
        <v>5834</v>
      </c>
      <c r="E2003" t="s">
        <v>5834</v>
      </c>
      <c r="H2003" t="s">
        <v>5832</v>
      </c>
    </row>
    <row r="2004" spans="2:8" x14ac:dyDescent="0.25">
      <c r="B2004" t="s">
        <v>3666</v>
      </c>
      <c r="C2004" t="s">
        <v>3667</v>
      </c>
      <c r="D2004" t="s">
        <v>3668</v>
      </c>
      <c r="E2004" t="s">
        <v>3668</v>
      </c>
      <c r="H2004" t="s">
        <v>3666</v>
      </c>
    </row>
    <row r="2005" spans="2:8" x14ac:dyDescent="0.25">
      <c r="B2005" t="s">
        <v>3669</v>
      </c>
      <c r="C2005" t="s">
        <v>3670</v>
      </c>
      <c r="D2005" t="s">
        <v>3671</v>
      </c>
      <c r="E2005" t="s">
        <v>3671</v>
      </c>
      <c r="H2005" t="s">
        <v>3669</v>
      </c>
    </row>
    <row r="2006" spans="2:8" x14ac:dyDescent="0.25">
      <c r="B2006" t="s">
        <v>3672</v>
      </c>
      <c r="C2006" t="s">
        <v>3673</v>
      </c>
      <c r="D2006" t="s">
        <v>3674</v>
      </c>
      <c r="E2006" t="s">
        <v>3674</v>
      </c>
      <c r="H2006" t="s">
        <v>3672</v>
      </c>
    </row>
    <row r="2007" spans="2:8" x14ac:dyDescent="0.25">
      <c r="B2007" t="s">
        <v>5835</v>
      </c>
      <c r="C2007" t="s">
        <v>5836</v>
      </c>
      <c r="D2007" t="s">
        <v>5837</v>
      </c>
      <c r="E2007" t="s">
        <v>5837</v>
      </c>
      <c r="H2007" t="s">
        <v>5835</v>
      </c>
    </row>
    <row r="2008" spans="2:8" x14ac:dyDescent="0.25">
      <c r="B2008" t="s">
        <v>5838</v>
      </c>
      <c r="C2008" t="s">
        <v>5839</v>
      </c>
      <c r="D2008" t="s">
        <v>5840</v>
      </c>
      <c r="E2008" t="s">
        <v>5840</v>
      </c>
      <c r="H2008" t="s">
        <v>5838</v>
      </c>
    </row>
    <row r="2009" spans="2:8" x14ac:dyDescent="0.25">
      <c r="B2009" t="s">
        <v>5841</v>
      </c>
      <c r="C2009" t="s">
        <v>5842</v>
      </c>
      <c r="D2009" t="s">
        <v>5843</v>
      </c>
      <c r="E2009" t="s">
        <v>5843</v>
      </c>
      <c r="H2009" t="s">
        <v>5841</v>
      </c>
    </row>
    <row r="2010" spans="2:8" x14ac:dyDescent="0.25">
      <c r="B2010" t="s">
        <v>5844</v>
      </c>
      <c r="C2010" t="s">
        <v>5845</v>
      </c>
      <c r="D2010" t="s">
        <v>5846</v>
      </c>
      <c r="E2010" t="s">
        <v>5846</v>
      </c>
      <c r="H2010" t="s">
        <v>5844</v>
      </c>
    </row>
    <row r="2011" spans="2:8" x14ac:dyDescent="0.25">
      <c r="B2011" t="s">
        <v>5847</v>
      </c>
      <c r="C2011" t="s">
        <v>5848</v>
      </c>
      <c r="D2011" t="s">
        <v>5849</v>
      </c>
      <c r="E2011" t="s">
        <v>5849</v>
      </c>
      <c r="H2011" t="s">
        <v>5847</v>
      </c>
    </row>
    <row r="2012" spans="2:8" x14ac:dyDescent="0.25">
      <c r="B2012" t="s">
        <v>5850</v>
      </c>
      <c r="C2012" t="s">
        <v>5851</v>
      </c>
      <c r="D2012" t="s">
        <v>5852</v>
      </c>
      <c r="E2012" t="s">
        <v>5852</v>
      </c>
      <c r="H2012" t="s">
        <v>5850</v>
      </c>
    </row>
    <row r="2013" spans="2:8" x14ac:dyDescent="0.25">
      <c r="B2013" t="s">
        <v>5853</v>
      </c>
      <c r="C2013" t="s">
        <v>5854</v>
      </c>
      <c r="D2013" t="s">
        <v>5855</v>
      </c>
      <c r="E2013" t="s">
        <v>5855</v>
      </c>
      <c r="H2013" t="s">
        <v>5853</v>
      </c>
    </row>
    <row r="2014" spans="2:8" x14ac:dyDescent="0.25">
      <c r="B2014" t="s">
        <v>5856</v>
      </c>
      <c r="C2014" t="s">
        <v>5857</v>
      </c>
      <c r="D2014" t="s">
        <v>5858</v>
      </c>
      <c r="E2014" t="s">
        <v>5858</v>
      </c>
      <c r="H2014" t="s">
        <v>5856</v>
      </c>
    </row>
    <row r="2015" spans="2:8" x14ac:dyDescent="0.25">
      <c r="B2015" t="s">
        <v>5859</v>
      </c>
      <c r="C2015" t="s">
        <v>5860</v>
      </c>
      <c r="D2015" t="s">
        <v>5861</v>
      </c>
      <c r="E2015" t="s">
        <v>5861</v>
      </c>
      <c r="H2015" t="s">
        <v>5859</v>
      </c>
    </row>
    <row r="2016" spans="2:8" x14ac:dyDescent="0.25">
      <c r="B2016" t="s">
        <v>5862</v>
      </c>
      <c r="C2016" t="s">
        <v>5863</v>
      </c>
      <c r="D2016" t="s">
        <v>5864</v>
      </c>
      <c r="E2016" t="s">
        <v>5864</v>
      </c>
      <c r="H2016" t="s">
        <v>5862</v>
      </c>
    </row>
    <row r="2017" spans="2:8" x14ac:dyDescent="0.25">
      <c r="B2017" t="s">
        <v>5865</v>
      </c>
      <c r="C2017" t="s">
        <v>5863</v>
      </c>
      <c r="D2017" t="s">
        <v>5866</v>
      </c>
      <c r="E2017" t="s">
        <v>5866</v>
      </c>
      <c r="H2017" t="s">
        <v>5865</v>
      </c>
    </row>
    <row r="2018" spans="2:8" x14ac:dyDescent="0.25">
      <c r="B2018" t="s">
        <v>5867</v>
      </c>
      <c r="C2018" t="s">
        <v>5868</v>
      </c>
      <c r="D2018" t="s">
        <v>5869</v>
      </c>
      <c r="E2018" t="s">
        <v>5869</v>
      </c>
      <c r="H2018" t="s">
        <v>5867</v>
      </c>
    </row>
    <row r="2019" spans="2:8" x14ac:dyDescent="0.25">
      <c r="B2019" t="s">
        <v>5870</v>
      </c>
      <c r="C2019" t="s">
        <v>5871</v>
      </c>
      <c r="D2019" t="s">
        <v>5872</v>
      </c>
      <c r="E2019" t="s">
        <v>5872</v>
      </c>
      <c r="H2019" t="s">
        <v>5870</v>
      </c>
    </row>
    <row r="2020" spans="2:8" x14ac:dyDescent="0.25">
      <c r="B2020" t="s">
        <v>5873</v>
      </c>
      <c r="C2020" t="s">
        <v>5874</v>
      </c>
      <c r="D2020" t="s">
        <v>5875</v>
      </c>
      <c r="E2020" t="s">
        <v>5875</v>
      </c>
      <c r="H2020" t="s">
        <v>5873</v>
      </c>
    </row>
    <row r="2021" spans="2:8" x14ac:dyDescent="0.25">
      <c r="B2021" t="s">
        <v>5876</v>
      </c>
      <c r="C2021" t="s">
        <v>5877</v>
      </c>
      <c r="D2021" t="s">
        <v>5878</v>
      </c>
      <c r="E2021" t="s">
        <v>5878</v>
      </c>
      <c r="H2021" t="s">
        <v>5876</v>
      </c>
    </row>
    <row r="2022" spans="2:8" x14ac:dyDescent="0.25">
      <c r="B2022" t="s">
        <v>5879</v>
      </c>
      <c r="C2022" t="s">
        <v>5874</v>
      </c>
      <c r="D2022" t="s">
        <v>5880</v>
      </c>
      <c r="E2022" t="s">
        <v>5880</v>
      </c>
      <c r="H2022" t="s">
        <v>5879</v>
      </c>
    </row>
    <row r="2023" spans="2:8" x14ac:dyDescent="0.25">
      <c r="B2023" t="s">
        <v>5881</v>
      </c>
      <c r="C2023" t="s">
        <v>5877</v>
      </c>
      <c r="D2023" t="s">
        <v>5882</v>
      </c>
      <c r="E2023" t="s">
        <v>5882</v>
      </c>
      <c r="H2023" t="s">
        <v>5881</v>
      </c>
    </row>
    <row r="2024" spans="2:8" x14ac:dyDescent="0.25">
      <c r="B2024" t="s">
        <v>5883</v>
      </c>
      <c r="C2024" t="s">
        <v>5884</v>
      </c>
      <c r="D2024" t="s">
        <v>5885</v>
      </c>
      <c r="E2024" t="s">
        <v>5885</v>
      </c>
      <c r="H2024" t="s">
        <v>5883</v>
      </c>
    </row>
    <row r="2025" spans="2:8" x14ac:dyDescent="0.25">
      <c r="B2025" t="s">
        <v>5886</v>
      </c>
      <c r="C2025" t="s">
        <v>5887</v>
      </c>
      <c r="D2025" t="s">
        <v>5888</v>
      </c>
      <c r="E2025" t="s">
        <v>5888</v>
      </c>
      <c r="H2025" t="s">
        <v>5886</v>
      </c>
    </row>
    <row r="2026" spans="2:8" x14ac:dyDescent="0.25">
      <c r="B2026" t="s">
        <v>5889</v>
      </c>
      <c r="C2026" t="s">
        <v>5887</v>
      </c>
      <c r="D2026" t="s">
        <v>5890</v>
      </c>
      <c r="E2026" t="s">
        <v>5890</v>
      </c>
      <c r="H2026" t="s">
        <v>5889</v>
      </c>
    </row>
    <row r="2027" spans="2:8" x14ac:dyDescent="0.25">
      <c r="B2027" t="s">
        <v>5891</v>
      </c>
      <c r="C2027" t="s">
        <v>3478</v>
      </c>
      <c r="D2027" t="s">
        <v>5892</v>
      </c>
      <c r="E2027" t="s">
        <v>5892</v>
      </c>
      <c r="H2027" t="s">
        <v>5891</v>
      </c>
    </row>
    <row r="2028" spans="2:8" x14ac:dyDescent="0.25">
      <c r="B2028" t="s">
        <v>5942</v>
      </c>
      <c r="C2028" t="s">
        <v>5943</v>
      </c>
      <c r="D2028" t="s">
        <v>5944</v>
      </c>
      <c r="E2028" t="s">
        <v>5944</v>
      </c>
      <c r="H2028" t="s">
        <v>5942</v>
      </c>
    </row>
    <row r="2029" spans="2:8" x14ac:dyDescent="0.25">
      <c r="B2029" t="s">
        <v>5945</v>
      </c>
      <c r="C2029" t="s">
        <v>5943</v>
      </c>
      <c r="D2029" t="s">
        <v>5946</v>
      </c>
      <c r="E2029" t="s">
        <v>5946</v>
      </c>
      <c r="H2029" t="s">
        <v>5945</v>
      </c>
    </row>
    <row r="2030" spans="2:8" x14ac:dyDescent="0.25">
      <c r="B2030" t="s">
        <v>5947</v>
      </c>
      <c r="C2030" t="s">
        <v>5948</v>
      </c>
      <c r="D2030" t="s">
        <v>5949</v>
      </c>
      <c r="E2030" t="s">
        <v>5949</v>
      </c>
      <c r="H2030" t="s">
        <v>5947</v>
      </c>
    </row>
    <row r="2031" spans="2:8" x14ac:dyDescent="0.25">
      <c r="B2031" t="s">
        <v>5950</v>
      </c>
      <c r="C2031" t="s">
        <v>5948</v>
      </c>
      <c r="D2031" t="s">
        <v>5951</v>
      </c>
      <c r="E2031" t="s">
        <v>5951</v>
      </c>
      <c r="H2031" t="s">
        <v>5950</v>
      </c>
    </row>
    <row r="2032" spans="2:8" x14ac:dyDescent="0.25">
      <c r="B2032" t="s">
        <v>5958</v>
      </c>
      <c r="C2032" t="s">
        <v>5959</v>
      </c>
      <c r="D2032" t="s">
        <v>5960</v>
      </c>
      <c r="E2032" t="s">
        <v>5960</v>
      </c>
      <c r="H2032" t="s">
        <v>5958</v>
      </c>
    </row>
    <row r="2033" spans="2:8" x14ac:dyDescent="0.25">
      <c r="B2033" t="s">
        <v>5961</v>
      </c>
      <c r="C2033" t="s">
        <v>5959</v>
      </c>
      <c r="D2033" t="s">
        <v>5962</v>
      </c>
      <c r="E2033" t="s">
        <v>5962</v>
      </c>
      <c r="H2033" t="s">
        <v>5961</v>
      </c>
    </row>
    <row r="2034" spans="2:8" x14ac:dyDescent="0.25">
      <c r="B2034" t="s">
        <v>5963</v>
      </c>
      <c r="C2034" t="s">
        <v>5964</v>
      </c>
      <c r="D2034" t="s">
        <v>5965</v>
      </c>
      <c r="E2034" t="s">
        <v>5965</v>
      </c>
      <c r="H2034" t="s">
        <v>5963</v>
      </c>
    </row>
    <row r="2035" spans="2:8" x14ac:dyDescent="0.25">
      <c r="B2035" t="s">
        <v>5966</v>
      </c>
      <c r="C2035" t="s">
        <v>5964</v>
      </c>
      <c r="D2035" t="s">
        <v>5967</v>
      </c>
      <c r="E2035" t="s">
        <v>5967</v>
      </c>
      <c r="H2035" t="s">
        <v>5966</v>
      </c>
    </row>
    <row r="2036" spans="2:8" x14ac:dyDescent="0.25">
      <c r="B2036" t="s">
        <v>5968</v>
      </c>
      <c r="C2036" t="s">
        <v>5969</v>
      </c>
      <c r="D2036" t="s">
        <v>5970</v>
      </c>
      <c r="E2036" t="s">
        <v>5970</v>
      </c>
      <c r="H2036" t="s">
        <v>5968</v>
      </c>
    </row>
    <row r="2037" spans="2:8" x14ac:dyDescent="0.25">
      <c r="B2037" t="s">
        <v>5971</v>
      </c>
      <c r="C2037" t="s">
        <v>5969</v>
      </c>
      <c r="D2037" t="s">
        <v>5972</v>
      </c>
      <c r="E2037" t="s">
        <v>5972</v>
      </c>
      <c r="H2037" t="s">
        <v>5971</v>
      </c>
    </row>
    <row r="2038" spans="2:8" x14ac:dyDescent="0.25">
      <c r="B2038" t="s">
        <v>5973</v>
      </c>
      <c r="C2038" t="s">
        <v>5974</v>
      </c>
      <c r="D2038" t="s">
        <v>5975</v>
      </c>
      <c r="E2038" t="s">
        <v>5975</v>
      </c>
      <c r="H2038" t="s">
        <v>5973</v>
      </c>
    </row>
    <row r="2039" spans="2:8" x14ac:dyDescent="0.25">
      <c r="B2039" t="s">
        <v>5976</v>
      </c>
      <c r="C2039" t="s">
        <v>5974</v>
      </c>
      <c r="D2039" t="s">
        <v>5977</v>
      </c>
      <c r="E2039" t="s">
        <v>5977</v>
      </c>
      <c r="H2039" t="s">
        <v>5976</v>
      </c>
    </row>
    <row r="2040" spans="2:8" x14ac:dyDescent="0.25">
      <c r="B2040" t="s">
        <v>5978</v>
      </c>
      <c r="C2040" t="s">
        <v>5979</v>
      </c>
      <c r="D2040" t="s">
        <v>5980</v>
      </c>
      <c r="E2040" t="s">
        <v>5980</v>
      </c>
      <c r="H2040" t="s">
        <v>5978</v>
      </c>
    </row>
    <row r="2041" spans="2:8" x14ac:dyDescent="0.25">
      <c r="B2041" t="s">
        <v>5981</v>
      </c>
      <c r="C2041" t="s">
        <v>5979</v>
      </c>
      <c r="D2041" t="s">
        <v>5982</v>
      </c>
      <c r="E2041" t="s">
        <v>5982</v>
      </c>
      <c r="H2041" t="s">
        <v>5981</v>
      </c>
    </row>
    <row r="2042" spans="2:8" x14ac:dyDescent="0.25">
      <c r="B2042" t="s">
        <v>5983</v>
      </c>
      <c r="C2042" t="s">
        <v>5984</v>
      </c>
      <c r="D2042" t="s">
        <v>5985</v>
      </c>
      <c r="E2042" t="s">
        <v>5985</v>
      </c>
      <c r="H2042" t="s">
        <v>5983</v>
      </c>
    </row>
    <row r="2043" spans="2:8" x14ac:dyDescent="0.25">
      <c r="B2043" t="s">
        <v>5986</v>
      </c>
      <c r="C2043" t="s">
        <v>5984</v>
      </c>
      <c r="D2043" t="s">
        <v>5987</v>
      </c>
      <c r="E2043" t="s">
        <v>5987</v>
      </c>
      <c r="H2043" t="s">
        <v>5986</v>
      </c>
    </row>
    <row r="2044" spans="2:8" x14ac:dyDescent="0.25">
      <c r="B2044" t="s">
        <v>5988</v>
      </c>
      <c r="C2044" t="s">
        <v>2113</v>
      </c>
      <c r="D2044" t="s">
        <v>5989</v>
      </c>
      <c r="E2044" t="s">
        <v>5989</v>
      </c>
      <c r="H2044" t="s">
        <v>5988</v>
      </c>
    </row>
    <row r="2045" spans="2:8" x14ac:dyDescent="0.25">
      <c r="B2045" t="s">
        <v>5990</v>
      </c>
      <c r="C2045" t="s">
        <v>2113</v>
      </c>
      <c r="D2045" t="s">
        <v>5991</v>
      </c>
      <c r="E2045" t="s">
        <v>5991</v>
      </c>
      <c r="H2045" t="s">
        <v>5990</v>
      </c>
    </row>
    <row r="2046" spans="2:8" x14ac:dyDescent="0.25">
      <c r="B2046" t="s">
        <v>5992</v>
      </c>
      <c r="C2046" t="s">
        <v>5993</v>
      </c>
      <c r="D2046" t="s">
        <v>5994</v>
      </c>
      <c r="E2046" t="s">
        <v>5994</v>
      </c>
      <c r="H2046" t="s">
        <v>5992</v>
      </c>
    </row>
    <row r="2047" spans="2:8" x14ac:dyDescent="0.25">
      <c r="B2047" t="s">
        <v>5995</v>
      </c>
      <c r="C2047" t="s">
        <v>5993</v>
      </c>
      <c r="D2047" t="s">
        <v>5996</v>
      </c>
      <c r="E2047" t="s">
        <v>5996</v>
      </c>
      <c r="H2047" t="s">
        <v>5995</v>
      </c>
    </row>
    <row r="2048" spans="2:8" x14ac:dyDescent="0.25">
      <c r="B2048" t="s">
        <v>5997</v>
      </c>
      <c r="C2048" t="s">
        <v>5993</v>
      </c>
      <c r="D2048" t="s">
        <v>5998</v>
      </c>
      <c r="E2048" t="s">
        <v>5998</v>
      </c>
      <c r="H2048" t="s">
        <v>5997</v>
      </c>
    </row>
    <row r="2049" spans="2:8" x14ac:dyDescent="0.25">
      <c r="B2049" t="s">
        <v>6002</v>
      </c>
      <c r="C2049" t="s">
        <v>6000</v>
      </c>
      <c r="D2049" t="s">
        <v>6003</v>
      </c>
      <c r="E2049" t="s">
        <v>6003</v>
      </c>
      <c r="H2049" t="s">
        <v>6002</v>
      </c>
    </row>
    <row r="2050" spans="2:8" x14ac:dyDescent="0.25">
      <c r="B2050" t="s">
        <v>6006</v>
      </c>
      <c r="C2050" t="s">
        <v>6007</v>
      </c>
      <c r="D2050" t="s">
        <v>6008</v>
      </c>
      <c r="E2050" t="s">
        <v>6008</v>
      </c>
      <c r="H2050" t="s">
        <v>6006</v>
      </c>
    </row>
    <row r="2051" spans="2:8" x14ac:dyDescent="0.25">
      <c r="B2051" t="s">
        <v>6009</v>
      </c>
      <c r="C2051" t="s">
        <v>6007</v>
      </c>
      <c r="D2051" t="s">
        <v>6010</v>
      </c>
      <c r="E2051" t="s">
        <v>6010</v>
      </c>
      <c r="H2051" t="s">
        <v>6009</v>
      </c>
    </row>
    <row r="2052" spans="2:8" x14ac:dyDescent="0.25">
      <c r="B2052" t="s">
        <v>6011</v>
      </c>
      <c r="C2052" t="s">
        <v>6012</v>
      </c>
      <c r="D2052" t="s">
        <v>6013</v>
      </c>
      <c r="E2052" t="s">
        <v>6013</v>
      </c>
      <c r="H2052" t="s">
        <v>6011</v>
      </c>
    </row>
    <row r="2053" spans="2:8" x14ac:dyDescent="0.25">
      <c r="B2053" t="s">
        <v>6014</v>
      </c>
      <c r="C2053" t="s">
        <v>6015</v>
      </c>
      <c r="D2053" t="s">
        <v>6016</v>
      </c>
      <c r="E2053" t="s">
        <v>6016</v>
      </c>
      <c r="H2053" t="s">
        <v>6014</v>
      </c>
    </row>
    <row r="2054" spans="2:8" x14ac:dyDescent="0.25">
      <c r="B2054" t="s">
        <v>6017</v>
      </c>
      <c r="C2054" t="s">
        <v>6015</v>
      </c>
      <c r="D2054" t="s">
        <v>6018</v>
      </c>
      <c r="E2054" t="s">
        <v>6018</v>
      </c>
      <c r="H2054" t="s">
        <v>6017</v>
      </c>
    </row>
    <row r="2055" spans="2:8" x14ac:dyDescent="0.25">
      <c r="B2055" t="s">
        <v>6019</v>
      </c>
      <c r="C2055" t="s">
        <v>6015</v>
      </c>
      <c r="D2055" t="s">
        <v>6020</v>
      </c>
      <c r="E2055" t="s">
        <v>6020</v>
      </c>
      <c r="H2055" t="s">
        <v>6019</v>
      </c>
    </row>
    <row r="2056" spans="2:8" x14ac:dyDescent="0.25">
      <c r="B2056" t="s">
        <v>6021</v>
      </c>
      <c r="C2056" t="s">
        <v>6022</v>
      </c>
      <c r="D2056" t="s">
        <v>6023</v>
      </c>
      <c r="E2056" t="s">
        <v>6023</v>
      </c>
      <c r="H2056" t="s">
        <v>6021</v>
      </c>
    </row>
    <row r="2057" spans="2:8" x14ac:dyDescent="0.25">
      <c r="B2057" t="s">
        <v>6024</v>
      </c>
      <c r="C2057" t="s">
        <v>6022</v>
      </c>
      <c r="D2057" t="s">
        <v>6025</v>
      </c>
      <c r="E2057" t="s">
        <v>6025</v>
      </c>
      <c r="H2057" t="s">
        <v>6024</v>
      </c>
    </row>
    <row r="2058" spans="2:8" x14ac:dyDescent="0.25">
      <c r="B2058" t="s">
        <v>6026</v>
      </c>
      <c r="C2058" t="s">
        <v>6022</v>
      </c>
      <c r="D2058" t="s">
        <v>6027</v>
      </c>
      <c r="E2058" t="s">
        <v>6027</v>
      </c>
      <c r="H2058" t="s">
        <v>6026</v>
      </c>
    </row>
    <row r="2059" spans="2:8" x14ac:dyDescent="0.25">
      <c r="B2059" t="s">
        <v>6028</v>
      </c>
      <c r="C2059" t="s">
        <v>6029</v>
      </c>
      <c r="D2059" t="s">
        <v>6030</v>
      </c>
      <c r="E2059" t="s">
        <v>6030</v>
      </c>
      <c r="H2059" t="s">
        <v>6028</v>
      </c>
    </row>
    <row r="2060" spans="2:8" x14ac:dyDescent="0.25">
      <c r="B2060" t="s">
        <v>6031</v>
      </c>
      <c r="C2060" t="s">
        <v>6029</v>
      </c>
      <c r="D2060" t="s">
        <v>6032</v>
      </c>
      <c r="E2060" t="s">
        <v>6032</v>
      </c>
      <c r="H2060" t="s">
        <v>6031</v>
      </c>
    </row>
    <row r="2061" spans="2:8" x14ac:dyDescent="0.25">
      <c r="B2061" t="s">
        <v>6033</v>
      </c>
      <c r="C2061" t="s">
        <v>6029</v>
      </c>
      <c r="D2061" t="s">
        <v>6034</v>
      </c>
      <c r="E2061" t="s">
        <v>6034</v>
      </c>
      <c r="H2061" t="s">
        <v>6033</v>
      </c>
    </row>
    <row r="2062" spans="2:8" x14ac:dyDescent="0.25">
      <c r="B2062" t="s">
        <v>3686</v>
      </c>
      <c r="C2062" t="s">
        <v>3687</v>
      </c>
      <c r="D2062" t="s">
        <v>3688</v>
      </c>
      <c r="E2062" t="s">
        <v>3688</v>
      </c>
      <c r="H2062" t="s">
        <v>3686</v>
      </c>
    </row>
    <row r="2063" spans="2:8" x14ac:dyDescent="0.25">
      <c r="B2063" t="s">
        <v>3689</v>
      </c>
      <c r="C2063" t="s">
        <v>3687</v>
      </c>
      <c r="D2063" t="s">
        <v>3690</v>
      </c>
      <c r="E2063" t="s">
        <v>3690</v>
      </c>
      <c r="H2063" t="s">
        <v>3689</v>
      </c>
    </row>
    <row r="2064" spans="2:8" x14ac:dyDescent="0.25">
      <c r="B2064" t="s">
        <v>3691</v>
      </c>
      <c r="C2064" t="s">
        <v>3692</v>
      </c>
      <c r="D2064" t="s">
        <v>3693</v>
      </c>
      <c r="E2064" t="s">
        <v>3693</v>
      </c>
      <c r="H2064" t="s">
        <v>3691</v>
      </c>
    </row>
    <row r="2065" spans="2:8" x14ac:dyDescent="0.25">
      <c r="B2065" t="s">
        <v>3694</v>
      </c>
      <c r="C2065" t="s">
        <v>3692</v>
      </c>
      <c r="D2065" t="s">
        <v>3695</v>
      </c>
      <c r="E2065" t="s">
        <v>3695</v>
      </c>
      <c r="H2065" t="s">
        <v>3694</v>
      </c>
    </row>
    <row r="2066" spans="2:8" x14ac:dyDescent="0.25">
      <c r="B2066" t="s">
        <v>3696</v>
      </c>
      <c r="C2066" t="s">
        <v>3697</v>
      </c>
      <c r="D2066" t="s">
        <v>3698</v>
      </c>
      <c r="E2066" t="s">
        <v>3698</v>
      </c>
      <c r="H2066" t="s">
        <v>3696</v>
      </c>
    </row>
    <row r="2067" spans="2:8" x14ac:dyDescent="0.25">
      <c r="B2067" t="s">
        <v>3699</v>
      </c>
      <c r="C2067" t="s">
        <v>3697</v>
      </c>
      <c r="D2067" t="s">
        <v>3700</v>
      </c>
      <c r="E2067" t="s">
        <v>3700</v>
      </c>
      <c r="H2067" t="s">
        <v>3699</v>
      </c>
    </row>
    <row r="2068" spans="2:8" x14ac:dyDescent="0.25">
      <c r="B2068" t="s">
        <v>3701</v>
      </c>
      <c r="C2068" t="s">
        <v>3697</v>
      </c>
      <c r="D2068" t="s">
        <v>3702</v>
      </c>
      <c r="E2068" t="s">
        <v>3702</v>
      </c>
      <c r="H2068" t="s">
        <v>3701</v>
      </c>
    </row>
    <row r="2069" spans="2:8" x14ac:dyDescent="0.25">
      <c r="B2069" t="s">
        <v>3703</v>
      </c>
      <c r="C2069" t="s">
        <v>3697</v>
      </c>
      <c r="D2069" t="s">
        <v>3704</v>
      </c>
      <c r="E2069" t="s">
        <v>3704</v>
      </c>
      <c r="H2069" t="s">
        <v>3703</v>
      </c>
    </row>
    <row r="2070" spans="2:8" x14ac:dyDescent="0.25">
      <c r="B2070" t="s">
        <v>6035</v>
      </c>
      <c r="C2070" t="s">
        <v>6036</v>
      </c>
      <c r="D2070" t="s">
        <v>6037</v>
      </c>
      <c r="E2070" t="s">
        <v>6037</v>
      </c>
      <c r="H2070" t="s">
        <v>6035</v>
      </c>
    </row>
    <row r="2071" spans="2:8" x14ac:dyDescent="0.25">
      <c r="B2071" t="s">
        <v>6038</v>
      </c>
      <c r="C2071" t="s">
        <v>6036</v>
      </c>
      <c r="D2071" t="s">
        <v>6039</v>
      </c>
      <c r="E2071" t="s">
        <v>6039</v>
      </c>
      <c r="H2071" t="s">
        <v>6038</v>
      </c>
    </row>
    <row r="2072" spans="2:8" x14ac:dyDescent="0.25">
      <c r="B2072" t="s">
        <v>6074</v>
      </c>
      <c r="C2072" t="s">
        <v>6012</v>
      </c>
      <c r="D2072" t="s">
        <v>6075</v>
      </c>
      <c r="E2072" t="s">
        <v>6075</v>
      </c>
      <c r="H2072" t="s">
        <v>6074</v>
      </c>
    </row>
    <row r="2073" spans="2:8" x14ac:dyDescent="0.25">
      <c r="B2073" t="s">
        <v>6288</v>
      </c>
      <c r="C2073" t="s">
        <v>6286</v>
      </c>
      <c r="D2073" t="s">
        <v>6289</v>
      </c>
      <c r="E2073" t="s">
        <v>6289</v>
      </c>
      <c r="H2073" t="s">
        <v>6288</v>
      </c>
    </row>
    <row r="2074" spans="2:8" x14ac:dyDescent="0.25">
      <c r="B2074" t="s">
        <v>6292</v>
      </c>
      <c r="C2074" t="s">
        <v>6293</v>
      </c>
      <c r="D2074" t="s">
        <v>6294</v>
      </c>
      <c r="E2074" t="s">
        <v>6294</v>
      </c>
      <c r="H2074" t="s">
        <v>6292</v>
      </c>
    </row>
    <row r="2075" spans="2:8" x14ac:dyDescent="0.25">
      <c r="B2075" t="s">
        <v>6295</v>
      </c>
      <c r="C2075" t="s">
        <v>6293</v>
      </c>
      <c r="D2075" t="s">
        <v>6296</v>
      </c>
      <c r="E2075" t="s">
        <v>6296</v>
      </c>
      <c r="H2075" t="s">
        <v>6295</v>
      </c>
    </row>
    <row r="2076" spans="2:8" x14ac:dyDescent="0.25">
      <c r="B2076" t="s">
        <v>6297</v>
      </c>
      <c r="C2076" t="s">
        <v>6293</v>
      </c>
      <c r="D2076" t="s">
        <v>6298</v>
      </c>
      <c r="E2076" t="s">
        <v>6298</v>
      </c>
      <c r="H2076" t="s">
        <v>6297</v>
      </c>
    </row>
    <row r="2077" spans="2:8" x14ac:dyDescent="0.25">
      <c r="B2077" t="s">
        <v>3705</v>
      </c>
      <c r="C2077" t="s">
        <v>3706</v>
      </c>
      <c r="D2077" t="s">
        <v>3707</v>
      </c>
      <c r="E2077" t="s">
        <v>3707</v>
      </c>
      <c r="H2077" t="s">
        <v>3705</v>
      </c>
    </row>
    <row r="2078" spans="2:8" x14ac:dyDescent="0.25">
      <c r="B2078" t="s">
        <v>6081</v>
      </c>
      <c r="C2078" t="s">
        <v>6082</v>
      </c>
      <c r="D2078" t="s">
        <v>6083</v>
      </c>
      <c r="E2078" t="s">
        <v>6083</v>
      </c>
      <c r="H2078" t="s">
        <v>6081</v>
      </c>
    </row>
    <row r="2079" spans="2:8" x14ac:dyDescent="0.25">
      <c r="B2079" t="s">
        <v>6084</v>
      </c>
      <c r="C2079" t="s">
        <v>6085</v>
      </c>
      <c r="D2079" t="s">
        <v>6086</v>
      </c>
      <c r="E2079" t="s">
        <v>6086</v>
      </c>
      <c r="H2079" t="s">
        <v>6084</v>
      </c>
    </row>
    <row r="2080" spans="2:8" x14ac:dyDescent="0.25">
      <c r="B2080" t="s">
        <v>3708</v>
      </c>
      <c r="C2080" t="s">
        <v>3706</v>
      </c>
      <c r="D2080" t="s">
        <v>3709</v>
      </c>
      <c r="E2080" t="s">
        <v>3709</v>
      </c>
      <c r="H2080" t="s">
        <v>3708</v>
      </c>
    </row>
    <row r="2081" spans="2:8" x14ac:dyDescent="0.25">
      <c r="B2081" t="s">
        <v>6087</v>
      </c>
      <c r="C2081" t="s">
        <v>6082</v>
      </c>
      <c r="D2081" t="s">
        <v>6088</v>
      </c>
      <c r="E2081" t="s">
        <v>6088</v>
      </c>
      <c r="H2081" t="s">
        <v>6087</v>
      </c>
    </row>
    <row r="2082" spans="2:8" x14ac:dyDescent="0.25">
      <c r="B2082" t="s">
        <v>6089</v>
      </c>
      <c r="C2082" t="s">
        <v>6085</v>
      </c>
      <c r="D2082" t="s">
        <v>6090</v>
      </c>
      <c r="E2082" t="s">
        <v>6090</v>
      </c>
      <c r="H2082" t="s">
        <v>6089</v>
      </c>
    </row>
    <row r="2083" spans="2:8" x14ac:dyDescent="0.25">
      <c r="B2083" t="s">
        <v>6091</v>
      </c>
      <c r="C2083" t="s">
        <v>6092</v>
      </c>
      <c r="D2083" t="s">
        <v>6093</v>
      </c>
      <c r="E2083" t="s">
        <v>6093</v>
      </c>
      <c r="H2083" t="s">
        <v>6091</v>
      </c>
    </row>
    <row r="2084" spans="2:8" x14ac:dyDescent="0.25">
      <c r="B2084" t="s">
        <v>6094</v>
      </c>
      <c r="C2084" t="s">
        <v>6092</v>
      </c>
      <c r="D2084" t="s">
        <v>6095</v>
      </c>
      <c r="E2084" t="s">
        <v>6095</v>
      </c>
      <c r="H2084" t="s">
        <v>6094</v>
      </c>
    </row>
    <row r="2085" spans="2:8" x14ac:dyDescent="0.25">
      <c r="B2085" t="s">
        <v>6096</v>
      </c>
      <c r="C2085" t="s">
        <v>6097</v>
      </c>
      <c r="D2085" t="s">
        <v>6098</v>
      </c>
      <c r="E2085" t="s">
        <v>6098</v>
      </c>
      <c r="H2085" t="s">
        <v>6096</v>
      </c>
    </row>
    <row r="2086" spans="2:8" x14ac:dyDescent="0.25">
      <c r="B2086" t="s">
        <v>6099</v>
      </c>
      <c r="C2086" t="s">
        <v>6100</v>
      </c>
      <c r="D2086" t="s">
        <v>6101</v>
      </c>
      <c r="E2086" t="s">
        <v>6101</v>
      </c>
      <c r="H2086" t="s">
        <v>6099</v>
      </c>
    </row>
    <row r="2087" spans="2:8" x14ac:dyDescent="0.25">
      <c r="B2087" t="s">
        <v>6102</v>
      </c>
      <c r="C2087" t="s">
        <v>6103</v>
      </c>
      <c r="D2087" t="s">
        <v>6104</v>
      </c>
      <c r="E2087" t="s">
        <v>6104</v>
      </c>
      <c r="H2087" t="s">
        <v>6102</v>
      </c>
    </row>
    <row r="2088" spans="2:8" x14ac:dyDescent="0.25">
      <c r="B2088" t="s">
        <v>6105</v>
      </c>
      <c r="C2088" t="s">
        <v>6106</v>
      </c>
      <c r="D2088" t="s">
        <v>6107</v>
      </c>
      <c r="E2088" t="s">
        <v>6107</v>
      </c>
      <c r="H2088" t="s">
        <v>6105</v>
      </c>
    </row>
    <row r="2089" spans="2:8" x14ac:dyDescent="0.25">
      <c r="B2089" t="s">
        <v>6108</v>
      </c>
      <c r="C2089" t="s">
        <v>6109</v>
      </c>
      <c r="D2089" t="s">
        <v>6110</v>
      </c>
      <c r="E2089" t="s">
        <v>6110</v>
      </c>
      <c r="H2089" t="s">
        <v>6108</v>
      </c>
    </row>
    <row r="2090" spans="2:8" x14ac:dyDescent="0.25">
      <c r="B2090" t="s">
        <v>6111</v>
      </c>
      <c r="C2090" t="s">
        <v>6112</v>
      </c>
      <c r="D2090" t="s">
        <v>6113</v>
      </c>
      <c r="E2090" t="s">
        <v>6113</v>
      </c>
      <c r="H2090" t="s">
        <v>6111</v>
      </c>
    </row>
    <row r="2091" spans="2:8" x14ac:dyDescent="0.25">
      <c r="B2091" t="s">
        <v>3717</v>
      </c>
      <c r="C2091" t="s">
        <v>3718</v>
      </c>
      <c r="D2091" t="s">
        <v>3719</v>
      </c>
      <c r="E2091" t="s">
        <v>3719</v>
      </c>
      <c r="H2091" t="s">
        <v>3717</v>
      </c>
    </row>
    <row r="2092" spans="2:8" x14ac:dyDescent="0.25">
      <c r="B2092" t="s">
        <v>6114</v>
      </c>
      <c r="C2092" t="s">
        <v>6115</v>
      </c>
      <c r="D2092" t="s">
        <v>6116</v>
      </c>
      <c r="E2092" t="s">
        <v>6116</v>
      </c>
      <c r="H2092" t="s">
        <v>6114</v>
      </c>
    </row>
    <row r="2093" spans="2:8" x14ac:dyDescent="0.25">
      <c r="B2093" t="s">
        <v>3720</v>
      </c>
      <c r="C2093" t="s">
        <v>3718</v>
      </c>
      <c r="D2093" t="s">
        <v>3721</v>
      </c>
      <c r="E2093" t="s">
        <v>3721</v>
      </c>
      <c r="H2093" t="s">
        <v>3720</v>
      </c>
    </row>
    <row r="2094" spans="2:8" x14ac:dyDescent="0.25">
      <c r="B2094" t="s">
        <v>6117</v>
      </c>
      <c r="C2094" t="s">
        <v>6115</v>
      </c>
      <c r="D2094" t="s">
        <v>6118</v>
      </c>
      <c r="E2094" t="s">
        <v>6118</v>
      </c>
      <c r="H2094" t="s">
        <v>6117</v>
      </c>
    </row>
    <row r="2095" spans="2:8" x14ac:dyDescent="0.25">
      <c r="B2095" t="s">
        <v>3722</v>
      </c>
      <c r="C2095" t="s">
        <v>3723</v>
      </c>
      <c r="D2095" t="s">
        <v>3724</v>
      </c>
      <c r="E2095" t="s">
        <v>3724</v>
      </c>
      <c r="H2095" t="s">
        <v>3722</v>
      </c>
    </row>
    <row r="2096" spans="2:8" x14ac:dyDescent="0.25">
      <c r="B2096" t="s">
        <v>6119</v>
      </c>
      <c r="C2096" t="s">
        <v>6120</v>
      </c>
      <c r="D2096" t="s">
        <v>6121</v>
      </c>
      <c r="E2096" t="s">
        <v>6121</v>
      </c>
      <c r="H2096" t="s">
        <v>6119</v>
      </c>
    </row>
    <row r="2097" spans="2:8" x14ac:dyDescent="0.25">
      <c r="B2097" t="s">
        <v>3725</v>
      </c>
      <c r="C2097" t="s">
        <v>3723</v>
      </c>
      <c r="D2097" t="s">
        <v>3726</v>
      </c>
      <c r="E2097" t="s">
        <v>3726</v>
      </c>
      <c r="H2097" t="s">
        <v>3725</v>
      </c>
    </row>
    <row r="2098" spans="2:8" x14ac:dyDescent="0.25">
      <c r="B2098" t="s">
        <v>6122</v>
      </c>
      <c r="C2098" t="s">
        <v>6120</v>
      </c>
      <c r="D2098" t="s">
        <v>6123</v>
      </c>
      <c r="E2098" t="s">
        <v>6123</v>
      </c>
      <c r="H2098" t="s">
        <v>6122</v>
      </c>
    </row>
    <row r="2099" spans="2:8" x14ac:dyDescent="0.25">
      <c r="B2099" t="s">
        <v>3727</v>
      </c>
      <c r="C2099" t="s">
        <v>3728</v>
      </c>
      <c r="D2099" t="s">
        <v>3729</v>
      </c>
      <c r="E2099" t="s">
        <v>3729</v>
      </c>
      <c r="H2099" t="s">
        <v>3727</v>
      </c>
    </row>
    <row r="2100" spans="2:8" x14ac:dyDescent="0.25">
      <c r="B2100" t="s">
        <v>6124</v>
      </c>
      <c r="C2100" t="s">
        <v>6125</v>
      </c>
      <c r="D2100" t="s">
        <v>6126</v>
      </c>
      <c r="E2100" t="s">
        <v>6126</v>
      </c>
      <c r="H2100" t="s">
        <v>6124</v>
      </c>
    </row>
    <row r="2101" spans="2:8" x14ac:dyDescent="0.25">
      <c r="B2101" t="s">
        <v>3730</v>
      </c>
      <c r="C2101" t="s">
        <v>3728</v>
      </c>
      <c r="D2101" t="s">
        <v>3731</v>
      </c>
      <c r="E2101" t="s">
        <v>3731</v>
      </c>
      <c r="H2101" t="s">
        <v>3730</v>
      </c>
    </row>
    <row r="2102" spans="2:8" x14ac:dyDescent="0.25">
      <c r="B2102" t="s">
        <v>6127</v>
      </c>
      <c r="C2102" t="s">
        <v>6125</v>
      </c>
      <c r="D2102" t="s">
        <v>6128</v>
      </c>
      <c r="E2102" t="s">
        <v>6128</v>
      </c>
      <c r="H2102" t="s">
        <v>6127</v>
      </c>
    </row>
    <row r="2103" spans="2:8" x14ac:dyDescent="0.25">
      <c r="B2103" t="s">
        <v>6129</v>
      </c>
      <c r="C2103" t="s">
        <v>6130</v>
      </c>
      <c r="D2103" t="s">
        <v>6131</v>
      </c>
      <c r="E2103" t="s">
        <v>6131</v>
      </c>
      <c r="H2103" t="s">
        <v>6129</v>
      </c>
    </row>
    <row r="2104" spans="2:8" x14ac:dyDescent="0.25">
      <c r="B2104" t="s">
        <v>6132</v>
      </c>
      <c r="C2104" t="s">
        <v>6133</v>
      </c>
      <c r="D2104" t="s">
        <v>6134</v>
      </c>
      <c r="E2104" t="s">
        <v>6134</v>
      </c>
      <c r="H2104" t="s">
        <v>6132</v>
      </c>
    </row>
    <row r="2105" spans="2:8" x14ac:dyDescent="0.25">
      <c r="B2105" t="s">
        <v>3732</v>
      </c>
      <c r="C2105" t="s">
        <v>3733</v>
      </c>
      <c r="D2105" t="s">
        <v>3734</v>
      </c>
      <c r="E2105" t="s">
        <v>3734</v>
      </c>
      <c r="H2105" t="s">
        <v>3732</v>
      </c>
    </row>
    <row r="2106" spans="2:8" x14ac:dyDescent="0.25">
      <c r="B2106" t="s">
        <v>3735</v>
      </c>
      <c r="C2106" t="s">
        <v>3733</v>
      </c>
      <c r="D2106" t="s">
        <v>3736</v>
      </c>
      <c r="E2106" t="s">
        <v>3736</v>
      </c>
      <c r="H2106" t="s">
        <v>3735</v>
      </c>
    </row>
    <row r="2107" spans="2:8" x14ac:dyDescent="0.25">
      <c r="B2107" t="s">
        <v>6135</v>
      </c>
      <c r="C2107" t="s">
        <v>6136</v>
      </c>
      <c r="D2107" t="s">
        <v>6137</v>
      </c>
      <c r="E2107" t="s">
        <v>6137</v>
      </c>
      <c r="H2107" t="s">
        <v>6135</v>
      </c>
    </row>
    <row r="2108" spans="2:8" x14ac:dyDescent="0.25">
      <c r="B2108" t="s">
        <v>6138</v>
      </c>
      <c r="C2108" t="s">
        <v>6136</v>
      </c>
      <c r="D2108" t="s">
        <v>6139</v>
      </c>
      <c r="E2108" t="s">
        <v>6139</v>
      </c>
      <c r="H2108" t="s">
        <v>6138</v>
      </c>
    </row>
    <row r="2109" spans="2:8" x14ac:dyDescent="0.25">
      <c r="B2109" t="s">
        <v>6140</v>
      </c>
      <c r="C2109" t="s">
        <v>6141</v>
      </c>
      <c r="D2109" t="s">
        <v>6142</v>
      </c>
      <c r="E2109" t="s">
        <v>6142</v>
      </c>
      <c r="H2109" t="s">
        <v>6140</v>
      </c>
    </row>
    <row r="2110" spans="2:8" x14ac:dyDescent="0.25">
      <c r="B2110" t="s">
        <v>6143</v>
      </c>
      <c r="C2110" t="s">
        <v>6141</v>
      </c>
      <c r="D2110" t="s">
        <v>6144</v>
      </c>
      <c r="E2110" t="s">
        <v>6144</v>
      </c>
      <c r="H2110" t="s">
        <v>6143</v>
      </c>
    </row>
    <row r="2111" spans="2:8" x14ac:dyDescent="0.25">
      <c r="B2111" t="s">
        <v>6145</v>
      </c>
      <c r="C2111" t="s">
        <v>6146</v>
      </c>
      <c r="D2111" t="s">
        <v>6147</v>
      </c>
      <c r="E2111" t="s">
        <v>6147</v>
      </c>
      <c r="H2111" t="s">
        <v>6145</v>
      </c>
    </row>
    <row r="2112" spans="2:8" x14ac:dyDescent="0.25">
      <c r="B2112" t="s">
        <v>6148</v>
      </c>
      <c r="C2112" t="s">
        <v>6146</v>
      </c>
      <c r="D2112" t="s">
        <v>6149</v>
      </c>
      <c r="E2112" t="s">
        <v>6149</v>
      </c>
      <c r="H2112" t="s">
        <v>6148</v>
      </c>
    </row>
    <row r="2113" spans="2:8" x14ac:dyDescent="0.25">
      <c r="B2113" t="s">
        <v>6150</v>
      </c>
      <c r="C2113" t="s">
        <v>6151</v>
      </c>
      <c r="D2113" t="s">
        <v>6152</v>
      </c>
      <c r="E2113" t="s">
        <v>6152</v>
      </c>
      <c r="H2113" t="s">
        <v>6150</v>
      </c>
    </row>
    <row r="2114" spans="2:8" x14ac:dyDescent="0.25">
      <c r="B2114" t="s">
        <v>6153</v>
      </c>
      <c r="C2114" t="s">
        <v>6151</v>
      </c>
      <c r="D2114" t="s">
        <v>6154</v>
      </c>
      <c r="E2114" t="s">
        <v>6154</v>
      </c>
      <c r="H2114" t="s">
        <v>6153</v>
      </c>
    </row>
    <row r="2115" spans="2:8" x14ac:dyDescent="0.25">
      <c r="B2115" t="s">
        <v>6155</v>
      </c>
      <c r="C2115" t="s">
        <v>6156</v>
      </c>
      <c r="D2115" t="s">
        <v>6157</v>
      </c>
      <c r="E2115" t="s">
        <v>6157</v>
      </c>
      <c r="H2115" t="s">
        <v>6155</v>
      </c>
    </row>
    <row r="2116" spans="2:8" x14ac:dyDescent="0.25">
      <c r="B2116" t="s">
        <v>6158</v>
      </c>
      <c r="C2116" t="s">
        <v>6156</v>
      </c>
      <c r="D2116" t="s">
        <v>6159</v>
      </c>
      <c r="E2116" t="s">
        <v>6159</v>
      </c>
      <c r="H2116" t="s">
        <v>6158</v>
      </c>
    </row>
    <row r="2117" spans="2:8" x14ac:dyDescent="0.25">
      <c r="B2117" t="s">
        <v>6160</v>
      </c>
      <c r="C2117" t="s">
        <v>6161</v>
      </c>
      <c r="D2117" t="s">
        <v>6162</v>
      </c>
      <c r="E2117" t="s">
        <v>6162</v>
      </c>
      <c r="H2117" t="s">
        <v>6160</v>
      </c>
    </row>
    <row r="2118" spans="2:8" x14ac:dyDescent="0.25">
      <c r="B2118" t="s">
        <v>6163</v>
      </c>
      <c r="C2118" t="s">
        <v>6161</v>
      </c>
      <c r="D2118" t="s">
        <v>6164</v>
      </c>
      <c r="E2118" t="s">
        <v>6164</v>
      </c>
      <c r="H2118" t="s">
        <v>6163</v>
      </c>
    </row>
    <row r="2119" spans="2:8" x14ac:dyDescent="0.25">
      <c r="B2119" t="s">
        <v>6165</v>
      </c>
      <c r="C2119" t="s">
        <v>6166</v>
      </c>
      <c r="D2119" t="s">
        <v>6167</v>
      </c>
      <c r="E2119" t="s">
        <v>6167</v>
      </c>
      <c r="H2119" t="s">
        <v>6165</v>
      </c>
    </row>
    <row r="2120" spans="2:8" x14ac:dyDescent="0.25">
      <c r="B2120" t="s">
        <v>6168</v>
      </c>
      <c r="C2120" t="s">
        <v>6169</v>
      </c>
      <c r="D2120" t="s">
        <v>6170</v>
      </c>
      <c r="E2120" t="s">
        <v>6170</v>
      </c>
      <c r="H2120" t="s">
        <v>6168</v>
      </c>
    </row>
    <row r="2121" spans="2:8" x14ac:dyDescent="0.25">
      <c r="B2121" t="s">
        <v>6171</v>
      </c>
      <c r="C2121" t="s">
        <v>6172</v>
      </c>
      <c r="D2121" t="s">
        <v>6173</v>
      </c>
      <c r="E2121" t="s">
        <v>6173</v>
      </c>
      <c r="H2121" t="s">
        <v>6171</v>
      </c>
    </row>
    <row r="2122" spans="2:8" x14ac:dyDescent="0.25">
      <c r="B2122" t="s">
        <v>6174</v>
      </c>
      <c r="C2122" t="s">
        <v>6175</v>
      </c>
      <c r="D2122" t="s">
        <v>6176</v>
      </c>
      <c r="E2122" t="s">
        <v>6176</v>
      </c>
      <c r="H2122" t="s">
        <v>6174</v>
      </c>
    </row>
    <row r="2123" spans="2:8" x14ac:dyDescent="0.25">
      <c r="B2123" t="s">
        <v>3755</v>
      </c>
      <c r="C2123" t="s">
        <v>2958</v>
      </c>
      <c r="D2123" t="s">
        <v>3756</v>
      </c>
      <c r="E2123" t="s">
        <v>3756</v>
      </c>
      <c r="H2123" t="s">
        <v>3755</v>
      </c>
    </row>
    <row r="2124" spans="2:8" x14ac:dyDescent="0.25">
      <c r="B2124" t="s">
        <v>3773</v>
      </c>
      <c r="C2124" t="s">
        <v>1804</v>
      </c>
      <c r="D2124" t="s">
        <v>3774</v>
      </c>
      <c r="E2124" t="s">
        <v>3774</v>
      </c>
      <c r="H2124" t="s">
        <v>3773</v>
      </c>
    </row>
    <row r="2125" spans="2:8" x14ac:dyDescent="0.25">
      <c r="B2125" t="s">
        <v>3857</v>
      </c>
      <c r="C2125" t="s">
        <v>3858</v>
      </c>
      <c r="D2125" t="s">
        <v>3859</v>
      </c>
      <c r="E2125" t="s">
        <v>3859</v>
      </c>
      <c r="H2125" t="s">
        <v>3857</v>
      </c>
    </row>
    <row r="2126" spans="2:8" x14ac:dyDescent="0.25">
      <c r="B2126" t="s">
        <v>3988</v>
      </c>
      <c r="C2126" t="s">
        <v>3989</v>
      </c>
      <c r="D2126" t="s">
        <v>3990</v>
      </c>
      <c r="E2126" t="s">
        <v>3990</v>
      </c>
      <c r="H2126" t="s">
        <v>3988</v>
      </c>
    </row>
    <row r="2127" spans="2:8" x14ac:dyDescent="0.25">
      <c r="B2127" t="s">
        <v>3991</v>
      </c>
      <c r="C2127" t="s">
        <v>3992</v>
      </c>
      <c r="D2127" t="s">
        <v>3993</v>
      </c>
      <c r="E2127" t="s">
        <v>3993</v>
      </c>
      <c r="H2127" t="s">
        <v>3991</v>
      </c>
    </row>
    <row r="2128" spans="2:8" x14ac:dyDescent="0.25">
      <c r="B2128" t="s">
        <v>4009</v>
      </c>
      <c r="C2128" t="s">
        <v>4010</v>
      </c>
      <c r="D2128" t="s">
        <v>4011</v>
      </c>
      <c r="E2128" t="s">
        <v>4011</v>
      </c>
      <c r="H2128" t="s">
        <v>4009</v>
      </c>
    </row>
    <row r="2129" spans="2:8" x14ac:dyDescent="0.25">
      <c r="B2129" t="s">
        <v>4012</v>
      </c>
      <c r="C2129" t="s">
        <v>4013</v>
      </c>
      <c r="D2129" t="s">
        <v>4014</v>
      </c>
      <c r="E2129" t="s">
        <v>4014</v>
      </c>
      <c r="H2129" t="s">
        <v>4012</v>
      </c>
    </row>
    <row r="2130" spans="2:8" x14ac:dyDescent="0.25">
      <c r="B2130" t="s">
        <v>4111</v>
      </c>
      <c r="C2130" t="s">
        <v>4112</v>
      </c>
      <c r="D2130" t="s">
        <v>4113</v>
      </c>
      <c r="E2130" t="s">
        <v>4113</v>
      </c>
      <c r="H2130" t="s">
        <v>4111</v>
      </c>
    </row>
    <row r="2131" spans="2:8" x14ac:dyDescent="0.25">
      <c r="B2131" t="s">
        <v>4114</v>
      </c>
      <c r="C2131" t="s">
        <v>4112</v>
      </c>
      <c r="D2131" t="s">
        <v>4115</v>
      </c>
      <c r="E2131" t="s">
        <v>4115</v>
      </c>
      <c r="H2131" t="s">
        <v>4114</v>
      </c>
    </row>
    <row r="2132" spans="2:8" x14ac:dyDescent="0.25">
      <c r="B2132" t="s">
        <v>4116</v>
      </c>
      <c r="C2132" t="s">
        <v>4117</v>
      </c>
      <c r="D2132" t="s">
        <v>4118</v>
      </c>
      <c r="E2132" t="s">
        <v>4118</v>
      </c>
      <c r="H2132" t="s">
        <v>4116</v>
      </c>
    </row>
    <row r="2133" spans="2:8" x14ac:dyDescent="0.25">
      <c r="B2133" t="s">
        <v>4165</v>
      </c>
      <c r="C2133" t="s">
        <v>4166</v>
      </c>
      <c r="D2133" t="s">
        <v>4167</v>
      </c>
      <c r="E2133" t="s">
        <v>4167</v>
      </c>
      <c r="H2133" t="s">
        <v>4165</v>
      </c>
    </row>
    <row r="2134" spans="2:8" x14ac:dyDescent="0.25">
      <c r="B2134" t="s">
        <v>4168</v>
      </c>
      <c r="C2134" t="s">
        <v>4169</v>
      </c>
      <c r="D2134" t="s">
        <v>4170</v>
      </c>
      <c r="E2134" t="s">
        <v>4170</v>
      </c>
      <c r="H2134" t="s">
        <v>4168</v>
      </c>
    </row>
    <row r="2135" spans="2:8" x14ac:dyDescent="0.25">
      <c r="B2135" t="s">
        <v>4171</v>
      </c>
      <c r="C2135" t="s">
        <v>4172</v>
      </c>
      <c r="D2135" t="s">
        <v>4173</v>
      </c>
      <c r="E2135" t="s">
        <v>4173</v>
      </c>
      <c r="H2135" t="s">
        <v>4171</v>
      </c>
    </row>
    <row r="2136" spans="2:8" x14ac:dyDescent="0.25">
      <c r="B2136" t="s">
        <v>4174</v>
      </c>
      <c r="C2136" t="s">
        <v>4175</v>
      </c>
      <c r="D2136" t="s">
        <v>4176</v>
      </c>
      <c r="E2136" t="s">
        <v>4176</v>
      </c>
      <c r="H2136" t="s">
        <v>4174</v>
      </c>
    </row>
    <row r="2137" spans="2:8" x14ac:dyDescent="0.25">
      <c r="B2137" t="s">
        <v>4177</v>
      </c>
      <c r="C2137" t="s">
        <v>4178</v>
      </c>
      <c r="D2137" t="s">
        <v>4179</v>
      </c>
      <c r="E2137" t="s">
        <v>4179</v>
      </c>
      <c r="H2137" t="s">
        <v>4177</v>
      </c>
    </row>
    <row r="2138" spans="2:8" x14ac:dyDescent="0.25">
      <c r="B2138" t="s">
        <v>6177</v>
      </c>
      <c r="C2138" t="s">
        <v>6178</v>
      </c>
      <c r="D2138" t="s">
        <v>2910</v>
      </c>
      <c r="E2138" t="s">
        <v>2910</v>
      </c>
      <c r="H2138" t="s">
        <v>6177</v>
      </c>
    </row>
    <row r="2139" spans="2:8" x14ac:dyDescent="0.25">
      <c r="B2139" t="s">
        <v>6179</v>
      </c>
      <c r="C2139" t="s">
        <v>6180</v>
      </c>
      <c r="D2139" t="s">
        <v>6181</v>
      </c>
      <c r="E2139" t="s">
        <v>6181</v>
      </c>
      <c r="H2139" t="s">
        <v>6179</v>
      </c>
    </row>
    <row r="2140" spans="2:8" x14ac:dyDescent="0.25">
      <c r="B2140" t="s">
        <v>6182</v>
      </c>
      <c r="C2140" t="s">
        <v>6180</v>
      </c>
      <c r="D2140" t="s">
        <v>6183</v>
      </c>
      <c r="E2140" t="s">
        <v>6183</v>
      </c>
      <c r="H2140" t="s">
        <v>6182</v>
      </c>
    </row>
    <row r="2141" spans="2:8" x14ac:dyDescent="0.25">
      <c r="B2141" t="s">
        <v>4418</v>
      </c>
      <c r="C2141" t="s">
        <v>4419</v>
      </c>
      <c r="D2141" t="s">
        <v>4420</v>
      </c>
      <c r="E2141" t="s">
        <v>4420</v>
      </c>
      <c r="H2141" t="s">
        <v>4418</v>
      </c>
    </row>
    <row r="2142" spans="2:8" x14ac:dyDescent="0.25">
      <c r="B2142" t="s">
        <v>6184</v>
      </c>
      <c r="C2142" t="s">
        <v>4419</v>
      </c>
      <c r="D2142" t="s">
        <v>6185</v>
      </c>
      <c r="E2142" t="s">
        <v>6185</v>
      </c>
      <c r="H2142" t="s">
        <v>6184</v>
      </c>
    </row>
    <row r="2143" spans="2:8" x14ac:dyDescent="0.25">
      <c r="B2143" t="s">
        <v>4502</v>
      </c>
      <c r="C2143" t="s">
        <v>4503</v>
      </c>
      <c r="D2143" t="s">
        <v>4504</v>
      </c>
      <c r="E2143" t="s">
        <v>4504</v>
      </c>
      <c r="H2143" t="s">
        <v>4502</v>
      </c>
    </row>
    <row r="2144" spans="2:8" x14ac:dyDescent="0.25">
      <c r="B2144" t="s">
        <v>4505</v>
      </c>
      <c r="C2144" t="s">
        <v>4506</v>
      </c>
      <c r="D2144" t="s">
        <v>4507</v>
      </c>
      <c r="E2144" t="s">
        <v>4507</v>
      </c>
      <c r="H2144" t="s">
        <v>4505</v>
      </c>
    </row>
    <row r="2145" spans="2:8" x14ac:dyDescent="0.25">
      <c r="B2145" t="s">
        <v>4508</v>
      </c>
      <c r="C2145" t="s">
        <v>4503</v>
      </c>
      <c r="D2145" t="s">
        <v>4509</v>
      </c>
      <c r="E2145" t="s">
        <v>4509</v>
      </c>
      <c r="H2145" t="s">
        <v>4508</v>
      </c>
    </row>
    <row r="2146" spans="2:8" x14ac:dyDescent="0.25">
      <c r="B2146" t="s">
        <v>4510</v>
      </c>
      <c r="C2146" t="s">
        <v>4503</v>
      </c>
      <c r="D2146" t="s">
        <v>4511</v>
      </c>
      <c r="E2146" t="s">
        <v>4511</v>
      </c>
      <c r="H2146" t="s">
        <v>4510</v>
      </c>
    </row>
    <row r="2147" spans="2:8" x14ac:dyDescent="0.25">
      <c r="B2147" t="s">
        <v>6186</v>
      </c>
      <c r="C2147" t="s">
        <v>6187</v>
      </c>
      <c r="D2147" t="s">
        <v>6188</v>
      </c>
      <c r="E2147" t="s">
        <v>6188</v>
      </c>
      <c r="H2147" t="s">
        <v>6186</v>
      </c>
    </row>
    <row r="2148" spans="2:8" x14ac:dyDescent="0.25">
      <c r="B2148" t="s">
        <v>6189</v>
      </c>
      <c r="C2148" t="s">
        <v>6190</v>
      </c>
      <c r="D2148" t="s">
        <v>6191</v>
      </c>
      <c r="E2148" t="s">
        <v>6191</v>
      </c>
      <c r="H2148" t="s">
        <v>6189</v>
      </c>
    </row>
    <row r="2149" spans="2:8" x14ac:dyDescent="0.25">
      <c r="B2149" t="s">
        <v>4568</v>
      </c>
      <c r="C2149" t="s">
        <v>4569</v>
      </c>
      <c r="D2149" t="s">
        <v>4570</v>
      </c>
      <c r="E2149" t="s">
        <v>4570</v>
      </c>
      <c r="H2149" t="s">
        <v>4568</v>
      </c>
    </row>
    <row r="2150" spans="2:8" x14ac:dyDescent="0.25">
      <c r="B2150" t="s">
        <v>6192</v>
      </c>
      <c r="C2150" t="s">
        <v>6193</v>
      </c>
      <c r="D2150" t="s">
        <v>6194</v>
      </c>
      <c r="E2150" t="s">
        <v>6194</v>
      </c>
      <c r="H2150" t="s">
        <v>6192</v>
      </c>
    </row>
    <row r="2151" spans="2:8" x14ac:dyDescent="0.25">
      <c r="B2151" t="s">
        <v>4571</v>
      </c>
      <c r="C2151" t="s">
        <v>4572</v>
      </c>
      <c r="D2151" t="s">
        <v>4573</v>
      </c>
      <c r="E2151" t="s">
        <v>4573</v>
      </c>
      <c r="H2151" t="s">
        <v>4571</v>
      </c>
    </row>
    <row r="2152" spans="2:8" x14ac:dyDescent="0.25">
      <c r="B2152" t="s">
        <v>6195</v>
      </c>
      <c r="C2152" t="s">
        <v>6196</v>
      </c>
      <c r="D2152" t="s">
        <v>6197</v>
      </c>
      <c r="E2152" t="s">
        <v>6197</v>
      </c>
      <c r="H2152" t="s">
        <v>6195</v>
      </c>
    </row>
    <row r="2153" spans="2:8" x14ac:dyDescent="0.25">
      <c r="B2153" t="s">
        <v>6198</v>
      </c>
      <c r="C2153" t="s">
        <v>6199</v>
      </c>
      <c r="D2153" t="s">
        <v>6200</v>
      </c>
      <c r="E2153" t="s">
        <v>6200</v>
      </c>
      <c r="H2153" t="s">
        <v>6198</v>
      </c>
    </row>
    <row r="2154" spans="2:8" x14ac:dyDescent="0.25">
      <c r="B2154" t="s">
        <v>4585</v>
      </c>
      <c r="C2154" t="s">
        <v>4586</v>
      </c>
      <c r="D2154" t="s">
        <v>4587</v>
      </c>
      <c r="E2154" t="s">
        <v>4587</v>
      </c>
      <c r="H2154" t="s">
        <v>4585</v>
      </c>
    </row>
    <row r="2155" spans="2:8" x14ac:dyDescent="0.25">
      <c r="B2155" t="s">
        <v>4588</v>
      </c>
      <c r="C2155" t="s">
        <v>4586</v>
      </c>
      <c r="D2155" t="s">
        <v>4589</v>
      </c>
      <c r="E2155" t="s">
        <v>4589</v>
      </c>
      <c r="H2155" t="s">
        <v>4588</v>
      </c>
    </row>
    <row r="2156" spans="2:8" x14ac:dyDescent="0.25">
      <c r="B2156" t="s">
        <v>4590</v>
      </c>
      <c r="C2156" t="s">
        <v>4591</v>
      </c>
      <c r="D2156" t="s">
        <v>4592</v>
      </c>
      <c r="E2156" t="s">
        <v>4592</v>
      </c>
      <c r="H2156" t="s">
        <v>4590</v>
      </c>
    </row>
    <row r="2157" spans="2:8" x14ac:dyDescent="0.25">
      <c r="B2157" t="s">
        <v>4739</v>
      </c>
      <c r="C2157" t="s">
        <v>4740</v>
      </c>
      <c r="D2157" t="s">
        <v>4741</v>
      </c>
      <c r="E2157" t="s">
        <v>4741</v>
      </c>
      <c r="H2157" t="s">
        <v>4739</v>
      </c>
    </row>
    <row r="2158" spans="2:8" x14ac:dyDescent="0.25">
      <c r="B2158" t="s">
        <v>4748</v>
      </c>
      <c r="C2158" t="s">
        <v>4746</v>
      </c>
      <c r="D2158" t="s">
        <v>4749</v>
      </c>
      <c r="E2158" t="s">
        <v>4749</v>
      </c>
      <c r="H2158" t="s">
        <v>4748</v>
      </c>
    </row>
    <row r="2159" spans="2:8" x14ac:dyDescent="0.25">
      <c r="B2159" t="s">
        <v>4755</v>
      </c>
      <c r="C2159" t="s">
        <v>4756</v>
      </c>
      <c r="D2159" t="s">
        <v>4757</v>
      </c>
      <c r="E2159" t="s">
        <v>4757</v>
      </c>
      <c r="H2159" t="s">
        <v>4755</v>
      </c>
    </row>
    <row r="2160" spans="2:8" x14ac:dyDescent="0.25">
      <c r="B2160" t="s">
        <v>4786</v>
      </c>
      <c r="C2160" t="s">
        <v>4787</v>
      </c>
      <c r="D2160" t="s">
        <v>4788</v>
      </c>
      <c r="E2160" t="s">
        <v>4788</v>
      </c>
      <c r="H2160" t="s">
        <v>4786</v>
      </c>
    </row>
    <row r="2161" spans="2:8" x14ac:dyDescent="0.25">
      <c r="B2161" t="s">
        <v>4851</v>
      </c>
      <c r="C2161" t="s">
        <v>4845</v>
      </c>
      <c r="D2161" t="s">
        <v>4852</v>
      </c>
      <c r="E2161" t="s">
        <v>4852</v>
      </c>
      <c r="H2161" t="s">
        <v>4851</v>
      </c>
    </row>
    <row r="2162" spans="2:8" x14ac:dyDescent="0.25">
      <c r="B2162" t="s">
        <v>6203</v>
      </c>
      <c r="C2162" t="s">
        <v>6204</v>
      </c>
      <c r="D2162" t="s">
        <v>6205</v>
      </c>
      <c r="E2162" t="s">
        <v>6205</v>
      </c>
      <c r="H2162" t="s">
        <v>6203</v>
      </c>
    </row>
    <row r="2163" spans="2:8" x14ac:dyDescent="0.25">
      <c r="B2163" t="s">
        <v>6206</v>
      </c>
      <c r="C2163" t="s">
        <v>6207</v>
      </c>
      <c r="D2163" t="s">
        <v>6208</v>
      </c>
      <c r="E2163" t="s">
        <v>6208</v>
      </c>
      <c r="H2163" t="s">
        <v>6206</v>
      </c>
    </row>
    <row r="2164" spans="2:8" x14ac:dyDescent="0.25">
      <c r="B2164" t="s">
        <v>4879</v>
      </c>
      <c r="C2164" t="s">
        <v>4880</v>
      </c>
      <c r="D2164" t="s">
        <v>4881</v>
      </c>
      <c r="E2164" t="s">
        <v>4881</v>
      </c>
      <c r="H2164" t="s">
        <v>4879</v>
      </c>
    </row>
    <row r="2165" spans="2:8" x14ac:dyDescent="0.25">
      <c r="B2165" t="s">
        <v>4882</v>
      </c>
      <c r="C2165" t="s">
        <v>4883</v>
      </c>
      <c r="D2165" t="s">
        <v>4884</v>
      </c>
      <c r="E2165" t="s">
        <v>4884</v>
      </c>
      <c r="H2165" t="s">
        <v>4882</v>
      </c>
    </row>
    <row r="2166" spans="2:8" x14ac:dyDescent="0.25">
      <c r="B2166" t="s">
        <v>4885</v>
      </c>
      <c r="C2166" t="s">
        <v>4886</v>
      </c>
      <c r="D2166" t="s">
        <v>4887</v>
      </c>
      <c r="E2166" t="s">
        <v>4887</v>
      </c>
      <c r="H2166" t="s">
        <v>4885</v>
      </c>
    </row>
    <row r="2167" spans="2:8" x14ac:dyDescent="0.25">
      <c r="B2167" t="s">
        <v>4888</v>
      </c>
      <c r="C2167" t="s">
        <v>4889</v>
      </c>
      <c r="D2167" t="s">
        <v>4890</v>
      </c>
      <c r="E2167" t="s">
        <v>4890</v>
      </c>
      <c r="H2167" t="s">
        <v>4888</v>
      </c>
    </row>
    <row r="2168" spans="2:8" x14ac:dyDescent="0.25">
      <c r="B2168" t="s">
        <v>4891</v>
      </c>
      <c r="C2168" t="s">
        <v>4892</v>
      </c>
      <c r="D2168" t="s">
        <v>4893</v>
      </c>
      <c r="E2168" t="s">
        <v>4893</v>
      </c>
      <c r="H2168" t="s">
        <v>4891</v>
      </c>
    </row>
    <row r="2169" spans="2:8" x14ac:dyDescent="0.25">
      <c r="B2169" t="s">
        <v>4894</v>
      </c>
      <c r="C2169" t="s">
        <v>4895</v>
      </c>
      <c r="D2169" t="s">
        <v>4896</v>
      </c>
      <c r="E2169" t="s">
        <v>4896</v>
      </c>
      <c r="H2169" t="s">
        <v>4894</v>
      </c>
    </row>
    <row r="2170" spans="2:8" x14ac:dyDescent="0.25">
      <c r="B2170" t="s">
        <v>4897</v>
      </c>
      <c r="C2170" t="s">
        <v>4898</v>
      </c>
      <c r="D2170" t="s">
        <v>4899</v>
      </c>
      <c r="E2170" t="s">
        <v>4899</v>
      </c>
      <c r="H2170" t="s">
        <v>4897</v>
      </c>
    </row>
    <row r="2171" spans="2:8" x14ac:dyDescent="0.25">
      <c r="B2171" t="s">
        <v>4900</v>
      </c>
      <c r="C2171" t="s">
        <v>4901</v>
      </c>
      <c r="D2171" t="s">
        <v>4902</v>
      </c>
      <c r="E2171" t="s">
        <v>4902</v>
      </c>
      <c r="H2171" t="s">
        <v>4900</v>
      </c>
    </row>
    <row r="2172" spans="2:8" x14ac:dyDescent="0.25">
      <c r="B2172" t="s">
        <v>4903</v>
      </c>
      <c r="C2172" t="s">
        <v>4904</v>
      </c>
      <c r="D2172" t="s">
        <v>4905</v>
      </c>
      <c r="E2172" t="s">
        <v>4905</v>
      </c>
      <c r="H2172" t="s">
        <v>4903</v>
      </c>
    </row>
    <row r="2173" spans="2:8" x14ac:dyDescent="0.25">
      <c r="B2173" t="s">
        <v>4906</v>
      </c>
      <c r="C2173" t="s">
        <v>4907</v>
      </c>
      <c r="D2173" t="s">
        <v>4908</v>
      </c>
      <c r="E2173" t="s">
        <v>4908</v>
      </c>
      <c r="H2173" t="s">
        <v>4906</v>
      </c>
    </row>
    <row r="2174" spans="2:8" x14ac:dyDescent="0.25">
      <c r="B2174" t="s">
        <v>4909</v>
      </c>
      <c r="C2174" t="s">
        <v>4910</v>
      </c>
      <c r="D2174" t="s">
        <v>4911</v>
      </c>
      <c r="E2174" t="s">
        <v>4911</v>
      </c>
      <c r="H2174" t="s">
        <v>4909</v>
      </c>
    </row>
    <row r="2175" spans="2:8" x14ac:dyDescent="0.25">
      <c r="B2175" t="s">
        <v>4912</v>
      </c>
      <c r="C2175" t="s">
        <v>4913</v>
      </c>
      <c r="D2175" t="s">
        <v>4914</v>
      </c>
      <c r="E2175" t="s">
        <v>4914</v>
      </c>
      <c r="H2175" t="s">
        <v>4912</v>
      </c>
    </row>
    <row r="2176" spans="2:8" x14ac:dyDescent="0.25">
      <c r="B2176" t="s">
        <v>4915</v>
      </c>
      <c r="C2176" t="s">
        <v>4916</v>
      </c>
      <c r="D2176" t="s">
        <v>4917</v>
      </c>
      <c r="E2176" t="s">
        <v>4917</v>
      </c>
      <c r="H2176" t="s">
        <v>4915</v>
      </c>
    </row>
    <row r="2177" spans="2:8" x14ac:dyDescent="0.25">
      <c r="B2177" t="s">
        <v>4918</v>
      </c>
      <c r="C2177" t="s">
        <v>4919</v>
      </c>
      <c r="D2177" t="s">
        <v>4920</v>
      </c>
      <c r="E2177" t="s">
        <v>4920</v>
      </c>
      <c r="H2177" t="s">
        <v>4918</v>
      </c>
    </row>
    <row r="2178" spans="2:8" x14ac:dyDescent="0.25">
      <c r="B2178" t="s">
        <v>4921</v>
      </c>
      <c r="C2178" t="s">
        <v>4922</v>
      </c>
      <c r="D2178" t="s">
        <v>4923</v>
      </c>
      <c r="E2178" t="s">
        <v>4923</v>
      </c>
      <c r="H2178" t="s">
        <v>4921</v>
      </c>
    </row>
    <row r="2179" spans="2:8" x14ac:dyDescent="0.25">
      <c r="B2179" t="s">
        <v>6209</v>
      </c>
      <c r="C2179" t="s">
        <v>6210</v>
      </c>
      <c r="D2179" t="s">
        <v>6211</v>
      </c>
      <c r="E2179" t="s">
        <v>6211</v>
      </c>
      <c r="H2179" t="s">
        <v>6209</v>
      </c>
    </row>
    <row r="2180" spans="2:8" x14ac:dyDescent="0.25">
      <c r="B2180" t="s">
        <v>6212</v>
      </c>
      <c r="C2180" t="s">
        <v>6210</v>
      </c>
      <c r="D2180" t="s">
        <v>6213</v>
      </c>
      <c r="E2180" t="s">
        <v>6213</v>
      </c>
      <c r="H2180" t="s">
        <v>6212</v>
      </c>
    </row>
    <row r="2181" spans="2:8" x14ac:dyDescent="0.25">
      <c r="B2181" t="s">
        <v>5184</v>
      </c>
      <c r="C2181" t="s">
        <v>5185</v>
      </c>
      <c r="D2181" t="s">
        <v>5186</v>
      </c>
      <c r="E2181" t="s">
        <v>5186</v>
      </c>
      <c r="H2181" t="s">
        <v>5184</v>
      </c>
    </row>
    <row r="2182" spans="2:8" x14ac:dyDescent="0.25">
      <c r="B2182" t="s">
        <v>5187</v>
      </c>
      <c r="C2182" t="s">
        <v>5188</v>
      </c>
      <c r="D2182" t="s">
        <v>5189</v>
      </c>
      <c r="E2182" t="s">
        <v>5189</v>
      </c>
      <c r="H2182" t="s">
        <v>5187</v>
      </c>
    </row>
    <row r="2183" spans="2:8" x14ac:dyDescent="0.25">
      <c r="B2183" t="s">
        <v>5190</v>
      </c>
      <c r="C2183" t="s">
        <v>5191</v>
      </c>
      <c r="D2183" t="s">
        <v>5192</v>
      </c>
      <c r="E2183" t="s">
        <v>5192</v>
      </c>
      <c r="H2183" t="s">
        <v>5190</v>
      </c>
    </row>
    <row r="2184" spans="2:8" x14ac:dyDescent="0.25">
      <c r="B2184" t="s">
        <v>5193</v>
      </c>
      <c r="C2184" t="s">
        <v>5194</v>
      </c>
      <c r="D2184" t="s">
        <v>5195</v>
      </c>
      <c r="E2184" t="s">
        <v>5195</v>
      </c>
      <c r="H2184" t="s">
        <v>5193</v>
      </c>
    </row>
    <row r="2185" spans="2:8" x14ac:dyDescent="0.25">
      <c r="B2185" t="s">
        <v>5196</v>
      </c>
      <c r="C2185" t="s">
        <v>5197</v>
      </c>
      <c r="D2185" t="s">
        <v>5198</v>
      </c>
      <c r="E2185" t="s">
        <v>5198</v>
      </c>
      <c r="H2185" t="s">
        <v>5196</v>
      </c>
    </row>
    <row r="2186" spans="2:8" x14ac:dyDescent="0.25">
      <c r="B2186" t="s">
        <v>6214</v>
      </c>
      <c r="C2186" t="s">
        <v>6215</v>
      </c>
      <c r="D2186" t="s">
        <v>6216</v>
      </c>
      <c r="E2186" t="s">
        <v>6216</v>
      </c>
      <c r="H2186" t="s">
        <v>6214</v>
      </c>
    </row>
    <row r="2187" spans="2:8" x14ac:dyDescent="0.25">
      <c r="B2187" t="s">
        <v>6217</v>
      </c>
      <c r="C2187" t="s">
        <v>6215</v>
      </c>
      <c r="D2187" t="s">
        <v>6218</v>
      </c>
      <c r="E2187" t="s">
        <v>6218</v>
      </c>
      <c r="H2187" t="s">
        <v>6217</v>
      </c>
    </row>
    <row r="2188" spans="2:8" x14ac:dyDescent="0.25">
      <c r="B2188" t="s">
        <v>6219</v>
      </c>
      <c r="C2188" t="s">
        <v>6215</v>
      </c>
      <c r="D2188" t="s">
        <v>6220</v>
      </c>
      <c r="E2188" t="s">
        <v>6220</v>
      </c>
      <c r="H2188" t="s">
        <v>6219</v>
      </c>
    </row>
    <row r="2189" spans="2:8" x14ac:dyDescent="0.25">
      <c r="B2189" t="s">
        <v>6221</v>
      </c>
      <c r="C2189" t="s">
        <v>5320</v>
      </c>
      <c r="D2189" t="s">
        <v>6222</v>
      </c>
      <c r="E2189" t="s">
        <v>6222</v>
      </c>
      <c r="H2189" t="s">
        <v>6221</v>
      </c>
    </row>
    <row r="2190" spans="2:8" x14ac:dyDescent="0.25">
      <c r="B2190" t="s">
        <v>5319</v>
      </c>
      <c r="C2190" t="s">
        <v>5320</v>
      </c>
      <c r="D2190" t="s">
        <v>5321</v>
      </c>
      <c r="E2190" t="s">
        <v>5321</v>
      </c>
      <c r="H2190" t="s">
        <v>5319</v>
      </c>
    </row>
    <row r="2191" spans="2:8" x14ac:dyDescent="0.25">
      <c r="B2191" t="s">
        <v>6223</v>
      </c>
      <c r="C2191" t="s">
        <v>5320</v>
      </c>
      <c r="D2191" t="s">
        <v>6224</v>
      </c>
      <c r="E2191" t="s">
        <v>6224</v>
      </c>
      <c r="H2191" t="s">
        <v>6223</v>
      </c>
    </row>
    <row r="2192" spans="2:8" x14ac:dyDescent="0.25">
      <c r="B2192" t="s">
        <v>6225</v>
      </c>
      <c r="C2192" t="s">
        <v>6226</v>
      </c>
      <c r="D2192" t="s">
        <v>6227</v>
      </c>
      <c r="E2192" t="s">
        <v>6227</v>
      </c>
      <c r="H2192" t="s">
        <v>6225</v>
      </c>
    </row>
    <row r="2193" spans="2:8" x14ac:dyDescent="0.25">
      <c r="B2193" t="s">
        <v>6228</v>
      </c>
      <c r="C2193" t="s">
        <v>6226</v>
      </c>
      <c r="D2193" t="s">
        <v>6229</v>
      </c>
      <c r="E2193" t="s">
        <v>6229</v>
      </c>
      <c r="H2193" t="s">
        <v>6228</v>
      </c>
    </row>
    <row r="2194" spans="2:8" x14ac:dyDescent="0.25">
      <c r="B2194" t="s">
        <v>6230</v>
      </c>
      <c r="C2194" t="s">
        <v>6231</v>
      </c>
      <c r="D2194" t="s">
        <v>6232</v>
      </c>
      <c r="E2194" t="s">
        <v>6232</v>
      </c>
      <c r="H2194" t="s">
        <v>6230</v>
      </c>
    </row>
    <row r="2195" spans="2:8" x14ac:dyDescent="0.25">
      <c r="B2195" t="s">
        <v>6233</v>
      </c>
      <c r="C2195" t="s">
        <v>6231</v>
      </c>
      <c r="D2195" t="s">
        <v>6234</v>
      </c>
      <c r="E2195" t="s">
        <v>6234</v>
      </c>
      <c r="H2195" t="s">
        <v>6233</v>
      </c>
    </row>
    <row r="2196" spans="2:8" x14ac:dyDescent="0.25">
      <c r="B2196" t="s">
        <v>6235</v>
      </c>
      <c r="C2196" t="s">
        <v>6236</v>
      </c>
      <c r="D2196" t="s">
        <v>6237</v>
      </c>
      <c r="E2196" t="s">
        <v>6237</v>
      </c>
      <c r="H2196" t="s">
        <v>6235</v>
      </c>
    </row>
    <row r="2197" spans="2:8" x14ac:dyDescent="0.25">
      <c r="B2197" t="s">
        <v>6238</v>
      </c>
      <c r="C2197" t="s">
        <v>6239</v>
      </c>
      <c r="D2197" t="s">
        <v>6240</v>
      </c>
      <c r="E2197" t="s">
        <v>6240</v>
      </c>
      <c r="H2197" t="s">
        <v>6238</v>
      </c>
    </row>
    <row r="2198" spans="2:8" x14ac:dyDescent="0.25">
      <c r="B2198" t="s">
        <v>5354</v>
      </c>
      <c r="C2198" t="s">
        <v>5355</v>
      </c>
      <c r="D2198" t="s">
        <v>5356</v>
      </c>
      <c r="E2198" t="s">
        <v>5356</v>
      </c>
      <c r="H2198" t="s">
        <v>5354</v>
      </c>
    </row>
    <row r="2199" spans="2:8" x14ac:dyDescent="0.25">
      <c r="B2199" t="s">
        <v>5357</v>
      </c>
      <c r="C2199" t="s">
        <v>5358</v>
      </c>
      <c r="D2199" t="s">
        <v>5359</v>
      </c>
      <c r="E2199" t="s">
        <v>5359</v>
      </c>
      <c r="H2199" t="s">
        <v>5357</v>
      </c>
    </row>
    <row r="2200" spans="2:8" x14ac:dyDescent="0.25">
      <c r="B2200" t="s">
        <v>5360</v>
      </c>
      <c r="C2200" t="s">
        <v>5361</v>
      </c>
      <c r="D2200" t="s">
        <v>5362</v>
      </c>
      <c r="E2200" t="s">
        <v>5362</v>
      </c>
      <c r="H2200" t="s">
        <v>5360</v>
      </c>
    </row>
    <row r="2201" spans="2:8" x14ac:dyDescent="0.25">
      <c r="B2201" t="s">
        <v>5363</v>
      </c>
      <c r="C2201" t="s">
        <v>5364</v>
      </c>
      <c r="D2201" t="s">
        <v>5365</v>
      </c>
      <c r="E2201" t="s">
        <v>5365</v>
      </c>
      <c r="H2201" t="s">
        <v>5363</v>
      </c>
    </row>
    <row r="2202" spans="2:8" x14ac:dyDescent="0.25">
      <c r="B2202" t="s">
        <v>5366</v>
      </c>
      <c r="C2202" t="s">
        <v>5367</v>
      </c>
      <c r="D2202" t="s">
        <v>5368</v>
      </c>
      <c r="E2202" t="s">
        <v>5368</v>
      </c>
      <c r="H2202" t="s">
        <v>5366</v>
      </c>
    </row>
    <row r="2203" spans="2:8" x14ac:dyDescent="0.25">
      <c r="B2203" t="s">
        <v>5372</v>
      </c>
      <c r="C2203" t="s">
        <v>5373</v>
      </c>
      <c r="D2203" t="s">
        <v>5374</v>
      </c>
      <c r="E2203" t="s">
        <v>5374</v>
      </c>
      <c r="H2203" t="s">
        <v>5372</v>
      </c>
    </row>
    <row r="2204" spans="2:8" x14ac:dyDescent="0.25">
      <c r="B2204" t="s">
        <v>5384</v>
      </c>
      <c r="C2204" t="s">
        <v>5385</v>
      </c>
      <c r="D2204" t="s">
        <v>5386</v>
      </c>
      <c r="E2204" t="s">
        <v>5386</v>
      </c>
      <c r="H2204" t="s">
        <v>5384</v>
      </c>
    </row>
    <row r="2205" spans="2:8" x14ac:dyDescent="0.25">
      <c r="B2205" t="s">
        <v>5387</v>
      </c>
      <c r="C2205" t="s">
        <v>5388</v>
      </c>
      <c r="D2205" t="s">
        <v>5389</v>
      </c>
      <c r="E2205" t="s">
        <v>5389</v>
      </c>
      <c r="H2205" t="s">
        <v>5387</v>
      </c>
    </row>
    <row r="2206" spans="2:8" x14ac:dyDescent="0.25">
      <c r="B2206" t="s">
        <v>5390</v>
      </c>
      <c r="C2206" t="s">
        <v>5391</v>
      </c>
      <c r="D2206" t="s">
        <v>5392</v>
      </c>
      <c r="E2206" t="s">
        <v>5392</v>
      </c>
      <c r="H2206" t="s">
        <v>5390</v>
      </c>
    </row>
    <row r="2207" spans="2:8" x14ac:dyDescent="0.25">
      <c r="B2207" t="s">
        <v>6241</v>
      </c>
      <c r="C2207" t="s">
        <v>6242</v>
      </c>
      <c r="D2207" t="s">
        <v>6243</v>
      </c>
      <c r="E2207" t="s">
        <v>6243</v>
      </c>
      <c r="H2207" t="s">
        <v>6241</v>
      </c>
    </row>
    <row r="2208" spans="2:8" x14ac:dyDescent="0.25">
      <c r="B2208" t="s">
        <v>6244</v>
      </c>
      <c r="C2208" t="s">
        <v>6245</v>
      </c>
      <c r="D2208" t="s">
        <v>6246</v>
      </c>
      <c r="E2208" t="s">
        <v>6246</v>
      </c>
      <c r="H2208" t="s">
        <v>6244</v>
      </c>
    </row>
    <row r="2209" spans="2:8" x14ac:dyDescent="0.25">
      <c r="B2209" t="s">
        <v>6247</v>
      </c>
      <c r="C2209" t="s">
        <v>6248</v>
      </c>
      <c r="D2209" t="s">
        <v>6249</v>
      </c>
      <c r="E2209" t="s">
        <v>6249</v>
      </c>
      <c r="H2209" t="s">
        <v>6247</v>
      </c>
    </row>
    <row r="2210" spans="2:8" x14ac:dyDescent="0.25">
      <c r="B2210" t="s">
        <v>5393</v>
      </c>
      <c r="C2210" t="s">
        <v>5394</v>
      </c>
      <c r="D2210" t="s">
        <v>5395</v>
      </c>
      <c r="E2210" t="s">
        <v>5395</v>
      </c>
      <c r="H2210" t="s">
        <v>5393</v>
      </c>
    </row>
    <row r="2211" spans="2:8" x14ac:dyDescent="0.25">
      <c r="B2211" t="s">
        <v>6250</v>
      </c>
      <c r="C2211" t="s">
        <v>6251</v>
      </c>
      <c r="D2211" t="s">
        <v>6252</v>
      </c>
      <c r="E2211" t="s">
        <v>6252</v>
      </c>
      <c r="H2211" t="s">
        <v>6250</v>
      </c>
    </row>
    <row r="2212" spans="2:8" x14ac:dyDescent="0.25">
      <c r="B2212" t="s">
        <v>5396</v>
      </c>
      <c r="C2212" t="s">
        <v>5397</v>
      </c>
      <c r="D2212" t="s">
        <v>5398</v>
      </c>
      <c r="E2212" t="s">
        <v>5398</v>
      </c>
      <c r="H2212" t="s">
        <v>5396</v>
      </c>
    </row>
    <row r="2213" spans="2:8" x14ac:dyDescent="0.25">
      <c r="B2213" t="s">
        <v>6253</v>
      </c>
      <c r="C2213" t="s">
        <v>6254</v>
      </c>
      <c r="D2213" t="s">
        <v>6255</v>
      </c>
      <c r="E2213" t="s">
        <v>6255</v>
      </c>
      <c r="H2213" t="s">
        <v>6253</v>
      </c>
    </row>
    <row r="2214" spans="2:8" x14ac:dyDescent="0.25">
      <c r="B2214" t="s">
        <v>3509</v>
      </c>
      <c r="C2214" t="s">
        <v>3510</v>
      </c>
      <c r="D2214" t="s">
        <v>3511</v>
      </c>
      <c r="E2214" t="s">
        <v>3511</v>
      </c>
      <c r="H2214" t="s">
        <v>3509</v>
      </c>
    </row>
    <row r="2215" spans="2:8" x14ac:dyDescent="0.25">
      <c r="B2215" t="s">
        <v>3512</v>
      </c>
      <c r="C2215" t="s">
        <v>3510</v>
      </c>
      <c r="D2215" t="s">
        <v>3513</v>
      </c>
      <c r="E2215" t="s">
        <v>3513</v>
      </c>
      <c r="H2215" t="s">
        <v>3512</v>
      </c>
    </row>
    <row r="2216" spans="2:8" x14ac:dyDescent="0.25">
      <c r="B2216" t="s">
        <v>3514</v>
      </c>
      <c r="C2216" t="s">
        <v>3510</v>
      </c>
      <c r="D2216" t="s">
        <v>3515</v>
      </c>
      <c r="E2216" t="s">
        <v>3515</v>
      </c>
      <c r="H2216" t="s">
        <v>3514</v>
      </c>
    </row>
    <row r="2217" spans="2:8" x14ac:dyDescent="0.25">
      <c r="B2217" t="s">
        <v>6256</v>
      </c>
      <c r="C2217" t="s">
        <v>5463</v>
      </c>
      <c r="D2217" t="s">
        <v>6257</v>
      </c>
      <c r="E2217" t="s">
        <v>6257</v>
      </c>
      <c r="H2217" t="s">
        <v>6256</v>
      </c>
    </row>
    <row r="2218" spans="2:8" x14ac:dyDescent="0.25">
      <c r="B2218" t="s">
        <v>6258</v>
      </c>
      <c r="C2218" t="s">
        <v>5463</v>
      </c>
      <c r="D2218" t="s">
        <v>6259</v>
      </c>
      <c r="E2218" t="s">
        <v>6259</v>
      </c>
      <c r="H2218" t="s">
        <v>6258</v>
      </c>
    </row>
    <row r="2219" spans="2:8" x14ac:dyDescent="0.25">
      <c r="B2219" t="s">
        <v>5509</v>
      </c>
      <c r="C2219" t="s">
        <v>5510</v>
      </c>
      <c r="D2219" t="s">
        <v>5511</v>
      </c>
      <c r="E2219" t="s">
        <v>5511</v>
      </c>
      <c r="H2219" t="s">
        <v>5509</v>
      </c>
    </row>
    <row r="2220" spans="2:8" x14ac:dyDescent="0.25">
      <c r="B2220" t="s">
        <v>5512</v>
      </c>
      <c r="C2220" t="s">
        <v>5513</v>
      </c>
      <c r="D2220" t="s">
        <v>5514</v>
      </c>
      <c r="E2220" t="s">
        <v>5514</v>
      </c>
      <c r="H2220" t="s">
        <v>5512</v>
      </c>
    </row>
    <row r="2221" spans="2:8" x14ac:dyDescent="0.25">
      <c r="B2221" t="s">
        <v>5515</v>
      </c>
      <c r="C2221" t="s">
        <v>5516</v>
      </c>
      <c r="D2221" t="s">
        <v>5517</v>
      </c>
      <c r="E2221" t="s">
        <v>5517</v>
      </c>
      <c r="H2221" t="s">
        <v>5515</v>
      </c>
    </row>
    <row r="2222" spans="2:8" x14ac:dyDescent="0.25">
      <c r="B2222" t="s">
        <v>5527</v>
      </c>
      <c r="C2222" t="s">
        <v>5528</v>
      </c>
      <c r="D2222" t="s">
        <v>5529</v>
      </c>
      <c r="E2222" t="s">
        <v>5529</v>
      </c>
      <c r="H2222" t="s">
        <v>5527</v>
      </c>
    </row>
    <row r="2223" spans="2:8" x14ac:dyDescent="0.25">
      <c r="B2223" t="s">
        <v>5530</v>
      </c>
      <c r="C2223" t="s">
        <v>5531</v>
      </c>
      <c r="D2223" t="s">
        <v>5532</v>
      </c>
      <c r="E2223" t="s">
        <v>5532</v>
      </c>
      <c r="H2223" t="s">
        <v>5530</v>
      </c>
    </row>
    <row r="2224" spans="2:8" x14ac:dyDescent="0.25">
      <c r="B2224" t="s">
        <v>5533</v>
      </c>
      <c r="C2224" t="s">
        <v>5534</v>
      </c>
      <c r="D2224" t="s">
        <v>5535</v>
      </c>
      <c r="E2224" t="s">
        <v>5535</v>
      </c>
      <c r="H2224" t="s">
        <v>5533</v>
      </c>
    </row>
    <row r="2225" spans="2:8" x14ac:dyDescent="0.25">
      <c r="B2225" t="s">
        <v>5536</v>
      </c>
      <c r="C2225" t="s">
        <v>5537</v>
      </c>
      <c r="D2225" t="s">
        <v>5538</v>
      </c>
      <c r="E2225" t="s">
        <v>5538</v>
      </c>
      <c r="H2225" t="s">
        <v>5536</v>
      </c>
    </row>
    <row r="2226" spans="2:8" x14ac:dyDescent="0.25">
      <c r="B2226" t="s">
        <v>5545</v>
      </c>
      <c r="C2226" t="s">
        <v>5546</v>
      </c>
      <c r="D2226" t="s">
        <v>5547</v>
      </c>
      <c r="E2226" t="s">
        <v>5547</v>
      </c>
      <c r="H2226" t="s">
        <v>5545</v>
      </c>
    </row>
    <row r="2227" spans="2:8" x14ac:dyDescent="0.25">
      <c r="B2227" t="s">
        <v>5548</v>
      </c>
      <c r="C2227" t="s">
        <v>5549</v>
      </c>
      <c r="D2227" t="s">
        <v>5550</v>
      </c>
      <c r="E2227" t="s">
        <v>5550</v>
      </c>
      <c r="H2227" t="s">
        <v>5548</v>
      </c>
    </row>
    <row r="2228" spans="2:8" x14ac:dyDescent="0.25">
      <c r="B2228" t="s">
        <v>5569</v>
      </c>
      <c r="C2228" t="s">
        <v>5570</v>
      </c>
      <c r="D2228" t="s">
        <v>5571</v>
      </c>
      <c r="E2228" t="s">
        <v>5571</v>
      </c>
      <c r="H2228" t="s">
        <v>5569</v>
      </c>
    </row>
    <row r="2229" spans="2:8" x14ac:dyDescent="0.25">
      <c r="B2229" t="s">
        <v>5572</v>
      </c>
      <c r="C2229" t="s">
        <v>5573</v>
      </c>
      <c r="D2229" t="s">
        <v>5574</v>
      </c>
      <c r="E2229" t="s">
        <v>5574</v>
      </c>
      <c r="H2229" t="s">
        <v>5572</v>
      </c>
    </row>
    <row r="2230" spans="2:8" x14ac:dyDescent="0.25">
      <c r="B2230" t="s">
        <v>5575</v>
      </c>
      <c r="C2230" t="s">
        <v>5576</v>
      </c>
      <c r="D2230" t="s">
        <v>5577</v>
      </c>
      <c r="E2230" t="s">
        <v>5577</v>
      </c>
      <c r="H2230" t="s">
        <v>5575</v>
      </c>
    </row>
    <row r="2231" spans="2:8" x14ac:dyDescent="0.25">
      <c r="B2231" t="s">
        <v>5578</v>
      </c>
      <c r="C2231" t="s">
        <v>5579</v>
      </c>
      <c r="D2231" t="s">
        <v>5580</v>
      </c>
      <c r="E2231" t="s">
        <v>5580</v>
      </c>
      <c r="H2231" t="s">
        <v>5578</v>
      </c>
    </row>
    <row r="2232" spans="2:8" x14ac:dyDescent="0.25">
      <c r="B2232" t="s">
        <v>5581</v>
      </c>
      <c r="C2232" t="s">
        <v>5582</v>
      </c>
      <c r="D2232" t="s">
        <v>5583</v>
      </c>
      <c r="E2232" t="s">
        <v>5583</v>
      </c>
      <c r="H2232" t="s">
        <v>5581</v>
      </c>
    </row>
    <row r="2233" spans="2:8" x14ac:dyDescent="0.25">
      <c r="B2233" t="s">
        <v>5584</v>
      </c>
      <c r="C2233" t="s">
        <v>5585</v>
      </c>
      <c r="D2233" t="s">
        <v>5586</v>
      </c>
      <c r="E2233" t="s">
        <v>5586</v>
      </c>
      <c r="H2233" t="s">
        <v>5584</v>
      </c>
    </row>
    <row r="2234" spans="2:8" x14ac:dyDescent="0.25">
      <c r="B2234" t="s">
        <v>5587</v>
      </c>
      <c r="C2234" t="s">
        <v>5588</v>
      </c>
      <c r="D2234" t="s">
        <v>5589</v>
      </c>
      <c r="E2234" t="s">
        <v>5589</v>
      </c>
      <c r="H2234" t="s">
        <v>5587</v>
      </c>
    </row>
    <row r="2235" spans="2:8" x14ac:dyDescent="0.25">
      <c r="B2235" t="s">
        <v>5590</v>
      </c>
      <c r="C2235" t="s">
        <v>5591</v>
      </c>
      <c r="D2235" t="s">
        <v>5592</v>
      </c>
      <c r="E2235" t="s">
        <v>5592</v>
      </c>
      <c r="H2235" t="s">
        <v>5590</v>
      </c>
    </row>
    <row r="2236" spans="2:8" x14ac:dyDescent="0.25">
      <c r="B2236" t="s">
        <v>5593</v>
      </c>
      <c r="C2236" t="s">
        <v>5594</v>
      </c>
      <c r="D2236" t="s">
        <v>5595</v>
      </c>
      <c r="E2236" t="s">
        <v>5595</v>
      </c>
      <c r="H2236" t="s">
        <v>5593</v>
      </c>
    </row>
    <row r="2237" spans="2:8" x14ac:dyDescent="0.25">
      <c r="B2237" t="s">
        <v>5596</v>
      </c>
      <c r="C2237" t="s">
        <v>5597</v>
      </c>
      <c r="D2237" t="s">
        <v>5598</v>
      </c>
      <c r="E2237" t="s">
        <v>5598</v>
      </c>
      <c r="H2237" t="s">
        <v>5596</v>
      </c>
    </row>
    <row r="2238" spans="2:8" x14ac:dyDescent="0.25">
      <c r="B2238" t="s">
        <v>5599</v>
      </c>
      <c r="C2238" t="s">
        <v>5600</v>
      </c>
      <c r="D2238" t="s">
        <v>5601</v>
      </c>
      <c r="E2238" t="s">
        <v>5601</v>
      </c>
      <c r="H2238" t="s">
        <v>5599</v>
      </c>
    </row>
    <row r="2239" spans="2:8" x14ac:dyDescent="0.25">
      <c r="B2239" t="s">
        <v>5602</v>
      </c>
      <c r="C2239" t="s">
        <v>5603</v>
      </c>
      <c r="D2239" t="s">
        <v>5604</v>
      </c>
      <c r="E2239" t="s">
        <v>5604</v>
      </c>
      <c r="H2239" t="s">
        <v>5602</v>
      </c>
    </row>
    <row r="2240" spans="2:8" x14ac:dyDescent="0.25">
      <c r="B2240" t="s">
        <v>5605</v>
      </c>
      <c r="C2240" t="s">
        <v>5606</v>
      </c>
      <c r="D2240" t="s">
        <v>5607</v>
      </c>
      <c r="E2240" t="s">
        <v>5607</v>
      </c>
      <c r="H2240" t="s">
        <v>5605</v>
      </c>
    </row>
    <row r="2241" spans="2:8" x14ac:dyDescent="0.25">
      <c r="B2241" t="s">
        <v>5608</v>
      </c>
      <c r="C2241" t="s">
        <v>5609</v>
      </c>
      <c r="D2241" t="s">
        <v>5610</v>
      </c>
      <c r="E2241" t="s">
        <v>5610</v>
      </c>
      <c r="H2241" t="s">
        <v>5608</v>
      </c>
    </row>
    <row r="2242" spans="2:8" x14ac:dyDescent="0.25">
      <c r="B2242" t="s">
        <v>5617</v>
      </c>
      <c r="C2242" t="s">
        <v>5618</v>
      </c>
      <c r="D2242" t="s">
        <v>5619</v>
      </c>
      <c r="E2242" t="s">
        <v>5619</v>
      </c>
      <c r="H2242" t="s">
        <v>5617</v>
      </c>
    </row>
    <row r="2243" spans="2:8" x14ac:dyDescent="0.25">
      <c r="B2243" t="s">
        <v>5623</v>
      </c>
      <c r="C2243" t="s">
        <v>5624</v>
      </c>
      <c r="D2243" t="s">
        <v>5625</v>
      </c>
      <c r="E2243" t="s">
        <v>5625</v>
      </c>
      <c r="H2243" t="s">
        <v>5623</v>
      </c>
    </row>
    <row r="2244" spans="2:8" x14ac:dyDescent="0.25">
      <c r="B2244" t="s">
        <v>5626</v>
      </c>
      <c r="C2244" t="s">
        <v>5627</v>
      </c>
      <c r="D2244" t="s">
        <v>5628</v>
      </c>
      <c r="E2244" t="s">
        <v>5628</v>
      </c>
      <c r="H2244" t="s">
        <v>5626</v>
      </c>
    </row>
    <row r="2245" spans="2:8" x14ac:dyDescent="0.25">
      <c r="B2245" t="s">
        <v>5629</v>
      </c>
      <c r="C2245" t="s">
        <v>5630</v>
      </c>
      <c r="D2245" t="s">
        <v>5631</v>
      </c>
      <c r="E2245" t="s">
        <v>5631</v>
      </c>
      <c r="H2245" t="s">
        <v>5629</v>
      </c>
    </row>
    <row r="2246" spans="2:8" x14ac:dyDescent="0.25">
      <c r="B2246" t="s">
        <v>5632</v>
      </c>
      <c r="C2246" t="s">
        <v>5633</v>
      </c>
      <c r="D2246" t="s">
        <v>5634</v>
      </c>
      <c r="E2246" t="s">
        <v>5634</v>
      </c>
      <c r="H2246" t="s">
        <v>5632</v>
      </c>
    </row>
    <row r="2247" spans="2:8" x14ac:dyDescent="0.25">
      <c r="B2247" t="s">
        <v>5635</v>
      </c>
      <c r="C2247" t="s">
        <v>5636</v>
      </c>
      <c r="D2247" t="s">
        <v>5637</v>
      </c>
      <c r="E2247" t="s">
        <v>5637</v>
      </c>
      <c r="H2247" t="s">
        <v>5635</v>
      </c>
    </row>
    <row r="2248" spans="2:8" x14ac:dyDescent="0.25">
      <c r="B2248" t="s">
        <v>5638</v>
      </c>
      <c r="C2248" t="s">
        <v>5639</v>
      </c>
      <c r="D2248" t="s">
        <v>5640</v>
      </c>
      <c r="E2248" t="s">
        <v>5640</v>
      </c>
      <c r="H2248" t="s">
        <v>5638</v>
      </c>
    </row>
    <row r="2249" spans="2:8" x14ac:dyDescent="0.25">
      <c r="B2249" t="s">
        <v>5641</v>
      </c>
      <c r="C2249" t="s">
        <v>5642</v>
      </c>
      <c r="D2249" t="s">
        <v>5643</v>
      </c>
      <c r="E2249" t="s">
        <v>5643</v>
      </c>
      <c r="H2249" t="s">
        <v>5641</v>
      </c>
    </row>
    <row r="2250" spans="2:8" x14ac:dyDescent="0.25">
      <c r="B2250" t="s">
        <v>5644</v>
      </c>
      <c r="C2250" t="s">
        <v>5645</v>
      </c>
      <c r="D2250" t="s">
        <v>5646</v>
      </c>
      <c r="E2250" t="s">
        <v>5646</v>
      </c>
      <c r="H2250" t="s">
        <v>5644</v>
      </c>
    </row>
    <row r="2251" spans="2:8" x14ac:dyDescent="0.25">
      <c r="B2251" t="s">
        <v>5647</v>
      </c>
      <c r="C2251" t="s">
        <v>5648</v>
      </c>
      <c r="D2251" t="s">
        <v>5649</v>
      </c>
      <c r="E2251" t="s">
        <v>5649</v>
      </c>
      <c r="H2251" t="s">
        <v>5647</v>
      </c>
    </row>
    <row r="2252" spans="2:8" x14ac:dyDescent="0.25">
      <c r="B2252" t="s">
        <v>5650</v>
      </c>
      <c r="C2252" t="s">
        <v>5651</v>
      </c>
      <c r="D2252" t="s">
        <v>5652</v>
      </c>
      <c r="E2252" t="s">
        <v>5652</v>
      </c>
      <c r="H2252" t="s">
        <v>5650</v>
      </c>
    </row>
    <row r="2253" spans="2:8" x14ac:dyDescent="0.25">
      <c r="B2253" t="s">
        <v>5653</v>
      </c>
      <c r="C2253" t="s">
        <v>5654</v>
      </c>
      <c r="D2253" t="s">
        <v>5655</v>
      </c>
      <c r="E2253" t="s">
        <v>5655</v>
      </c>
      <c r="H2253" t="s">
        <v>5653</v>
      </c>
    </row>
    <row r="2254" spans="2:8" x14ac:dyDescent="0.25">
      <c r="B2254" t="s">
        <v>5656</v>
      </c>
      <c r="C2254" t="s">
        <v>5657</v>
      </c>
      <c r="D2254" t="s">
        <v>5658</v>
      </c>
      <c r="E2254" t="s">
        <v>5658</v>
      </c>
      <c r="H2254" t="s">
        <v>5656</v>
      </c>
    </row>
    <row r="2255" spans="2:8" x14ac:dyDescent="0.25">
      <c r="B2255" t="s">
        <v>5659</v>
      </c>
      <c r="C2255" t="s">
        <v>5660</v>
      </c>
      <c r="D2255" t="s">
        <v>5661</v>
      </c>
      <c r="E2255" t="s">
        <v>5661</v>
      </c>
      <c r="H2255" t="s">
        <v>5659</v>
      </c>
    </row>
    <row r="2256" spans="2:8" x14ac:dyDescent="0.25">
      <c r="B2256" t="s">
        <v>5893</v>
      </c>
      <c r="C2256" t="s">
        <v>5894</v>
      </c>
      <c r="D2256" t="s">
        <v>5895</v>
      </c>
      <c r="E2256" t="s">
        <v>5895</v>
      </c>
      <c r="H2256" t="s">
        <v>5893</v>
      </c>
    </row>
    <row r="2257" spans="2:8" x14ac:dyDescent="0.25">
      <c r="B2257" t="s">
        <v>5896</v>
      </c>
      <c r="C2257" t="s">
        <v>5894</v>
      </c>
      <c r="D2257" t="s">
        <v>5897</v>
      </c>
      <c r="E2257" t="s">
        <v>5897</v>
      </c>
      <c r="H2257" t="s">
        <v>5896</v>
      </c>
    </row>
    <row r="2258" spans="2:8" x14ac:dyDescent="0.25">
      <c r="B2258" t="s">
        <v>5898</v>
      </c>
      <c r="C2258" t="s">
        <v>5894</v>
      </c>
      <c r="D2258" t="s">
        <v>5899</v>
      </c>
      <c r="E2258" t="s">
        <v>5899</v>
      </c>
      <c r="H2258" t="s">
        <v>5898</v>
      </c>
    </row>
    <row r="2259" spans="2:8" x14ac:dyDescent="0.25">
      <c r="B2259" t="s">
        <v>5900</v>
      </c>
      <c r="C2259" t="s">
        <v>5901</v>
      </c>
      <c r="D2259" t="s">
        <v>5902</v>
      </c>
      <c r="E2259" t="s">
        <v>5902</v>
      </c>
      <c r="H2259" t="s">
        <v>5900</v>
      </c>
    </row>
    <row r="2260" spans="2:8" x14ac:dyDescent="0.25">
      <c r="B2260" t="s">
        <v>5903</v>
      </c>
      <c r="C2260" t="s">
        <v>5901</v>
      </c>
      <c r="D2260" t="s">
        <v>5904</v>
      </c>
      <c r="E2260" t="s">
        <v>5904</v>
      </c>
      <c r="H2260" t="s">
        <v>5903</v>
      </c>
    </row>
    <row r="2261" spans="2:8" x14ac:dyDescent="0.25">
      <c r="B2261" t="s">
        <v>5905</v>
      </c>
      <c r="C2261" t="s">
        <v>5901</v>
      </c>
      <c r="D2261" t="s">
        <v>5906</v>
      </c>
      <c r="E2261" t="s">
        <v>5906</v>
      </c>
      <c r="H2261" t="s">
        <v>5905</v>
      </c>
    </row>
    <row r="2262" spans="2:8" x14ac:dyDescent="0.25">
      <c r="B2262" t="s">
        <v>5907</v>
      </c>
      <c r="C2262" t="s">
        <v>5908</v>
      </c>
      <c r="D2262" t="s">
        <v>5909</v>
      </c>
      <c r="E2262" t="s">
        <v>5909</v>
      </c>
      <c r="H2262" t="s">
        <v>5907</v>
      </c>
    </row>
    <row r="2263" spans="2:8" x14ac:dyDescent="0.25">
      <c r="B2263" t="s">
        <v>5910</v>
      </c>
      <c r="C2263" t="s">
        <v>5908</v>
      </c>
      <c r="D2263" t="s">
        <v>5911</v>
      </c>
      <c r="E2263" t="s">
        <v>5911</v>
      </c>
      <c r="H2263" t="s">
        <v>5910</v>
      </c>
    </row>
    <row r="2264" spans="2:8" x14ac:dyDescent="0.25">
      <c r="B2264" t="s">
        <v>5912</v>
      </c>
      <c r="C2264" t="s">
        <v>5908</v>
      </c>
      <c r="D2264" t="s">
        <v>5913</v>
      </c>
      <c r="E2264" t="s">
        <v>5913</v>
      </c>
      <c r="H2264" t="s">
        <v>5912</v>
      </c>
    </row>
    <row r="2265" spans="2:8" x14ac:dyDescent="0.25">
      <c r="B2265" t="s">
        <v>5914</v>
      </c>
      <c r="C2265" t="s">
        <v>5915</v>
      </c>
      <c r="D2265" t="s">
        <v>5916</v>
      </c>
      <c r="E2265" t="s">
        <v>5916</v>
      </c>
      <c r="H2265" t="s">
        <v>5914</v>
      </c>
    </row>
    <row r="2266" spans="2:8" x14ac:dyDescent="0.25">
      <c r="B2266" t="s">
        <v>5917</v>
      </c>
      <c r="C2266" t="s">
        <v>5915</v>
      </c>
      <c r="D2266" t="s">
        <v>5918</v>
      </c>
      <c r="E2266" t="s">
        <v>5918</v>
      </c>
      <c r="H2266" t="s">
        <v>5917</v>
      </c>
    </row>
    <row r="2267" spans="2:8" x14ac:dyDescent="0.25">
      <c r="B2267" t="s">
        <v>5919</v>
      </c>
      <c r="C2267" t="s">
        <v>5915</v>
      </c>
      <c r="D2267" t="s">
        <v>5920</v>
      </c>
      <c r="E2267" t="s">
        <v>5920</v>
      </c>
      <c r="H2267" t="s">
        <v>5919</v>
      </c>
    </row>
    <row r="2268" spans="2:8" x14ac:dyDescent="0.25">
      <c r="B2268" t="s">
        <v>5921</v>
      </c>
      <c r="C2268" t="s">
        <v>5922</v>
      </c>
      <c r="D2268" t="s">
        <v>5923</v>
      </c>
      <c r="E2268" t="s">
        <v>5923</v>
      </c>
      <c r="H2268" t="s">
        <v>5921</v>
      </c>
    </row>
    <row r="2269" spans="2:8" x14ac:dyDescent="0.25">
      <c r="B2269" t="s">
        <v>5924</v>
      </c>
      <c r="C2269" t="s">
        <v>5922</v>
      </c>
      <c r="D2269" t="s">
        <v>5925</v>
      </c>
      <c r="E2269" t="s">
        <v>5925</v>
      </c>
      <c r="H2269" t="s">
        <v>5924</v>
      </c>
    </row>
    <row r="2270" spans="2:8" x14ac:dyDescent="0.25">
      <c r="B2270" t="s">
        <v>5926</v>
      </c>
      <c r="C2270" t="s">
        <v>5922</v>
      </c>
      <c r="D2270" t="s">
        <v>5927</v>
      </c>
      <c r="E2270" t="s">
        <v>5927</v>
      </c>
      <c r="H2270" t="s">
        <v>5926</v>
      </c>
    </row>
    <row r="2271" spans="2:8" x14ac:dyDescent="0.25">
      <c r="B2271" t="s">
        <v>5928</v>
      </c>
      <c r="C2271" t="s">
        <v>5929</v>
      </c>
      <c r="D2271" t="s">
        <v>5930</v>
      </c>
      <c r="E2271" t="s">
        <v>5930</v>
      </c>
      <c r="H2271" t="s">
        <v>5928</v>
      </c>
    </row>
    <row r="2272" spans="2:8" x14ac:dyDescent="0.25">
      <c r="B2272" t="s">
        <v>5931</v>
      </c>
      <c r="C2272" t="s">
        <v>5929</v>
      </c>
      <c r="D2272" t="s">
        <v>5932</v>
      </c>
      <c r="E2272" t="s">
        <v>5932</v>
      </c>
      <c r="H2272" t="s">
        <v>5931</v>
      </c>
    </row>
    <row r="2273" spans="2:8" x14ac:dyDescent="0.25">
      <c r="B2273" t="s">
        <v>5933</v>
      </c>
      <c r="C2273" t="s">
        <v>5929</v>
      </c>
      <c r="D2273" t="s">
        <v>5934</v>
      </c>
      <c r="E2273" t="s">
        <v>5934</v>
      </c>
      <c r="H2273" t="s">
        <v>5933</v>
      </c>
    </row>
    <row r="2274" spans="2:8" x14ac:dyDescent="0.25">
      <c r="B2274" t="s">
        <v>5935</v>
      </c>
      <c r="C2274" t="s">
        <v>5936</v>
      </c>
      <c r="D2274" t="s">
        <v>5937</v>
      </c>
      <c r="E2274" t="s">
        <v>5937</v>
      </c>
      <c r="H2274" t="s">
        <v>5935</v>
      </c>
    </row>
    <row r="2275" spans="2:8" x14ac:dyDescent="0.25">
      <c r="B2275" t="s">
        <v>5938</v>
      </c>
      <c r="C2275" t="s">
        <v>5936</v>
      </c>
      <c r="D2275" t="s">
        <v>5939</v>
      </c>
      <c r="E2275" t="s">
        <v>5939</v>
      </c>
      <c r="H2275" t="s">
        <v>5938</v>
      </c>
    </row>
    <row r="2276" spans="2:8" x14ac:dyDescent="0.25">
      <c r="B2276" t="s">
        <v>5940</v>
      </c>
      <c r="C2276" t="s">
        <v>5936</v>
      </c>
      <c r="D2276" t="s">
        <v>5941</v>
      </c>
      <c r="E2276" t="s">
        <v>5941</v>
      </c>
      <c r="H2276" t="s">
        <v>5940</v>
      </c>
    </row>
    <row r="2277" spans="2:8" x14ac:dyDescent="0.25">
      <c r="B2277" t="s">
        <v>5952</v>
      </c>
      <c r="C2277" t="s">
        <v>4528</v>
      </c>
      <c r="D2277" t="s">
        <v>5953</v>
      </c>
      <c r="E2277" t="s">
        <v>5953</v>
      </c>
      <c r="H2277" t="s">
        <v>5952</v>
      </c>
    </row>
    <row r="2278" spans="2:8" x14ac:dyDescent="0.25">
      <c r="B2278" t="s">
        <v>5954</v>
      </c>
      <c r="C2278" t="s">
        <v>4506</v>
      </c>
      <c r="D2278" t="s">
        <v>5955</v>
      </c>
      <c r="E2278" t="s">
        <v>5955</v>
      </c>
      <c r="H2278" t="s">
        <v>5954</v>
      </c>
    </row>
    <row r="2279" spans="2:8" x14ac:dyDescent="0.25">
      <c r="B2279" t="s">
        <v>5956</v>
      </c>
      <c r="C2279" t="s">
        <v>4506</v>
      </c>
      <c r="D2279" t="s">
        <v>5957</v>
      </c>
      <c r="E2279" t="s">
        <v>5957</v>
      </c>
      <c r="H2279" t="s">
        <v>5956</v>
      </c>
    </row>
    <row r="2280" spans="2:8" x14ac:dyDescent="0.25">
      <c r="B2280" t="s">
        <v>5999</v>
      </c>
      <c r="C2280" t="s">
        <v>6000</v>
      </c>
      <c r="D2280" t="s">
        <v>6001</v>
      </c>
      <c r="E2280" t="s">
        <v>6001</v>
      </c>
      <c r="H2280" t="s">
        <v>5999</v>
      </c>
    </row>
    <row r="2281" spans="2:8" x14ac:dyDescent="0.25">
      <c r="B2281" t="s">
        <v>6004</v>
      </c>
      <c r="C2281" t="s">
        <v>6000</v>
      </c>
      <c r="D2281" t="s">
        <v>6005</v>
      </c>
      <c r="E2281" t="s">
        <v>6005</v>
      </c>
      <c r="H2281" t="s">
        <v>6004</v>
      </c>
    </row>
    <row r="2282" spans="2:8" x14ac:dyDescent="0.25">
      <c r="B2282" t="s">
        <v>6040</v>
      </c>
      <c r="C2282" t="s">
        <v>6041</v>
      </c>
      <c r="D2282" t="s">
        <v>6042</v>
      </c>
      <c r="E2282" t="s">
        <v>6042</v>
      </c>
      <c r="H2282" t="s">
        <v>6040</v>
      </c>
    </row>
    <row r="2283" spans="2:8" x14ac:dyDescent="0.25">
      <c r="B2283" t="s">
        <v>6043</v>
      </c>
      <c r="C2283" t="s">
        <v>6041</v>
      </c>
      <c r="D2283" t="s">
        <v>6044</v>
      </c>
      <c r="E2283" t="s">
        <v>6044</v>
      </c>
      <c r="H2283" t="s">
        <v>6043</v>
      </c>
    </row>
    <row r="2284" spans="2:8" x14ac:dyDescent="0.25">
      <c r="B2284" t="s">
        <v>6045</v>
      </c>
      <c r="C2284" t="s">
        <v>6041</v>
      </c>
      <c r="D2284" t="s">
        <v>6046</v>
      </c>
      <c r="E2284" t="s">
        <v>6046</v>
      </c>
      <c r="H2284" t="s">
        <v>6045</v>
      </c>
    </row>
    <row r="2285" spans="2:8" x14ac:dyDescent="0.25">
      <c r="B2285" t="s">
        <v>6047</v>
      </c>
      <c r="C2285" t="s">
        <v>6048</v>
      </c>
      <c r="D2285" t="s">
        <v>6049</v>
      </c>
      <c r="E2285" t="s">
        <v>6049</v>
      </c>
      <c r="H2285" t="s">
        <v>6047</v>
      </c>
    </row>
    <row r="2286" spans="2:8" x14ac:dyDescent="0.25">
      <c r="B2286" t="s">
        <v>6050</v>
      </c>
      <c r="C2286" t="s">
        <v>6048</v>
      </c>
      <c r="D2286" t="s">
        <v>6051</v>
      </c>
      <c r="E2286" t="s">
        <v>6051</v>
      </c>
      <c r="H2286" t="s">
        <v>6050</v>
      </c>
    </row>
    <row r="2287" spans="2:8" x14ac:dyDescent="0.25">
      <c r="B2287" t="s">
        <v>6052</v>
      </c>
      <c r="C2287" t="s">
        <v>6048</v>
      </c>
      <c r="D2287" t="s">
        <v>6053</v>
      </c>
      <c r="E2287" t="s">
        <v>6053</v>
      </c>
      <c r="H2287" t="s">
        <v>6052</v>
      </c>
    </row>
    <row r="2288" spans="2:8" x14ac:dyDescent="0.25">
      <c r="B2288" t="s">
        <v>6054</v>
      </c>
      <c r="C2288" t="s">
        <v>3301</v>
      </c>
      <c r="D2288" t="s">
        <v>6055</v>
      </c>
      <c r="E2288" t="s">
        <v>6055</v>
      </c>
      <c r="H2288" t="s">
        <v>6054</v>
      </c>
    </row>
    <row r="2289" spans="2:8" x14ac:dyDescent="0.25">
      <c r="B2289" t="s">
        <v>6056</v>
      </c>
      <c r="C2289" t="s">
        <v>3301</v>
      </c>
      <c r="D2289" t="s">
        <v>6057</v>
      </c>
      <c r="E2289" t="s">
        <v>6057</v>
      </c>
      <c r="H2289" t="s">
        <v>6056</v>
      </c>
    </row>
    <row r="2290" spans="2:8" x14ac:dyDescent="0.25">
      <c r="B2290" t="s">
        <v>6058</v>
      </c>
      <c r="C2290" t="s">
        <v>3301</v>
      </c>
      <c r="D2290" t="s">
        <v>6059</v>
      </c>
      <c r="E2290" t="s">
        <v>6059</v>
      </c>
      <c r="H2290" t="s">
        <v>6058</v>
      </c>
    </row>
    <row r="2291" spans="2:8" x14ac:dyDescent="0.25">
      <c r="B2291" t="s">
        <v>6060</v>
      </c>
      <c r="C2291" t="s">
        <v>6061</v>
      </c>
      <c r="D2291" t="s">
        <v>6062</v>
      </c>
      <c r="E2291" t="s">
        <v>6062</v>
      </c>
      <c r="H2291" t="s">
        <v>6060</v>
      </c>
    </row>
    <row r="2292" spans="2:8" x14ac:dyDescent="0.25">
      <c r="B2292" t="s">
        <v>6063</v>
      </c>
      <c r="C2292" t="s">
        <v>6061</v>
      </c>
      <c r="D2292" t="s">
        <v>6064</v>
      </c>
      <c r="E2292" t="s">
        <v>6064</v>
      </c>
      <c r="H2292" t="s">
        <v>6063</v>
      </c>
    </row>
    <row r="2293" spans="2:8" x14ac:dyDescent="0.25">
      <c r="B2293" t="s">
        <v>6065</v>
      </c>
      <c r="C2293" t="s">
        <v>6061</v>
      </c>
      <c r="D2293" t="s">
        <v>6066</v>
      </c>
      <c r="E2293" t="s">
        <v>6066</v>
      </c>
      <c r="H2293" t="s">
        <v>6065</v>
      </c>
    </row>
    <row r="2294" spans="2:8" x14ac:dyDescent="0.25">
      <c r="B2294" t="s">
        <v>6067</v>
      </c>
      <c r="C2294" t="s">
        <v>6068</v>
      </c>
      <c r="D2294" t="s">
        <v>6069</v>
      </c>
      <c r="E2294" t="s">
        <v>6069</v>
      </c>
      <c r="H2294" t="s">
        <v>6067</v>
      </c>
    </row>
    <row r="2295" spans="2:8" x14ac:dyDescent="0.25">
      <c r="B2295" t="s">
        <v>6070</v>
      </c>
      <c r="C2295" t="s">
        <v>6068</v>
      </c>
      <c r="D2295" t="s">
        <v>6071</v>
      </c>
      <c r="E2295" t="s">
        <v>6071</v>
      </c>
      <c r="H2295" t="s">
        <v>6070</v>
      </c>
    </row>
    <row r="2296" spans="2:8" x14ac:dyDescent="0.25">
      <c r="B2296" t="s">
        <v>6072</v>
      </c>
      <c r="C2296" t="s">
        <v>6068</v>
      </c>
      <c r="D2296" t="s">
        <v>6073</v>
      </c>
      <c r="E2296" t="s">
        <v>6073</v>
      </c>
      <c r="H2296" t="s">
        <v>6072</v>
      </c>
    </row>
    <row r="2297" spans="2:8" x14ac:dyDescent="0.25">
      <c r="B2297" t="s">
        <v>6076</v>
      </c>
      <c r="C2297" t="s">
        <v>6077</v>
      </c>
      <c r="D2297" t="s">
        <v>6078</v>
      </c>
      <c r="E2297" t="s">
        <v>6078</v>
      </c>
      <c r="H2297" t="s">
        <v>6076</v>
      </c>
    </row>
    <row r="2298" spans="2:8" x14ac:dyDescent="0.25">
      <c r="B2298" t="s">
        <v>6079</v>
      </c>
      <c r="C2298" t="s">
        <v>6077</v>
      </c>
      <c r="D2298" t="s">
        <v>6080</v>
      </c>
      <c r="E2298" t="s">
        <v>6080</v>
      </c>
      <c r="H2298" t="s">
        <v>6079</v>
      </c>
    </row>
    <row r="2299" spans="2:8" x14ac:dyDescent="0.25">
      <c r="B2299" t="s">
        <v>6260</v>
      </c>
      <c r="C2299" t="s">
        <v>6261</v>
      </c>
      <c r="D2299" t="s">
        <v>6262</v>
      </c>
      <c r="E2299" t="s">
        <v>6262</v>
      </c>
      <c r="H2299" t="s">
        <v>6260</v>
      </c>
    </row>
    <row r="2300" spans="2:8" x14ac:dyDescent="0.25">
      <c r="B2300" t="s">
        <v>6263</v>
      </c>
      <c r="C2300" t="s">
        <v>6261</v>
      </c>
      <c r="D2300" t="s">
        <v>6264</v>
      </c>
      <c r="E2300" t="s">
        <v>6264</v>
      </c>
      <c r="H2300" t="s">
        <v>6263</v>
      </c>
    </row>
    <row r="2301" spans="2:8" x14ac:dyDescent="0.25">
      <c r="B2301" t="s">
        <v>6265</v>
      </c>
      <c r="C2301" t="s">
        <v>6266</v>
      </c>
      <c r="D2301" t="s">
        <v>6267</v>
      </c>
      <c r="E2301" t="s">
        <v>6267</v>
      </c>
      <c r="H2301" t="s">
        <v>6265</v>
      </c>
    </row>
    <row r="2302" spans="2:8" x14ac:dyDescent="0.25">
      <c r="B2302" t="s">
        <v>6268</v>
      </c>
      <c r="C2302" t="s">
        <v>6266</v>
      </c>
      <c r="D2302" t="s">
        <v>6269</v>
      </c>
      <c r="E2302" t="s">
        <v>6269</v>
      </c>
      <c r="H2302" t="s">
        <v>6268</v>
      </c>
    </row>
    <row r="2303" spans="2:8" x14ac:dyDescent="0.25">
      <c r="B2303" t="s">
        <v>6270</v>
      </c>
      <c r="C2303" t="s">
        <v>6271</v>
      </c>
      <c r="D2303" t="s">
        <v>6272</v>
      </c>
      <c r="E2303" t="s">
        <v>6272</v>
      </c>
      <c r="H2303" t="s">
        <v>6270</v>
      </c>
    </row>
    <row r="2304" spans="2:8" x14ac:dyDescent="0.25">
      <c r="B2304" t="s">
        <v>6273</v>
      </c>
      <c r="C2304" t="s">
        <v>6271</v>
      </c>
      <c r="D2304" t="s">
        <v>6274</v>
      </c>
      <c r="E2304" t="s">
        <v>6274</v>
      </c>
      <c r="H2304" t="s">
        <v>6273</v>
      </c>
    </row>
    <row r="2305" spans="2:8" x14ac:dyDescent="0.25">
      <c r="B2305" t="s">
        <v>6275</v>
      </c>
      <c r="C2305" t="s">
        <v>6276</v>
      </c>
      <c r="D2305" t="s">
        <v>6277</v>
      </c>
      <c r="E2305" t="s">
        <v>6277</v>
      </c>
      <c r="H2305" t="s">
        <v>6275</v>
      </c>
    </row>
    <row r="2306" spans="2:8" x14ac:dyDescent="0.25">
      <c r="B2306" t="s">
        <v>6278</v>
      </c>
      <c r="C2306" t="s">
        <v>6276</v>
      </c>
      <c r="D2306" t="s">
        <v>6279</v>
      </c>
      <c r="E2306" t="s">
        <v>6279</v>
      </c>
      <c r="H2306" t="s">
        <v>6278</v>
      </c>
    </row>
    <row r="2307" spans="2:8" x14ac:dyDescent="0.25">
      <c r="B2307" t="s">
        <v>6280</v>
      </c>
      <c r="C2307" t="s">
        <v>6281</v>
      </c>
      <c r="D2307" t="s">
        <v>6282</v>
      </c>
      <c r="E2307" t="s">
        <v>6282</v>
      </c>
      <c r="H2307" t="s">
        <v>6280</v>
      </c>
    </row>
    <row r="2308" spans="2:8" x14ac:dyDescent="0.25">
      <c r="B2308" t="s">
        <v>6283</v>
      </c>
      <c r="C2308" t="s">
        <v>6281</v>
      </c>
      <c r="D2308" t="s">
        <v>6284</v>
      </c>
      <c r="E2308" t="s">
        <v>6284</v>
      </c>
      <c r="H2308" t="s">
        <v>6283</v>
      </c>
    </row>
    <row r="2309" spans="2:8" x14ac:dyDescent="0.25">
      <c r="B2309" t="s">
        <v>6285</v>
      </c>
      <c r="C2309" t="s">
        <v>6286</v>
      </c>
      <c r="D2309" t="s">
        <v>6287</v>
      </c>
      <c r="E2309" t="s">
        <v>6287</v>
      </c>
      <c r="H2309" t="s">
        <v>6285</v>
      </c>
    </row>
    <row r="2310" spans="2:8" x14ac:dyDescent="0.25">
      <c r="B2310" t="s">
        <v>6290</v>
      </c>
      <c r="C2310" t="s">
        <v>6286</v>
      </c>
      <c r="D2310" t="s">
        <v>6291</v>
      </c>
      <c r="E2310" t="s">
        <v>6291</v>
      </c>
      <c r="H2310" t="s">
        <v>6290</v>
      </c>
    </row>
    <row r="2311" spans="2:8" x14ac:dyDescent="0.25">
      <c r="B2311" t="s">
        <v>3710</v>
      </c>
      <c r="C2311" t="s">
        <v>3711</v>
      </c>
      <c r="D2311" t="s">
        <v>3712</v>
      </c>
      <c r="E2311" t="s">
        <v>3712</v>
      </c>
      <c r="H2311" t="s">
        <v>3710</v>
      </c>
    </row>
    <row r="2312" spans="2:8" x14ac:dyDescent="0.25">
      <c r="B2312" t="s">
        <v>3713</v>
      </c>
      <c r="C2312" t="s">
        <v>3711</v>
      </c>
      <c r="D2312" t="s">
        <v>3714</v>
      </c>
      <c r="E2312" t="s">
        <v>3714</v>
      </c>
      <c r="H2312" t="s">
        <v>3713</v>
      </c>
    </row>
    <row r="2313" spans="2:8" x14ac:dyDescent="0.25">
      <c r="B2313" t="s">
        <v>3715</v>
      </c>
      <c r="C2313" t="s">
        <v>3711</v>
      </c>
      <c r="D2313" t="s">
        <v>3716</v>
      </c>
      <c r="E2313" t="s">
        <v>3716</v>
      </c>
      <c r="H2313" t="s">
        <v>3715</v>
      </c>
    </row>
    <row r="2314" spans="2:8" x14ac:dyDescent="0.25">
      <c r="B2314" t="s">
        <v>6299</v>
      </c>
      <c r="C2314" t="s">
        <v>6300</v>
      </c>
      <c r="D2314" t="s">
        <v>6301</v>
      </c>
      <c r="E2314" t="s">
        <v>6301</v>
      </c>
      <c r="H2314" t="s">
        <v>6299</v>
      </c>
    </row>
    <row r="2315" spans="2:8" x14ac:dyDescent="0.25">
      <c r="B2315" t="s">
        <v>6302</v>
      </c>
      <c r="C2315" t="s">
        <v>6300</v>
      </c>
      <c r="D2315" t="s">
        <v>6303</v>
      </c>
      <c r="E2315" t="s">
        <v>6303</v>
      </c>
      <c r="H2315" t="s">
        <v>6302</v>
      </c>
    </row>
    <row r="2316" spans="2:8" x14ac:dyDescent="0.25">
      <c r="B2316" t="s">
        <v>6304</v>
      </c>
      <c r="C2316" t="s">
        <v>6300</v>
      </c>
      <c r="D2316" t="s">
        <v>6305</v>
      </c>
      <c r="E2316" t="s">
        <v>6305</v>
      </c>
      <c r="H2316" t="s">
        <v>6304</v>
      </c>
    </row>
    <row r="2317" spans="2:8" x14ac:dyDescent="0.25">
      <c r="B2317" t="s">
        <v>6306</v>
      </c>
      <c r="C2317" t="s">
        <v>6307</v>
      </c>
      <c r="D2317" t="s">
        <v>6308</v>
      </c>
      <c r="E2317" t="s">
        <v>6308</v>
      </c>
      <c r="H2317" t="s">
        <v>6306</v>
      </c>
    </row>
    <row r="2318" spans="2:8" x14ac:dyDescent="0.25">
      <c r="B2318" t="s">
        <v>6309</v>
      </c>
      <c r="C2318" t="s">
        <v>6307</v>
      </c>
      <c r="D2318" t="s">
        <v>6310</v>
      </c>
      <c r="E2318" t="s">
        <v>6310</v>
      </c>
      <c r="H2318" t="s">
        <v>6309</v>
      </c>
    </row>
    <row r="2319" spans="2:8" x14ac:dyDescent="0.25">
      <c r="B2319" t="s">
        <v>6311</v>
      </c>
      <c r="C2319" t="s">
        <v>6312</v>
      </c>
      <c r="D2319" t="s">
        <v>6313</v>
      </c>
      <c r="E2319" t="s">
        <v>6313</v>
      </c>
      <c r="H2319" t="s">
        <v>6311</v>
      </c>
    </row>
    <row r="2320" spans="2:8" x14ac:dyDescent="0.25">
      <c r="B2320" t="s">
        <v>6314</v>
      </c>
      <c r="C2320" t="s">
        <v>6315</v>
      </c>
      <c r="D2320" t="s">
        <v>6316</v>
      </c>
      <c r="E2320" t="s">
        <v>6316</v>
      </c>
      <c r="H2320" t="s">
        <v>6314</v>
      </c>
    </row>
    <row r="2321" spans="2:8" x14ac:dyDescent="0.25">
      <c r="B2321" t="s">
        <v>6317</v>
      </c>
      <c r="C2321" t="s">
        <v>6318</v>
      </c>
      <c r="D2321" t="s">
        <v>6319</v>
      </c>
      <c r="E2321" t="s">
        <v>6319</v>
      </c>
      <c r="H2321" t="s">
        <v>6317</v>
      </c>
    </row>
    <row r="2322" spans="2:8" x14ac:dyDescent="0.25">
      <c r="B2322" t="s">
        <v>6320</v>
      </c>
      <c r="C2322" t="s">
        <v>6321</v>
      </c>
      <c r="D2322" t="s">
        <v>6322</v>
      </c>
      <c r="E2322" t="s">
        <v>6322</v>
      </c>
      <c r="H2322" t="s">
        <v>6320</v>
      </c>
    </row>
    <row r="2323" spans="2:8" x14ac:dyDescent="0.25">
      <c r="B2323" t="s">
        <v>6323</v>
      </c>
      <c r="C2323" t="s">
        <v>6324</v>
      </c>
      <c r="D2323" t="s">
        <v>6325</v>
      </c>
      <c r="E2323" t="s">
        <v>6325</v>
      </c>
      <c r="H2323" t="s">
        <v>6323</v>
      </c>
    </row>
    <row r="2324" spans="2:8" x14ac:dyDescent="0.25">
      <c r="B2324" t="s">
        <v>6326</v>
      </c>
      <c r="C2324" t="s">
        <v>6327</v>
      </c>
      <c r="D2324" t="s">
        <v>6328</v>
      </c>
      <c r="E2324" t="s">
        <v>6328</v>
      </c>
      <c r="H2324" t="s">
        <v>6326</v>
      </c>
    </row>
    <row r="2325" spans="2:8" x14ac:dyDescent="0.25">
      <c r="B2325" t="s">
        <v>6329</v>
      </c>
      <c r="C2325" t="s">
        <v>6330</v>
      </c>
      <c r="D2325" t="s">
        <v>6331</v>
      </c>
      <c r="E2325" t="s">
        <v>6331</v>
      </c>
      <c r="H2325" t="s">
        <v>6329</v>
      </c>
    </row>
    <row r="2326" spans="2:8" x14ac:dyDescent="0.25">
      <c r="B2326" t="s">
        <v>6332</v>
      </c>
      <c r="C2326" t="s">
        <v>6333</v>
      </c>
      <c r="D2326" t="s">
        <v>6334</v>
      </c>
      <c r="E2326" t="s">
        <v>6334</v>
      </c>
      <c r="H2326" t="s">
        <v>6332</v>
      </c>
    </row>
    <row r="2327" spans="2:8" x14ac:dyDescent="0.25">
      <c r="B2327" t="s">
        <v>6335</v>
      </c>
      <c r="C2327" t="s">
        <v>5824</v>
      </c>
      <c r="D2327" t="s">
        <v>6336</v>
      </c>
      <c r="E2327" t="s">
        <v>6336</v>
      </c>
      <c r="H2327" t="s">
        <v>6335</v>
      </c>
    </row>
    <row r="2328" spans="2:8" x14ac:dyDescent="0.25">
      <c r="B2328" t="s">
        <v>6337</v>
      </c>
      <c r="C2328" t="s">
        <v>6338</v>
      </c>
      <c r="D2328" t="s">
        <v>6339</v>
      </c>
      <c r="E2328" t="s">
        <v>6339</v>
      </c>
      <c r="H2328" t="s">
        <v>6337</v>
      </c>
    </row>
    <row r="2329" spans="2:8" x14ac:dyDescent="0.25">
      <c r="B2329" t="s">
        <v>6340</v>
      </c>
      <c r="C2329" t="s">
        <v>6341</v>
      </c>
      <c r="D2329" t="s">
        <v>6342</v>
      </c>
      <c r="E2329" t="s">
        <v>6342</v>
      </c>
      <c r="H2329" t="s">
        <v>6340</v>
      </c>
    </row>
    <row r="2330" spans="2:8" x14ac:dyDescent="0.25">
      <c r="B2330" t="s">
        <v>6343</v>
      </c>
      <c r="C2330" t="s">
        <v>6344</v>
      </c>
      <c r="D2330" t="s">
        <v>6345</v>
      </c>
      <c r="E2330" t="s">
        <v>6345</v>
      </c>
      <c r="H2330" t="s">
        <v>6343</v>
      </c>
    </row>
    <row r="2331" spans="2:8" x14ac:dyDescent="0.25">
      <c r="B2331" t="s">
        <v>6346</v>
      </c>
      <c r="C2331" t="s">
        <v>6347</v>
      </c>
      <c r="D2331" t="s">
        <v>6348</v>
      </c>
      <c r="E2331" t="s">
        <v>6348</v>
      </c>
      <c r="H2331" t="s">
        <v>6346</v>
      </c>
    </row>
    <row r="2332" spans="2:8" x14ac:dyDescent="0.25">
      <c r="B2332" t="s">
        <v>6349</v>
      </c>
      <c r="C2332" t="s">
        <v>6350</v>
      </c>
      <c r="D2332" t="s">
        <v>6351</v>
      </c>
      <c r="E2332" t="s">
        <v>6351</v>
      </c>
      <c r="H2332" t="s">
        <v>6349</v>
      </c>
    </row>
    <row r="2333" spans="2:8" x14ac:dyDescent="0.25">
      <c r="B2333" t="s">
        <v>6352</v>
      </c>
      <c r="C2333" t="s">
        <v>6353</v>
      </c>
      <c r="D2333" t="s">
        <v>6354</v>
      </c>
      <c r="E2333" t="s">
        <v>6354</v>
      </c>
      <c r="H2333" t="s">
        <v>6352</v>
      </c>
    </row>
    <row r="2334" spans="2:8" x14ac:dyDescent="0.25">
      <c r="B2334" t="s">
        <v>6355</v>
      </c>
      <c r="C2334" t="s">
        <v>6356</v>
      </c>
      <c r="D2334" t="s">
        <v>6357</v>
      </c>
      <c r="E2334" t="s">
        <v>6357</v>
      </c>
      <c r="H2334" t="s">
        <v>6355</v>
      </c>
    </row>
    <row r="2335" spans="2:8" x14ac:dyDescent="0.25">
      <c r="B2335" t="s">
        <v>6358</v>
      </c>
      <c r="C2335" t="s">
        <v>6359</v>
      </c>
      <c r="D2335" t="s">
        <v>6360</v>
      </c>
      <c r="E2335" t="s">
        <v>6360</v>
      </c>
      <c r="H2335" t="s">
        <v>6358</v>
      </c>
    </row>
    <row r="2336" spans="2:8" x14ac:dyDescent="0.25">
      <c r="B2336" t="s">
        <v>6361</v>
      </c>
      <c r="C2336" t="s">
        <v>6356</v>
      </c>
      <c r="D2336" t="s">
        <v>6362</v>
      </c>
      <c r="E2336" t="s">
        <v>6362</v>
      </c>
      <c r="H2336" t="s">
        <v>6361</v>
      </c>
    </row>
    <row r="2337" spans="2:8" x14ac:dyDescent="0.25">
      <c r="B2337" t="s">
        <v>6363</v>
      </c>
      <c r="C2337" t="s">
        <v>6359</v>
      </c>
      <c r="D2337" t="s">
        <v>6364</v>
      </c>
      <c r="E2337" t="s">
        <v>6364</v>
      </c>
      <c r="H2337" t="s">
        <v>6363</v>
      </c>
    </row>
    <row r="2338" spans="2:8" x14ac:dyDescent="0.25">
      <c r="B2338" t="s">
        <v>6365</v>
      </c>
      <c r="C2338" t="s">
        <v>6366</v>
      </c>
      <c r="D2338" t="s">
        <v>6367</v>
      </c>
      <c r="E2338" t="s">
        <v>6367</v>
      </c>
      <c r="H2338" t="s">
        <v>6365</v>
      </c>
    </row>
    <row r="2339" spans="2:8" x14ac:dyDescent="0.25">
      <c r="B2339" t="s">
        <v>6368</v>
      </c>
      <c r="C2339" t="s">
        <v>6369</v>
      </c>
      <c r="D2339" t="s">
        <v>6370</v>
      </c>
      <c r="E2339" t="s">
        <v>6370</v>
      </c>
      <c r="H2339" t="s">
        <v>6368</v>
      </c>
    </row>
    <row r="2340" spans="2:8" x14ac:dyDescent="0.25">
      <c r="B2340" t="s">
        <v>6371</v>
      </c>
      <c r="C2340" t="s">
        <v>6366</v>
      </c>
      <c r="D2340" t="s">
        <v>6372</v>
      </c>
      <c r="E2340" t="s">
        <v>6372</v>
      </c>
      <c r="H2340" t="s">
        <v>6371</v>
      </c>
    </row>
    <row r="2341" spans="2:8" x14ac:dyDescent="0.25">
      <c r="B2341" t="s">
        <v>6373</v>
      </c>
      <c r="C2341" t="s">
        <v>6369</v>
      </c>
      <c r="D2341" t="s">
        <v>6374</v>
      </c>
      <c r="E2341" t="s">
        <v>6374</v>
      </c>
      <c r="H2341" t="s">
        <v>6373</v>
      </c>
    </row>
    <row r="2342" spans="2:8" x14ac:dyDescent="0.25">
      <c r="B2342" t="s">
        <v>6375</v>
      </c>
      <c r="C2342" t="s">
        <v>6376</v>
      </c>
      <c r="D2342" t="s">
        <v>6377</v>
      </c>
      <c r="E2342" t="s">
        <v>6377</v>
      </c>
      <c r="H2342" t="s">
        <v>6375</v>
      </c>
    </row>
    <row r="2343" spans="2:8" x14ac:dyDescent="0.25">
      <c r="B2343" t="s">
        <v>6378</v>
      </c>
      <c r="C2343" t="s">
        <v>6376</v>
      </c>
      <c r="D2343" t="s">
        <v>6379</v>
      </c>
      <c r="E2343" t="s">
        <v>6379</v>
      </c>
      <c r="H2343" t="s">
        <v>6378</v>
      </c>
    </row>
    <row r="2344" spans="2:8" x14ac:dyDescent="0.25">
      <c r="B2344" t="s">
        <v>6380</v>
      </c>
      <c r="C2344" t="s">
        <v>6381</v>
      </c>
      <c r="D2344" t="s">
        <v>6382</v>
      </c>
      <c r="E2344" t="s">
        <v>6382</v>
      </c>
      <c r="H2344" t="s">
        <v>6380</v>
      </c>
    </row>
    <row r="2345" spans="2:8" x14ac:dyDescent="0.25">
      <c r="B2345" t="s">
        <v>6383</v>
      </c>
      <c r="C2345" t="s">
        <v>6381</v>
      </c>
      <c r="D2345" t="s">
        <v>6384</v>
      </c>
      <c r="E2345" t="s">
        <v>6384</v>
      </c>
      <c r="H2345" t="s">
        <v>6383</v>
      </c>
    </row>
    <row r="2346" spans="2:8" x14ac:dyDescent="0.25">
      <c r="B2346" t="s">
        <v>6385</v>
      </c>
      <c r="C2346" t="s">
        <v>6386</v>
      </c>
      <c r="D2346" t="s">
        <v>6387</v>
      </c>
      <c r="E2346" t="s">
        <v>6387</v>
      </c>
      <c r="H2346" t="s">
        <v>6385</v>
      </c>
    </row>
    <row r="2347" spans="2:8" x14ac:dyDescent="0.25">
      <c r="B2347" t="s">
        <v>6388</v>
      </c>
      <c r="C2347" t="s">
        <v>6386</v>
      </c>
      <c r="D2347" t="s">
        <v>6389</v>
      </c>
      <c r="E2347" t="s">
        <v>6389</v>
      </c>
      <c r="H2347" t="s">
        <v>6388</v>
      </c>
    </row>
    <row r="2348" spans="2:8" x14ac:dyDescent="0.25">
      <c r="B2348" t="s">
        <v>6390</v>
      </c>
      <c r="C2348" t="s">
        <v>6391</v>
      </c>
      <c r="D2348" t="s">
        <v>6392</v>
      </c>
      <c r="E2348" t="s">
        <v>6392</v>
      </c>
      <c r="H2348" t="s">
        <v>6390</v>
      </c>
    </row>
    <row r="2349" spans="2:8" x14ac:dyDescent="0.25">
      <c r="B2349" t="s">
        <v>6393</v>
      </c>
      <c r="C2349" t="s">
        <v>6391</v>
      </c>
      <c r="D2349" t="s">
        <v>6394</v>
      </c>
      <c r="E2349" t="s">
        <v>6394</v>
      </c>
      <c r="H2349" t="s">
        <v>6393</v>
      </c>
    </row>
    <row r="2350" spans="2:8" x14ac:dyDescent="0.25">
      <c r="B2350" t="s">
        <v>6395</v>
      </c>
      <c r="C2350" t="s">
        <v>6396</v>
      </c>
      <c r="D2350" t="s">
        <v>6397</v>
      </c>
      <c r="E2350" t="s">
        <v>6397</v>
      </c>
      <c r="H2350" t="s">
        <v>6395</v>
      </c>
    </row>
    <row r="2351" spans="2:8" x14ac:dyDescent="0.25">
      <c r="B2351" t="s">
        <v>6398</v>
      </c>
      <c r="C2351" t="s">
        <v>6396</v>
      </c>
      <c r="D2351" t="s">
        <v>6399</v>
      </c>
      <c r="E2351" t="s">
        <v>6399</v>
      </c>
      <c r="H2351" t="s">
        <v>6398</v>
      </c>
    </row>
    <row r="2352" spans="2:8" x14ac:dyDescent="0.25">
      <c r="B2352" t="s">
        <v>6400</v>
      </c>
      <c r="C2352" t="s">
        <v>6401</v>
      </c>
      <c r="D2352" t="s">
        <v>6402</v>
      </c>
      <c r="E2352" t="s">
        <v>6402</v>
      </c>
      <c r="H2352" t="s">
        <v>6400</v>
      </c>
    </row>
    <row r="2353" spans="2:8" x14ac:dyDescent="0.25">
      <c r="B2353" t="s">
        <v>6403</v>
      </c>
      <c r="C2353" t="s">
        <v>6401</v>
      </c>
      <c r="D2353" t="s">
        <v>6404</v>
      </c>
      <c r="E2353" t="s">
        <v>6404</v>
      </c>
      <c r="H2353" t="s">
        <v>6403</v>
      </c>
    </row>
    <row r="2354" spans="2:8" x14ac:dyDescent="0.25">
      <c r="B2354" t="s">
        <v>6405</v>
      </c>
      <c r="C2354" t="s">
        <v>4117</v>
      </c>
      <c r="D2354" t="s">
        <v>6406</v>
      </c>
      <c r="E2354" t="s">
        <v>6406</v>
      </c>
      <c r="H2354" t="s">
        <v>6405</v>
      </c>
    </row>
    <row r="2355" spans="2:8" x14ac:dyDescent="0.25">
      <c r="B2355" t="s">
        <v>6407</v>
      </c>
      <c r="C2355" t="s">
        <v>2945</v>
      </c>
      <c r="D2355" t="s">
        <v>6408</v>
      </c>
      <c r="E2355" t="s">
        <v>6408</v>
      </c>
      <c r="H2355" t="s">
        <v>6407</v>
      </c>
    </row>
    <row r="2356" spans="2:8" x14ac:dyDescent="0.25">
      <c r="B2356" t="s">
        <v>6409</v>
      </c>
      <c r="C2356" t="s">
        <v>6410</v>
      </c>
      <c r="D2356" t="s">
        <v>6411</v>
      </c>
      <c r="E2356" t="s">
        <v>6411</v>
      </c>
      <c r="H2356" t="s">
        <v>6409</v>
      </c>
    </row>
    <row r="2357" spans="2:8" x14ac:dyDescent="0.25">
      <c r="B2357" t="s">
        <v>6412</v>
      </c>
      <c r="C2357" t="s">
        <v>6410</v>
      </c>
      <c r="D2357" t="s">
        <v>6413</v>
      </c>
      <c r="E2357" t="s">
        <v>6413</v>
      </c>
      <c r="H2357" t="s">
        <v>6412</v>
      </c>
    </row>
    <row r="2358" spans="2:8" x14ac:dyDescent="0.25">
      <c r="B2358" t="s">
        <v>6414</v>
      </c>
      <c r="C2358" t="s">
        <v>6415</v>
      </c>
      <c r="D2358" t="s">
        <v>6416</v>
      </c>
      <c r="E2358" t="s">
        <v>6416</v>
      </c>
      <c r="H2358" t="s">
        <v>6414</v>
      </c>
    </row>
    <row r="2359" spans="2:8" x14ac:dyDescent="0.25">
      <c r="B2359" t="s">
        <v>6417</v>
      </c>
      <c r="C2359" t="s">
        <v>6418</v>
      </c>
      <c r="D2359" t="s">
        <v>6419</v>
      </c>
      <c r="E2359" t="s">
        <v>6419</v>
      </c>
      <c r="H2359" t="s">
        <v>6417</v>
      </c>
    </row>
    <row r="2360" spans="2:8" x14ac:dyDescent="0.25">
      <c r="B2360" t="s">
        <v>6420</v>
      </c>
      <c r="C2360" t="s">
        <v>6421</v>
      </c>
      <c r="D2360" t="s">
        <v>6422</v>
      </c>
      <c r="E2360" t="s">
        <v>6422</v>
      </c>
      <c r="H2360" t="s">
        <v>6420</v>
      </c>
    </row>
    <row r="2361" spans="2:8" x14ac:dyDescent="0.25">
      <c r="B2361" t="s">
        <v>6423</v>
      </c>
      <c r="C2361" t="s">
        <v>6421</v>
      </c>
      <c r="D2361" t="s">
        <v>6424</v>
      </c>
      <c r="E2361" t="s">
        <v>6424</v>
      </c>
      <c r="H2361" t="s">
        <v>6423</v>
      </c>
    </row>
    <row r="2362" spans="2:8" x14ac:dyDescent="0.25">
      <c r="B2362" t="s">
        <v>6425</v>
      </c>
      <c r="C2362" t="s">
        <v>6426</v>
      </c>
      <c r="D2362" t="s">
        <v>6427</v>
      </c>
      <c r="E2362" t="s">
        <v>6427</v>
      </c>
      <c r="H2362" t="s">
        <v>6425</v>
      </c>
    </row>
    <row r="2363" spans="2:8" x14ac:dyDescent="0.25">
      <c r="B2363" t="s">
        <v>6428</v>
      </c>
      <c r="C2363" t="s">
        <v>6426</v>
      </c>
      <c r="D2363" t="s">
        <v>6429</v>
      </c>
      <c r="E2363" t="s">
        <v>6429</v>
      </c>
      <c r="H2363" t="s">
        <v>6428</v>
      </c>
    </row>
    <row r="2364" spans="2:8" x14ac:dyDescent="0.25">
      <c r="B2364" t="s">
        <v>6430</v>
      </c>
      <c r="C2364" t="s">
        <v>6426</v>
      </c>
      <c r="D2364" t="s">
        <v>6431</v>
      </c>
      <c r="E2364" t="s">
        <v>6431</v>
      </c>
      <c r="H2364" t="s">
        <v>6430</v>
      </c>
    </row>
    <row r="2365" spans="2:8" x14ac:dyDescent="0.25">
      <c r="B2365" t="s">
        <v>6432</v>
      </c>
      <c r="C2365" t="s">
        <v>6433</v>
      </c>
      <c r="D2365" t="s">
        <v>6434</v>
      </c>
      <c r="E2365" t="s">
        <v>6434</v>
      </c>
      <c r="H2365" t="s">
        <v>6432</v>
      </c>
    </row>
    <row r="2366" spans="2:8" x14ac:dyDescent="0.25">
      <c r="B2366" t="s">
        <v>6435</v>
      </c>
      <c r="C2366" t="s">
        <v>6433</v>
      </c>
      <c r="D2366" t="s">
        <v>6436</v>
      </c>
      <c r="E2366" t="s">
        <v>6436</v>
      </c>
      <c r="H2366" t="s">
        <v>6435</v>
      </c>
    </row>
    <row r="2367" spans="2:8" x14ac:dyDescent="0.25">
      <c r="B2367" t="s">
        <v>6437</v>
      </c>
      <c r="C2367" t="s">
        <v>6433</v>
      </c>
      <c r="D2367" t="s">
        <v>6438</v>
      </c>
      <c r="E2367" t="s">
        <v>6438</v>
      </c>
      <c r="H2367" t="s">
        <v>6437</v>
      </c>
    </row>
    <row r="2368" spans="2:8" x14ac:dyDescent="0.25">
      <c r="B2368" t="s">
        <v>6439</v>
      </c>
      <c r="C2368" t="s">
        <v>6440</v>
      </c>
      <c r="D2368" t="s">
        <v>6441</v>
      </c>
      <c r="E2368" t="s">
        <v>6441</v>
      </c>
      <c r="H2368" t="s">
        <v>6439</v>
      </c>
    </row>
    <row r="2369" spans="2:8" x14ac:dyDescent="0.25">
      <c r="B2369" t="s">
        <v>6442</v>
      </c>
      <c r="C2369" t="s">
        <v>6440</v>
      </c>
      <c r="D2369" t="s">
        <v>6443</v>
      </c>
      <c r="E2369" t="s">
        <v>6443</v>
      </c>
      <c r="H2369" t="s">
        <v>6442</v>
      </c>
    </row>
    <row r="2370" spans="2:8" x14ac:dyDescent="0.25">
      <c r="B2370" t="s">
        <v>6444</v>
      </c>
      <c r="C2370" t="s">
        <v>6440</v>
      </c>
      <c r="D2370" t="s">
        <v>6445</v>
      </c>
      <c r="E2370" t="s">
        <v>6445</v>
      </c>
      <c r="H2370" t="s">
        <v>6444</v>
      </c>
    </row>
    <row r="2371" spans="2:8" x14ac:dyDescent="0.25">
      <c r="B2371" t="s">
        <v>6446</v>
      </c>
      <c r="C2371" t="s">
        <v>6447</v>
      </c>
      <c r="D2371" t="s">
        <v>6448</v>
      </c>
      <c r="E2371" t="s">
        <v>6448</v>
      </c>
      <c r="H2371" t="s">
        <v>6446</v>
      </c>
    </row>
    <row r="2372" spans="2:8" x14ac:dyDescent="0.25">
      <c r="B2372" t="s">
        <v>6449</v>
      </c>
      <c r="C2372" t="s">
        <v>6450</v>
      </c>
      <c r="D2372" t="s">
        <v>6451</v>
      </c>
      <c r="E2372" t="s">
        <v>6451</v>
      </c>
      <c r="H2372" t="s">
        <v>6449</v>
      </c>
    </row>
    <row r="2373" spans="2:8" x14ac:dyDescent="0.25">
      <c r="B2373" t="s">
        <v>6452</v>
      </c>
      <c r="C2373" t="s">
        <v>6453</v>
      </c>
      <c r="D2373" t="s">
        <v>6454</v>
      </c>
      <c r="E2373" t="s">
        <v>6454</v>
      </c>
      <c r="H2373" t="s">
        <v>6452</v>
      </c>
    </row>
    <row r="2374" spans="2:8" x14ac:dyDescent="0.25">
      <c r="B2374" t="s">
        <v>6455</v>
      </c>
      <c r="C2374" t="s">
        <v>6456</v>
      </c>
      <c r="D2374" t="s">
        <v>6457</v>
      </c>
      <c r="E2374" t="s">
        <v>6457</v>
      </c>
      <c r="H2374" t="s">
        <v>6455</v>
      </c>
    </row>
    <row r="2375" spans="2:8" x14ac:dyDescent="0.25">
      <c r="B2375" t="s">
        <v>6458</v>
      </c>
      <c r="C2375" t="s">
        <v>6459</v>
      </c>
      <c r="D2375" t="s">
        <v>6460</v>
      </c>
      <c r="E2375" t="s">
        <v>6460</v>
      </c>
      <c r="H2375" t="s">
        <v>6458</v>
      </c>
    </row>
    <row r="2376" spans="2:8" x14ac:dyDescent="0.25">
      <c r="B2376" t="s">
        <v>6461</v>
      </c>
      <c r="C2376" t="s">
        <v>6462</v>
      </c>
      <c r="D2376" t="s">
        <v>6463</v>
      </c>
      <c r="E2376" t="s">
        <v>6463</v>
      </c>
      <c r="H2376" t="s">
        <v>6461</v>
      </c>
    </row>
    <row r="2377" spans="2:8" x14ac:dyDescent="0.25">
      <c r="B2377" t="s">
        <v>6464</v>
      </c>
      <c r="C2377" t="s">
        <v>6465</v>
      </c>
      <c r="D2377" t="s">
        <v>6466</v>
      </c>
      <c r="E2377" t="s">
        <v>6466</v>
      </c>
      <c r="H2377" t="s">
        <v>6464</v>
      </c>
    </row>
    <row r="2378" spans="2:8" x14ac:dyDescent="0.25">
      <c r="B2378" t="s">
        <v>6467</v>
      </c>
      <c r="C2378" t="s">
        <v>6465</v>
      </c>
      <c r="D2378" t="s">
        <v>6468</v>
      </c>
      <c r="E2378" t="s">
        <v>6468</v>
      </c>
      <c r="H2378" t="s">
        <v>6467</v>
      </c>
    </row>
    <row r="2379" spans="2:8" x14ac:dyDescent="0.25">
      <c r="B2379" t="s">
        <v>6469</v>
      </c>
      <c r="C2379" t="s">
        <v>6470</v>
      </c>
      <c r="D2379" t="s">
        <v>6471</v>
      </c>
      <c r="E2379" t="s">
        <v>6471</v>
      </c>
      <c r="H2379" t="s">
        <v>6469</v>
      </c>
    </row>
    <row r="2380" spans="2:8" x14ac:dyDescent="0.25">
      <c r="B2380" t="s">
        <v>6472</v>
      </c>
      <c r="C2380" t="s">
        <v>6470</v>
      </c>
      <c r="D2380" t="s">
        <v>6473</v>
      </c>
      <c r="E2380" t="s">
        <v>6473</v>
      </c>
      <c r="H2380" t="s">
        <v>6472</v>
      </c>
    </row>
    <row r="2381" spans="2:8" x14ac:dyDescent="0.25">
      <c r="B2381" t="s">
        <v>6474</v>
      </c>
      <c r="C2381" t="s">
        <v>2324</v>
      </c>
      <c r="D2381" t="s">
        <v>6475</v>
      </c>
      <c r="E2381" t="s">
        <v>6475</v>
      </c>
      <c r="H2381" t="s">
        <v>6474</v>
      </c>
    </row>
    <row r="2382" spans="2:8" x14ac:dyDescent="0.25">
      <c r="B2382" t="s">
        <v>6476</v>
      </c>
      <c r="C2382" t="s">
        <v>2318</v>
      </c>
      <c r="D2382" t="s">
        <v>6477</v>
      </c>
      <c r="E2382" t="s">
        <v>6477</v>
      </c>
      <c r="H2382" t="s">
        <v>6476</v>
      </c>
    </row>
    <row r="2383" spans="2:8" x14ac:dyDescent="0.25">
      <c r="B2383" t="s">
        <v>6478</v>
      </c>
      <c r="C2383" t="s">
        <v>3781</v>
      </c>
      <c r="D2383" t="s">
        <v>6479</v>
      </c>
      <c r="E2383" t="s">
        <v>6479</v>
      </c>
      <c r="H2383" t="s">
        <v>6478</v>
      </c>
    </row>
    <row r="2384" spans="2:8" x14ac:dyDescent="0.25">
      <c r="B2384" t="s">
        <v>6480</v>
      </c>
      <c r="C2384" t="s">
        <v>2327</v>
      </c>
      <c r="D2384" t="s">
        <v>6481</v>
      </c>
      <c r="E2384" t="s">
        <v>6481</v>
      </c>
      <c r="H2384" t="s">
        <v>6480</v>
      </c>
    </row>
    <row r="2385" spans="2:8" x14ac:dyDescent="0.25">
      <c r="B2385" t="s">
        <v>6482</v>
      </c>
      <c r="C2385" t="s">
        <v>2315</v>
      </c>
      <c r="D2385" t="s">
        <v>6483</v>
      </c>
      <c r="E2385" t="s">
        <v>6483</v>
      </c>
      <c r="H2385" t="s">
        <v>6482</v>
      </c>
    </row>
    <row r="2386" spans="2:8" x14ac:dyDescent="0.25">
      <c r="B2386" t="s">
        <v>6484</v>
      </c>
      <c r="C2386" t="s">
        <v>3779</v>
      </c>
      <c r="D2386" t="s">
        <v>6485</v>
      </c>
      <c r="E2386" t="s">
        <v>6485</v>
      </c>
      <c r="H2386" t="s">
        <v>6484</v>
      </c>
    </row>
    <row r="2387" spans="2:8" x14ac:dyDescent="0.25">
      <c r="B2387" t="s">
        <v>6486</v>
      </c>
      <c r="C2387" t="s">
        <v>2321</v>
      </c>
      <c r="D2387" t="s">
        <v>6487</v>
      </c>
      <c r="E2387" t="s">
        <v>6487</v>
      </c>
      <c r="H2387" t="s">
        <v>6486</v>
      </c>
    </row>
    <row r="2388" spans="2:8" x14ac:dyDescent="0.25">
      <c r="B2388" t="s">
        <v>6488</v>
      </c>
      <c r="C2388" t="s">
        <v>3293</v>
      </c>
      <c r="D2388" t="s">
        <v>6489</v>
      </c>
      <c r="E2388" t="s">
        <v>6489</v>
      </c>
      <c r="H2388" t="s">
        <v>6488</v>
      </c>
    </row>
    <row r="2389" spans="2:8" x14ac:dyDescent="0.25">
      <c r="B2389" t="s">
        <v>6490</v>
      </c>
      <c r="C2389" t="s">
        <v>2791</v>
      </c>
      <c r="D2389" t="s">
        <v>6491</v>
      </c>
      <c r="E2389" t="s">
        <v>6491</v>
      </c>
      <c r="H2389" t="s">
        <v>6490</v>
      </c>
    </row>
    <row r="2390" spans="2:8" x14ac:dyDescent="0.25">
      <c r="B2390" t="s">
        <v>6492</v>
      </c>
      <c r="C2390" t="s">
        <v>2788</v>
      </c>
      <c r="D2390" t="s">
        <v>6493</v>
      </c>
      <c r="E2390" t="s">
        <v>6493</v>
      </c>
      <c r="H2390" t="s">
        <v>6492</v>
      </c>
    </row>
    <row r="2391" spans="2:8" x14ac:dyDescent="0.25">
      <c r="B2391" t="s">
        <v>6494</v>
      </c>
      <c r="C2391" t="s">
        <v>6495</v>
      </c>
      <c r="D2391" t="s">
        <v>6496</v>
      </c>
      <c r="E2391" t="s">
        <v>6496</v>
      </c>
      <c r="H2391" t="s">
        <v>6494</v>
      </c>
    </row>
    <row r="2392" spans="2:8" x14ac:dyDescent="0.25">
      <c r="B2392" t="s">
        <v>6497</v>
      </c>
      <c r="C2392" t="s">
        <v>6498</v>
      </c>
      <c r="D2392" t="s">
        <v>6499</v>
      </c>
      <c r="E2392" t="s">
        <v>6499</v>
      </c>
      <c r="H2392" t="s">
        <v>6497</v>
      </c>
    </row>
    <row r="2393" spans="2:8" x14ac:dyDescent="0.25">
      <c r="B2393" t="s">
        <v>6500</v>
      </c>
      <c r="C2393" t="s">
        <v>6501</v>
      </c>
      <c r="D2393" t="s">
        <v>6502</v>
      </c>
      <c r="E2393" t="s">
        <v>6502</v>
      </c>
      <c r="H2393" t="s">
        <v>6500</v>
      </c>
    </row>
    <row r="2394" spans="2:8" x14ac:dyDescent="0.25">
      <c r="B2394" t="s">
        <v>6503</v>
      </c>
      <c r="C2394" t="s">
        <v>6504</v>
      </c>
      <c r="D2394" t="s">
        <v>6505</v>
      </c>
      <c r="E2394" t="s">
        <v>6505</v>
      </c>
      <c r="H2394" t="s">
        <v>6503</v>
      </c>
    </row>
    <row r="2395" spans="2:8" x14ac:dyDescent="0.25">
      <c r="B2395" t="s">
        <v>6506</v>
      </c>
      <c r="C2395" t="s">
        <v>6504</v>
      </c>
      <c r="D2395" t="s">
        <v>6507</v>
      </c>
      <c r="E2395" t="s">
        <v>6507</v>
      </c>
      <c r="H2395" t="s">
        <v>6506</v>
      </c>
    </row>
    <row r="2396" spans="2:8" x14ac:dyDescent="0.25">
      <c r="B2396" t="s">
        <v>6508</v>
      </c>
      <c r="C2396" t="s">
        <v>6509</v>
      </c>
      <c r="D2396" t="s">
        <v>6510</v>
      </c>
      <c r="E2396" t="s">
        <v>6510</v>
      </c>
      <c r="H2396" t="s">
        <v>6508</v>
      </c>
    </row>
    <row r="2397" spans="2:8" x14ac:dyDescent="0.25">
      <c r="B2397" t="s">
        <v>6511</v>
      </c>
      <c r="C2397" t="s">
        <v>6509</v>
      </c>
      <c r="D2397" t="s">
        <v>6512</v>
      </c>
      <c r="E2397" t="s">
        <v>6512</v>
      </c>
      <c r="H2397" t="s">
        <v>6511</v>
      </c>
    </row>
    <row r="2398" spans="2:8" x14ac:dyDescent="0.25">
      <c r="B2398" t="s">
        <v>6513</v>
      </c>
      <c r="C2398" t="s">
        <v>6514</v>
      </c>
      <c r="D2398" t="s">
        <v>6515</v>
      </c>
      <c r="E2398" t="s">
        <v>6515</v>
      </c>
      <c r="H2398" t="s">
        <v>6513</v>
      </c>
    </row>
    <row r="2399" spans="2:8" x14ac:dyDescent="0.25">
      <c r="B2399" t="s">
        <v>6516</v>
      </c>
      <c r="C2399" t="s">
        <v>6514</v>
      </c>
      <c r="D2399" t="s">
        <v>6517</v>
      </c>
      <c r="E2399" t="s">
        <v>6517</v>
      </c>
      <c r="H2399" t="s">
        <v>6516</v>
      </c>
    </row>
    <row r="2400" spans="2:8" x14ac:dyDescent="0.25">
      <c r="B2400" t="s">
        <v>6518</v>
      </c>
      <c r="C2400" t="s">
        <v>6519</v>
      </c>
      <c r="D2400" t="s">
        <v>6520</v>
      </c>
      <c r="E2400" t="s">
        <v>6520</v>
      </c>
      <c r="H2400" t="s">
        <v>6518</v>
      </c>
    </row>
    <row r="2401" spans="2:8" x14ac:dyDescent="0.25">
      <c r="B2401" t="s">
        <v>6521</v>
      </c>
      <c r="C2401" t="s">
        <v>6522</v>
      </c>
      <c r="D2401" t="s">
        <v>6523</v>
      </c>
      <c r="E2401" t="s">
        <v>6523</v>
      </c>
      <c r="H2401" t="s">
        <v>6521</v>
      </c>
    </row>
    <row r="2402" spans="2:8" x14ac:dyDescent="0.25">
      <c r="B2402" t="s">
        <v>6524</v>
      </c>
      <c r="C2402" t="s">
        <v>1625</v>
      </c>
      <c r="D2402" t="s">
        <v>6525</v>
      </c>
      <c r="E2402" t="s">
        <v>6525</v>
      </c>
      <c r="H2402" t="s">
        <v>6524</v>
      </c>
    </row>
    <row r="2403" spans="2:8" x14ac:dyDescent="0.25">
      <c r="B2403" t="s">
        <v>6526</v>
      </c>
      <c r="C2403" t="s">
        <v>1625</v>
      </c>
      <c r="D2403" t="s">
        <v>6527</v>
      </c>
      <c r="E2403" t="s">
        <v>6527</v>
      </c>
      <c r="H2403" t="s">
        <v>6526</v>
      </c>
    </row>
    <row r="2404" spans="2:8" x14ac:dyDescent="0.25">
      <c r="B2404" t="s">
        <v>6528</v>
      </c>
      <c r="C2404" t="s">
        <v>1625</v>
      </c>
      <c r="D2404" t="s">
        <v>6529</v>
      </c>
      <c r="E2404" t="s">
        <v>6529</v>
      </c>
      <c r="H2404" t="s">
        <v>6528</v>
      </c>
    </row>
    <row r="2405" spans="2:8" x14ac:dyDescent="0.25">
      <c r="B2405" t="s">
        <v>6530</v>
      </c>
      <c r="C2405" t="s">
        <v>1625</v>
      </c>
      <c r="D2405" t="s">
        <v>6531</v>
      </c>
      <c r="E2405" t="s">
        <v>6531</v>
      </c>
      <c r="H2405" t="s">
        <v>6530</v>
      </c>
    </row>
    <row r="2406" spans="2:8" x14ac:dyDescent="0.25">
      <c r="B2406" t="s">
        <v>6532</v>
      </c>
      <c r="C2406" t="s">
        <v>1625</v>
      </c>
      <c r="D2406" t="s">
        <v>6533</v>
      </c>
      <c r="E2406" t="s">
        <v>6533</v>
      </c>
      <c r="H2406" t="s">
        <v>6532</v>
      </c>
    </row>
    <row r="2407" spans="2:8" x14ac:dyDescent="0.25">
      <c r="B2407" t="s">
        <v>6534</v>
      </c>
      <c r="C2407" t="s">
        <v>1625</v>
      </c>
      <c r="D2407" t="s">
        <v>6535</v>
      </c>
      <c r="E2407" t="s">
        <v>6535</v>
      </c>
      <c r="H2407" t="s">
        <v>6534</v>
      </c>
    </row>
    <row r="2408" spans="2:8" x14ac:dyDescent="0.25">
      <c r="B2408" t="s">
        <v>6536</v>
      </c>
      <c r="C2408" t="s">
        <v>1625</v>
      </c>
      <c r="D2408" t="s">
        <v>6537</v>
      </c>
      <c r="E2408" t="s">
        <v>6537</v>
      </c>
      <c r="H2408" t="s">
        <v>6536</v>
      </c>
    </row>
    <row r="2409" spans="2:8" x14ac:dyDescent="0.25">
      <c r="B2409" t="s">
        <v>6538</v>
      </c>
      <c r="C2409" t="s">
        <v>1625</v>
      </c>
      <c r="D2409" t="s">
        <v>6539</v>
      </c>
      <c r="E2409" t="s">
        <v>6539</v>
      </c>
      <c r="H2409" t="s">
        <v>6538</v>
      </c>
    </row>
    <row r="2410" spans="2:8" x14ac:dyDescent="0.25">
      <c r="B2410" t="s">
        <v>6540</v>
      </c>
      <c r="C2410" t="s">
        <v>6541</v>
      </c>
      <c r="D2410" t="s">
        <v>6542</v>
      </c>
      <c r="E2410" t="s">
        <v>6542</v>
      </c>
      <c r="H2410" t="s">
        <v>6540</v>
      </c>
    </row>
    <row r="2411" spans="2:8" x14ac:dyDescent="0.25">
      <c r="B2411" t="s">
        <v>6543</v>
      </c>
      <c r="C2411" t="s">
        <v>1587</v>
      </c>
      <c r="D2411" t="s">
        <v>6544</v>
      </c>
      <c r="E2411" t="s">
        <v>6544</v>
      </c>
      <c r="H2411" t="s">
        <v>6543</v>
      </c>
    </row>
    <row r="2412" spans="2:8" x14ac:dyDescent="0.25">
      <c r="B2412" t="s">
        <v>6545</v>
      </c>
      <c r="C2412" t="s">
        <v>1587</v>
      </c>
      <c r="D2412" t="s">
        <v>6546</v>
      </c>
      <c r="E2412" t="s">
        <v>6546</v>
      </c>
      <c r="H2412" t="s">
        <v>6545</v>
      </c>
    </row>
    <row r="2413" spans="2:8" x14ac:dyDescent="0.25">
      <c r="B2413" t="s">
        <v>6547</v>
      </c>
      <c r="C2413" t="s">
        <v>1587</v>
      </c>
      <c r="D2413" t="s">
        <v>6548</v>
      </c>
      <c r="E2413" t="s">
        <v>6548</v>
      </c>
      <c r="H2413" t="s">
        <v>6547</v>
      </c>
    </row>
    <row r="2414" spans="2:8" x14ac:dyDescent="0.25">
      <c r="B2414" t="s">
        <v>6549</v>
      </c>
      <c r="C2414" t="s">
        <v>1587</v>
      </c>
      <c r="D2414" t="s">
        <v>6550</v>
      </c>
      <c r="E2414" t="s">
        <v>6550</v>
      </c>
      <c r="H2414" t="s">
        <v>6549</v>
      </c>
    </row>
    <row r="2415" spans="2:8" x14ac:dyDescent="0.25">
      <c r="B2415" t="s">
        <v>6551</v>
      </c>
      <c r="C2415" t="s">
        <v>1587</v>
      </c>
      <c r="D2415" t="s">
        <v>6552</v>
      </c>
      <c r="E2415" t="s">
        <v>6552</v>
      </c>
      <c r="H2415" t="s">
        <v>6551</v>
      </c>
    </row>
    <row r="2416" spans="2:8" x14ac:dyDescent="0.25">
      <c r="B2416" t="s">
        <v>6553</v>
      </c>
      <c r="C2416" t="s">
        <v>1587</v>
      </c>
      <c r="D2416" t="s">
        <v>6554</v>
      </c>
      <c r="E2416" t="s">
        <v>6554</v>
      </c>
      <c r="H2416" t="s">
        <v>6553</v>
      </c>
    </row>
    <row r="2417" spans="2:8" x14ac:dyDescent="0.25">
      <c r="B2417" t="s">
        <v>6555</v>
      </c>
      <c r="C2417" t="s">
        <v>1587</v>
      </c>
      <c r="D2417" t="s">
        <v>6556</v>
      </c>
      <c r="E2417" t="s">
        <v>6556</v>
      </c>
      <c r="H2417" t="s">
        <v>6555</v>
      </c>
    </row>
    <row r="2418" spans="2:8" x14ac:dyDescent="0.25">
      <c r="B2418" t="s">
        <v>6557</v>
      </c>
      <c r="C2418" t="s">
        <v>1587</v>
      </c>
      <c r="D2418" t="s">
        <v>6558</v>
      </c>
      <c r="E2418" t="s">
        <v>6558</v>
      </c>
      <c r="H2418" t="s">
        <v>6557</v>
      </c>
    </row>
    <row r="2419" spans="2:8" x14ac:dyDescent="0.25">
      <c r="B2419" t="s">
        <v>6559</v>
      </c>
      <c r="C2419" t="s">
        <v>1587</v>
      </c>
      <c r="D2419" t="s">
        <v>6560</v>
      </c>
      <c r="E2419" t="s">
        <v>6560</v>
      </c>
      <c r="H2419" t="s">
        <v>6559</v>
      </c>
    </row>
    <row r="2420" spans="2:8" x14ac:dyDescent="0.25">
      <c r="B2420" t="s">
        <v>6561</v>
      </c>
      <c r="C2420" t="s">
        <v>6562</v>
      </c>
      <c r="D2420" t="s">
        <v>6563</v>
      </c>
      <c r="E2420" t="s">
        <v>6563</v>
      </c>
      <c r="H2420" t="s">
        <v>6561</v>
      </c>
    </row>
    <row r="2421" spans="2:8" x14ac:dyDescent="0.25">
      <c r="B2421" t="s">
        <v>6564</v>
      </c>
      <c r="C2421" t="s">
        <v>6565</v>
      </c>
      <c r="D2421" t="s">
        <v>6566</v>
      </c>
      <c r="E2421" t="s">
        <v>6566</v>
      </c>
      <c r="H2421" t="s">
        <v>6564</v>
      </c>
    </row>
    <row r="2422" spans="2:8" x14ac:dyDescent="0.25">
      <c r="B2422" t="s">
        <v>6567</v>
      </c>
      <c r="C2422" t="s">
        <v>6568</v>
      </c>
      <c r="D2422" t="s">
        <v>6569</v>
      </c>
      <c r="E2422" t="s">
        <v>6569</v>
      </c>
      <c r="H2422" t="s">
        <v>6567</v>
      </c>
    </row>
    <row r="2423" spans="2:8" x14ac:dyDescent="0.25">
      <c r="B2423" t="s">
        <v>6570</v>
      </c>
      <c r="C2423" t="s">
        <v>6571</v>
      </c>
      <c r="D2423" t="s">
        <v>6572</v>
      </c>
      <c r="E2423" t="s">
        <v>6572</v>
      </c>
      <c r="H2423" t="s">
        <v>6570</v>
      </c>
    </row>
    <row r="2424" spans="2:8" x14ac:dyDescent="0.25">
      <c r="B2424" t="s">
        <v>6573</v>
      </c>
      <c r="C2424" t="s">
        <v>6574</v>
      </c>
      <c r="D2424" t="s">
        <v>6575</v>
      </c>
      <c r="E2424" t="s">
        <v>6575</v>
      </c>
      <c r="H2424" t="s">
        <v>6573</v>
      </c>
    </row>
    <row r="2425" spans="2:8" x14ac:dyDescent="0.25">
      <c r="B2425" t="s">
        <v>6576</v>
      </c>
      <c r="C2425" t="s">
        <v>6577</v>
      </c>
      <c r="D2425" t="s">
        <v>6578</v>
      </c>
      <c r="E2425" t="s">
        <v>6578</v>
      </c>
      <c r="H2425" t="s">
        <v>6576</v>
      </c>
    </row>
    <row r="2426" spans="2:8" x14ac:dyDescent="0.25">
      <c r="B2426" t="s">
        <v>6579</v>
      </c>
      <c r="C2426" t="s">
        <v>6580</v>
      </c>
      <c r="D2426" t="s">
        <v>6581</v>
      </c>
      <c r="E2426" t="s">
        <v>6581</v>
      </c>
      <c r="H2426" t="s">
        <v>6579</v>
      </c>
    </row>
    <row r="2427" spans="2:8" x14ac:dyDescent="0.25">
      <c r="B2427" t="s">
        <v>6582</v>
      </c>
      <c r="C2427" t="s">
        <v>6583</v>
      </c>
      <c r="D2427" t="s">
        <v>6584</v>
      </c>
      <c r="E2427" t="s">
        <v>6584</v>
      </c>
      <c r="H2427" t="s">
        <v>6582</v>
      </c>
    </row>
    <row r="2428" spans="2:8" x14ac:dyDescent="0.25">
      <c r="B2428" t="s">
        <v>6585</v>
      </c>
      <c r="C2428" t="s">
        <v>6586</v>
      </c>
      <c r="D2428" t="s">
        <v>6587</v>
      </c>
      <c r="E2428" t="s">
        <v>6587</v>
      </c>
      <c r="H2428" t="s">
        <v>6585</v>
      </c>
    </row>
    <row r="2429" spans="2:8" x14ac:dyDescent="0.25">
      <c r="B2429" t="s">
        <v>6588</v>
      </c>
      <c r="C2429" t="s">
        <v>6589</v>
      </c>
      <c r="D2429" t="s">
        <v>6590</v>
      </c>
      <c r="E2429" t="s">
        <v>6590</v>
      </c>
      <c r="H2429" t="s">
        <v>6588</v>
      </c>
    </row>
    <row r="2430" spans="2:8" x14ac:dyDescent="0.25">
      <c r="B2430" t="s">
        <v>6591</v>
      </c>
      <c r="C2430" t="s">
        <v>6592</v>
      </c>
      <c r="D2430" t="s">
        <v>6593</v>
      </c>
      <c r="E2430" t="s">
        <v>6593</v>
      </c>
      <c r="H2430" t="s">
        <v>6591</v>
      </c>
    </row>
    <row r="2431" spans="2:8" x14ac:dyDescent="0.25">
      <c r="B2431" t="s">
        <v>6594</v>
      </c>
      <c r="C2431" t="s">
        <v>6595</v>
      </c>
      <c r="D2431" t="s">
        <v>6596</v>
      </c>
      <c r="E2431" t="s">
        <v>6596</v>
      </c>
      <c r="H2431" t="s">
        <v>6594</v>
      </c>
    </row>
    <row r="2432" spans="2:8" x14ac:dyDescent="0.25">
      <c r="B2432" t="s">
        <v>6597</v>
      </c>
      <c r="C2432" t="s">
        <v>6598</v>
      </c>
      <c r="D2432" t="s">
        <v>6599</v>
      </c>
      <c r="E2432" t="s">
        <v>6599</v>
      </c>
      <c r="H2432" t="s">
        <v>6597</v>
      </c>
    </row>
    <row r="2433" spans="2:8" x14ac:dyDescent="0.25">
      <c r="B2433" t="s">
        <v>6600</v>
      </c>
      <c r="C2433" t="s">
        <v>6601</v>
      </c>
      <c r="D2433" t="s">
        <v>6602</v>
      </c>
      <c r="E2433" t="s">
        <v>6602</v>
      </c>
      <c r="H2433" t="s">
        <v>6600</v>
      </c>
    </row>
    <row r="2434" spans="2:8" x14ac:dyDescent="0.25">
      <c r="B2434" t="s">
        <v>6603</v>
      </c>
      <c r="C2434" t="s">
        <v>6604</v>
      </c>
      <c r="D2434" t="s">
        <v>6605</v>
      </c>
      <c r="E2434" t="s">
        <v>6605</v>
      </c>
      <c r="H2434" t="s">
        <v>6603</v>
      </c>
    </row>
    <row r="2435" spans="2:8" x14ac:dyDescent="0.25">
      <c r="B2435" t="s">
        <v>6606</v>
      </c>
      <c r="C2435" t="s">
        <v>6607</v>
      </c>
      <c r="D2435" t="s">
        <v>6608</v>
      </c>
      <c r="E2435" t="s">
        <v>6608</v>
      </c>
      <c r="H2435" t="s">
        <v>6606</v>
      </c>
    </row>
    <row r="2436" spans="2:8" x14ac:dyDescent="0.25">
      <c r="B2436" t="s">
        <v>6609</v>
      </c>
      <c r="C2436" t="s">
        <v>6610</v>
      </c>
      <c r="D2436" t="s">
        <v>6611</v>
      </c>
      <c r="E2436" t="s">
        <v>6611</v>
      </c>
      <c r="H2436" t="s">
        <v>6609</v>
      </c>
    </row>
    <row r="2437" spans="2:8" x14ac:dyDescent="0.25">
      <c r="B2437" t="s">
        <v>6612</v>
      </c>
      <c r="C2437" t="s">
        <v>6613</v>
      </c>
      <c r="D2437" t="s">
        <v>6614</v>
      </c>
      <c r="E2437" t="s">
        <v>6614</v>
      </c>
      <c r="H2437" t="s">
        <v>6612</v>
      </c>
    </row>
    <row r="2438" spans="2:8" x14ac:dyDescent="0.25">
      <c r="B2438" t="s">
        <v>6615</v>
      </c>
      <c r="C2438" t="s">
        <v>6613</v>
      </c>
      <c r="D2438" t="s">
        <v>6616</v>
      </c>
      <c r="E2438" t="s">
        <v>6616</v>
      </c>
      <c r="H2438" t="s">
        <v>6615</v>
      </c>
    </row>
    <row r="2439" spans="2:8" x14ac:dyDescent="0.25">
      <c r="B2439" t="s">
        <v>6617</v>
      </c>
      <c r="C2439" t="s">
        <v>6618</v>
      </c>
      <c r="D2439" t="s">
        <v>6619</v>
      </c>
      <c r="E2439" t="s">
        <v>6619</v>
      </c>
      <c r="H2439" t="s">
        <v>6617</v>
      </c>
    </row>
    <row r="2440" spans="2:8" x14ac:dyDescent="0.25">
      <c r="B2440" t="s">
        <v>6620</v>
      </c>
      <c r="C2440" t="s">
        <v>6618</v>
      </c>
      <c r="D2440" t="s">
        <v>6621</v>
      </c>
      <c r="E2440" t="s">
        <v>6621</v>
      </c>
      <c r="H2440" t="s">
        <v>6620</v>
      </c>
    </row>
    <row r="2441" spans="2:8" x14ac:dyDescent="0.25">
      <c r="B2441" t="s">
        <v>6622</v>
      </c>
      <c r="C2441" t="s">
        <v>6623</v>
      </c>
      <c r="D2441" t="s">
        <v>6624</v>
      </c>
      <c r="E2441" t="s">
        <v>6624</v>
      </c>
      <c r="H2441" t="s">
        <v>6622</v>
      </c>
    </row>
    <row r="2442" spans="2:8" x14ac:dyDescent="0.25">
      <c r="B2442" t="s">
        <v>6625</v>
      </c>
      <c r="C2442" t="s">
        <v>6623</v>
      </c>
      <c r="D2442" t="s">
        <v>6626</v>
      </c>
      <c r="E2442" t="s">
        <v>6626</v>
      </c>
      <c r="H2442" t="s">
        <v>6625</v>
      </c>
    </row>
    <row r="2443" spans="2:8" x14ac:dyDescent="0.25">
      <c r="B2443" t="s">
        <v>6627</v>
      </c>
      <c r="C2443" t="s">
        <v>6628</v>
      </c>
      <c r="D2443" t="s">
        <v>6629</v>
      </c>
      <c r="E2443" t="s">
        <v>6629</v>
      </c>
      <c r="H2443" t="s">
        <v>6627</v>
      </c>
    </row>
    <row r="2444" spans="2:8" x14ac:dyDescent="0.25">
      <c r="B2444" t="s">
        <v>6630</v>
      </c>
      <c r="C2444" t="s">
        <v>6631</v>
      </c>
      <c r="D2444" t="s">
        <v>6632</v>
      </c>
      <c r="E2444" t="s">
        <v>6632</v>
      </c>
      <c r="H2444" t="s">
        <v>6630</v>
      </c>
    </row>
    <row r="2445" spans="2:8" x14ac:dyDescent="0.25">
      <c r="B2445" t="s">
        <v>6633</v>
      </c>
      <c r="C2445" t="s">
        <v>6628</v>
      </c>
      <c r="D2445" t="s">
        <v>6634</v>
      </c>
      <c r="E2445" t="s">
        <v>6634</v>
      </c>
      <c r="H2445" t="s">
        <v>6633</v>
      </c>
    </row>
    <row r="2446" spans="2:8" x14ac:dyDescent="0.25">
      <c r="B2446" t="s">
        <v>6635</v>
      </c>
      <c r="C2446" t="s">
        <v>6631</v>
      </c>
      <c r="D2446" t="s">
        <v>6636</v>
      </c>
      <c r="E2446" t="s">
        <v>6636</v>
      </c>
      <c r="H2446" t="s">
        <v>6635</v>
      </c>
    </row>
    <row r="2447" spans="2:8" x14ac:dyDescent="0.25">
      <c r="B2447" t="s">
        <v>6637</v>
      </c>
      <c r="C2447" t="s">
        <v>6628</v>
      </c>
      <c r="D2447" t="s">
        <v>6638</v>
      </c>
      <c r="E2447" t="s">
        <v>6638</v>
      </c>
      <c r="H2447" t="s">
        <v>6637</v>
      </c>
    </row>
    <row r="2448" spans="2:8" x14ac:dyDescent="0.25">
      <c r="B2448" t="s">
        <v>6639</v>
      </c>
      <c r="C2448" t="s">
        <v>6631</v>
      </c>
      <c r="D2448" t="s">
        <v>6640</v>
      </c>
      <c r="E2448" t="s">
        <v>6640</v>
      </c>
      <c r="H2448" t="s">
        <v>6639</v>
      </c>
    </row>
    <row r="2449" spans="2:8" x14ac:dyDescent="0.25">
      <c r="B2449" t="s">
        <v>6641</v>
      </c>
      <c r="C2449" t="s">
        <v>6642</v>
      </c>
      <c r="D2449" t="s">
        <v>6643</v>
      </c>
      <c r="E2449" t="s">
        <v>6643</v>
      </c>
      <c r="H2449" t="s">
        <v>6641</v>
      </c>
    </row>
    <row r="2450" spans="2:8" x14ac:dyDescent="0.25">
      <c r="B2450" t="s">
        <v>6644</v>
      </c>
      <c r="C2450" t="s">
        <v>6645</v>
      </c>
      <c r="D2450" t="s">
        <v>6646</v>
      </c>
      <c r="E2450" t="s">
        <v>6646</v>
      </c>
      <c r="H2450" t="s">
        <v>6644</v>
      </c>
    </row>
    <row r="2451" spans="2:8" x14ac:dyDescent="0.25">
      <c r="B2451" t="s">
        <v>6647</v>
      </c>
      <c r="C2451" t="s">
        <v>6642</v>
      </c>
      <c r="D2451" t="s">
        <v>6648</v>
      </c>
      <c r="E2451" t="s">
        <v>6648</v>
      </c>
      <c r="H2451" t="s">
        <v>6647</v>
      </c>
    </row>
    <row r="2452" spans="2:8" x14ac:dyDescent="0.25">
      <c r="B2452" t="s">
        <v>6649</v>
      </c>
      <c r="C2452" t="s">
        <v>6645</v>
      </c>
      <c r="D2452" t="s">
        <v>6650</v>
      </c>
      <c r="E2452" t="s">
        <v>6650</v>
      </c>
      <c r="H2452" t="s">
        <v>6649</v>
      </c>
    </row>
    <row r="2453" spans="2:8" x14ac:dyDescent="0.25">
      <c r="B2453" t="s">
        <v>6651</v>
      </c>
      <c r="C2453" t="s">
        <v>6642</v>
      </c>
      <c r="D2453" t="s">
        <v>6652</v>
      </c>
      <c r="E2453" t="s">
        <v>6652</v>
      </c>
      <c r="H2453" t="s">
        <v>6651</v>
      </c>
    </row>
    <row r="2454" spans="2:8" x14ac:dyDescent="0.25">
      <c r="B2454" t="s">
        <v>6653</v>
      </c>
      <c r="C2454" t="s">
        <v>6645</v>
      </c>
      <c r="D2454" t="s">
        <v>6654</v>
      </c>
      <c r="E2454" t="s">
        <v>6654</v>
      </c>
      <c r="H2454" t="s">
        <v>6653</v>
      </c>
    </row>
    <row r="2455" spans="2:8" x14ac:dyDescent="0.25">
      <c r="B2455" t="s">
        <v>6655</v>
      </c>
      <c r="C2455" t="s">
        <v>6656</v>
      </c>
      <c r="D2455" t="s">
        <v>6657</v>
      </c>
      <c r="E2455" t="s">
        <v>6657</v>
      </c>
      <c r="H2455" t="s">
        <v>6655</v>
      </c>
    </row>
    <row r="2456" spans="2:8" x14ac:dyDescent="0.25">
      <c r="B2456" t="s">
        <v>6658</v>
      </c>
      <c r="C2456" t="s">
        <v>6659</v>
      </c>
      <c r="D2456" t="s">
        <v>6660</v>
      </c>
      <c r="E2456" t="s">
        <v>6660</v>
      </c>
      <c r="H2456" t="s">
        <v>6658</v>
      </c>
    </row>
    <row r="2457" spans="2:8" x14ac:dyDescent="0.25">
      <c r="B2457" t="s">
        <v>6661</v>
      </c>
      <c r="C2457" t="s">
        <v>6656</v>
      </c>
      <c r="D2457" t="s">
        <v>6662</v>
      </c>
      <c r="E2457" t="s">
        <v>6662</v>
      </c>
      <c r="H2457" t="s">
        <v>6661</v>
      </c>
    </row>
    <row r="2458" spans="2:8" x14ac:dyDescent="0.25">
      <c r="B2458" t="s">
        <v>6663</v>
      </c>
      <c r="C2458" t="s">
        <v>6659</v>
      </c>
      <c r="D2458" t="s">
        <v>6664</v>
      </c>
      <c r="E2458" t="s">
        <v>6664</v>
      </c>
      <c r="H2458" t="s">
        <v>6663</v>
      </c>
    </row>
    <row r="2459" spans="2:8" x14ac:dyDescent="0.25">
      <c r="B2459" t="s">
        <v>6665</v>
      </c>
      <c r="C2459" t="s">
        <v>6656</v>
      </c>
      <c r="D2459" t="s">
        <v>6666</v>
      </c>
      <c r="E2459" t="s">
        <v>6666</v>
      </c>
      <c r="H2459" t="s">
        <v>6665</v>
      </c>
    </row>
    <row r="2460" spans="2:8" x14ac:dyDescent="0.25">
      <c r="B2460" t="s">
        <v>6667</v>
      </c>
      <c r="C2460" t="s">
        <v>6659</v>
      </c>
      <c r="D2460" t="s">
        <v>6668</v>
      </c>
      <c r="E2460" t="s">
        <v>6668</v>
      </c>
      <c r="H2460" t="s">
        <v>6667</v>
      </c>
    </row>
    <row r="2461" spans="2:8" x14ac:dyDescent="0.25">
      <c r="B2461" t="s">
        <v>6669</v>
      </c>
      <c r="C2461" t="s">
        <v>6670</v>
      </c>
      <c r="D2461" t="s">
        <v>6671</v>
      </c>
      <c r="E2461" t="s">
        <v>6671</v>
      </c>
      <c r="H2461" t="s">
        <v>6669</v>
      </c>
    </row>
    <row r="2462" spans="2:8" x14ac:dyDescent="0.25">
      <c r="B2462" t="s">
        <v>6672</v>
      </c>
      <c r="C2462" t="s">
        <v>6670</v>
      </c>
      <c r="D2462" t="s">
        <v>6673</v>
      </c>
      <c r="E2462" t="s">
        <v>6673</v>
      </c>
      <c r="H2462" t="s">
        <v>6672</v>
      </c>
    </row>
    <row r="2463" spans="2:8" x14ac:dyDescent="0.25">
      <c r="B2463" t="s">
        <v>6674</v>
      </c>
      <c r="C2463" t="s">
        <v>6670</v>
      </c>
      <c r="D2463" t="s">
        <v>6675</v>
      </c>
      <c r="E2463" t="s">
        <v>6675</v>
      </c>
      <c r="H2463" t="s">
        <v>6674</v>
      </c>
    </row>
    <row r="2464" spans="2:8" x14ac:dyDescent="0.25">
      <c r="B2464" t="s">
        <v>6676</v>
      </c>
      <c r="C2464" t="s">
        <v>6670</v>
      </c>
      <c r="D2464" t="s">
        <v>6677</v>
      </c>
      <c r="E2464" t="s">
        <v>6677</v>
      </c>
      <c r="H2464" t="s">
        <v>6676</v>
      </c>
    </row>
    <row r="2465" spans="2:8" x14ac:dyDescent="0.25">
      <c r="B2465" t="s">
        <v>6678</v>
      </c>
      <c r="C2465" t="s">
        <v>6670</v>
      </c>
      <c r="D2465" t="s">
        <v>6679</v>
      </c>
      <c r="E2465" t="s">
        <v>6679</v>
      </c>
      <c r="H2465" t="s">
        <v>6678</v>
      </c>
    </row>
    <row r="2466" spans="2:8" x14ac:dyDescent="0.25">
      <c r="B2466" t="s">
        <v>6680</v>
      </c>
      <c r="C2466" t="s">
        <v>6670</v>
      </c>
      <c r="D2466" t="s">
        <v>6681</v>
      </c>
      <c r="E2466" t="s">
        <v>6681</v>
      </c>
      <c r="H2466" t="s">
        <v>6680</v>
      </c>
    </row>
    <row r="2467" spans="2:8" x14ac:dyDescent="0.25">
      <c r="B2467" t="s">
        <v>6682</v>
      </c>
      <c r="C2467" t="s">
        <v>6683</v>
      </c>
      <c r="D2467" t="s">
        <v>6684</v>
      </c>
      <c r="E2467" t="s">
        <v>6684</v>
      </c>
      <c r="H2467" t="s">
        <v>6682</v>
      </c>
    </row>
    <row r="2468" spans="2:8" x14ac:dyDescent="0.25">
      <c r="B2468" t="s">
        <v>6685</v>
      </c>
      <c r="C2468" t="s">
        <v>6683</v>
      </c>
      <c r="D2468" t="s">
        <v>6686</v>
      </c>
      <c r="E2468" t="s">
        <v>6686</v>
      </c>
      <c r="H2468" t="s">
        <v>6685</v>
      </c>
    </row>
    <row r="2469" spans="2:8" x14ac:dyDescent="0.25">
      <c r="B2469" t="s">
        <v>6687</v>
      </c>
      <c r="C2469" t="s">
        <v>6683</v>
      </c>
      <c r="D2469" t="s">
        <v>6688</v>
      </c>
      <c r="E2469" t="s">
        <v>6688</v>
      </c>
      <c r="H2469" t="s">
        <v>6687</v>
      </c>
    </row>
    <row r="2470" spans="2:8" x14ac:dyDescent="0.25">
      <c r="B2470" t="s">
        <v>6689</v>
      </c>
      <c r="C2470" t="s">
        <v>6683</v>
      </c>
      <c r="D2470" t="s">
        <v>6690</v>
      </c>
      <c r="E2470" t="s">
        <v>6690</v>
      </c>
      <c r="H2470" t="s">
        <v>6689</v>
      </c>
    </row>
    <row r="2471" spans="2:8" x14ac:dyDescent="0.25">
      <c r="B2471" t="s">
        <v>6691</v>
      </c>
      <c r="C2471" t="s">
        <v>6683</v>
      </c>
      <c r="D2471" t="s">
        <v>6692</v>
      </c>
      <c r="E2471" t="s">
        <v>6692</v>
      </c>
      <c r="H2471" t="s">
        <v>6691</v>
      </c>
    </row>
    <row r="2472" spans="2:8" x14ac:dyDescent="0.25">
      <c r="B2472" t="s">
        <v>6693</v>
      </c>
      <c r="C2472" t="s">
        <v>6683</v>
      </c>
      <c r="D2472" t="s">
        <v>6694</v>
      </c>
      <c r="E2472" t="s">
        <v>6694</v>
      </c>
      <c r="H2472" t="s">
        <v>6693</v>
      </c>
    </row>
    <row r="2473" spans="2:8" x14ac:dyDescent="0.25">
      <c r="B2473" t="s">
        <v>6695</v>
      </c>
      <c r="C2473" t="s">
        <v>6696</v>
      </c>
      <c r="D2473" t="s">
        <v>6697</v>
      </c>
      <c r="E2473" t="s">
        <v>6697</v>
      </c>
      <c r="H2473" t="s">
        <v>6695</v>
      </c>
    </row>
    <row r="2474" spans="2:8" x14ac:dyDescent="0.25">
      <c r="B2474" t="s">
        <v>6698</v>
      </c>
      <c r="C2474" t="s">
        <v>6696</v>
      </c>
      <c r="D2474" t="s">
        <v>6699</v>
      </c>
      <c r="E2474" t="s">
        <v>6699</v>
      </c>
      <c r="H2474" t="s">
        <v>6698</v>
      </c>
    </row>
    <row r="2475" spans="2:8" x14ac:dyDescent="0.25">
      <c r="B2475" t="s">
        <v>6700</v>
      </c>
      <c r="C2475" t="s">
        <v>6696</v>
      </c>
      <c r="D2475" t="s">
        <v>6701</v>
      </c>
      <c r="E2475" t="s">
        <v>6701</v>
      </c>
      <c r="H2475" t="s">
        <v>6700</v>
      </c>
    </row>
    <row r="2476" spans="2:8" x14ac:dyDescent="0.25">
      <c r="B2476" t="s">
        <v>6702</v>
      </c>
      <c r="C2476" t="s">
        <v>6696</v>
      </c>
      <c r="D2476" t="s">
        <v>6703</v>
      </c>
      <c r="E2476" t="s">
        <v>6703</v>
      </c>
      <c r="H2476" t="s">
        <v>6702</v>
      </c>
    </row>
    <row r="2477" spans="2:8" x14ac:dyDescent="0.25">
      <c r="B2477" t="s">
        <v>6704</v>
      </c>
      <c r="C2477" t="s">
        <v>6696</v>
      </c>
      <c r="D2477" t="s">
        <v>6705</v>
      </c>
      <c r="E2477" t="s">
        <v>6705</v>
      </c>
      <c r="H2477" t="s">
        <v>6704</v>
      </c>
    </row>
    <row r="2478" spans="2:8" x14ac:dyDescent="0.25">
      <c r="B2478" t="s">
        <v>6706</v>
      </c>
      <c r="C2478" t="s">
        <v>6696</v>
      </c>
      <c r="D2478" t="s">
        <v>6707</v>
      </c>
      <c r="E2478" t="s">
        <v>6707</v>
      </c>
      <c r="H2478" t="s">
        <v>6706</v>
      </c>
    </row>
    <row r="2479" spans="2:8" x14ac:dyDescent="0.25">
      <c r="B2479" t="s">
        <v>6708</v>
      </c>
      <c r="C2479" t="s">
        <v>6709</v>
      </c>
      <c r="D2479" t="s">
        <v>6710</v>
      </c>
      <c r="E2479" t="s">
        <v>6710</v>
      </c>
      <c r="H2479" t="s">
        <v>6708</v>
      </c>
    </row>
    <row r="2480" spans="2:8" x14ac:dyDescent="0.25">
      <c r="B2480" t="s">
        <v>6711</v>
      </c>
      <c r="C2480" t="s">
        <v>6709</v>
      </c>
      <c r="D2480" t="s">
        <v>6712</v>
      </c>
      <c r="E2480" t="s">
        <v>6712</v>
      </c>
      <c r="H2480" t="s">
        <v>6711</v>
      </c>
    </row>
    <row r="2481" spans="2:8" x14ac:dyDescent="0.25">
      <c r="B2481" t="s">
        <v>6713</v>
      </c>
      <c r="C2481" t="s">
        <v>6709</v>
      </c>
      <c r="D2481" t="s">
        <v>6714</v>
      </c>
      <c r="E2481" t="s">
        <v>6714</v>
      </c>
      <c r="H2481" t="s">
        <v>6713</v>
      </c>
    </row>
    <row r="2482" spans="2:8" x14ac:dyDescent="0.25">
      <c r="B2482" t="s">
        <v>6715</v>
      </c>
      <c r="C2482" t="s">
        <v>6709</v>
      </c>
      <c r="D2482" t="s">
        <v>6716</v>
      </c>
      <c r="E2482" t="s">
        <v>6716</v>
      </c>
      <c r="H2482" t="s">
        <v>6715</v>
      </c>
    </row>
    <row r="2483" spans="2:8" x14ac:dyDescent="0.25">
      <c r="B2483" t="s">
        <v>6717</v>
      </c>
      <c r="C2483" t="s">
        <v>6709</v>
      </c>
      <c r="D2483" t="s">
        <v>6718</v>
      </c>
      <c r="E2483" t="s">
        <v>6718</v>
      </c>
      <c r="H2483" t="s">
        <v>6717</v>
      </c>
    </row>
    <row r="2484" spans="2:8" x14ac:dyDescent="0.25">
      <c r="B2484" t="s">
        <v>6719</v>
      </c>
      <c r="C2484" t="s">
        <v>6709</v>
      </c>
      <c r="D2484" t="s">
        <v>6720</v>
      </c>
      <c r="E2484" t="s">
        <v>6720</v>
      </c>
      <c r="H2484" t="s">
        <v>6719</v>
      </c>
    </row>
    <row r="2485" spans="2:8" x14ac:dyDescent="0.25">
      <c r="B2485" t="s">
        <v>6721</v>
      </c>
      <c r="C2485" t="s">
        <v>6722</v>
      </c>
      <c r="D2485" t="s">
        <v>6723</v>
      </c>
      <c r="E2485" t="s">
        <v>6723</v>
      </c>
      <c r="H2485" t="s">
        <v>6721</v>
      </c>
    </row>
    <row r="2486" spans="2:8" x14ac:dyDescent="0.25">
      <c r="B2486" t="s">
        <v>6724</v>
      </c>
      <c r="C2486" t="s">
        <v>6722</v>
      </c>
      <c r="D2486" t="s">
        <v>6725</v>
      </c>
      <c r="E2486" t="s">
        <v>6725</v>
      </c>
      <c r="H2486" t="s">
        <v>6724</v>
      </c>
    </row>
    <row r="2487" spans="2:8" x14ac:dyDescent="0.25">
      <c r="B2487" t="s">
        <v>6726</v>
      </c>
      <c r="C2487" t="s">
        <v>6722</v>
      </c>
      <c r="D2487" t="s">
        <v>6727</v>
      </c>
      <c r="E2487" t="s">
        <v>6727</v>
      </c>
      <c r="H2487" t="s">
        <v>6726</v>
      </c>
    </row>
    <row r="2488" spans="2:8" x14ac:dyDescent="0.25">
      <c r="B2488" t="s">
        <v>6728</v>
      </c>
      <c r="C2488" t="s">
        <v>6722</v>
      </c>
      <c r="D2488" t="s">
        <v>6729</v>
      </c>
      <c r="E2488" t="s">
        <v>6729</v>
      </c>
      <c r="H2488" t="s">
        <v>6728</v>
      </c>
    </row>
    <row r="2489" spans="2:8" x14ac:dyDescent="0.25">
      <c r="B2489" t="s">
        <v>6730</v>
      </c>
      <c r="C2489" t="s">
        <v>6731</v>
      </c>
      <c r="D2489" t="s">
        <v>6732</v>
      </c>
      <c r="E2489" t="s">
        <v>6732</v>
      </c>
      <c r="H2489" t="s">
        <v>6730</v>
      </c>
    </row>
    <row r="2490" spans="2:8" x14ac:dyDescent="0.25">
      <c r="B2490" t="s">
        <v>6733</v>
      </c>
      <c r="C2490" t="s">
        <v>6731</v>
      </c>
      <c r="D2490" t="s">
        <v>6734</v>
      </c>
      <c r="E2490" t="s">
        <v>6734</v>
      </c>
      <c r="H2490" t="s">
        <v>6733</v>
      </c>
    </row>
    <row r="2491" spans="2:8" x14ac:dyDescent="0.25">
      <c r="B2491" t="s">
        <v>6735</v>
      </c>
      <c r="C2491" t="s">
        <v>6731</v>
      </c>
      <c r="D2491" t="s">
        <v>6736</v>
      </c>
      <c r="E2491" t="s">
        <v>6736</v>
      </c>
      <c r="H2491" t="s">
        <v>6735</v>
      </c>
    </row>
    <row r="2492" spans="2:8" x14ac:dyDescent="0.25">
      <c r="B2492" t="s">
        <v>6737</v>
      </c>
      <c r="C2492" t="s">
        <v>6731</v>
      </c>
      <c r="D2492" t="s">
        <v>6738</v>
      </c>
      <c r="E2492" t="s">
        <v>6738</v>
      </c>
      <c r="H2492" t="s">
        <v>6737</v>
      </c>
    </row>
    <row r="2493" spans="2:8" x14ac:dyDescent="0.25">
      <c r="B2493" t="s">
        <v>6739</v>
      </c>
      <c r="C2493" t="s">
        <v>6740</v>
      </c>
      <c r="D2493" t="s">
        <v>6741</v>
      </c>
      <c r="E2493" t="s">
        <v>6741</v>
      </c>
      <c r="H2493" t="s">
        <v>6739</v>
      </c>
    </row>
    <row r="2494" spans="2:8" x14ac:dyDescent="0.25">
      <c r="B2494" t="s">
        <v>6742</v>
      </c>
      <c r="C2494" t="s">
        <v>6740</v>
      </c>
      <c r="D2494" t="s">
        <v>6743</v>
      </c>
      <c r="E2494" t="s">
        <v>6743</v>
      </c>
      <c r="H2494" t="s">
        <v>6742</v>
      </c>
    </row>
    <row r="2495" spans="2:8" x14ac:dyDescent="0.25">
      <c r="B2495" t="s">
        <v>6744</v>
      </c>
      <c r="C2495" t="s">
        <v>6745</v>
      </c>
      <c r="D2495" t="s">
        <v>6746</v>
      </c>
      <c r="E2495" t="s">
        <v>6746</v>
      </c>
      <c r="H2495" t="s">
        <v>6744</v>
      </c>
    </row>
    <row r="2496" spans="2:8" x14ac:dyDescent="0.25">
      <c r="B2496" t="s">
        <v>6747</v>
      </c>
      <c r="C2496" t="s">
        <v>6748</v>
      </c>
      <c r="D2496" t="s">
        <v>6749</v>
      </c>
      <c r="E2496" t="s">
        <v>6749</v>
      </c>
      <c r="H2496" t="s">
        <v>6747</v>
      </c>
    </row>
    <row r="2497" spans="2:8" x14ac:dyDescent="0.25">
      <c r="B2497" t="s">
        <v>6750</v>
      </c>
      <c r="C2497" t="s">
        <v>6751</v>
      </c>
      <c r="D2497" t="s">
        <v>6752</v>
      </c>
      <c r="E2497" t="s">
        <v>6752</v>
      </c>
      <c r="H2497" t="s">
        <v>6750</v>
      </c>
    </row>
    <row r="2498" spans="2:8" x14ac:dyDescent="0.25">
      <c r="B2498" t="s">
        <v>6753</v>
      </c>
      <c r="C2498" t="s">
        <v>6754</v>
      </c>
      <c r="D2498" t="s">
        <v>6755</v>
      </c>
      <c r="E2498" t="s">
        <v>6755</v>
      </c>
      <c r="H2498" t="s">
        <v>6753</v>
      </c>
    </row>
    <row r="2499" spans="2:8" x14ac:dyDescent="0.25">
      <c r="B2499" t="s">
        <v>6756</v>
      </c>
      <c r="C2499" t="s">
        <v>6757</v>
      </c>
      <c r="D2499" t="s">
        <v>6758</v>
      </c>
      <c r="E2499" t="s">
        <v>6758</v>
      </c>
      <c r="H2499" t="s">
        <v>6756</v>
      </c>
    </row>
    <row r="2500" spans="2:8" x14ac:dyDescent="0.25">
      <c r="B2500" t="s">
        <v>6759</v>
      </c>
      <c r="C2500" t="s">
        <v>6760</v>
      </c>
      <c r="D2500" t="s">
        <v>6761</v>
      </c>
      <c r="E2500" t="s">
        <v>6761</v>
      </c>
      <c r="H2500" t="s">
        <v>6759</v>
      </c>
    </row>
    <row r="2501" spans="2:8" x14ac:dyDescent="0.25">
      <c r="B2501" t="s">
        <v>6762</v>
      </c>
      <c r="C2501" t="s">
        <v>6763</v>
      </c>
      <c r="D2501" t="s">
        <v>6764</v>
      </c>
      <c r="E2501" t="s">
        <v>6764</v>
      </c>
      <c r="H2501" t="s">
        <v>6762</v>
      </c>
    </row>
    <row r="2502" spans="2:8" x14ac:dyDescent="0.25">
      <c r="B2502" t="s">
        <v>6765</v>
      </c>
      <c r="C2502" t="s">
        <v>6766</v>
      </c>
      <c r="D2502" t="s">
        <v>6767</v>
      </c>
      <c r="E2502" t="s">
        <v>6767</v>
      </c>
      <c r="H2502" t="s">
        <v>6765</v>
      </c>
    </row>
    <row r="2503" spans="2:8" x14ac:dyDescent="0.25">
      <c r="B2503" t="s">
        <v>6768</v>
      </c>
      <c r="C2503" t="s">
        <v>6769</v>
      </c>
      <c r="D2503" t="s">
        <v>6770</v>
      </c>
      <c r="E2503" t="s">
        <v>6770</v>
      </c>
      <c r="H2503" t="s">
        <v>6768</v>
      </c>
    </row>
    <row r="2504" spans="2:8" x14ac:dyDescent="0.25">
      <c r="B2504" t="s">
        <v>6771</v>
      </c>
      <c r="C2504" t="s">
        <v>6772</v>
      </c>
      <c r="D2504" t="s">
        <v>6773</v>
      </c>
      <c r="E2504" t="s">
        <v>6773</v>
      </c>
      <c r="H2504" t="s">
        <v>6771</v>
      </c>
    </row>
    <row r="2505" spans="2:8" x14ac:dyDescent="0.25">
      <c r="B2505" t="s">
        <v>6774</v>
      </c>
      <c r="C2505" t="s">
        <v>6775</v>
      </c>
      <c r="D2505" t="s">
        <v>6776</v>
      </c>
      <c r="E2505" t="s">
        <v>6776</v>
      </c>
      <c r="H2505" t="s">
        <v>6774</v>
      </c>
    </row>
    <row r="2506" spans="2:8" x14ac:dyDescent="0.25">
      <c r="B2506" t="s">
        <v>6777</v>
      </c>
      <c r="C2506" t="s">
        <v>6778</v>
      </c>
      <c r="D2506" t="s">
        <v>6779</v>
      </c>
      <c r="E2506" t="s">
        <v>6779</v>
      </c>
      <c r="H2506" t="s">
        <v>6777</v>
      </c>
    </row>
    <row r="2507" spans="2:8" x14ac:dyDescent="0.25">
      <c r="B2507" t="s">
        <v>6780</v>
      </c>
      <c r="C2507" t="s">
        <v>6781</v>
      </c>
      <c r="D2507" t="s">
        <v>6782</v>
      </c>
      <c r="E2507" t="s">
        <v>6782</v>
      </c>
      <c r="H2507" t="s">
        <v>6780</v>
      </c>
    </row>
    <row r="2508" spans="2:8" x14ac:dyDescent="0.25">
      <c r="B2508" t="s">
        <v>6783</v>
      </c>
      <c r="C2508" t="s">
        <v>6784</v>
      </c>
      <c r="D2508" t="s">
        <v>6785</v>
      </c>
      <c r="E2508" t="s">
        <v>6785</v>
      </c>
      <c r="H2508" t="s">
        <v>6783</v>
      </c>
    </row>
    <row r="2509" spans="2:8" x14ac:dyDescent="0.25">
      <c r="B2509" t="s">
        <v>6786</v>
      </c>
      <c r="C2509" t="s">
        <v>6787</v>
      </c>
      <c r="D2509" t="s">
        <v>6788</v>
      </c>
      <c r="E2509" t="s">
        <v>6788</v>
      </c>
      <c r="H2509" t="s">
        <v>6786</v>
      </c>
    </row>
    <row r="2510" spans="2:8" x14ac:dyDescent="0.25">
      <c r="B2510" t="s">
        <v>6789</v>
      </c>
      <c r="C2510" t="s">
        <v>6790</v>
      </c>
      <c r="D2510" t="s">
        <v>6791</v>
      </c>
      <c r="E2510" t="s">
        <v>6791</v>
      </c>
      <c r="H2510" t="s">
        <v>6789</v>
      </c>
    </row>
    <row r="2511" spans="2:8" x14ac:dyDescent="0.25">
      <c r="B2511" t="s">
        <v>6792</v>
      </c>
      <c r="C2511" t="s">
        <v>6793</v>
      </c>
      <c r="D2511" t="s">
        <v>6794</v>
      </c>
      <c r="E2511" t="s">
        <v>6794</v>
      </c>
      <c r="H2511" t="s">
        <v>6792</v>
      </c>
    </row>
    <row r="2512" spans="2:8" x14ac:dyDescent="0.25">
      <c r="B2512" t="s">
        <v>6795</v>
      </c>
      <c r="C2512" t="s">
        <v>6790</v>
      </c>
      <c r="D2512" t="s">
        <v>6796</v>
      </c>
      <c r="E2512" t="s">
        <v>6796</v>
      </c>
      <c r="H2512" t="s">
        <v>6795</v>
      </c>
    </row>
    <row r="2513" spans="2:8" x14ac:dyDescent="0.25">
      <c r="B2513" t="s">
        <v>6797</v>
      </c>
      <c r="C2513" t="s">
        <v>6793</v>
      </c>
      <c r="D2513" t="s">
        <v>6798</v>
      </c>
      <c r="E2513" t="s">
        <v>6798</v>
      </c>
      <c r="H2513" t="s">
        <v>6797</v>
      </c>
    </row>
    <row r="2514" spans="2:8" x14ac:dyDescent="0.25">
      <c r="B2514" t="s">
        <v>6799</v>
      </c>
      <c r="C2514" t="s">
        <v>6800</v>
      </c>
      <c r="D2514" t="s">
        <v>6801</v>
      </c>
      <c r="E2514" t="s">
        <v>6801</v>
      </c>
      <c r="H2514" t="s">
        <v>6799</v>
      </c>
    </row>
    <row r="2515" spans="2:8" x14ac:dyDescent="0.25">
      <c r="B2515" t="s">
        <v>6802</v>
      </c>
      <c r="C2515" t="s">
        <v>6803</v>
      </c>
      <c r="D2515" t="s">
        <v>6804</v>
      </c>
      <c r="E2515" t="s">
        <v>6804</v>
      </c>
      <c r="H2515" t="s">
        <v>6802</v>
      </c>
    </row>
    <row r="2516" spans="2:8" x14ac:dyDescent="0.25">
      <c r="B2516" t="s">
        <v>6805</v>
      </c>
      <c r="C2516" t="s">
        <v>6806</v>
      </c>
      <c r="D2516" t="s">
        <v>6807</v>
      </c>
      <c r="E2516" t="s">
        <v>6807</v>
      </c>
      <c r="H2516" t="s">
        <v>6805</v>
      </c>
    </row>
    <row r="2517" spans="2:8" x14ac:dyDescent="0.25">
      <c r="B2517" t="s">
        <v>6808</v>
      </c>
      <c r="C2517" t="s">
        <v>6809</v>
      </c>
      <c r="D2517" t="s">
        <v>6810</v>
      </c>
      <c r="E2517" t="s">
        <v>6810</v>
      </c>
      <c r="H2517" t="s">
        <v>6808</v>
      </c>
    </row>
    <row r="2518" spans="2:8" x14ac:dyDescent="0.25">
      <c r="B2518" t="s">
        <v>6811</v>
      </c>
      <c r="C2518" t="s">
        <v>6812</v>
      </c>
      <c r="D2518" t="s">
        <v>6813</v>
      </c>
      <c r="E2518" t="s">
        <v>6813</v>
      </c>
      <c r="H2518" t="s">
        <v>6811</v>
      </c>
    </row>
    <row r="2519" spans="2:8" x14ac:dyDescent="0.25">
      <c r="B2519" t="s">
        <v>6814</v>
      </c>
      <c r="C2519" t="s">
        <v>6815</v>
      </c>
      <c r="D2519" t="s">
        <v>6816</v>
      </c>
      <c r="E2519" t="s">
        <v>6816</v>
      </c>
      <c r="H2519" t="s">
        <v>6814</v>
      </c>
    </row>
    <row r="2520" spans="2:8" x14ac:dyDescent="0.25">
      <c r="B2520" t="s">
        <v>6817</v>
      </c>
      <c r="C2520" t="s">
        <v>6818</v>
      </c>
      <c r="D2520" t="s">
        <v>6819</v>
      </c>
      <c r="E2520" t="s">
        <v>6819</v>
      </c>
      <c r="H2520" t="s">
        <v>6817</v>
      </c>
    </row>
    <row r="2521" spans="2:8" x14ac:dyDescent="0.25">
      <c r="B2521" t="s">
        <v>6820</v>
      </c>
      <c r="C2521" t="s">
        <v>6821</v>
      </c>
      <c r="D2521" t="s">
        <v>6822</v>
      </c>
      <c r="E2521" t="s">
        <v>6822</v>
      </c>
      <c r="H2521" t="s">
        <v>6820</v>
      </c>
    </row>
    <row r="2522" spans="2:8" x14ac:dyDescent="0.25">
      <c r="B2522" t="s">
        <v>6823</v>
      </c>
      <c r="C2522" t="s">
        <v>6824</v>
      </c>
      <c r="D2522" t="s">
        <v>6825</v>
      </c>
      <c r="E2522" t="s">
        <v>6825</v>
      </c>
      <c r="H2522" t="s">
        <v>6823</v>
      </c>
    </row>
    <row r="2523" spans="2:8" x14ac:dyDescent="0.25">
      <c r="B2523" t="s">
        <v>6826</v>
      </c>
      <c r="C2523" t="s">
        <v>6827</v>
      </c>
      <c r="D2523" t="s">
        <v>6828</v>
      </c>
      <c r="E2523" t="s">
        <v>6828</v>
      </c>
      <c r="H2523" t="s">
        <v>6826</v>
      </c>
    </row>
    <row r="2524" spans="2:8" x14ac:dyDescent="0.25">
      <c r="B2524" t="s">
        <v>6829</v>
      </c>
      <c r="C2524" t="s">
        <v>6830</v>
      </c>
      <c r="D2524" t="s">
        <v>6831</v>
      </c>
      <c r="E2524" t="s">
        <v>6831</v>
      </c>
      <c r="H2524" t="s">
        <v>6829</v>
      </c>
    </row>
    <row r="2525" spans="2:8" x14ac:dyDescent="0.25">
      <c r="B2525" t="s">
        <v>6832</v>
      </c>
      <c r="C2525" t="s">
        <v>6833</v>
      </c>
      <c r="D2525" t="s">
        <v>6834</v>
      </c>
      <c r="E2525" t="s">
        <v>6834</v>
      </c>
      <c r="H2525" t="s">
        <v>6832</v>
      </c>
    </row>
    <row r="2526" spans="2:8" x14ac:dyDescent="0.25">
      <c r="B2526" t="s">
        <v>6835</v>
      </c>
      <c r="C2526" t="s">
        <v>6836</v>
      </c>
      <c r="D2526" t="s">
        <v>6837</v>
      </c>
      <c r="E2526" t="s">
        <v>6837</v>
      </c>
      <c r="H2526" t="s">
        <v>6835</v>
      </c>
    </row>
    <row r="2527" spans="2:8" x14ac:dyDescent="0.25">
      <c r="B2527" t="s">
        <v>6838</v>
      </c>
      <c r="C2527" t="s">
        <v>6836</v>
      </c>
      <c r="D2527" t="s">
        <v>6839</v>
      </c>
      <c r="E2527" t="s">
        <v>6839</v>
      </c>
      <c r="H2527" t="s">
        <v>6838</v>
      </c>
    </row>
    <row r="2528" spans="2:8" x14ac:dyDescent="0.25">
      <c r="B2528" t="s">
        <v>6840</v>
      </c>
      <c r="C2528" t="s">
        <v>6841</v>
      </c>
      <c r="D2528" t="s">
        <v>6842</v>
      </c>
      <c r="E2528" t="s">
        <v>6842</v>
      </c>
      <c r="H2528" t="s">
        <v>6840</v>
      </c>
    </row>
    <row r="2529" spans="2:8" x14ac:dyDescent="0.25">
      <c r="B2529" t="s">
        <v>6843</v>
      </c>
      <c r="C2529" t="s">
        <v>6841</v>
      </c>
      <c r="D2529" t="s">
        <v>6844</v>
      </c>
      <c r="E2529" t="s">
        <v>6844</v>
      </c>
      <c r="H2529" t="s">
        <v>6843</v>
      </c>
    </row>
    <row r="2530" spans="2:8" x14ac:dyDescent="0.25">
      <c r="B2530" t="s">
        <v>6845</v>
      </c>
      <c r="C2530" t="s">
        <v>6841</v>
      </c>
      <c r="D2530" t="s">
        <v>6846</v>
      </c>
      <c r="E2530" t="s">
        <v>6846</v>
      </c>
      <c r="H2530" t="s">
        <v>6845</v>
      </c>
    </row>
    <row r="2531" spans="2:8" x14ac:dyDescent="0.25">
      <c r="B2531" t="s">
        <v>6847</v>
      </c>
      <c r="C2531" t="s">
        <v>6848</v>
      </c>
      <c r="D2531" t="s">
        <v>6849</v>
      </c>
      <c r="E2531" t="s">
        <v>6849</v>
      </c>
      <c r="H2531" t="s">
        <v>6847</v>
      </c>
    </row>
    <row r="2532" spans="2:8" x14ac:dyDescent="0.25">
      <c r="B2532" t="s">
        <v>6850</v>
      </c>
      <c r="C2532" t="s">
        <v>6848</v>
      </c>
      <c r="D2532" t="s">
        <v>6851</v>
      </c>
      <c r="E2532" t="s">
        <v>6851</v>
      </c>
      <c r="H2532" t="s">
        <v>6850</v>
      </c>
    </row>
    <row r="2533" spans="2:8" x14ac:dyDescent="0.25">
      <c r="B2533" t="s">
        <v>6852</v>
      </c>
      <c r="C2533" t="s">
        <v>6848</v>
      </c>
      <c r="D2533" t="s">
        <v>6853</v>
      </c>
      <c r="E2533" t="s">
        <v>6853</v>
      </c>
      <c r="H2533" t="s">
        <v>6852</v>
      </c>
    </row>
    <row r="2534" spans="2:8" x14ac:dyDescent="0.25">
      <c r="B2534" t="s">
        <v>6854</v>
      </c>
      <c r="C2534" t="s">
        <v>6855</v>
      </c>
      <c r="D2534" t="s">
        <v>6856</v>
      </c>
      <c r="E2534" t="s">
        <v>6856</v>
      </c>
      <c r="H2534" t="s">
        <v>6854</v>
      </c>
    </row>
    <row r="2535" spans="2:8" x14ac:dyDescent="0.25">
      <c r="B2535" t="s">
        <v>6857</v>
      </c>
      <c r="C2535" t="s">
        <v>6858</v>
      </c>
      <c r="D2535" t="s">
        <v>6859</v>
      </c>
      <c r="E2535" t="s">
        <v>6859</v>
      </c>
      <c r="H2535" t="s">
        <v>6857</v>
      </c>
    </row>
    <row r="2536" spans="2:8" x14ac:dyDescent="0.25">
      <c r="B2536" t="s">
        <v>6860</v>
      </c>
      <c r="C2536" t="s">
        <v>6861</v>
      </c>
      <c r="D2536" t="s">
        <v>6862</v>
      </c>
      <c r="E2536" t="s">
        <v>6862</v>
      </c>
      <c r="H2536" t="s">
        <v>6860</v>
      </c>
    </row>
    <row r="2537" spans="2:8" x14ac:dyDescent="0.25">
      <c r="B2537" t="s">
        <v>6863</v>
      </c>
      <c r="C2537" t="s">
        <v>6864</v>
      </c>
      <c r="D2537" t="s">
        <v>6865</v>
      </c>
      <c r="E2537" t="s">
        <v>6865</v>
      </c>
      <c r="H2537" t="s">
        <v>6863</v>
      </c>
    </row>
    <row r="2538" spans="2:8" x14ac:dyDescent="0.25">
      <c r="B2538" t="s">
        <v>6866</v>
      </c>
      <c r="C2538" t="s">
        <v>6867</v>
      </c>
      <c r="D2538" t="s">
        <v>6868</v>
      </c>
      <c r="E2538" t="s">
        <v>6868</v>
      </c>
      <c r="H2538" t="s">
        <v>6866</v>
      </c>
    </row>
    <row r="2539" spans="2:8" x14ac:dyDescent="0.25">
      <c r="B2539" t="s">
        <v>6869</v>
      </c>
      <c r="C2539" t="s">
        <v>6870</v>
      </c>
      <c r="D2539" t="s">
        <v>6871</v>
      </c>
      <c r="E2539" t="s">
        <v>6871</v>
      </c>
      <c r="H2539" t="s">
        <v>6869</v>
      </c>
    </row>
    <row r="2540" spans="2:8" x14ac:dyDescent="0.25">
      <c r="B2540" t="s">
        <v>6872</v>
      </c>
      <c r="C2540" t="s">
        <v>6873</v>
      </c>
      <c r="D2540" t="s">
        <v>6874</v>
      </c>
      <c r="E2540" t="s">
        <v>6874</v>
      </c>
      <c r="H2540" t="s">
        <v>6872</v>
      </c>
    </row>
    <row r="2541" spans="2:8" x14ac:dyDescent="0.25">
      <c r="B2541" t="s">
        <v>6875</v>
      </c>
      <c r="C2541" t="s">
        <v>6876</v>
      </c>
      <c r="D2541" t="s">
        <v>6877</v>
      </c>
      <c r="E2541" t="s">
        <v>6877</v>
      </c>
      <c r="H2541" t="s">
        <v>6875</v>
      </c>
    </row>
    <row r="2542" spans="2:8" x14ac:dyDescent="0.25">
      <c r="B2542" t="s">
        <v>6878</v>
      </c>
      <c r="C2542" t="s">
        <v>6879</v>
      </c>
      <c r="D2542" t="s">
        <v>6880</v>
      </c>
      <c r="E2542" t="s">
        <v>6880</v>
      </c>
      <c r="H2542" t="s">
        <v>6878</v>
      </c>
    </row>
    <row r="2543" spans="2:8" x14ac:dyDescent="0.25">
      <c r="B2543" t="s">
        <v>6881</v>
      </c>
      <c r="C2543" t="s">
        <v>6882</v>
      </c>
      <c r="D2543" t="s">
        <v>6883</v>
      </c>
      <c r="E2543" t="s">
        <v>6883</v>
      </c>
      <c r="H2543" t="s">
        <v>6881</v>
      </c>
    </row>
    <row r="2544" spans="2:8" x14ac:dyDescent="0.25">
      <c r="B2544" t="s">
        <v>6884</v>
      </c>
      <c r="C2544" t="s">
        <v>6885</v>
      </c>
      <c r="D2544" t="s">
        <v>6886</v>
      </c>
      <c r="E2544" t="s">
        <v>6886</v>
      </c>
      <c r="H2544" t="s">
        <v>6884</v>
      </c>
    </row>
    <row r="2545" spans="2:8" x14ac:dyDescent="0.25">
      <c r="B2545" t="s">
        <v>6887</v>
      </c>
      <c r="C2545" t="s">
        <v>6885</v>
      </c>
      <c r="D2545" t="s">
        <v>6888</v>
      </c>
      <c r="E2545" t="s">
        <v>6888</v>
      </c>
      <c r="H2545" t="s">
        <v>6887</v>
      </c>
    </row>
    <row r="2546" spans="2:8" x14ac:dyDescent="0.25">
      <c r="B2546" t="s">
        <v>6889</v>
      </c>
      <c r="C2546" t="s">
        <v>6890</v>
      </c>
      <c r="D2546" t="s">
        <v>6891</v>
      </c>
      <c r="E2546" t="s">
        <v>6891</v>
      </c>
      <c r="H2546" t="s">
        <v>6889</v>
      </c>
    </row>
    <row r="2547" spans="2:8" x14ac:dyDescent="0.25">
      <c r="B2547" t="s">
        <v>6892</v>
      </c>
      <c r="C2547" t="s">
        <v>6890</v>
      </c>
      <c r="D2547" t="s">
        <v>6893</v>
      </c>
      <c r="E2547" t="s">
        <v>6893</v>
      </c>
      <c r="H2547" t="s">
        <v>6892</v>
      </c>
    </row>
    <row r="2548" spans="2:8" x14ac:dyDescent="0.25">
      <c r="B2548" t="s">
        <v>6894</v>
      </c>
      <c r="C2548" t="s">
        <v>6890</v>
      </c>
      <c r="D2548" t="s">
        <v>6895</v>
      </c>
      <c r="E2548" t="s">
        <v>6895</v>
      </c>
      <c r="H2548" t="s">
        <v>6894</v>
      </c>
    </row>
    <row r="2549" spans="2:8" x14ac:dyDescent="0.25">
      <c r="B2549" t="s">
        <v>6896</v>
      </c>
      <c r="C2549" t="s">
        <v>6897</v>
      </c>
      <c r="D2549" t="s">
        <v>6898</v>
      </c>
      <c r="E2549" t="s">
        <v>6898</v>
      </c>
      <c r="H2549" t="s">
        <v>6896</v>
      </c>
    </row>
    <row r="2550" spans="2:8" x14ac:dyDescent="0.25">
      <c r="B2550" t="s">
        <v>6899</v>
      </c>
      <c r="C2550" t="s">
        <v>6897</v>
      </c>
      <c r="D2550" t="s">
        <v>6900</v>
      </c>
      <c r="E2550" t="s">
        <v>6900</v>
      </c>
      <c r="H2550" t="s">
        <v>6899</v>
      </c>
    </row>
    <row r="2551" spans="2:8" x14ac:dyDescent="0.25">
      <c r="B2551" t="s">
        <v>6901</v>
      </c>
      <c r="C2551" t="s">
        <v>6897</v>
      </c>
      <c r="D2551" t="s">
        <v>6902</v>
      </c>
      <c r="E2551" t="s">
        <v>6902</v>
      </c>
      <c r="H2551" t="s">
        <v>6901</v>
      </c>
    </row>
    <row r="2552" spans="2:8" x14ac:dyDescent="0.25">
      <c r="B2552" t="s">
        <v>6903</v>
      </c>
      <c r="C2552" t="s">
        <v>6904</v>
      </c>
      <c r="D2552" t="s">
        <v>6905</v>
      </c>
      <c r="E2552" t="s">
        <v>6905</v>
      </c>
      <c r="H2552" t="s">
        <v>6903</v>
      </c>
    </row>
    <row r="2553" spans="2:8" x14ac:dyDescent="0.25">
      <c r="B2553" t="s">
        <v>6906</v>
      </c>
      <c r="C2553" t="s">
        <v>6904</v>
      </c>
      <c r="D2553" t="s">
        <v>6907</v>
      </c>
      <c r="E2553" t="s">
        <v>6907</v>
      </c>
      <c r="H2553" t="s">
        <v>6906</v>
      </c>
    </row>
    <row r="2554" spans="2:8" x14ac:dyDescent="0.25">
      <c r="B2554" t="s">
        <v>6908</v>
      </c>
      <c r="C2554" t="s">
        <v>6904</v>
      </c>
      <c r="D2554" t="s">
        <v>6909</v>
      </c>
      <c r="E2554" t="s">
        <v>6909</v>
      </c>
      <c r="H2554" t="s">
        <v>6908</v>
      </c>
    </row>
    <row r="2555" spans="2:8" x14ac:dyDescent="0.25">
      <c r="B2555" t="s">
        <v>6910</v>
      </c>
      <c r="C2555" t="s">
        <v>6911</v>
      </c>
      <c r="D2555" t="s">
        <v>6912</v>
      </c>
      <c r="E2555" t="s">
        <v>6912</v>
      </c>
      <c r="H2555" t="s">
        <v>6910</v>
      </c>
    </row>
    <row r="2556" spans="2:8" x14ac:dyDescent="0.25">
      <c r="B2556" t="s">
        <v>6913</v>
      </c>
      <c r="C2556" t="s">
        <v>6911</v>
      </c>
      <c r="D2556" t="s">
        <v>6914</v>
      </c>
      <c r="E2556" t="s">
        <v>6914</v>
      </c>
      <c r="H2556" t="s">
        <v>6913</v>
      </c>
    </row>
    <row r="2557" spans="2:8" x14ac:dyDescent="0.25">
      <c r="B2557" t="s">
        <v>6915</v>
      </c>
      <c r="C2557" t="s">
        <v>6911</v>
      </c>
      <c r="D2557" t="s">
        <v>6916</v>
      </c>
      <c r="E2557" t="s">
        <v>6916</v>
      </c>
      <c r="H2557" t="s">
        <v>6915</v>
      </c>
    </row>
    <row r="2558" spans="2:8" x14ac:dyDescent="0.25">
      <c r="B2558" t="s">
        <v>6917</v>
      </c>
      <c r="C2558" t="s">
        <v>6911</v>
      </c>
      <c r="D2558" t="s">
        <v>6918</v>
      </c>
      <c r="E2558" t="s">
        <v>6918</v>
      </c>
      <c r="H2558" t="s">
        <v>6917</v>
      </c>
    </row>
    <row r="2559" spans="2:8" x14ac:dyDescent="0.25">
      <c r="B2559" t="s">
        <v>6919</v>
      </c>
      <c r="C2559" t="s">
        <v>6911</v>
      </c>
      <c r="D2559" t="s">
        <v>6920</v>
      </c>
      <c r="E2559" t="s">
        <v>6920</v>
      </c>
      <c r="H2559" t="s">
        <v>6919</v>
      </c>
    </row>
    <row r="2560" spans="2:8" x14ac:dyDescent="0.25">
      <c r="B2560" t="s">
        <v>6921</v>
      </c>
      <c r="C2560" t="s">
        <v>6911</v>
      </c>
      <c r="D2560" t="s">
        <v>6922</v>
      </c>
      <c r="E2560" t="s">
        <v>6922</v>
      </c>
      <c r="H2560" t="s">
        <v>6921</v>
      </c>
    </row>
    <row r="2561" spans="2:8" x14ac:dyDescent="0.25">
      <c r="B2561" t="s">
        <v>6923</v>
      </c>
      <c r="C2561" t="s">
        <v>6924</v>
      </c>
      <c r="D2561" t="s">
        <v>6925</v>
      </c>
      <c r="E2561" t="s">
        <v>6925</v>
      </c>
      <c r="H2561" t="s">
        <v>6923</v>
      </c>
    </row>
    <row r="2562" spans="2:8" x14ac:dyDescent="0.25">
      <c r="B2562" t="s">
        <v>6926</v>
      </c>
      <c r="C2562" t="s">
        <v>6924</v>
      </c>
      <c r="D2562" t="s">
        <v>6927</v>
      </c>
      <c r="E2562" t="s">
        <v>6927</v>
      </c>
      <c r="H2562" t="s">
        <v>6926</v>
      </c>
    </row>
    <row r="2563" spans="2:8" x14ac:dyDescent="0.25">
      <c r="B2563" t="s">
        <v>6928</v>
      </c>
      <c r="C2563" t="s">
        <v>6924</v>
      </c>
      <c r="D2563" t="s">
        <v>6929</v>
      </c>
      <c r="E2563" t="s">
        <v>6929</v>
      </c>
      <c r="H2563" t="s">
        <v>6928</v>
      </c>
    </row>
    <row r="2564" spans="2:8" x14ac:dyDescent="0.25">
      <c r="B2564" t="s">
        <v>6930</v>
      </c>
      <c r="C2564" t="s">
        <v>6924</v>
      </c>
      <c r="D2564" t="s">
        <v>6931</v>
      </c>
      <c r="E2564" t="s">
        <v>6931</v>
      </c>
      <c r="H2564" t="s">
        <v>6930</v>
      </c>
    </row>
    <row r="2565" spans="2:8" x14ac:dyDescent="0.25">
      <c r="B2565" t="s">
        <v>6932</v>
      </c>
      <c r="C2565" t="s">
        <v>6924</v>
      </c>
      <c r="D2565" t="s">
        <v>6933</v>
      </c>
      <c r="E2565" t="s">
        <v>6933</v>
      </c>
      <c r="H2565" t="s">
        <v>6932</v>
      </c>
    </row>
    <row r="2566" spans="2:8" x14ac:dyDescent="0.25">
      <c r="B2566" t="s">
        <v>6934</v>
      </c>
      <c r="C2566" t="s">
        <v>6924</v>
      </c>
      <c r="D2566" t="s">
        <v>6935</v>
      </c>
      <c r="E2566" t="s">
        <v>6935</v>
      </c>
      <c r="H2566" t="s">
        <v>6934</v>
      </c>
    </row>
    <row r="2567" spans="2:8" x14ac:dyDescent="0.25">
      <c r="B2567" t="s">
        <v>6949</v>
      </c>
      <c r="C2567" t="s">
        <v>6950</v>
      </c>
      <c r="D2567" t="s">
        <v>6951</v>
      </c>
      <c r="E2567" t="s">
        <v>6951</v>
      </c>
      <c r="H2567" t="s">
        <v>6949</v>
      </c>
    </row>
    <row r="2568" spans="2:8" x14ac:dyDescent="0.25">
      <c r="B2568" t="s">
        <v>6952</v>
      </c>
      <c r="C2568" t="s">
        <v>6950</v>
      </c>
      <c r="D2568" t="s">
        <v>6953</v>
      </c>
      <c r="E2568" t="s">
        <v>6953</v>
      </c>
      <c r="H2568" t="s">
        <v>6952</v>
      </c>
    </row>
    <row r="2569" spans="2:8" x14ac:dyDescent="0.25">
      <c r="B2569" t="s">
        <v>6954</v>
      </c>
      <c r="C2569" t="s">
        <v>6955</v>
      </c>
      <c r="D2569" t="s">
        <v>6956</v>
      </c>
      <c r="E2569" t="s">
        <v>6956</v>
      </c>
      <c r="H2569" t="s">
        <v>6954</v>
      </c>
    </row>
    <row r="2570" spans="2:8" x14ac:dyDescent="0.25">
      <c r="B2570" t="s">
        <v>6957</v>
      </c>
      <c r="C2570" t="s">
        <v>6955</v>
      </c>
      <c r="D2570" t="s">
        <v>6958</v>
      </c>
      <c r="E2570" t="s">
        <v>6958</v>
      </c>
      <c r="H2570" t="s">
        <v>6957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00"/>
  <sheetViews>
    <sheetView topLeftCell="A1048548" workbookViewId="0">
      <selection activeCell="I2" sqref="I2:I954"/>
    </sheetView>
  </sheetViews>
  <sheetFormatPr defaultRowHeight="18.75" customHeight="1" x14ac:dyDescent="0.25"/>
  <cols>
    <col min="1" max="3" width="29.42578125" bestFit="1" customWidth="1"/>
    <col min="4" max="4" width="50.5703125" bestFit="1" customWidth="1"/>
    <col min="5" max="5" width="25.28515625" customWidth="1"/>
    <col min="6" max="6" width="21.42578125" bestFit="1" customWidth="1"/>
    <col min="7" max="7" width="22.5703125" bestFit="1" customWidth="1"/>
    <col min="8" max="8" width="20.85546875" bestFit="1" customWidth="1"/>
    <col min="9" max="9" width="10.85546875" bestFit="1" customWidth="1"/>
  </cols>
  <sheetData>
    <row r="1" spans="1:10" s="24" customFormat="1" ht="15" x14ac:dyDescent="0.25">
      <c r="A1" s="38" t="s">
        <v>39</v>
      </c>
      <c r="B1" s="38" t="s">
        <v>40</v>
      </c>
      <c r="C1" s="38" t="s">
        <v>41</v>
      </c>
      <c r="D1" s="38" t="s">
        <v>42</v>
      </c>
      <c r="E1" s="38" t="s">
        <v>43</v>
      </c>
      <c r="F1" s="38" t="s">
        <v>44</v>
      </c>
      <c r="G1" s="38" t="s">
        <v>45</v>
      </c>
      <c r="H1" s="38" t="s">
        <v>46</v>
      </c>
      <c r="I1" s="39" t="s">
        <v>47</v>
      </c>
    </row>
    <row r="2" spans="1:10" ht="18.75" customHeight="1" x14ac:dyDescent="0.25">
      <c r="A2" t="s">
        <v>48</v>
      </c>
      <c r="B2" s="40">
        <v>44743</v>
      </c>
      <c r="C2" s="41">
        <v>61959</v>
      </c>
      <c r="D2" s="42" t="s">
        <v>49</v>
      </c>
      <c r="E2" s="43" t="s">
        <v>50</v>
      </c>
      <c r="F2" s="41">
        <v>40013874</v>
      </c>
      <c r="G2" s="43" t="s">
        <v>51</v>
      </c>
      <c r="H2" s="42">
        <v>1</v>
      </c>
      <c r="I2" s="44">
        <v>99.75</v>
      </c>
      <c r="J2" s="48"/>
    </row>
    <row r="3" spans="1:10" ht="18.75" customHeight="1" x14ac:dyDescent="0.25">
      <c r="A3" t="s">
        <v>48</v>
      </c>
      <c r="B3" s="40">
        <v>44743</v>
      </c>
      <c r="C3" s="41">
        <v>61970</v>
      </c>
      <c r="D3" s="42" t="s">
        <v>49</v>
      </c>
      <c r="E3" s="43" t="s">
        <v>50</v>
      </c>
      <c r="F3" s="41">
        <v>40019380</v>
      </c>
      <c r="G3" s="43" t="s">
        <v>52</v>
      </c>
      <c r="H3" s="42">
        <v>1</v>
      </c>
      <c r="I3" s="44">
        <v>749.75</v>
      </c>
      <c r="J3" s="48"/>
    </row>
    <row r="4" spans="1:10" ht="18.75" customHeight="1" x14ac:dyDescent="0.25">
      <c r="A4" t="s">
        <v>48</v>
      </c>
      <c r="B4" s="40">
        <v>44743</v>
      </c>
      <c r="C4" s="41">
        <v>61970</v>
      </c>
      <c r="D4" s="42" t="s">
        <v>49</v>
      </c>
      <c r="E4" s="43" t="s">
        <v>50</v>
      </c>
      <c r="F4" s="41">
        <v>40018589</v>
      </c>
      <c r="G4" s="43" t="s">
        <v>53</v>
      </c>
      <c r="H4" s="42">
        <v>1</v>
      </c>
      <c r="I4" s="44">
        <v>699.75</v>
      </c>
      <c r="J4" s="48"/>
    </row>
    <row r="5" spans="1:10" ht="18.75" customHeight="1" x14ac:dyDescent="0.25">
      <c r="A5" t="s">
        <v>48</v>
      </c>
      <c r="B5" s="40">
        <v>44743</v>
      </c>
      <c r="C5" s="41">
        <v>69011</v>
      </c>
      <c r="D5" s="42" t="s">
        <v>49</v>
      </c>
      <c r="E5" s="43" t="s">
        <v>50</v>
      </c>
      <c r="F5" s="41">
        <v>40016725</v>
      </c>
      <c r="G5" s="43" t="s">
        <v>54</v>
      </c>
      <c r="H5" s="42">
        <v>1</v>
      </c>
      <c r="I5" s="44">
        <v>399.75</v>
      </c>
      <c r="J5" s="48"/>
    </row>
    <row r="6" spans="1:10" ht="18.75" customHeight="1" x14ac:dyDescent="0.25">
      <c r="A6" t="s">
        <v>48</v>
      </c>
      <c r="B6" s="40">
        <v>44743</v>
      </c>
      <c r="C6" s="41">
        <v>69024</v>
      </c>
      <c r="D6" s="42" t="s">
        <v>49</v>
      </c>
      <c r="E6" s="43" t="s">
        <v>50</v>
      </c>
      <c r="F6" s="41">
        <v>40015621</v>
      </c>
      <c r="G6" s="43" t="s">
        <v>55</v>
      </c>
      <c r="H6" s="42">
        <v>1</v>
      </c>
      <c r="I6" s="44">
        <v>499.75</v>
      </c>
      <c r="J6" s="48"/>
    </row>
    <row r="7" spans="1:10" ht="18.75" customHeight="1" x14ac:dyDescent="0.25">
      <c r="A7" t="s">
        <v>48</v>
      </c>
      <c r="B7" s="40">
        <v>44743</v>
      </c>
      <c r="C7" s="41">
        <v>69024</v>
      </c>
      <c r="D7" s="42" t="s">
        <v>49</v>
      </c>
      <c r="E7" s="43" t="s">
        <v>50</v>
      </c>
      <c r="F7" s="41">
        <v>40015622</v>
      </c>
      <c r="G7" s="43" t="s">
        <v>55</v>
      </c>
      <c r="H7" s="42">
        <v>1</v>
      </c>
      <c r="I7" s="44">
        <v>499.75</v>
      </c>
      <c r="J7" s="48"/>
    </row>
    <row r="8" spans="1:10" ht="18.75" customHeight="1" x14ac:dyDescent="0.25">
      <c r="A8" t="s">
        <v>48</v>
      </c>
      <c r="B8" s="40">
        <v>44743</v>
      </c>
      <c r="C8" s="41">
        <v>69183</v>
      </c>
      <c r="D8" s="42" t="s">
        <v>49</v>
      </c>
      <c r="E8" s="43" t="s">
        <v>50</v>
      </c>
      <c r="F8" s="41">
        <v>40013813</v>
      </c>
      <c r="G8" s="43" t="s">
        <v>56</v>
      </c>
      <c r="H8" s="42">
        <v>1</v>
      </c>
      <c r="I8" s="44">
        <v>79.75</v>
      </c>
      <c r="J8" s="48"/>
    </row>
    <row r="9" spans="1:10" ht="18.75" customHeight="1" x14ac:dyDescent="0.25">
      <c r="A9" t="s">
        <v>48</v>
      </c>
      <c r="B9" s="40">
        <v>44743</v>
      </c>
      <c r="C9" s="41">
        <v>69183</v>
      </c>
      <c r="D9" s="42" t="s">
        <v>49</v>
      </c>
      <c r="E9" s="43" t="s">
        <v>50</v>
      </c>
      <c r="F9" s="41">
        <v>40013872</v>
      </c>
      <c r="G9" s="43" t="s">
        <v>57</v>
      </c>
      <c r="H9" s="42">
        <v>1</v>
      </c>
      <c r="I9" s="44">
        <v>99.75</v>
      </c>
      <c r="J9" s="48"/>
    </row>
    <row r="10" spans="1:10" ht="18.75" customHeight="1" x14ac:dyDescent="0.25">
      <c r="A10" t="s">
        <v>48</v>
      </c>
      <c r="B10" s="40">
        <v>44743</v>
      </c>
      <c r="C10" s="41">
        <v>69183</v>
      </c>
      <c r="D10" s="42" t="s">
        <v>49</v>
      </c>
      <c r="E10" s="43" t="s">
        <v>50</v>
      </c>
      <c r="F10" s="41">
        <v>40017868</v>
      </c>
      <c r="G10" s="43" t="s">
        <v>58</v>
      </c>
      <c r="H10" s="42">
        <v>1</v>
      </c>
      <c r="I10" s="44">
        <v>129.75</v>
      </c>
      <c r="J10" s="48"/>
    </row>
    <row r="11" spans="1:10" ht="18.75" customHeight="1" x14ac:dyDescent="0.25">
      <c r="A11" t="s">
        <v>48</v>
      </c>
      <c r="B11" s="40">
        <v>44743</v>
      </c>
      <c r="C11" s="41">
        <v>70717</v>
      </c>
      <c r="D11" s="42" t="s">
        <v>49</v>
      </c>
      <c r="E11" s="43" t="s">
        <v>50</v>
      </c>
      <c r="F11" s="41">
        <v>40019148</v>
      </c>
      <c r="G11" s="43" t="s">
        <v>59</v>
      </c>
      <c r="H11" s="42">
        <v>1</v>
      </c>
      <c r="I11" s="44">
        <v>399.75</v>
      </c>
      <c r="J11" s="48"/>
    </row>
    <row r="12" spans="1:10" ht="18.75" customHeight="1" x14ac:dyDescent="0.25">
      <c r="A12" t="s">
        <v>48</v>
      </c>
      <c r="B12" s="40">
        <v>44744</v>
      </c>
      <c r="C12" s="41">
        <v>69215</v>
      </c>
      <c r="D12" s="42" t="s">
        <v>49</v>
      </c>
      <c r="E12" s="43" t="s">
        <v>50</v>
      </c>
      <c r="F12" s="41">
        <v>40018256</v>
      </c>
      <c r="G12" s="43" t="s">
        <v>60</v>
      </c>
      <c r="H12" s="42">
        <v>1</v>
      </c>
      <c r="I12" s="44">
        <v>1349.7750000000001</v>
      </c>
      <c r="J12" s="48"/>
    </row>
    <row r="13" spans="1:10" ht="18.75" customHeight="1" x14ac:dyDescent="0.25">
      <c r="A13" t="s">
        <v>48</v>
      </c>
      <c r="B13" s="40">
        <v>44744</v>
      </c>
      <c r="C13" s="41">
        <v>52648</v>
      </c>
      <c r="D13" s="42" t="s">
        <v>49</v>
      </c>
      <c r="E13" s="43" t="s">
        <v>50</v>
      </c>
      <c r="F13" s="41">
        <v>40017355</v>
      </c>
      <c r="G13" s="43" t="s">
        <v>61</v>
      </c>
      <c r="H13" s="42">
        <v>1</v>
      </c>
      <c r="I13" s="44">
        <v>152.77500000000001</v>
      </c>
      <c r="J13" s="48"/>
    </row>
    <row r="14" spans="1:10" ht="18.75" customHeight="1" x14ac:dyDescent="0.25">
      <c r="A14" t="s">
        <v>48</v>
      </c>
      <c r="B14" s="40">
        <v>44744</v>
      </c>
      <c r="C14" s="41">
        <v>61990</v>
      </c>
      <c r="D14" s="42" t="s">
        <v>49</v>
      </c>
      <c r="E14" s="43" t="s">
        <v>50</v>
      </c>
      <c r="F14" s="41">
        <v>40020448</v>
      </c>
      <c r="G14" s="43" t="s">
        <v>62</v>
      </c>
      <c r="H14" s="42">
        <v>1</v>
      </c>
      <c r="I14" s="44">
        <v>499.75</v>
      </c>
      <c r="J14" s="48"/>
    </row>
    <row r="15" spans="1:10" ht="18.75" customHeight="1" x14ac:dyDescent="0.25">
      <c r="A15" t="s">
        <v>48</v>
      </c>
      <c r="B15" s="40">
        <v>44744</v>
      </c>
      <c r="C15" s="41">
        <v>61995</v>
      </c>
      <c r="D15" s="42" t="s">
        <v>49</v>
      </c>
      <c r="E15" s="43" t="s">
        <v>50</v>
      </c>
      <c r="F15" s="41">
        <v>40016709</v>
      </c>
      <c r="G15" s="43" t="s">
        <v>63</v>
      </c>
      <c r="H15" s="42">
        <v>1</v>
      </c>
      <c r="I15" s="44">
        <v>250</v>
      </c>
      <c r="J15" s="48"/>
    </row>
    <row r="16" spans="1:10" ht="18.75" customHeight="1" x14ac:dyDescent="0.25">
      <c r="A16" t="s">
        <v>48</v>
      </c>
      <c r="B16" s="40">
        <v>44744</v>
      </c>
      <c r="C16" s="41">
        <v>62015</v>
      </c>
      <c r="D16" s="42" t="s">
        <v>49</v>
      </c>
      <c r="E16" s="43" t="s">
        <v>50</v>
      </c>
      <c r="F16" s="41">
        <v>40013341</v>
      </c>
      <c r="G16" s="43" t="s">
        <v>64</v>
      </c>
      <c r="H16" s="42">
        <v>1</v>
      </c>
      <c r="I16" s="44">
        <v>129.75</v>
      </c>
      <c r="J16" s="48"/>
    </row>
    <row r="17" spans="1:10" ht="18.75" customHeight="1" x14ac:dyDescent="0.25">
      <c r="A17" t="s">
        <v>48</v>
      </c>
      <c r="B17" s="40">
        <v>44744</v>
      </c>
      <c r="C17" s="41">
        <v>62015</v>
      </c>
      <c r="D17" s="42" t="s">
        <v>49</v>
      </c>
      <c r="E17" s="43" t="s">
        <v>50</v>
      </c>
      <c r="F17" s="41">
        <v>40013897</v>
      </c>
      <c r="G17" s="43" t="s">
        <v>65</v>
      </c>
      <c r="H17" s="42">
        <v>1</v>
      </c>
      <c r="I17" s="44">
        <v>129.75</v>
      </c>
      <c r="J17" s="48"/>
    </row>
    <row r="18" spans="1:10" ht="18.75" customHeight="1" x14ac:dyDescent="0.25">
      <c r="A18" t="s">
        <v>48</v>
      </c>
      <c r="B18" s="40">
        <v>44744</v>
      </c>
      <c r="C18" s="41">
        <v>62015</v>
      </c>
      <c r="D18" s="42" t="s">
        <v>49</v>
      </c>
      <c r="E18" s="43" t="s">
        <v>50</v>
      </c>
      <c r="F18" s="41">
        <v>40017370</v>
      </c>
      <c r="G18" s="43" t="s">
        <v>66</v>
      </c>
      <c r="H18" s="42">
        <v>1</v>
      </c>
      <c r="I18" s="44">
        <v>129.75</v>
      </c>
      <c r="J18" s="48"/>
    </row>
    <row r="19" spans="1:10" ht="18.75" customHeight="1" x14ac:dyDescent="0.25">
      <c r="A19" t="s">
        <v>48</v>
      </c>
      <c r="B19" s="40">
        <v>44744</v>
      </c>
      <c r="C19" s="41">
        <v>69071</v>
      </c>
      <c r="D19" s="42" t="s">
        <v>49</v>
      </c>
      <c r="E19" s="43" t="s">
        <v>50</v>
      </c>
      <c r="F19" s="41">
        <v>40013806</v>
      </c>
      <c r="G19" s="43" t="s">
        <v>67</v>
      </c>
      <c r="H19" s="42">
        <v>1</v>
      </c>
      <c r="I19" s="44">
        <v>49.75</v>
      </c>
      <c r="J19" s="48"/>
    </row>
    <row r="20" spans="1:10" ht="18.75" customHeight="1" x14ac:dyDescent="0.25">
      <c r="A20" t="s">
        <v>48</v>
      </c>
      <c r="B20" s="40">
        <v>44744</v>
      </c>
      <c r="C20" s="41">
        <v>69206</v>
      </c>
      <c r="D20" s="42" t="s">
        <v>49</v>
      </c>
      <c r="E20" s="43" t="s">
        <v>50</v>
      </c>
      <c r="F20" s="41">
        <v>40015623</v>
      </c>
      <c r="G20" s="43" t="s">
        <v>55</v>
      </c>
      <c r="H20" s="42">
        <v>1</v>
      </c>
      <c r="I20" s="44">
        <v>499.75</v>
      </c>
      <c r="J20" s="48"/>
    </row>
    <row r="21" spans="1:10" ht="18.75" customHeight="1" x14ac:dyDescent="0.25">
      <c r="A21" t="s">
        <v>48</v>
      </c>
      <c r="B21" s="40">
        <v>44744</v>
      </c>
      <c r="C21" s="41">
        <v>69225</v>
      </c>
      <c r="D21" s="42" t="s">
        <v>49</v>
      </c>
      <c r="E21" s="43" t="s">
        <v>50</v>
      </c>
      <c r="F21" s="41">
        <v>40014668</v>
      </c>
      <c r="G21" s="43" t="s">
        <v>68</v>
      </c>
      <c r="H21" s="42">
        <v>1</v>
      </c>
      <c r="I21" s="44">
        <v>499.75</v>
      </c>
      <c r="J21" s="48"/>
    </row>
    <row r="22" spans="1:10" ht="18.75" customHeight="1" x14ac:dyDescent="0.25">
      <c r="A22" t="s">
        <v>48</v>
      </c>
      <c r="B22" s="40">
        <v>44744</v>
      </c>
      <c r="C22" s="41">
        <v>70746</v>
      </c>
      <c r="D22" s="42" t="s">
        <v>49</v>
      </c>
      <c r="E22" s="43" t="s">
        <v>50</v>
      </c>
      <c r="F22" s="41">
        <v>40013813</v>
      </c>
      <c r="G22" s="43" t="s">
        <v>56</v>
      </c>
      <c r="H22" s="42">
        <v>1</v>
      </c>
      <c r="I22" s="44">
        <v>79.75</v>
      </c>
      <c r="J22" s="48"/>
    </row>
    <row r="23" spans="1:10" ht="18.75" customHeight="1" x14ac:dyDescent="0.25">
      <c r="A23" t="s">
        <v>48</v>
      </c>
      <c r="B23" s="40">
        <v>44744</v>
      </c>
      <c r="C23" s="41">
        <v>70774</v>
      </c>
      <c r="D23" s="42" t="s">
        <v>49</v>
      </c>
      <c r="E23" s="43" t="s">
        <v>50</v>
      </c>
      <c r="F23" s="41">
        <v>40018836</v>
      </c>
      <c r="G23" s="43" t="s">
        <v>69</v>
      </c>
      <c r="H23" s="42">
        <v>1</v>
      </c>
      <c r="I23" s="44">
        <v>199.75</v>
      </c>
      <c r="J23" s="48"/>
    </row>
    <row r="24" spans="1:10" ht="18.75" customHeight="1" x14ac:dyDescent="0.25">
      <c r="A24" t="s">
        <v>48</v>
      </c>
      <c r="B24" s="40">
        <v>44745</v>
      </c>
      <c r="C24" s="41">
        <v>62044</v>
      </c>
      <c r="D24" s="42" t="s">
        <v>49</v>
      </c>
      <c r="E24" s="43" t="s">
        <v>50</v>
      </c>
      <c r="F24" s="41">
        <v>40013872</v>
      </c>
      <c r="G24" s="43" t="s">
        <v>57</v>
      </c>
      <c r="H24" s="42">
        <v>1</v>
      </c>
      <c r="I24" s="44">
        <v>99.75</v>
      </c>
      <c r="J24" s="48"/>
    </row>
    <row r="25" spans="1:10" ht="18.75" customHeight="1" x14ac:dyDescent="0.25">
      <c r="A25" t="s">
        <v>48</v>
      </c>
      <c r="B25" s="40">
        <v>44745</v>
      </c>
      <c r="C25" s="41">
        <v>62044</v>
      </c>
      <c r="D25" s="42" t="s">
        <v>49</v>
      </c>
      <c r="E25" s="43" t="s">
        <v>50</v>
      </c>
      <c r="F25" s="41">
        <v>40013874</v>
      </c>
      <c r="G25" s="43" t="s">
        <v>51</v>
      </c>
      <c r="H25" s="42">
        <v>1</v>
      </c>
      <c r="I25" s="44">
        <v>99.75</v>
      </c>
      <c r="J25" s="48"/>
    </row>
    <row r="26" spans="1:10" ht="18.75" customHeight="1" x14ac:dyDescent="0.25">
      <c r="A26" t="s">
        <v>48</v>
      </c>
      <c r="B26" s="40">
        <v>44745</v>
      </c>
      <c r="C26" s="41">
        <v>62044</v>
      </c>
      <c r="D26" s="42" t="s">
        <v>49</v>
      </c>
      <c r="E26" s="43" t="s">
        <v>50</v>
      </c>
      <c r="F26" s="41">
        <v>40021266</v>
      </c>
      <c r="G26" s="43" t="s">
        <v>70</v>
      </c>
      <c r="H26" s="42">
        <v>1</v>
      </c>
      <c r="I26" s="44">
        <v>129.75</v>
      </c>
      <c r="J26" s="48"/>
    </row>
    <row r="27" spans="1:10" ht="18.75" customHeight="1" x14ac:dyDescent="0.25">
      <c r="A27" t="s">
        <v>48</v>
      </c>
      <c r="B27" s="40">
        <v>44745</v>
      </c>
      <c r="C27" s="41">
        <v>62053</v>
      </c>
      <c r="D27" s="42" t="s">
        <v>49</v>
      </c>
      <c r="E27" s="43" t="s">
        <v>50</v>
      </c>
      <c r="F27" s="41">
        <v>40020448</v>
      </c>
      <c r="G27" s="43" t="s">
        <v>62</v>
      </c>
      <c r="H27" s="42">
        <v>1</v>
      </c>
      <c r="I27" s="44">
        <v>499.75</v>
      </c>
      <c r="J27" s="48"/>
    </row>
    <row r="28" spans="1:10" ht="18.75" customHeight="1" x14ac:dyDescent="0.25">
      <c r="A28" t="s">
        <v>48</v>
      </c>
      <c r="B28" s="40">
        <v>44745</v>
      </c>
      <c r="C28" s="41">
        <v>70798</v>
      </c>
      <c r="D28" s="42" t="s">
        <v>49</v>
      </c>
      <c r="E28" s="43" t="s">
        <v>50</v>
      </c>
      <c r="F28" s="41">
        <v>40021969</v>
      </c>
      <c r="G28" s="43" t="s">
        <v>71</v>
      </c>
      <c r="H28" s="42">
        <v>1</v>
      </c>
      <c r="I28" s="44">
        <v>229.75</v>
      </c>
      <c r="J28" s="48"/>
    </row>
    <row r="29" spans="1:10" ht="18.75" customHeight="1" x14ac:dyDescent="0.25">
      <c r="A29" t="s">
        <v>48</v>
      </c>
      <c r="B29" s="40">
        <v>44745</v>
      </c>
      <c r="C29" s="41">
        <v>70804</v>
      </c>
      <c r="D29" s="42" t="s">
        <v>49</v>
      </c>
      <c r="E29" s="43" t="s">
        <v>50</v>
      </c>
      <c r="F29" s="41">
        <v>40017363</v>
      </c>
      <c r="G29" s="43" t="s">
        <v>72</v>
      </c>
      <c r="H29" s="42">
        <v>1</v>
      </c>
      <c r="I29" s="44">
        <v>99.75</v>
      </c>
      <c r="J29" s="48"/>
    </row>
    <row r="30" spans="1:10" ht="18.75" customHeight="1" x14ac:dyDescent="0.25">
      <c r="A30" t="s">
        <v>48</v>
      </c>
      <c r="B30" s="40">
        <v>44745</v>
      </c>
      <c r="C30" s="41">
        <v>70807</v>
      </c>
      <c r="D30" s="42" t="s">
        <v>49</v>
      </c>
      <c r="E30" s="43" t="s">
        <v>50</v>
      </c>
      <c r="F30" s="41">
        <v>40013805</v>
      </c>
      <c r="G30" s="43" t="s">
        <v>73</v>
      </c>
      <c r="H30" s="42">
        <v>1</v>
      </c>
      <c r="I30" s="44">
        <v>49.75</v>
      </c>
      <c r="J30" s="48"/>
    </row>
    <row r="31" spans="1:10" ht="18.75" customHeight="1" x14ac:dyDescent="0.25">
      <c r="A31" t="s">
        <v>48</v>
      </c>
      <c r="B31" s="40">
        <v>44745</v>
      </c>
      <c r="C31" s="41">
        <v>70807</v>
      </c>
      <c r="D31" s="42" t="s">
        <v>49</v>
      </c>
      <c r="E31" s="43" t="s">
        <v>50</v>
      </c>
      <c r="F31" s="41">
        <v>40018034</v>
      </c>
      <c r="G31" s="43" t="s">
        <v>74</v>
      </c>
      <c r="H31" s="42">
        <v>1</v>
      </c>
      <c r="I31" s="44">
        <v>199.75</v>
      </c>
      <c r="J31" s="48"/>
    </row>
    <row r="32" spans="1:10" ht="18.75" customHeight="1" x14ac:dyDescent="0.25">
      <c r="A32" t="s">
        <v>48</v>
      </c>
      <c r="B32" s="40">
        <v>44745</v>
      </c>
      <c r="C32" s="41">
        <v>70807</v>
      </c>
      <c r="D32" s="42" t="s">
        <v>49</v>
      </c>
      <c r="E32" s="43" t="s">
        <v>50</v>
      </c>
      <c r="F32" s="41">
        <v>40018029</v>
      </c>
      <c r="G32" s="43" t="s">
        <v>75</v>
      </c>
      <c r="H32" s="42">
        <v>1</v>
      </c>
      <c r="I32" s="44">
        <v>199.75</v>
      </c>
      <c r="J32" s="48"/>
    </row>
    <row r="33" spans="1:10" ht="18.75" customHeight="1" x14ac:dyDescent="0.25">
      <c r="A33" t="s">
        <v>48</v>
      </c>
      <c r="B33" s="40">
        <v>44745</v>
      </c>
      <c r="C33" s="41">
        <v>70807</v>
      </c>
      <c r="D33" s="42" t="s">
        <v>49</v>
      </c>
      <c r="E33" s="43" t="s">
        <v>50</v>
      </c>
      <c r="F33" s="41">
        <v>40020461</v>
      </c>
      <c r="G33" s="43" t="s">
        <v>76</v>
      </c>
      <c r="H33" s="42">
        <v>1</v>
      </c>
      <c r="I33" s="44">
        <v>449.75</v>
      </c>
      <c r="J33" s="48"/>
    </row>
    <row r="34" spans="1:10" ht="18.75" customHeight="1" x14ac:dyDescent="0.25">
      <c r="A34" t="s">
        <v>48</v>
      </c>
      <c r="B34" s="40">
        <v>44745</v>
      </c>
      <c r="C34" s="41">
        <v>70807</v>
      </c>
      <c r="D34" s="42" t="s">
        <v>49</v>
      </c>
      <c r="E34" s="43" t="s">
        <v>50</v>
      </c>
      <c r="F34" s="41">
        <v>40015371</v>
      </c>
      <c r="G34" s="43" t="s">
        <v>77</v>
      </c>
      <c r="H34" s="42">
        <v>1</v>
      </c>
      <c r="I34" s="44">
        <v>599.75</v>
      </c>
      <c r="J34" s="48"/>
    </row>
    <row r="35" spans="1:10" ht="18.75" customHeight="1" x14ac:dyDescent="0.25">
      <c r="A35" t="s">
        <v>48</v>
      </c>
      <c r="B35" s="40">
        <v>44745</v>
      </c>
      <c r="C35" s="41">
        <v>70807</v>
      </c>
      <c r="D35" s="42" t="s">
        <v>49</v>
      </c>
      <c r="E35" s="43" t="s">
        <v>50</v>
      </c>
      <c r="F35" s="41">
        <v>40015621</v>
      </c>
      <c r="G35" s="43" t="s">
        <v>55</v>
      </c>
      <c r="H35" s="42">
        <v>1</v>
      </c>
      <c r="I35" s="44">
        <v>499.75</v>
      </c>
      <c r="J35" s="48"/>
    </row>
    <row r="36" spans="1:10" ht="18.75" customHeight="1" x14ac:dyDescent="0.25">
      <c r="A36" t="s">
        <v>48</v>
      </c>
      <c r="B36" s="40">
        <v>44745</v>
      </c>
      <c r="C36" s="41">
        <v>70807</v>
      </c>
      <c r="D36" s="42" t="s">
        <v>49</v>
      </c>
      <c r="E36" s="43" t="s">
        <v>50</v>
      </c>
      <c r="F36" s="41">
        <v>40013806</v>
      </c>
      <c r="G36" s="43" t="s">
        <v>67</v>
      </c>
      <c r="H36" s="42">
        <v>1</v>
      </c>
      <c r="I36" s="44">
        <v>49.75</v>
      </c>
      <c r="J36" s="48"/>
    </row>
    <row r="37" spans="1:10" ht="18.75" customHeight="1" x14ac:dyDescent="0.25">
      <c r="A37" t="s">
        <v>48</v>
      </c>
      <c r="B37" s="40">
        <v>44745</v>
      </c>
      <c r="C37" s="41">
        <v>70813</v>
      </c>
      <c r="D37" s="42" t="s">
        <v>49</v>
      </c>
      <c r="E37" s="43" t="s">
        <v>50</v>
      </c>
      <c r="F37" s="41">
        <v>40021974</v>
      </c>
      <c r="G37" s="43" t="s">
        <v>78</v>
      </c>
      <c r="H37" s="42">
        <v>1</v>
      </c>
      <c r="I37" s="44">
        <v>229.75</v>
      </c>
      <c r="J37" s="48"/>
    </row>
    <row r="38" spans="1:10" ht="18.75" customHeight="1" x14ac:dyDescent="0.25">
      <c r="A38" t="s">
        <v>48</v>
      </c>
      <c r="B38" s="40">
        <v>44745</v>
      </c>
      <c r="C38" s="41">
        <v>70813</v>
      </c>
      <c r="D38" s="42" t="s">
        <v>49</v>
      </c>
      <c r="E38" s="43" t="s">
        <v>50</v>
      </c>
      <c r="F38" s="41">
        <v>40021971</v>
      </c>
      <c r="G38" s="43" t="s">
        <v>79</v>
      </c>
      <c r="H38" s="42">
        <v>1</v>
      </c>
      <c r="I38" s="44">
        <v>229.75</v>
      </c>
      <c r="J38" s="48"/>
    </row>
    <row r="39" spans="1:10" ht="18.75" customHeight="1" x14ac:dyDescent="0.25">
      <c r="A39" t="s">
        <v>48</v>
      </c>
      <c r="B39" s="40">
        <v>44745</v>
      </c>
      <c r="C39" s="41">
        <v>70813</v>
      </c>
      <c r="D39" s="42" t="s">
        <v>49</v>
      </c>
      <c r="E39" s="43" t="s">
        <v>50</v>
      </c>
      <c r="F39" s="41">
        <v>40017368</v>
      </c>
      <c r="G39" s="43" t="s">
        <v>80</v>
      </c>
      <c r="H39" s="42">
        <v>1</v>
      </c>
      <c r="I39" s="44">
        <v>199.75</v>
      </c>
      <c r="J39" s="48"/>
    </row>
    <row r="40" spans="1:10" ht="18.75" customHeight="1" x14ac:dyDescent="0.25">
      <c r="A40" t="s">
        <v>48</v>
      </c>
      <c r="B40" s="40">
        <v>44746</v>
      </c>
      <c r="C40" s="41">
        <v>52708</v>
      </c>
      <c r="D40" s="42" t="s">
        <v>49</v>
      </c>
      <c r="E40" s="43" t="s">
        <v>50</v>
      </c>
      <c r="F40" s="41">
        <v>40013816</v>
      </c>
      <c r="G40" s="43" t="s">
        <v>81</v>
      </c>
      <c r="H40" s="42">
        <v>1</v>
      </c>
      <c r="I40" s="44">
        <v>299.75</v>
      </c>
      <c r="J40" s="48"/>
    </row>
    <row r="41" spans="1:10" ht="18.75" customHeight="1" x14ac:dyDescent="0.25">
      <c r="A41" t="s">
        <v>48</v>
      </c>
      <c r="B41" s="40">
        <v>44746</v>
      </c>
      <c r="C41" s="41">
        <v>69249</v>
      </c>
      <c r="D41" s="42" t="s">
        <v>49</v>
      </c>
      <c r="E41" s="43" t="s">
        <v>50</v>
      </c>
      <c r="F41" s="41">
        <v>40018834</v>
      </c>
      <c r="G41" s="43" t="s">
        <v>82</v>
      </c>
      <c r="H41" s="42">
        <v>1</v>
      </c>
      <c r="I41" s="44">
        <v>199.75</v>
      </c>
      <c r="J41" s="48"/>
    </row>
    <row r="42" spans="1:10" ht="18.75" customHeight="1" x14ac:dyDescent="0.25">
      <c r="A42" t="s">
        <v>48</v>
      </c>
      <c r="B42" s="40">
        <v>44746</v>
      </c>
      <c r="C42" s="41">
        <v>69249</v>
      </c>
      <c r="D42" s="42" t="s">
        <v>49</v>
      </c>
      <c r="E42" s="43" t="s">
        <v>50</v>
      </c>
      <c r="F42" s="41">
        <v>40018826</v>
      </c>
      <c r="G42" s="43" t="s">
        <v>83</v>
      </c>
      <c r="H42" s="42">
        <v>1</v>
      </c>
      <c r="I42" s="44">
        <v>199.75</v>
      </c>
      <c r="J42" s="48"/>
    </row>
    <row r="43" spans="1:10" ht="18.75" customHeight="1" x14ac:dyDescent="0.25">
      <c r="A43" t="s">
        <v>48</v>
      </c>
      <c r="B43" s="40">
        <v>44746</v>
      </c>
      <c r="C43" s="41">
        <v>69249</v>
      </c>
      <c r="D43" s="42" t="s">
        <v>49</v>
      </c>
      <c r="E43" s="43" t="s">
        <v>50</v>
      </c>
      <c r="F43" s="41">
        <v>40018836</v>
      </c>
      <c r="G43" s="43" t="s">
        <v>69</v>
      </c>
      <c r="H43" s="42">
        <v>1</v>
      </c>
      <c r="I43" s="44">
        <v>199.75</v>
      </c>
      <c r="J43" s="48"/>
    </row>
    <row r="44" spans="1:10" ht="18.75" customHeight="1" x14ac:dyDescent="0.25">
      <c r="A44" t="s">
        <v>48</v>
      </c>
      <c r="B44" s="40">
        <v>44746</v>
      </c>
      <c r="C44" s="41">
        <v>70838</v>
      </c>
      <c r="D44" s="42" t="s">
        <v>49</v>
      </c>
      <c r="E44" s="43" t="s">
        <v>50</v>
      </c>
      <c r="F44" s="41">
        <v>40019095</v>
      </c>
      <c r="G44" s="43" t="s">
        <v>84</v>
      </c>
      <c r="H44" s="42">
        <v>1</v>
      </c>
      <c r="I44" s="44">
        <v>699.75</v>
      </c>
      <c r="J44" s="48"/>
    </row>
    <row r="45" spans="1:10" ht="18.75" customHeight="1" x14ac:dyDescent="0.25">
      <c r="A45" t="s">
        <v>48</v>
      </c>
      <c r="B45" s="40">
        <v>44746</v>
      </c>
      <c r="C45" s="41">
        <v>70838</v>
      </c>
      <c r="D45" s="42" t="s">
        <v>49</v>
      </c>
      <c r="E45" s="43" t="s">
        <v>50</v>
      </c>
      <c r="F45" s="41">
        <v>40014667</v>
      </c>
      <c r="G45" s="43" t="s">
        <v>68</v>
      </c>
      <c r="H45" s="42">
        <v>2</v>
      </c>
      <c r="I45" s="44">
        <v>999.5</v>
      </c>
      <c r="J45" s="48"/>
    </row>
    <row r="46" spans="1:10" ht="18.75" customHeight="1" x14ac:dyDescent="0.25">
      <c r="A46" t="s">
        <v>48</v>
      </c>
      <c r="B46" s="40">
        <v>44747</v>
      </c>
      <c r="C46" s="41">
        <v>70915</v>
      </c>
      <c r="D46" s="42" t="s">
        <v>49</v>
      </c>
      <c r="E46" s="43" t="s">
        <v>50</v>
      </c>
      <c r="F46" s="41">
        <v>40018360</v>
      </c>
      <c r="G46" s="43" t="s">
        <v>85</v>
      </c>
      <c r="H46" s="42">
        <v>1</v>
      </c>
      <c r="I46" s="44">
        <v>149.75</v>
      </c>
      <c r="J46" s="48"/>
    </row>
    <row r="47" spans="1:10" ht="18.75" customHeight="1" x14ac:dyDescent="0.25">
      <c r="A47" t="s">
        <v>48</v>
      </c>
      <c r="B47" s="40">
        <v>44747</v>
      </c>
      <c r="C47" s="41">
        <v>52770</v>
      </c>
      <c r="D47" s="42" t="s">
        <v>49</v>
      </c>
      <c r="E47" s="43" t="s">
        <v>50</v>
      </c>
      <c r="F47" s="41">
        <v>40013895</v>
      </c>
      <c r="G47" s="43" t="s">
        <v>65</v>
      </c>
      <c r="H47" s="42">
        <v>4</v>
      </c>
      <c r="I47" s="44">
        <v>519</v>
      </c>
      <c r="J47" s="48"/>
    </row>
    <row r="48" spans="1:10" ht="18.75" customHeight="1" x14ac:dyDescent="0.25">
      <c r="A48" t="s">
        <v>48</v>
      </c>
      <c r="B48" s="40">
        <v>44747</v>
      </c>
      <c r="C48" s="41">
        <v>52770</v>
      </c>
      <c r="D48" s="42" t="s">
        <v>49</v>
      </c>
      <c r="E48" s="43" t="s">
        <v>50</v>
      </c>
      <c r="F48" s="41">
        <v>40019097</v>
      </c>
      <c r="G48" s="43" t="s">
        <v>86</v>
      </c>
      <c r="H48" s="42">
        <v>1</v>
      </c>
      <c r="I48" s="44">
        <v>699.75</v>
      </c>
      <c r="J48" s="48"/>
    </row>
    <row r="49" spans="1:10" ht="18.75" customHeight="1" x14ac:dyDescent="0.25">
      <c r="A49" t="s">
        <v>48</v>
      </c>
      <c r="B49" s="40">
        <v>44747</v>
      </c>
      <c r="C49" s="41">
        <v>52770</v>
      </c>
      <c r="D49" s="42" t="s">
        <v>49</v>
      </c>
      <c r="E49" s="43" t="s">
        <v>50</v>
      </c>
      <c r="F49" s="41">
        <v>40018702</v>
      </c>
      <c r="G49" s="43" t="s">
        <v>87</v>
      </c>
      <c r="H49" s="42">
        <v>1</v>
      </c>
      <c r="I49" s="44">
        <v>599.75</v>
      </c>
      <c r="J49" s="48"/>
    </row>
    <row r="50" spans="1:10" ht="18.75" customHeight="1" x14ac:dyDescent="0.25">
      <c r="A50" t="s">
        <v>48</v>
      </c>
      <c r="B50" s="40">
        <v>44747</v>
      </c>
      <c r="C50" s="41">
        <v>52770</v>
      </c>
      <c r="D50" s="42" t="s">
        <v>49</v>
      </c>
      <c r="E50" s="43" t="s">
        <v>50</v>
      </c>
      <c r="F50" s="41">
        <v>40018706</v>
      </c>
      <c r="G50" s="43" t="s">
        <v>88</v>
      </c>
      <c r="H50" s="42">
        <v>1</v>
      </c>
      <c r="I50" s="44">
        <v>599.75</v>
      </c>
      <c r="J50" s="48"/>
    </row>
    <row r="51" spans="1:10" ht="18.75" customHeight="1" x14ac:dyDescent="0.25">
      <c r="A51" t="s">
        <v>48</v>
      </c>
      <c r="B51" s="40">
        <v>44747</v>
      </c>
      <c r="C51" s="41">
        <v>52770</v>
      </c>
      <c r="D51" s="42" t="s">
        <v>49</v>
      </c>
      <c r="E51" s="43" t="s">
        <v>50</v>
      </c>
      <c r="F51" s="41">
        <v>40018707</v>
      </c>
      <c r="G51" s="43" t="s">
        <v>89</v>
      </c>
      <c r="H51" s="42">
        <v>2</v>
      </c>
      <c r="I51" s="44">
        <v>1199.5</v>
      </c>
      <c r="J51" s="48"/>
    </row>
    <row r="52" spans="1:10" ht="18.75" customHeight="1" x14ac:dyDescent="0.25">
      <c r="A52" t="s">
        <v>48</v>
      </c>
      <c r="B52" s="40">
        <v>44747</v>
      </c>
      <c r="C52" s="41">
        <v>69273</v>
      </c>
      <c r="D52" s="42" t="s">
        <v>49</v>
      </c>
      <c r="E52" s="43" t="s">
        <v>50</v>
      </c>
      <c r="F52" s="41">
        <v>40013874</v>
      </c>
      <c r="G52" s="43" t="s">
        <v>51</v>
      </c>
      <c r="H52" s="42">
        <v>1</v>
      </c>
      <c r="I52" s="44">
        <v>99.75</v>
      </c>
      <c r="J52" s="48"/>
    </row>
    <row r="53" spans="1:10" ht="18.75" customHeight="1" x14ac:dyDescent="0.25">
      <c r="A53" t="s">
        <v>48</v>
      </c>
      <c r="B53" s="40">
        <v>44747</v>
      </c>
      <c r="C53" s="41">
        <v>69273</v>
      </c>
      <c r="D53" s="42" t="s">
        <v>49</v>
      </c>
      <c r="E53" s="43" t="s">
        <v>50</v>
      </c>
      <c r="F53" s="41">
        <v>40017624</v>
      </c>
      <c r="G53" s="43" t="s">
        <v>90</v>
      </c>
      <c r="H53" s="42">
        <v>1</v>
      </c>
      <c r="I53" s="44">
        <v>150</v>
      </c>
      <c r="J53" s="48"/>
    </row>
    <row r="54" spans="1:10" ht="18.75" customHeight="1" x14ac:dyDescent="0.25">
      <c r="A54" t="s">
        <v>48</v>
      </c>
      <c r="B54" s="40">
        <v>44747</v>
      </c>
      <c r="C54" s="41">
        <v>69296</v>
      </c>
      <c r="D54" s="42" t="s">
        <v>49</v>
      </c>
      <c r="E54" s="43" t="s">
        <v>50</v>
      </c>
      <c r="F54" s="41">
        <v>40015370</v>
      </c>
      <c r="G54" s="43" t="s">
        <v>91</v>
      </c>
      <c r="H54" s="42">
        <v>1</v>
      </c>
      <c r="I54" s="44">
        <v>599.75</v>
      </c>
      <c r="J54" s="48"/>
    </row>
    <row r="55" spans="1:10" ht="18.75" customHeight="1" x14ac:dyDescent="0.25">
      <c r="A55" t="s">
        <v>48</v>
      </c>
      <c r="B55" s="40">
        <v>44747</v>
      </c>
      <c r="C55" s="41">
        <v>69296</v>
      </c>
      <c r="D55" s="42" t="s">
        <v>49</v>
      </c>
      <c r="E55" s="43" t="s">
        <v>50</v>
      </c>
      <c r="F55" s="41">
        <v>40019106</v>
      </c>
      <c r="G55" s="43" t="s">
        <v>92</v>
      </c>
      <c r="H55" s="42">
        <v>1</v>
      </c>
      <c r="I55" s="44">
        <v>329.75</v>
      </c>
      <c r="J55" s="48"/>
    </row>
    <row r="56" spans="1:10" ht="18.75" customHeight="1" x14ac:dyDescent="0.25">
      <c r="A56" t="s">
        <v>48</v>
      </c>
      <c r="B56" s="40">
        <v>44747</v>
      </c>
      <c r="C56" s="41">
        <v>70888</v>
      </c>
      <c r="D56" s="42" t="s">
        <v>49</v>
      </c>
      <c r="E56" s="43" t="s">
        <v>50</v>
      </c>
      <c r="F56" s="41">
        <v>40013889</v>
      </c>
      <c r="G56" s="43" t="s">
        <v>93</v>
      </c>
      <c r="H56" s="42">
        <v>1</v>
      </c>
      <c r="I56" s="44">
        <v>99.75</v>
      </c>
      <c r="J56" s="48"/>
    </row>
    <row r="57" spans="1:10" ht="18.75" customHeight="1" x14ac:dyDescent="0.25">
      <c r="A57" t="s">
        <v>48</v>
      </c>
      <c r="B57" s="40">
        <v>44747</v>
      </c>
      <c r="C57" s="41">
        <v>70888</v>
      </c>
      <c r="D57" s="42" t="s">
        <v>49</v>
      </c>
      <c r="E57" s="43" t="s">
        <v>50</v>
      </c>
      <c r="F57" s="41">
        <v>40017368</v>
      </c>
      <c r="G57" s="43" t="s">
        <v>80</v>
      </c>
      <c r="H57" s="42">
        <v>1</v>
      </c>
      <c r="I57" s="44">
        <v>199.75</v>
      </c>
      <c r="J57" s="48"/>
    </row>
    <row r="58" spans="1:10" ht="18.75" customHeight="1" x14ac:dyDescent="0.25">
      <c r="A58" t="s">
        <v>48</v>
      </c>
      <c r="B58" s="40">
        <v>44748</v>
      </c>
      <c r="C58" s="41">
        <v>62123</v>
      </c>
      <c r="D58" s="42" t="s">
        <v>49</v>
      </c>
      <c r="E58" s="43" t="s">
        <v>50</v>
      </c>
      <c r="F58" s="41">
        <v>40019381</v>
      </c>
      <c r="G58" s="43" t="s">
        <v>94</v>
      </c>
      <c r="H58" s="42">
        <v>1</v>
      </c>
      <c r="I58" s="44">
        <v>299.75</v>
      </c>
      <c r="J58" s="48"/>
    </row>
    <row r="59" spans="1:10" ht="18.75" customHeight="1" x14ac:dyDescent="0.25">
      <c r="A59" t="s">
        <v>48</v>
      </c>
      <c r="B59" s="40">
        <v>44748</v>
      </c>
      <c r="C59" s="41">
        <v>69119</v>
      </c>
      <c r="D59" s="42" t="s">
        <v>49</v>
      </c>
      <c r="E59" s="43" t="s">
        <v>50</v>
      </c>
      <c r="F59" s="41">
        <v>40013323</v>
      </c>
      <c r="G59" s="43" t="s">
        <v>95</v>
      </c>
      <c r="H59" s="42">
        <v>1</v>
      </c>
      <c r="I59" s="44">
        <v>134.78</v>
      </c>
      <c r="J59" s="48"/>
    </row>
    <row r="60" spans="1:10" ht="18.75" customHeight="1" x14ac:dyDescent="0.25">
      <c r="A60" t="s">
        <v>48</v>
      </c>
      <c r="B60" s="40">
        <v>44749</v>
      </c>
      <c r="C60" s="41">
        <v>69363</v>
      </c>
      <c r="D60" s="42" t="s">
        <v>49</v>
      </c>
      <c r="E60" s="43" t="s">
        <v>50</v>
      </c>
      <c r="F60" s="41">
        <v>40018255</v>
      </c>
      <c r="G60" s="43" t="s">
        <v>96</v>
      </c>
      <c r="H60" s="42">
        <v>1</v>
      </c>
      <c r="I60" s="44">
        <v>749.75</v>
      </c>
      <c r="J60" s="48"/>
    </row>
    <row r="61" spans="1:10" ht="18.75" customHeight="1" x14ac:dyDescent="0.25">
      <c r="A61" t="s">
        <v>48</v>
      </c>
      <c r="B61" s="40">
        <v>44749</v>
      </c>
      <c r="C61" s="41">
        <v>62126</v>
      </c>
      <c r="D61" s="42" t="s">
        <v>49</v>
      </c>
      <c r="E61" s="43" t="s">
        <v>50</v>
      </c>
      <c r="F61" s="41">
        <v>40018706</v>
      </c>
      <c r="G61" s="43" t="s">
        <v>88</v>
      </c>
      <c r="H61" s="42">
        <v>1</v>
      </c>
      <c r="I61" s="44">
        <v>599.75</v>
      </c>
      <c r="J61" s="48"/>
    </row>
    <row r="62" spans="1:10" ht="18.75" customHeight="1" x14ac:dyDescent="0.25">
      <c r="A62" t="s">
        <v>48</v>
      </c>
      <c r="B62" s="40">
        <v>44750</v>
      </c>
      <c r="C62" s="41">
        <v>70976</v>
      </c>
      <c r="D62" s="42" t="s">
        <v>49</v>
      </c>
      <c r="E62" s="43" t="s">
        <v>50</v>
      </c>
      <c r="F62" s="41">
        <v>40019404</v>
      </c>
      <c r="G62" s="43" t="s">
        <v>97</v>
      </c>
      <c r="H62" s="42">
        <v>1</v>
      </c>
      <c r="I62" s="44">
        <v>299.75</v>
      </c>
      <c r="J62" s="48"/>
    </row>
    <row r="63" spans="1:10" ht="18.75" customHeight="1" x14ac:dyDescent="0.25">
      <c r="A63" t="s">
        <v>48</v>
      </c>
      <c r="B63" s="40">
        <v>44750</v>
      </c>
      <c r="C63" s="41">
        <v>52829</v>
      </c>
      <c r="D63" s="42" t="s">
        <v>49</v>
      </c>
      <c r="E63" s="43" t="s">
        <v>50</v>
      </c>
      <c r="F63" s="41">
        <v>40013873</v>
      </c>
      <c r="G63" s="43" t="s">
        <v>98</v>
      </c>
      <c r="H63" s="42">
        <v>1</v>
      </c>
      <c r="I63" s="44">
        <v>99.75</v>
      </c>
      <c r="J63" s="48"/>
    </row>
    <row r="64" spans="1:10" ht="18.75" customHeight="1" x14ac:dyDescent="0.25">
      <c r="A64" t="s">
        <v>48</v>
      </c>
      <c r="B64" s="40">
        <v>44750</v>
      </c>
      <c r="C64" s="41">
        <v>52829</v>
      </c>
      <c r="D64" s="42" t="s">
        <v>49</v>
      </c>
      <c r="E64" s="43" t="s">
        <v>50</v>
      </c>
      <c r="F64" s="41">
        <v>40017635</v>
      </c>
      <c r="G64" s="43" t="s">
        <v>99</v>
      </c>
      <c r="H64" s="42">
        <v>1</v>
      </c>
      <c r="I64" s="44">
        <v>299.75</v>
      </c>
      <c r="J64" s="48"/>
    </row>
    <row r="65" spans="1:10" ht="18.75" customHeight="1" x14ac:dyDescent="0.25">
      <c r="A65" t="s">
        <v>48</v>
      </c>
      <c r="B65" s="40">
        <v>44750</v>
      </c>
      <c r="C65" s="41">
        <v>52829</v>
      </c>
      <c r="D65" s="42" t="s">
        <v>49</v>
      </c>
      <c r="E65" s="43" t="s">
        <v>50</v>
      </c>
      <c r="F65" s="41">
        <v>40018034</v>
      </c>
      <c r="G65" s="43" t="s">
        <v>74</v>
      </c>
      <c r="H65" s="42">
        <v>2</v>
      </c>
      <c r="I65" s="44">
        <v>399.5</v>
      </c>
      <c r="J65" s="48"/>
    </row>
    <row r="66" spans="1:10" ht="18.75" customHeight="1" x14ac:dyDescent="0.25">
      <c r="A66" t="s">
        <v>48</v>
      </c>
      <c r="B66" s="40">
        <v>44750</v>
      </c>
      <c r="C66" s="41">
        <v>62173</v>
      </c>
      <c r="D66" s="42" t="s">
        <v>49</v>
      </c>
      <c r="E66" s="43" t="s">
        <v>50</v>
      </c>
      <c r="F66" s="41">
        <v>40013806</v>
      </c>
      <c r="G66" s="43" t="s">
        <v>67</v>
      </c>
      <c r="H66" s="42">
        <v>1</v>
      </c>
      <c r="I66" s="44">
        <v>49.75</v>
      </c>
      <c r="J66" s="48"/>
    </row>
    <row r="67" spans="1:10" ht="18.75" customHeight="1" x14ac:dyDescent="0.25">
      <c r="A67" t="s">
        <v>48</v>
      </c>
      <c r="B67" s="40">
        <v>44750</v>
      </c>
      <c r="C67" s="41">
        <v>69381</v>
      </c>
      <c r="D67" s="42" t="s">
        <v>49</v>
      </c>
      <c r="E67" s="43" t="s">
        <v>50</v>
      </c>
      <c r="F67" s="41">
        <v>40017634</v>
      </c>
      <c r="G67" s="43" t="s">
        <v>100</v>
      </c>
      <c r="H67" s="42">
        <v>1</v>
      </c>
      <c r="I67" s="44">
        <v>299.75</v>
      </c>
      <c r="J67" s="48"/>
    </row>
    <row r="68" spans="1:10" ht="18.75" customHeight="1" x14ac:dyDescent="0.25">
      <c r="A68" t="s">
        <v>48</v>
      </c>
      <c r="B68" s="40">
        <v>44751</v>
      </c>
      <c r="C68" s="41">
        <v>69226</v>
      </c>
      <c r="D68" s="42" t="s">
        <v>49</v>
      </c>
      <c r="E68" s="43" t="s">
        <v>50</v>
      </c>
      <c r="F68" s="41">
        <v>40017356</v>
      </c>
      <c r="G68" s="43" t="s">
        <v>101</v>
      </c>
      <c r="H68" s="42">
        <v>1</v>
      </c>
      <c r="I68" s="44">
        <v>269.75</v>
      </c>
      <c r="J68" s="48"/>
    </row>
    <row r="69" spans="1:10" ht="18.75" customHeight="1" x14ac:dyDescent="0.25">
      <c r="A69" t="s">
        <v>48</v>
      </c>
      <c r="B69" s="40">
        <v>44751</v>
      </c>
      <c r="C69" s="41">
        <v>69226</v>
      </c>
      <c r="D69" s="42" t="s">
        <v>49</v>
      </c>
      <c r="E69" s="43" t="s">
        <v>50</v>
      </c>
      <c r="F69" s="41">
        <v>40017594</v>
      </c>
      <c r="G69" s="43" t="s">
        <v>102</v>
      </c>
      <c r="H69" s="42">
        <v>1</v>
      </c>
      <c r="I69" s="44">
        <v>229.75</v>
      </c>
      <c r="J69" s="48"/>
    </row>
    <row r="70" spans="1:10" ht="18.75" customHeight="1" x14ac:dyDescent="0.25">
      <c r="A70" t="s">
        <v>48</v>
      </c>
      <c r="B70" s="40">
        <v>44751</v>
      </c>
      <c r="C70" s="41">
        <v>62213</v>
      </c>
      <c r="D70" s="42" t="s">
        <v>49</v>
      </c>
      <c r="E70" s="43" t="s">
        <v>50</v>
      </c>
      <c r="F70" s="41">
        <v>40013873</v>
      </c>
      <c r="G70" s="43" t="s">
        <v>98</v>
      </c>
      <c r="H70" s="42">
        <v>1</v>
      </c>
      <c r="I70" s="44">
        <v>99.75</v>
      </c>
      <c r="J70" s="48"/>
    </row>
    <row r="71" spans="1:10" ht="18.75" customHeight="1" x14ac:dyDescent="0.25">
      <c r="A71" t="s">
        <v>48</v>
      </c>
      <c r="B71" s="40">
        <v>44751</v>
      </c>
      <c r="C71" s="41">
        <v>62221</v>
      </c>
      <c r="D71" s="42" t="s">
        <v>49</v>
      </c>
      <c r="E71" s="43" t="s">
        <v>50</v>
      </c>
      <c r="F71" s="41">
        <v>40014667</v>
      </c>
      <c r="G71" s="43" t="s">
        <v>68</v>
      </c>
      <c r="H71" s="42">
        <v>1</v>
      </c>
      <c r="I71" s="44">
        <v>499.75</v>
      </c>
      <c r="J71" s="48"/>
    </row>
    <row r="72" spans="1:10" ht="18.75" customHeight="1" x14ac:dyDescent="0.25">
      <c r="A72" t="s">
        <v>48</v>
      </c>
      <c r="B72" s="40">
        <v>44751</v>
      </c>
      <c r="C72" s="41">
        <v>62221</v>
      </c>
      <c r="D72" s="42" t="s">
        <v>49</v>
      </c>
      <c r="E72" s="43" t="s">
        <v>50</v>
      </c>
      <c r="F72" s="41">
        <v>40021974</v>
      </c>
      <c r="G72" s="43" t="s">
        <v>78</v>
      </c>
      <c r="H72" s="42">
        <v>1</v>
      </c>
      <c r="I72" s="44">
        <v>229.75</v>
      </c>
      <c r="J72" s="48"/>
    </row>
    <row r="73" spans="1:10" ht="18.75" customHeight="1" x14ac:dyDescent="0.25">
      <c r="A73" t="s">
        <v>48</v>
      </c>
      <c r="B73" s="40">
        <v>44751</v>
      </c>
      <c r="C73" s="41">
        <v>69211</v>
      </c>
      <c r="D73" s="42" t="s">
        <v>49</v>
      </c>
      <c r="E73" s="43" t="s">
        <v>50</v>
      </c>
      <c r="F73" s="41">
        <v>40013299</v>
      </c>
      <c r="G73" s="43" t="s">
        <v>103</v>
      </c>
      <c r="H73" s="42">
        <v>1</v>
      </c>
      <c r="I73" s="44">
        <v>149.75</v>
      </c>
      <c r="J73" s="48"/>
    </row>
    <row r="74" spans="1:10" ht="18.75" customHeight="1" x14ac:dyDescent="0.25">
      <c r="A74" t="s">
        <v>48</v>
      </c>
      <c r="B74" s="40">
        <v>44751</v>
      </c>
      <c r="C74" s="41">
        <v>69211</v>
      </c>
      <c r="D74" s="42" t="s">
        <v>49</v>
      </c>
      <c r="E74" s="43" t="s">
        <v>50</v>
      </c>
      <c r="F74" s="41">
        <v>40021961</v>
      </c>
      <c r="G74" s="43" t="s">
        <v>104</v>
      </c>
      <c r="H74" s="42">
        <v>1</v>
      </c>
      <c r="I74" s="44">
        <v>149.75</v>
      </c>
      <c r="J74" s="48"/>
    </row>
    <row r="75" spans="1:10" ht="18.75" customHeight="1" x14ac:dyDescent="0.25">
      <c r="A75" t="s">
        <v>48</v>
      </c>
      <c r="B75" s="40">
        <v>44751</v>
      </c>
      <c r="C75" s="41">
        <v>69227</v>
      </c>
      <c r="D75" s="42" t="s">
        <v>49</v>
      </c>
      <c r="E75" s="43" t="s">
        <v>50</v>
      </c>
      <c r="F75" s="41">
        <v>40015622</v>
      </c>
      <c r="G75" s="43" t="s">
        <v>55</v>
      </c>
      <c r="H75" s="42">
        <v>1</v>
      </c>
      <c r="I75" s="44">
        <v>499.75</v>
      </c>
      <c r="J75" s="48"/>
    </row>
    <row r="76" spans="1:10" ht="18.75" customHeight="1" x14ac:dyDescent="0.25">
      <c r="A76" t="s">
        <v>48</v>
      </c>
      <c r="B76" s="40">
        <v>44752</v>
      </c>
      <c r="C76" s="41">
        <v>52900</v>
      </c>
      <c r="D76" s="42" t="s">
        <v>49</v>
      </c>
      <c r="E76" s="43" t="s">
        <v>50</v>
      </c>
      <c r="F76" s="41">
        <v>40017463</v>
      </c>
      <c r="G76" s="43" t="s">
        <v>105</v>
      </c>
      <c r="H76" s="42">
        <v>2</v>
      </c>
      <c r="I76" s="44">
        <v>1199.5</v>
      </c>
      <c r="J76" s="48"/>
    </row>
    <row r="77" spans="1:10" ht="18.75" customHeight="1" x14ac:dyDescent="0.25">
      <c r="A77" t="s">
        <v>48</v>
      </c>
      <c r="B77" s="40">
        <v>44752</v>
      </c>
      <c r="C77" s="41">
        <v>52900</v>
      </c>
      <c r="D77" s="42" t="s">
        <v>49</v>
      </c>
      <c r="E77" s="43" t="s">
        <v>50</v>
      </c>
      <c r="F77" s="41">
        <v>40019431</v>
      </c>
      <c r="G77" s="43" t="s">
        <v>106</v>
      </c>
      <c r="H77" s="42">
        <v>2</v>
      </c>
      <c r="I77" s="44">
        <v>399.5</v>
      </c>
      <c r="J77" s="48"/>
    </row>
    <row r="78" spans="1:10" ht="18.75" customHeight="1" x14ac:dyDescent="0.25">
      <c r="A78" t="s">
        <v>48</v>
      </c>
      <c r="B78" s="40">
        <v>44752</v>
      </c>
      <c r="C78" s="41">
        <v>52894</v>
      </c>
      <c r="D78" s="42" t="s">
        <v>49</v>
      </c>
      <c r="E78" s="43" t="s">
        <v>50</v>
      </c>
      <c r="F78" s="41">
        <v>40019137</v>
      </c>
      <c r="G78" s="43" t="s">
        <v>107</v>
      </c>
      <c r="H78" s="42">
        <v>1</v>
      </c>
      <c r="I78" s="44">
        <v>249.75</v>
      </c>
      <c r="J78" s="48"/>
    </row>
    <row r="79" spans="1:10" ht="18.75" customHeight="1" x14ac:dyDescent="0.25">
      <c r="A79" t="s">
        <v>48</v>
      </c>
      <c r="B79" s="40">
        <v>44752</v>
      </c>
      <c r="C79" s="41">
        <v>62240</v>
      </c>
      <c r="D79" s="42" t="s">
        <v>49</v>
      </c>
      <c r="E79" s="43" t="s">
        <v>50</v>
      </c>
      <c r="F79" s="41">
        <v>40017381</v>
      </c>
      <c r="G79" s="43" t="s">
        <v>108</v>
      </c>
      <c r="H79" s="42">
        <v>2</v>
      </c>
      <c r="I79" s="44">
        <v>399.5</v>
      </c>
      <c r="J79" s="48"/>
    </row>
    <row r="80" spans="1:10" ht="18.75" customHeight="1" x14ac:dyDescent="0.25">
      <c r="A80" t="s">
        <v>48</v>
      </c>
      <c r="B80" s="40">
        <v>44752</v>
      </c>
      <c r="C80" s="41">
        <v>62243</v>
      </c>
      <c r="D80" s="42" t="s">
        <v>49</v>
      </c>
      <c r="E80" s="43" t="s">
        <v>50</v>
      </c>
      <c r="F80" s="41">
        <v>40013873</v>
      </c>
      <c r="G80" s="43" t="s">
        <v>98</v>
      </c>
      <c r="H80" s="42">
        <v>1</v>
      </c>
      <c r="I80" s="44">
        <v>99.75</v>
      </c>
      <c r="J80" s="48"/>
    </row>
    <row r="81" spans="1:10" ht="18.75" customHeight="1" x14ac:dyDescent="0.25">
      <c r="A81" t="s">
        <v>48</v>
      </c>
      <c r="B81" s="40">
        <v>44752</v>
      </c>
      <c r="C81" s="41">
        <v>62243</v>
      </c>
      <c r="D81" s="42" t="s">
        <v>49</v>
      </c>
      <c r="E81" s="43" t="s">
        <v>50</v>
      </c>
      <c r="F81" s="41">
        <v>40017401</v>
      </c>
      <c r="G81" s="43" t="s">
        <v>109</v>
      </c>
      <c r="H81" s="42">
        <v>1</v>
      </c>
      <c r="I81" s="44">
        <v>349.75</v>
      </c>
      <c r="J81" s="48"/>
    </row>
    <row r="82" spans="1:10" ht="18.75" customHeight="1" x14ac:dyDescent="0.25">
      <c r="A82" t="s">
        <v>48</v>
      </c>
      <c r="B82" s="40">
        <v>44752</v>
      </c>
      <c r="C82" s="41">
        <v>62272</v>
      </c>
      <c r="D82" s="42" t="s">
        <v>49</v>
      </c>
      <c r="E82" s="43" t="s">
        <v>50</v>
      </c>
      <c r="F82" s="41">
        <v>40019253</v>
      </c>
      <c r="G82" s="43" t="s">
        <v>110</v>
      </c>
      <c r="H82" s="42">
        <v>2</v>
      </c>
      <c r="I82" s="44">
        <v>999.5</v>
      </c>
      <c r="J82" s="48"/>
    </row>
    <row r="83" spans="1:10" ht="18.75" customHeight="1" x14ac:dyDescent="0.25">
      <c r="A83" t="s">
        <v>48</v>
      </c>
      <c r="B83" s="40">
        <v>44752</v>
      </c>
      <c r="C83" s="41">
        <v>69255</v>
      </c>
      <c r="D83" s="42" t="s">
        <v>49</v>
      </c>
      <c r="E83" s="43" t="s">
        <v>50</v>
      </c>
      <c r="F83" s="41">
        <v>40013318</v>
      </c>
      <c r="G83" s="43" t="s">
        <v>111</v>
      </c>
      <c r="H83" s="42">
        <v>1</v>
      </c>
      <c r="I83" s="44">
        <v>229.75</v>
      </c>
      <c r="J83" s="48"/>
    </row>
    <row r="84" spans="1:10" ht="18.75" customHeight="1" x14ac:dyDescent="0.25">
      <c r="A84" t="s">
        <v>48</v>
      </c>
      <c r="B84" s="40">
        <v>44752</v>
      </c>
      <c r="C84" s="41">
        <v>69255</v>
      </c>
      <c r="D84" s="42" t="s">
        <v>49</v>
      </c>
      <c r="E84" s="43" t="s">
        <v>50</v>
      </c>
      <c r="F84" s="41">
        <v>40017365</v>
      </c>
      <c r="G84" s="43" t="s">
        <v>112</v>
      </c>
      <c r="H84" s="42">
        <v>1</v>
      </c>
      <c r="I84" s="44">
        <v>199.75</v>
      </c>
      <c r="J84" s="48"/>
    </row>
    <row r="85" spans="1:10" ht="18.75" customHeight="1" x14ac:dyDescent="0.25">
      <c r="A85" t="s">
        <v>48</v>
      </c>
      <c r="B85" s="40">
        <v>44752</v>
      </c>
      <c r="C85" s="41">
        <v>69255</v>
      </c>
      <c r="D85" s="42" t="s">
        <v>49</v>
      </c>
      <c r="E85" s="43" t="s">
        <v>50</v>
      </c>
      <c r="F85" s="41">
        <v>40021960</v>
      </c>
      <c r="G85" s="43" t="s">
        <v>113</v>
      </c>
      <c r="H85" s="42">
        <v>1</v>
      </c>
      <c r="I85" s="44">
        <v>229.75</v>
      </c>
      <c r="J85" s="48"/>
    </row>
    <row r="86" spans="1:10" ht="18.75" customHeight="1" x14ac:dyDescent="0.25">
      <c r="A86" t="s">
        <v>48</v>
      </c>
      <c r="B86" s="40">
        <v>44752</v>
      </c>
      <c r="C86" s="41">
        <v>69265</v>
      </c>
      <c r="D86" s="42" t="s">
        <v>49</v>
      </c>
      <c r="E86" s="43" t="s">
        <v>50</v>
      </c>
      <c r="F86" s="41">
        <v>40013878</v>
      </c>
      <c r="G86" s="43" t="s">
        <v>114</v>
      </c>
      <c r="H86" s="42">
        <v>1</v>
      </c>
      <c r="I86" s="44">
        <v>99.75</v>
      </c>
      <c r="J86" s="48"/>
    </row>
    <row r="87" spans="1:10" ht="18.75" customHeight="1" x14ac:dyDescent="0.25">
      <c r="A87" t="s">
        <v>48</v>
      </c>
      <c r="B87" s="40">
        <v>44752</v>
      </c>
      <c r="C87" s="41">
        <v>71041</v>
      </c>
      <c r="D87" s="42" t="s">
        <v>49</v>
      </c>
      <c r="E87" s="43" t="s">
        <v>50</v>
      </c>
      <c r="F87" s="41">
        <v>40020371</v>
      </c>
      <c r="G87" s="43" t="s">
        <v>115</v>
      </c>
      <c r="H87" s="42">
        <v>2</v>
      </c>
      <c r="I87" s="44">
        <v>799.5</v>
      </c>
      <c r="J87" s="48"/>
    </row>
    <row r="88" spans="1:10" ht="18.75" customHeight="1" x14ac:dyDescent="0.25">
      <c r="A88" t="s">
        <v>48</v>
      </c>
      <c r="B88" s="40">
        <v>44753</v>
      </c>
      <c r="C88" s="41">
        <v>69307</v>
      </c>
      <c r="D88" s="42" t="s">
        <v>49</v>
      </c>
      <c r="E88" s="43" t="s">
        <v>50</v>
      </c>
      <c r="F88" s="41">
        <v>40019428</v>
      </c>
      <c r="G88" s="43" t="s">
        <v>116</v>
      </c>
      <c r="H88" s="42">
        <v>1</v>
      </c>
      <c r="I88" s="44">
        <v>699.75</v>
      </c>
      <c r="J88" s="48"/>
    </row>
    <row r="89" spans="1:10" ht="18.75" customHeight="1" x14ac:dyDescent="0.25">
      <c r="A89" t="s">
        <v>48</v>
      </c>
      <c r="B89" s="40">
        <v>44753</v>
      </c>
      <c r="C89" s="41">
        <v>69458</v>
      </c>
      <c r="D89" s="42" t="s">
        <v>49</v>
      </c>
      <c r="E89" s="43" t="s">
        <v>50</v>
      </c>
      <c r="F89" s="41">
        <v>40018360</v>
      </c>
      <c r="G89" s="43" t="s">
        <v>85</v>
      </c>
      <c r="H89" s="42">
        <v>2</v>
      </c>
      <c r="I89" s="44">
        <v>299.5</v>
      </c>
      <c r="J89" s="48"/>
    </row>
    <row r="90" spans="1:10" ht="18.75" customHeight="1" x14ac:dyDescent="0.25">
      <c r="A90" t="s">
        <v>48</v>
      </c>
      <c r="B90" s="40">
        <v>44753</v>
      </c>
      <c r="C90" s="41">
        <v>52918</v>
      </c>
      <c r="D90" s="42" t="s">
        <v>49</v>
      </c>
      <c r="E90" s="43" t="s">
        <v>50</v>
      </c>
      <c r="F90" s="41">
        <v>40014667</v>
      </c>
      <c r="G90" s="43" t="s">
        <v>68</v>
      </c>
      <c r="H90" s="42">
        <v>1</v>
      </c>
      <c r="I90" s="44">
        <v>499.75</v>
      </c>
      <c r="J90" s="48"/>
    </row>
    <row r="91" spans="1:10" ht="18.75" customHeight="1" x14ac:dyDescent="0.25">
      <c r="A91" t="s">
        <v>48</v>
      </c>
      <c r="B91" s="40">
        <v>44753</v>
      </c>
      <c r="C91" s="41">
        <v>62279</v>
      </c>
      <c r="D91" s="42" t="s">
        <v>49</v>
      </c>
      <c r="E91" s="43" t="s">
        <v>50</v>
      </c>
      <c r="F91" s="41">
        <v>40017636</v>
      </c>
      <c r="G91" s="43" t="s">
        <v>117</v>
      </c>
      <c r="H91" s="42">
        <v>1</v>
      </c>
      <c r="I91" s="44">
        <v>299.75</v>
      </c>
      <c r="J91" s="48"/>
    </row>
    <row r="92" spans="1:10" ht="18.75" customHeight="1" x14ac:dyDescent="0.25">
      <c r="A92" t="s">
        <v>48</v>
      </c>
      <c r="B92" s="40">
        <v>44753</v>
      </c>
      <c r="C92" s="41">
        <v>69273</v>
      </c>
      <c r="D92" s="42" t="s">
        <v>49</v>
      </c>
      <c r="E92" s="43" t="s">
        <v>50</v>
      </c>
      <c r="F92" s="41">
        <v>40015370</v>
      </c>
      <c r="G92" s="43" t="s">
        <v>91</v>
      </c>
      <c r="H92" s="42">
        <v>1</v>
      </c>
      <c r="I92" s="44">
        <v>599.75</v>
      </c>
      <c r="J92" s="48"/>
    </row>
    <row r="93" spans="1:10" ht="18.75" customHeight="1" x14ac:dyDescent="0.25">
      <c r="A93" t="s">
        <v>48</v>
      </c>
      <c r="B93" s="40">
        <v>44753</v>
      </c>
      <c r="C93" s="41">
        <v>69273</v>
      </c>
      <c r="D93" s="42" t="s">
        <v>49</v>
      </c>
      <c r="E93" s="43" t="s">
        <v>50</v>
      </c>
      <c r="F93" s="41">
        <v>40019372</v>
      </c>
      <c r="G93" s="43" t="s">
        <v>118</v>
      </c>
      <c r="H93" s="42">
        <v>1</v>
      </c>
      <c r="I93" s="44">
        <v>1299.75</v>
      </c>
      <c r="J93" s="48"/>
    </row>
    <row r="94" spans="1:10" ht="18.75" customHeight="1" x14ac:dyDescent="0.25">
      <c r="A94" t="s">
        <v>48</v>
      </c>
      <c r="B94" s="40">
        <v>44753</v>
      </c>
      <c r="C94" s="41">
        <v>69303</v>
      </c>
      <c r="D94" s="42" t="s">
        <v>49</v>
      </c>
      <c r="E94" s="43" t="s">
        <v>50</v>
      </c>
      <c r="F94" s="41">
        <v>40014551</v>
      </c>
      <c r="G94" s="43" t="s">
        <v>119</v>
      </c>
      <c r="H94" s="42">
        <v>6</v>
      </c>
      <c r="I94" s="44">
        <v>1200</v>
      </c>
      <c r="J94" s="48"/>
    </row>
    <row r="95" spans="1:10" ht="18.75" customHeight="1" x14ac:dyDescent="0.25">
      <c r="A95" t="s">
        <v>48</v>
      </c>
      <c r="B95" s="40">
        <v>44753</v>
      </c>
      <c r="C95" s="41">
        <v>69303</v>
      </c>
      <c r="D95" s="42" t="s">
        <v>49</v>
      </c>
      <c r="E95" s="43" t="s">
        <v>50</v>
      </c>
      <c r="F95" s="41">
        <v>40014557</v>
      </c>
      <c r="G95" s="43" t="s">
        <v>119</v>
      </c>
      <c r="H95" s="42">
        <v>3</v>
      </c>
      <c r="I95" s="44">
        <v>600</v>
      </c>
      <c r="J95" s="48"/>
    </row>
    <row r="96" spans="1:10" ht="18.75" customHeight="1" x14ac:dyDescent="0.25">
      <c r="A96" t="s">
        <v>48</v>
      </c>
      <c r="B96" s="40">
        <v>44753</v>
      </c>
      <c r="C96" s="41">
        <v>69304</v>
      </c>
      <c r="D96" s="42" t="s">
        <v>49</v>
      </c>
      <c r="E96" s="43" t="s">
        <v>50</v>
      </c>
      <c r="F96" s="41">
        <v>40014612</v>
      </c>
      <c r="G96" s="43" t="s">
        <v>120</v>
      </c>
      <c r="H96" s="42">
        <v>1</v>
      </c>
      <c r="I96" s="44">
        <v>250</v>
      </c>
      <c r="J96" s="48"/>
    </row>
    <row r="97" spans="1:10" ht="18.75" customHeight="1" x14ac:dyDescent="0.25">
      <c r="A97" t="s">
        <v>48</v>
      </c>
      <c r="B97" s="40">
        <v>44753</v>
      </c>
      <c r="C97" s="41">
        <v>69307</v>
      </c>
      <c r="D97" s="42" t="s">
        <v>49</v>
      </c>
      <c r="E97" s="43" t="s">
        <v>50</v>
      </c>
      <c r="F97" s="41">
        <v>40017574</v>
      </c>
      <c r="G97" s="43" t="s">
        <v>121</v>
      </c>
      <c r="H97" s="42">
        <v>1</v>
      </c>
      <c r="I97" s="44">
        <v>399.75</v>
      </c>
      <c r="J97" s="48"/>
    </row>
    <row r="98" spans="1:10" ht="18.75" customHeight="1" x14ac:dyDescent="0.25">
      <c r="A98" t="s">
        <v>48</v>
      </c>
      <c r="B98" s="40">
        <v>44753</v>
      </c>
      <c r="C98" s="41">
        <v>69307</v>
      </c>
      <c r="D98" s="42" t="s">
        <v>49</v>
      </c>
      <c r="E98" s="43" t="s">
        <v>50</v>
      </c>
      <c r="F98" s="41">
        <v>40017493</v>
      </c>
      <c r="G98" s="43" t="s">
        <v>122</v>
      </c>
      <c r="H98" s="42">
        <v>1</v>
      </c>
      <c r="I98" s="44">
        <v>450</v>
      </c>
      <c r="J98" s="48"/>
    </row>
    <row r="99" spans="1:10" ht="18.75" customHeight="1" x14ac:dyDescent="0.25">
      <c r="A99" t="s">
        <v>48</v>
      </c>
      <c r="B99" s="40">
        <v>44754</v>
      </c>
      <c r="C99" s="41">
        <v>69321</v>
      </c>
      <c r="D99" s="42" t="s">
        <v>49</v>
      </c>
      <c r="E99" s="43" t="s">
        <v>50</v>
      </c>
      <c r="F99" s="41">
        <v>40019111</v>
      </c>
      <c r="G99" s="43" t="s">
        <v>123</v>
      </c>
      <c r="H99" s="42">
        <v>1</v>
      </c>
      <c r="I99" s="44">
        <v>329.75</v>
      </c>
      <c r="J99" s="48"/>
    </row>
    <row r="100" spans="1:10" ht="18.75" customHeight="1" x14ac:dyDescent="0.25">
      <c r="A100" t="s">
        <v>48</v>
      </c>
      <c r="B100" s="40">
        <v>44755</v>
      </c>
      <c r="C100" s="41">
        <v>69533</v>
      </c>
      <c r="D100" s="42" t="s">
        <v>49</v>
      </c>
      <c r="E100" s="43" t="s">
        <v>50</v>
      </c>
      <c r="F100" s="41">
        <v>40019134</v>
      </c>
      <c r="G100" s="43" t="s">
        <v>124</v>
      </c>
      <c r="H100" s="42">
        <v>1</v>
      </c>
      <c r="I100" s="44">
        <v>249.75</v>
      </c>
      <c r="J100" s="48"/>
    </row>
    <row r="101" spans="1:10" ht="18.75" customHeight="1" x14ac:dyDescent="0.25">
      <c r="A101" t="s">
        <v>48</v>
      </c>
      <c r="B101" s="40">
        <v>44755</v>
      </c>
      <c r="C101" s="41">
        <v>71129</v>
      </c>
      <c r="D101" s="42" t="s">
        <v>49</v>
      </c>
      <c r="E101" s="43" t="s">
        <v>50</v>
      </c>
      <c r="F101" s="41">
        <v>40013817</v>
      </c>
      <c r="G101" s="43" t="s">
        <v>125</v>
      </c>
      <c r="H101" s="42">
        <v>1</v>
      </c>
      <c r="I101" s="44">
        <v>299.75</v>
      </c>
      <c r="J101" s="48"/>
    </row>
    <row r="102" spans="1:10" ht="18.75" customHeight="1" x14ac:dyDescent="0.25">
      <c r="A102" t="s">
        <v>48</v>
      </c>
      <c r="B102" s="40">
        <v>44755</v>
      </c>
      <c r="C102" s="41">
        <v>71129</v>
      </c>
      <c r="D102" s="42" t="s">
        <v>49</v>
      </c>
      <c r="E102" s="43" t="s">
        <v>50</v>
      </c>
      <c r="F102" s="41">
        <v>40013873</v>
      </c>
      <c r="G102" s="43" t="s">
        <v>98</v>
      </c>
      <c r="H102" s="42">
        <v>1</v>
      </c>
      <c r="I102" s="44">
        <v>99.75</v>
      </c>
      <c r="J102" s="48"/>
    </row>
    <row r="103" spans="1:10" ht="18.75" customHeight="1" x14ac:dyDescent="0.25">
      <c r="A103" t="s">
        <v>48</v>
      </c>
      <c r="B103" s="40">
        <v>44755</v>
      </c>
      <c r="C103" s="41">
        <v>71129</v>
      </c>
      <c r="D103" s="42" t="s">
        <v>49</v>
      </c>
      <c r="E103" s="43" t="s">
        <v>50</v>
      </c>
      <c r="F103" s="41">
        <v>40013875</v>
      </c>
      <c r="G103" s="43" t="s">
        <v>126</v>
      </c>
      <c r="H103" s="42">
        <v>1</v>
      </c>
      <c r="I103" s="44">
        <v>99.75</v>
      </c>
      <c r="J103" s="48"/>
    </row>
    <row r="104" spans="1:10" ht="18.75" customHeight="1" x14ac:dyDescent="0.25">
      <c r="A104" t="s">
        <v>48</v>
      </c>
      <c r="B104" s="40">
        <v>44755</v>
      </c>
      <c r="C104" s="41">
        <v>71129</v>
      </c>
      <c r="D104" s="42" t="s">
        <v>49</v>
      </c>
      <c r="E104" s="43" t="s">
        <v>50</v>
      </c>
      <c r="F104" s="41">
        <v>40021272</v>
      </c>
      <c r="G104" s="43" t="s">
        <v>127</v>
      </c>
      <c r="H104" s="42">
        <v>1</v>
      </c>
      <c r="I104" s="44">
        <v>129.75</v>
      </c>
      <c r="J104" s="48"/>
    </row>
    <row r="105" spans="1:10" ht="18.75" customHeight="1" x14ac:dyDescent="0.25">
      <c r="A105" t="s">
        <v>48</v>
      </c>
      <c r="B105" s="40">
        <v>44755</v>
      </c>
      <c r="C105" s="41">
        <v>71139</v>
      </c>
      <c r="D105" s="42" t="s">
        <v>49</v>
      </c>
      <c r="E105" s="43" t="s">
        <v>50</v>
      </c>
      <c r="F105" s="41">
        <v>40019135</v>
      </c>
      <c r="G105" s="43" t="s">
        <v>128</v>
      </c>
      <c r="H105" s="42">
        <v>1</v>
      </c>
      <c r="I105" s="44">
        <v>249.75</v>
      </c>
      <c r="J105" s="48"/>
    </row>
    <row r="106" spans="1:10" ht="18.75" customHeight="1" x14ac:dyDescent="0.25">
      <c r="A106" t="s">
        <v>48</v>
      </c>
      <c r="B106" s="40">
        <v>44755</v>
      </c>
      <c r="C106" s="41">
        <v>71139</v>
      </c>
      <c r="D106" s="42" t="s">
        <v>49</v>
      </c>
      <c r="E106" s="43" t="s">
        <v>50</v>
      </c>
      <c r="F106" s="41">
        <v>40019135</v>
      </c>
      <c r="G106" s="43" t="s">
        <v>128</v>
      </c>
      <c r="H106" s="42">
        <v>1</v>
      </c>
      <c r="I106" s="44">
        <v>249.75</v>
      </c>
      <c r="J106" s="48"/>
    </row>
    <row r="107" spans="1:10" ht="18.75" customHeight="1" x14ac:dyDescent="0.25">
      <c r="A107" t="s">
        <v>48</v>
      </c>
      <c r="B107" s="40">
        <v>44756</v>
      </c>
      <c r="C107" s="41">
        <v>52959</v>
      </c>
      <c r="D107" s="42" t="s">
        <v>49</v>
      </c>
      <c r="E107" s="43" t="s">
        <v>50</v>
      </c>
      <c r="F107" s="41">
        <v>40017477</v>
      </c>
      <c r="G107" s="43" t="s">
        <v>129</v>
      </c>
      <c r="H107" s="42">
        <v>1</v>
      </c>
      <c r="I107" s="44">
        <v>599.75</v>
      </c>
      <c r="J107" s="48"/>
    </row>
    <row r="108" spans="1:10" ht="18.75" customHeight="1" x14ac:dyDescent="0.25">
      <c r="A108" t="s">
        <v>48</v>
      </c>
      <c r="B108" s="40">
        <v>44756</v>
      </c>
      <c r="C108" s="41">
        <v>52959</v>
      </c>
      <c r="D108" s="42" t="s">
        <v>49</v>
      </c>
      <c r="E108" s="43" t="s">
        <v>50</v>
      </c>
      <c r="F108" s="41">
        <v>40017478</v>
      </c>
      <c r="G108" s="43" t="s">
        <v>130</v>
      </c>
      <c r="H108" s="42">
        <v>1</v>
      </c>
      <c r="I108" s="44">
        <v>599.75</v>
      </c>
      <c r="J108" s="48"/>
    </row>
    <row r="109" spans="1:10" ht="18.75" customHeight="1" x14ac:dyDescent="0.25">
      <c r="A109" t="s">
        <v>48</v>
      </c>
      <c r="B109" s="40">
        <v>44756</v>
      </c>
      <c r="C109" s="41">
        <v>71166</v>
      </c>
      <c r="D109" s="42" t="s">
        <v>49</v>
      </c>
      <c r="E109" s="43" t="s">
        <v>50</v>
      </c>
      <c r="F109" s="41">
        <v>40017362</v>
      </c>
      <c r="G109" s="43" t="s">
        <v>131</v>
      </c>
      <c r="H109" s="42">
        <v>2</v>
      </c>
      <c r="I109" s="44">
        <v>539.5</v>
      </c>
      <c r="J109" s="48"/>
    </row>
    <row r="110" spans="1:10" ht="18.75" customHeight="1" x14ac:dyDescent="0.25">
      <c r="A110" t="s">
        <v>48</v>
      </c>
      <c r="B110" s="40">
        <v>44756</v>
      </c>
      <c r="C110" s="41">
        <v>71184</v>
      </c>
      <c r="D110" s="42" t="s">
        <v>49</v>
      </c>
      <c r="E110" s="43" t="s">
        <v>50</v>
      </c>
      <c r="F110" s="41">
        <v>40018111</v>
      </c>
      <c r="G110" s="43" t="s">
        <v>132</v>
      </c>
      <c r="H110" s="42">
        <v>1</v>
      </c>
      <c r="I110" s="44">
        <v>199.75</v>
      </c>
      <c r="J110" s="48"/>
    </row>
    <row r="111" spans="1:10" ht="18.75" customHeight="1" x14ac:dyDescent="0.25">
      <c r="A111" t="s">
        <v>48</v>
      </c>
      <c r="B111" s="40">
        <v>44756</v>
      </c>
      <c r="C111" s="41">
        <v>71184</v>
      </c>
      <c r="D111" s="42" t="s">
        <v>49</v>
      </c>
      <c r="E111" s="43" t="s">
        <v>50</v>
      </c>
      <c r="F111" s="41">
        <v>40019363</v>
      </c>
      <c r="G111" s="43" t="s">
        <v>133</v>
      </c>
      <c r="H111" s="42">
        <v>1</v>
      </c>
      <c r="I111" s="44">
        <v>179.75</v>
      </c>
      <c r="J111" s="48"/>
    </row>
    <row r="112" spans="1:10" ht="18.75" customHeight="1" x14ac:dyDescent="0.25">
      <c r="A112" t="s">
        <v>48</v>
      </c>
      <c r="B112" s="40">
        <v>44756</v>
      </c>
      <c r="C112" s="41">
        <v>69559</v>
      </c>
      <c r="D112" s="42" t="s">
        <v>49</v>
      </c>
      <c r="E112" s="43" t="s">
        <v>50</v>
      </c>
      <c r="F112" s="41">
        <v>40016863</v>
      </c>
      <c r="G112" s="43" t="s">
        <v>134</v>
      </c>
      <c r="H112" s="42">
        <v>1</v>
      </c>
      <c r="I112" s="44">
        <v>249.75</v>
      </c>
      <c r="J112" s="48"/>
    </row>
    <row r="113" spans="1:10" ht="18.75" customHeight="1" x14ac:dyDescent="0.25">
      <c r="A113" t="s">
        <v>48</v>
      </c>
      <c r="B113" s="40">
        <v>44756</v>
      </c>
      <c r="C113" s="41">
        <v>69568</v>
      </c>
      <c r="D113" s="42" t="s">
        <v>49</v>
      </c>
      <c r="E113" s="43" t="s">
        <v>50</v>
      </c>
      <c r="F113" s="41">
        <v>40013759</v>
      </c>
      <c r="G113" s="43" t="s">
        <v>135</v>
      </c>
      <c r="H113" s="42">
        <v>1</v>
      </c>
      <c r="I113" s="44">
        <v>150</v>
      </c>
      <c r="J113" s="48"/>
    </row>
    <row r="114" spans="1:10" ht="18.75" customHeight="1" x14ac:dyDescent="0.25">
      <c r="A114" t="s">
        <v>48</v>
      </c>
      <c r="B114" s="40">
        <v>44756</v>
      </c>
      <c r="C114" s="41">
        <v>71166</v>
      </c>
      <c r="D114" s="42" t="s">
        <v>49</v>
      </c>
      <c r="E114" s="43" t="s">
        <v>50</v>
      </c>
      <c r="F114" s="41">
        <v>40014507</v>
      </c>
      <c r="G114" s="43" t="s">
        <v>136</v>
      </c>
      <c r="H114" s="42">
        <v>2</v>
      </c>
      <c r="I114" s="44">
        <v>250</v>
      </c>
      <c r="J114" s="48"/>
    </row>
    <row r="115" spans="1:10" ht="18.75" customHeight="1" x14ac:dyDescent="0.25">
      <c r="A115" t="s">
        <v>48</v>
      </c>
      <c r="B115" s="40">
        <v>44757</v>
      </c>
      <c r="C115" s="41">
        <v>71241</v>
      </c>
      <c r="D115" s="42" t="s">
        <v>49</v>
      </c>
      <c r="E115" s="43" t="s">
        <v>50</v>
      </c>
      <c r="F115" s="41">
        <v>40017462</v>
      </c>
      <c r="G115" s="43" t="s">
        <v>137</v>
      </c>
      <c r="H115" s="42">
        <v>1</v>
      </c>
      <c r="I115" s="44">
        <v>719.77499999999998</v>
      </c>
      <c r="J115" s="48"/>
    </row>
    <row r="116" spans="1:10" ht="18.75" customHeight="1" x14ac:dyDescent="0.25">
      <c r="A116" t="s">
        <v>48</v>
      </c>
      <c r="B116" s="40">
        <v>44757</v>
      </c>
      <c r="C116" s="41">
        <v>71241</v>
      </c>
      <c r="D116" s="42" t="s">
        <v>49</v>
      </c>
      <c r="E116" s="43" t="s">
        <v>50</v>
      </c>
      <c r="F116" s="41">
        <v>40018257</v>
      </c>
      <c r="G116" s="43" t="s">
        <v>138</v>
      </c>
      <c r="H116" s="42">
        <v>1</v>
      </c>
      <c r="I116" s="44">
        <v>674.77499999999998</v>
      </c>
      <c r="J116" s="48"/>
    </row>
    <row r="117" spans="1:10" ht="18.75" customHeight="1" x14ac:dyDescent="0.25">
      <c r="A117" t="s">
        <v>48</v>
      </c>
      <c r="B117" s="40">
        <v>44757</v>
      </c>
      <c r="C117" s="41">
        <v>69623</v>
      </c>
      <c r="D117" s="42" t="s">
        <v>49</v>
      </c>
      <c r="E117" s="43" t="s">
        <v>50</v>
      </c>
      <c r="F117" s="41">
        <v>40017463</v>
      </c>
      <c r="G117" s="43" t="s">
        <v>105</v>
      </c>
      <c r="H117" s="42">
        <v>1</v>
      </c>
      <c r="I117" s="44">
        <v>539.77499999999998</v>
      </c>
      <c r="J117" s="48"/>
    </row>
    <row r="118" spans="1:10" ht="18.75" customHeight="1" x14ac:dyDescent="0.25">
      <c r="A118" t="s">
        <v>48</v>
      </c>
      <c r="B118" s="40">
        <v>44757</v>
      </c>
      <c r="C118" s="41">
        <v>69479</v>
      </c>
      <c r="D118" s="42" t="s">
        <v>49</v>
      </c>
      <c r="E118" s="43" t="s">
        <v>50</v>
      </c>
      <c r="F118" s="41">
        <v>40019148</v>
      </c>
      <c r="G118" s="43" t="s">
        <v>59</v>
      </c>
      <c r="H118" s="42">
        <v>1</v>
      </c>
      <c r="I118" s="44">
        <v>399.75</v>
      </c>
      <c r="J118" s="48"/>
    </row>
    <row r="119" spans="1:10" ht="18.75" customHeight="1" x14ac:dyDescent="0.25">
      <c r="A119" t="s">
        <v>48</v>
      </c>
      <c r="B119" s="40">
        <v>44757</v>
      </c>
      <c r="C119" s="41">
        <v>69479</v>
      </c>
      <c r="D119" s="42" t="s">
        <v>49</v>
      </c>
      <c r="E119" s="43" t="s">
        <v>50</v>
      </c>
      <c r="F119" s="41">
        <v>40019150</v>
      </c>
      <c r="G119" s="43" t="s">
        <v>139</v>
      </c>
      <c r="H119" s="42">
        <v>1</v>
      </c>
      <c r="I119" s="44">
        <v>399.75</v>
      </c>
      <c r="J119" s="48"/>
    </row>
    <row r="120" spans="1:10" ht="18.75" customHeight="1" x14ac:dyDescent="0.25">
      <c r="A120" t="s">
        <v>48</v>
      </c>
      <c r="B120" s="40">
        <v>44757</v>
      </c>
      <c r="C120" s="41">
        <v>69621</v>
      </c>
      <c r="D120" s="42" t="s">
        <v>49</v>
      </c>
      <c r="E120" s="43" t="s">
        <v>50</v>
      </c>
      <c r="F120" s="41">
        <v>40015615</v>
      </c>
      <c r="G120" s="43" t="s">
        <v>140</v>
      </c>
      <c r="H120" s="42">
        <v>1</v>
      </c>
      <c r="I120" s="44">
        <v>449.75</v>
      </c>
      <c r="J120" s="48"/>
    </row>
    <row r="121" spans="1:10" ht="18.75" customHeight="1" x14ac:dyDescent="0.25">
      <c r="A121" t="s">
        <v>48</v>
      </c>
      <c r="B121" s="40">
        <v>44757</v>
      </c>
      <c r="C121" s="41">
        <v>69621</v>
      </c>
      <c r="D121" s="42" t="s">
        <v>49</v>
      </c>
      <c r="E121" s="43" t="s">
        <v>50</v>
      </c>
      <c r="F121" s="41">
        <v>40015621</v>
      </c>
      <c r="G121" s="43" t="s">
        <v>55</v>
      </c>
      <c r="H121" s="42">
        <v>1</v>
      </c>
      <c r="I121" s="44">
        <v>499.75</v>
      </c>
      <c r="J121" s="48"/>
    </row>
    <row r="122" spans="1:10" ht="18.75" customHeight="1" x14ac:dyDescent="0.25">
      <c r="A122" t="s">
        <v>48</v>
      </c>
      <c r="B122" s="40">
        <v>44757</v>
      </c>
      <c r="C122" s="41">
        <v>69623</v>
      </c>
      <c r="D122" s="42" t="s">
        <v>49</v>
      </c>
      <c r="E122" s="43" t="s">
        <v>50</v>
      </c>
      <c r="F122" s="41">
        <v>40017502</v>
      </c>
      <c r="G122" s="43" t="s">
        <v>141</v>
      </c>
      <c r="H122" s="42">
        <v>1</v>
      </c>
      <c r="I122" s="44">
        <v>450</v>
      </c>
      <c r="J122" s="48"/>
    </row>
    <row r="123" spans="1:10" ht="18.75" customHeight="1" x14ac:dyDescent="0.25">
      <c r="A123" t="s">
        <v>48</v>
      </c>
      <c r="B123" s="40">
        <v>44757</v>
      </c>
      <c r="C123" s="41">
        <v>71221</v>
      </c>
      <c r="D123" s="42" t="s">
        <v>49</v>
      </c>
      <c r="E123" s="43" t="s">
        <v>50</v>
      </c>
      <c r="F123" s="41">
        <v>40013799</v>
      </c>
      <c r="G123" s="43" t="s">
        <v>142</v>
      </c>
      <c r="H123" s="42">
        <v>1</v>
      </c>
      <c r="I123" s="44">
        <v>79.75</v>
      </c>
      <c r="J123" s="48"/>
    </row>
    <row r="124" spans="1:10" ht="18.75" customHeight="1" x14ac:dyDescent="0.25">
      <c r="A124" t="s">
        <v>48</v>
      </c>
      <c r="B124" s="40">
        <v>44757</v>
      </c>
      <c r="C124" s="41">
        <v>71221</v>
      </c>
      <c r="D124" s="42" t="s">
        <v>49</v>
      </c>
      <c r="E124" s="43" t="s">
        <v>50</v>
      </c>
      <c r="F124" s="41">
        <v>40013803</v>
      </c>
      <c r="G124" s="43" t="s">
        <v>143</v>
      </c>
      <c r="H124" s="42">
        <v>1</v>
      </c>
      <c r="I124" s="44">
        <v>79.75</v>
      </c>
      <c r="J124" s="48"/>
    </row>
    <row r="125" spans="1:10" ht="18.75" customHeight="1" x14ac:dyDescent="0.25">
      <c r="A125" t="s">
        <v>48</v>
      </c>
      <c r="B125" s="40">
        <v>44757</v>
      </c>
      <c r="C125" s="41">
        <v>71221</v>
      </c>
      <c r="D125" s="42" t="s">
        <v>49</v>
      </c>
      <c r="E125" s="43" t="s">
        <v>50</v>
      </c>
      <c r="F125" s="41">
        <v>40013800</v>
      </c>
      <c r="G125" s="43" t="s">
        <v>144</v>
      </c>
      <c r="H125" s="42">
        <v>1</v>
      </c>
      <c r="I125" s="44">
        <v>79.75</v>
      </c>
      <c r="J125" s="48"/>
    </row>
    <row r="126" spans="1:10" ht="18.75" customHeight="1" x14ac:dyDescent="0.25">
      <c r="A126" t="s">
        <v>48</v>
      </c>
      <c r="B126" s="40">
        <v>44757</v>
      </c>
      <c r="C126" s="41">
        <v>71241</v>
      </c>
      <c r="D126" s="42" t="s">
        <v>49</v>
      </c>
      <c r="E126" s="43" t="s">
        <v>50</v>
      </c>
      <c r="F126" s="41">
        <v>40017505</v>
      </c>
      <c r="G126" s="43" t="s">
        <v>145</v>
      </c>
      <c r="H126" s="42">
        <v>1</v>
      </c>
      <c r="I126" s="44">
        <v>300</v>
      </c>
      <c r="J126" s="48"/>
    </row>
    <row r="127" spans="1:10" ht="18.75" customHeight="1" x14ac:dyDescent="0.25">
      <c r="A127" t="s">
        <v>48</v>
      </c>
      <c r="B127" s="40">
        <v>44757</v>
      </c>
      <c r="C127" s="41">
        <v>71241</v>
      </c>
      <c r="D127" s="42" t="s">
        <v>49</v>
      </c>
      <c r="E127" s="43" t="s">
        <v>50</v>
      </c>
      <c r="F127" s="41">
        <v>40014690</v>
      </c>
      <c r="G127" s="43" t="s">
        <v>146</v>
      </c>
      <c r="H127" s="42">
        <v>1</v>
      </c>
      <c r="I127" s="44">
        <v>199.75</v>
      </c>
      <c r="J127" s="48"/>
    </row>
    <row r="128" spans="1:10" ht="18.75" customHeight="1" x14ac:dyDescent="0.25">
      <c r="A128" t="s">
        <v>48</v>
      </c>
      <c r="B128" s="40">
        <v>44757</v>
      </c>
      <c r="C128" s="41">
        <v>71241</v>
      </c>
      <c r="D128" s="42" t="s">
        <v>49</v>
      </c>
      <c r="E128" s="43" t="s">
        <v>50</v>
      </c>
      <c r="F128" s="41">
        <v>40012990</v>
      </c>
      <c r="G128" s="43" t="s">
        <v>147</v>
      </c>
      <c r="H128" s="42">
        <v>1</v>
      </c>
      <c r="I128" s="44">
        <v>199.75</v>
      </c>
      <c r="J128" s="48"/>
    </row>
    <row r="129" spans="1:10" ht="18.75" customHeight="1" x14ac:dyDescent="0.25">
      <c r="A129" t="s">
        <v>48</v>
      </c>
      <c r="B129" s="40">
        <v>44757</v>
      </c>
      <c r="C129" s="41">
        <v>71241</v>
      </c>
      <c r="D129" s="42" t="s">
        <v>49</v>
      </c>
      <c r="E129" s="43" t="s">
        <v>50</v>
      </c>
      <c r="F129" s="41">
        <v>40017506</v>
      </c>
      <c r="G129" s="43" t="s">
        <v>148</v>
      </c>
      <c r="H129" s="42">
        <v>1</v>
      </c>
      <c r="I129" s="44">
        <v>300</v>
      </c>
      <c r="J129" s="48"/>
    </row>
    <row r="130" spans="1:10" ht="18.75" customHeight="1" x14ac:dyDescent="0.25">
      <c r="A130" t="s">
        <v>48</v>
      </c>
      <c r="B130" s="40">
        <v>44757</v>
      </c>
      <c r="C130" s="41">
        <v>71241</v>
      </c>
      <c r="D130" s="42" t="s">
        <v>49</v>
      </c>
      <c r="E130" s="43" t="s">
        <v>50</v>
      </c>
      <c r="F130" s="41">
        <v>40019102</v>
      </c>
      <c r="G130" s="43" t="s">
        <v>149</v>
      </c>
      <c r="H130" s="42">
        <v>2</v>
      </c>
      <c r="I130" s="44">
        <v>2999.5</v>
      </c>
      <c r="J130" s="48"/>
    </row>
    <row r="131" spans="1:10" ht="18.75" customHeight="1" x14ac:dyDescent="0.25">
      <c r="A131" t="s">
        <v>48</v>
      </c>
      <c r="B131" s="40">
        <v>44757</v>
      </c>
      <c r="C131" s="41">
        <v>71241</v>
      </c>
      <c r="D131" s="42" t="s">
        <v>49</v>
      </c>
      <c r="E131" s="43" t="s">
        <v>50</v>
      </c>
      <c r="F131" s="41">
        <v>40019101</v>
      </c>
      <c r="G131" s="43" t="s">
        <v>150</v>
      </c>
      <c r="H131" s="42">
        <v>2</v>
      </c>
      <c r="I131" s="44">
        <v>2999.5</v>
      </c>
      <c r="J131" s="48"/>
    </row>
    <row r="132" spans="1:10" ht="18.75" customHeight="1" x14ac:dyDescent="0.25">
      <c r="A132" t="s">
        <v>48</v>
      </c>
      <c r="B132" s="40">
        <v>44757</v>
      </c>
      <c r="C132" s="41">
        <v>71241</v>
      </c>
      <c r="D132" s="42" t="s">
        <v>49</v>
      </c>
      <c r="E132" s="43" t="s">
        <v>50</v>
      </c>
      <c r="F132" s="41">
        <v>40017844</v>
      </c>
      <c r="G132" s="43" t="s">
        <v>151</v>
      </c>
      <c r="H132" s="42">
        <v>1</v>
      </c>
      <c r="I132" s="44">
        <v>199.75</v>
      </c>
      <c r="J132" s="48"/>
    </row>
    <row r="133" spans="1:10" ht="18.75" customHeight="1" x14ac:dyDescent="0.25">
      <c r="A133" t="s">
        <v>48</v>
      </c>
      <c r="B133" s="40">
        <v>44757</v>
      </c>
      <c r="C133" s="41">
        <v>71241</v>
      </c>
      <c r="D133" s="42" t="s">
        <v>49</v>
      </c>
      <c r="E133" s="43" t="s">
        <v>50</v>
      </c>
      <c r="F133" s="41">
        <v>40019100</v>
      </c>
      <c r="G133" s="43" t="s">
        <v>152</v>
      </c>
      <c r="H133" s="42">
        <v>2</v>
      </c>
      <c r="I133" s="44">
        <v>2999.5</v>
      </c>
      <c r="J133" s="48"/>
    </row>
    <row r="134" spans="1:10" ht="18.75" customHeight="1" x14ac:dyDescent="0.25">
      <c r="A134" t="s">
        <v>48</v>
      </c>
      <c r="B134" s="40">
        <v>44758</v>
      </c>
      <c r="C134" s="41">
        <v>62345</v>
      </c>
      <c r="D134" s="42" t="s">
        <v>49</v>
      </c>
      <c r="E134" s="43" t="s">
        <v>50</v>
      </c>
      <c r="F134" s="41">
        <v>40017460</v>
      </c>
      <c r="G134" s="43" t="s">
        <v>153</v>
      </c>
      <c r="H134" s="42">
        <v>1</v>
      </c>
      <c r="I134" s="44">
        <v>539.77499999999998</v>
      </c>
      <c r="J134" s="48"/>
    </row>
    <row r="135" spans="1:10" ht="18.75" customHeight="1" x14ac:dyDescent="0.25">
      <c r="A135" t="s">
        <v>48</v>
      </c>
      <c r="B135" s="40">
        <v>44758</v>
      </c>
      <c r="C135" s="41">
        <v>62345</v>
      </c>
      <c r="D135" s="42" t="s">
        <v>49</v>
      </c>
      <c r="E135" s="43" t="s">
        <v>50</v>
      </c>
      <c r="F135" s="41">
        <v>40017901</v>
      </c>
      <c r="G135" s="43" t="s">
        <v>154</v>
      </c>
      <c r="H135" s="42">
        <v>1</v>
      </c>
      <c r="I135" s="44">
        <v>539.77499999999998</v>
      </c>
      <c r="J135" s="48"/>
    </row>
    <row r="136" spans="1:10" ht="18.75" customHeight="1" x14ac:dyDescent="0.25">
      <c r="A136" t="s">
        <v>48</v>
      </c>
      <c r="B136" s="40">
        <v>44758</v>
      </c>
      <c r="C136" s="41">
        <v>62345</v>
      </c>
      <c r="D136" s="42" t="s">
        <v>49</v>
      </c>
      <c r="E136" s="43" t="s">
        <v>50</v>
      </c>
      <c r="F136" s="41">
        <v>40017585</v>
      </c>
      <c r="G136" s="43" t="s">
        <v>155</v>
      </c>
      <c r="H136" s="42">
        <v>1</v>
      </c>
      <c r="I136" s="44">
        <v>449.77500000000003</v>
      </c>
      <c r="J136" s="48"/>
    </row>
    <row r="137" spans="1:10" ht="18.75" customHeight="1" x14ac:dyDescent="0.25">
      <c r="A137" t="s">
        <v>48</v>
      </c>
      <c r="B137" s="40">
        <v>44758</v>
      </c>
      <c r="C137" s="41">
        <v>62345</v>
      </c>
      <c r="D137" s="42" t="s">
        <v>49</v>
      </c>
      <c r="E137" s="43" t="s">
        <v>50</v>
      </c>
      <c r="F137" s="41">
        <v>40019392</v>
      </c>
      <c r="G137" s="43" t="s">
        <v>156</v>
      </c>
      <c r="H137" s="42">
        <v>1</v>
      </c>
      <c r="I137" s="44">
        <v>269.77500000000003</v>
      </c>
      <c r="J137" s="48"/>
    </row>
    <row r="138" spans="1:10" ht="18.75" customHeight="1" x14ac:dyDescent="0.25">
      <c r="A138" t="s">
        <v>48</v>
      </c>
      <c r="B138" s="40">
        <v>44758</v>
      </c>
      <c r="C138" s="41">
        <v>62345</v>
      </c>
      <c r="D138" s="42" t="s">
        <v>49</v>
      </c>
      <c r="E138" s="43" t="s">
        <v>50</v>
      </c>
      <c r="F138" s="41">
        <v>40016865</v>
      </c>
      <c r="G138" s="43" t="s">
        <v>157</v>
      </c>
      <c r="H138" s="42">
        <v>1</v>
      </c>
      <c r="I138" s="44">
        <v>599.75</v>
      </c>
      <c r="J138" s="48"/>
    </row>
    <row r="139" spans="1:10" ht="18.75" customHeight="1" x14ac:dyDescent="0.25">
      <c r="A139" t="s">
        <v>48</v>
      </c>
      <c r="B139" s="40">
        <v>44758</v>
      </c>
      <c r="C139" s="41">
        <v>62345</v>
      </c>
      <c r="D139" s="42" t="s">
        <v>49</v>
      </c>
      <c r="E139" s="43" t="s">
        <v>50</v>
      </c>
      <c r="F139" s="41">
        <v>40017563</v>
      </c>
      <c r="G139" s="43" t="s">
        <v>158</v>
      </c>
      <c r="H139" s="42">
        <v>1</v>
      </c>
      <c r="I139" s="44">
        <v>225</v>
      </c>
      <c r="J139" s="48"/>
    </row>
    <row r="140" spans="1:10" ht="18.75" customHeight="1" x14ac:dyDescent="0.25">
      <c r="A140" t="s">
        <v>48</v>
      </c>
      <c r="B140" s="40">
        <v>44758</v>
      </c>
      <c r="C140" s="41">
        <v>62355</v>
      </c>
      <c r="D140" s="42" t="s">
        <v>49</v>
      </c>
      <c r="E140" s="43" t="s">
        <v>50</v>
      </c>
      <c r="F140" s="41">
        <v>40019096</v>
      </c>
      <c r="G140" s="43" t="s">
        <v>159</v>
      </c>
      <c r="H140" s="42">
        <v>1</v>
      </c>
      <c r="I140" s="44">
        <v>699.75</v>
      </c>
      <c r="J140" s="48"/>
    </row>
    <row r="141" spans="1:10" ht="18.75" customHeight="1" x14ac:dyDescent="0.25">
      <c r="A141" t="s">
        <v>48</v>
      </c>
      <c r="B141" s="40">
        <v>44758</v>
      </c>
      <c r="C141" s="41">
        <v>69493</v>
      </c>
      <c r="D141" s="42" t="s">
        <v>49</v>
      </c>
      <c r="E141" s="43" t="s">
        <v>50</v>
      </c>
      <c r="F141" s="41">
        <v>40015614</v>
      </c>
      <c r="G141" s="43" t="s">
        <v>160</v>
      </c>
      <c r="H141" s="42">
        <v>1</v>
      </c>
      <c r="I141" s="44">
        <v>449.75</v>
      </c>
      <c r="J141" s="48"/>
    </row>
    <row r="142" spans="1:10" ht="18.75" customHeight="1" x14ac:dyDescent="0.25">
      <c r="A142" t="s">
        <v>48</v>
      </c>
      <c r="B142" s="40">
        <v>44758</v>
      </c>
      <c r="C142" s="41">
        <v>71271</v>
      </c>
      <c r="D142" s="42" t="s">
        <v>49</v>
      </c>
      <c r="E142" s="43" t="s">
        <v>50</v>
      </c>
      <c r="F142" s="41">
        <v>40019098</v>
      </c>
      <c r="G142" s="43" t="s">
        <v>161</v>
      </c>
      <c r="H142" s="42">
        <v>1</v>
      </c>
      <c r="I142" s="44">
        <v>699.75</v>
      </c>
      <c r="J142" s="48"/>
    </row>
    <row r="143" spans="1:10" ht="18.75" customHeight="1" x14ac:dyDescent="0.25">
      <c r="A143" t="s">
        <v>48</v>
      </c>
      <c r="B143" s="40">
        <v>44758</v>
      </c>
      <c r="C143" s="41">
        <v>71275</v>
      </c>
      <c r="D143" s="42" t="s">
        <v>49</v>
      </c>
      <c r="E143" s="43" t="s">
        <v>50</v>
      </c>
      <c r="F143" s="41">
        <v>40019138</v>
      </c>
      <c r="G143" s="43" t="s">
        <v>162</v>
      </c>
      <c r="H143" s="42">
        <v>1</v>
      </c>
      <c r="I143" s="44">
        <v>249.75</v>
      </c>
      <c r="J143" s="48"/>
    </row>
    <row r="144" spans="1:10" ht="18.75" customHeight="1" x14ac:dyDescent="0.25">
      <c r="A144" t="s">
        <v>48</v>
      </c>
      <c r="B144" s="40">
        <v>44758</v>
      </c>
      <c r="C144" s="41">
        <v>71275</v>
      </c>
      <c r="D144" s="42" t="s">
        <v>49</v>
      </c>
      <c r="E144" s="43" t="s">
        <v>50</v>
      </c>
      <c r="F144" s="41">
        <v>40018593</v>
      </c>
      <c r="G144" s="43" t="s">
        <v>163</v>
      </c>
      <c r="H144" s="42">
        <v>1</v>
      </c>
      <c r="I144" s="44">
        <v>999.75</v>
      </c>
      <c r="J144" s="48"/>
    </row>
    <row r="145" spans="1:10" ht="18.75" customHeight="1" x14ac:dyDescent="0.25">
      <c r="A145" t="s">
        <v>48</v>
      </c>
      <c r="B145" s="40">
        <v>44759</v>
      </c>
      <c r="C145" s="41">
        <v>62377</v>
      </c>
      <c r="D145" s="42" t="s">
        <v>49</v>
      </c>
      <c r="E145" s="43" t="s">
        <v>50</v>
      </c>
      <c r="F145" s="41">
        <v>40018256</v>
      </c>
      <c r="G145" s="43" t="s">
        <v>60</v>
      </c>
      <c r="H145" s="42">
        <v>1</v>
      </c>
      <c r="I145" s="44">
        <v>1349.7750000000001</v>
      </c>
      <c r="J145" s="48"/>
    </row>
    <row r="146" spans="1:10" ht="18.75" customHeight="1" x14ac:dyDescent="0.25">
      <c r="A146" t="s">
        <v>48</v>
      </c>
      <c r="B146" s="40">
        <v>44759</v>
      </c>
      <c r="C146" s="41">
        <v>62377</v>
      </c>
      <c r="D146" s="42" t="s">
        <v>49</v>
      </c>
      <c r="E146" s="43" t="s">
        <v>50</v>
      </c>
      <c r="F146" s="41">
        <v>40018254</v>
      </c>
      <c r="G146" s="43" t="s">
        <v>164</v>
      </c>
      <c r="H146" s="42">
        <v>1</v>
      </c>
      <c r="I146" s="44">
        <v>449.77500000000003</v>
      </c>
      <c r="J146" s="48"/>
    </row>
    <row r="147" spans="1:10" ht="18.75" customHeight="1" x14ac:dyDescent="0.25">
      <c r="A147" t="s">
        <v>48</v>
      </c>
      <c r="B147" s="40">
        <v>44759</v>
      </c>
      <c r="C147" s="41">
        <v>71327</v>
      </c>
      <c r="D147" s="42" t="s">
        <v>49</v>
      </c>
      <c r="E147" s="43" t="s">
        <v>50</v>
      </c>
      <c r="F147" s="41">
        <v>40017354</v>
      </c>
      <c r="G147" s="43" t="s">
        <v>101</v>
      </c>
      <c r="H147" s="42">
        <v>1</v>
      </c>
      <c r="I147" s="44">
        <v>242.77500000000001</v>
      </c>
      <c r="J147" s="48"/>
    </row>
    <row r="148" spans="1:10" ht="18.75" customHeight="1" x14ac:dyDescent="0.25">
      <c r="A148" t="s">
        <v>48</v>
      </c>
      <c r="B148" s="40">
        <v>44759</v>
      </c>
      <c r="C148" s="41">
        <v>53102</v>
      </c>
      <c r="D148" s="42" t="s">
        <v>49</v>
      </c>
      <c r="E148" s="43" t="s">
        <v>50</v>
      </c>
      <c r="F148" s="41">
        <v>40013872</v>
      </c>
      <c r="G148" s="43" t="s">
        <v>57</v>
      </c>
      <c r="H148" s="42">
        <v>1</v>
      </c>
      <c r="I148" s="44">
        <v>99.75</v>
      </c>
      <c r="J148" s="48"/>
    </row>
    <row r="149" spans="1:10" ht="18.75" customHeight="1" x14ac:dyDescent="0.25">
      <c r="A149" t="s">
        <v>48</v>
      </c>
      <c r="B149" s="40">
        <v>44759</v>
      </c>
      <c r="C149" s="41">
        <v>62391</v>
      </c>
      <c r="D149" s="42" t="s">
        <v>49</v>
      </c>
      <c r="E149" s="43" t="s">
        <v>50</v>
      </c>
      <c r="F149" s="41">
        <v>40018298</v>
      </c>
      <c r="G149" s="43" t="s">
        <v>165</v>
      </c>
      <c r="H149" s="42">
        <v>1</v>
      </c>
      <c r="I149" s="44">
        <v>249.75</v>
      </c>
      <c r="J149" s="48"/>
    </row>
    <row r="150" spans="1:10" ht="18.75" customHeight="1" x14ac:dyDescent="0.25">
      <c r="A150" t="s">
        <v>48</v>
      </c>
      <c r="B150" s="40">
        <v>44759</v>
      </c>
      <c r="C150" s="41">
        <v>62391</v>
      </c>
      <c r="D150" s="42" t="s">
        <v>49</v>
      </c>
      <c r="E150" s="43" t="s">
        <v>50</v>
      </c>
      <c r="F150" s="41">
        <v>40018834</v>
      </c>
      <c r="G150" s="43" t="s">
        <v>82</v>
      </c>
      <c r="H150" s="42">
        <v>1</v>
      </c>
      <c r="I150" s="44">
        <v>199.75</v>
      </c>
      <c r="J150" s="48"/>
    </row>
    <row r="151" spans="1:10" ht="18.75" customHeight="1" x14ac:dyDescent="0.25">
      <c r="A151" t="s">
        <v>48</v>
      </c>
      <c r="B151" s="40">
        <v>44759</v>
      </c>
      <c r="C151" s="41">
        <v>71316</v>
      </c>
      <c r="D151" s="42" t="s">
        <v>49</v>
      </c>
      <c r="E151" s="43" t="s">
        <v>50</v>
      </c>
      <c r="F151" s="41">
        <v>40017638</v>
      </c>
      <c r="G151" s="43" t="s">
        <v>166</v>
      </c>
      <c r="H151" s="42">
        <v>1</v>
      </c>
      <c r="I151" s="44">
        <v>249.75</v>
      </c>
      <c r="J151" s="48"/>
    </row>
    <row r="152" spans="1:10" ht="18.75" customHeight="1" x14ac:dyDescent="0.25">
      <c r="A152" t="s">
        <v>48</v>
      </c>
      <c r="B152" s="40">
        <v>44759</v>
      </c>
      <c r="C152" s="41">
        <v>71327</v>
      </c>
      <c r="D152" s="42" t="s">
        <v>49</v>
      </c>
      <c r="E152" s="43" t="s">
        <v>50</v>
      </c>
      <c r="F152" s="41">
        <v>40013971</v>
      </c>
      <c r="G152" s="43" t="s">
        <v>167</v>
      </c>
      <c r="H152" s="42">
        <v>1</v>
      </c>
      <c r="I152" s="44">
        <v>150</v>
      </c>
      <c r="J152" s="48"/>
    </row>
    <row r="153" spans="1:10" ht="18.75" customHeight="1" x14ac:dyDescent="0.25">
      <c r="A153" t="s">
        <v>48</v>
      </c>
      <c r="B153" s="40">
        <v>44760</v>
      </c>
      <c r="C153" s="41">
        <v>69692</v>
      </c>
      <c r="D153" s="42" t="s">
        <v>49</v>
      </c>
      <c r="E153" s="43" t="s">
        <v>50</v>
      </c>
      <c r="F153" s="41">
        <v>40018254</v>
      </c>
      <c r="G153" s="43" t="s">
        <v>164</v>
      </c>
      <c r="H153" s="42">
        <v>1</v>
      </c>
      <c r="I153" s="44">
        <v>499.75</v>
      </c>
      <c r="J153" s="48"/>
    </row>
    <row r="154" spans="1:10" ht="18.75" customHeight="1" x14ac:dyDescent="0.25">
      <c r="A154" t="s">
        <v>48</v>
      </c>
      <c r="B154" s="40">
        <v>44760</v>
      </c>
      <c r="C154" s="41">
        <v>53155</v>
      </c>
      <c r="D154" s="42" t="s">
        <v>49</v>
      </c>
      <c r="E154" s="43" t="s">
        <v>50</v>
      </c>
      <c r="F154" s="41">
        <v>40019143</v>
      </c>
      <c r="G154" s="43" t="s">
        <v>168</v>
      </c>
      <c r="H154" s="42">
        <v>1</v>
      </c>
      <c r="I154" s="44">
        <v>449.75</v>
      </c>
      <c r="J154" s="48"/>
    </row>
    <row r="155" spans="1:10" ht="18.75" customHeight="1" x14ac:dyDescent="0.25">
      <c r="A155" t="s">
        <v>48</v>
      </c>
      <c r="B155" s="40">
        <v>44760</v>
      </c>
      <c r="C155" s="41">
        <v>53155</v>
      </c>
      <c r="D155" s="42" t="s">
        <v>49</v>
      </c>
      <c r="E155" s="43" t="s">
        <v>50</v>
      </c>
      <c r="F155" s="41">
        <v>40019146</v>
      </c>
      <c r="G155" s="43" t="s">
        <v>169</v>
      </c>
      <c r="H155" s="42">
        <v>1</v>
      </c>
      <c r="I155" s="44">
        <v>399.75</v>
      </c>
      <c r="J155" s="48"/>
    </row>
    <row r="156" spans="1:10" ht="18.75" customHeight="1" x14ac:dyDescent="0.25">
      <c r="A156" t="s">
        <v>48</v>
      </c>
      <c r="B156" s="40">
        <v>44760</v>
      </c>
      <c r="C156" s="41">
        <v>69693</v>
      </c>
      <c r="D156" s="42" t="s">
        <v>49</v>
      </c>
      <c r="E156" s="43" t="s">
        <v>50</v>
      </c>
      <c r="F156" s="41">
        <v>40021268</v>
      </c>
      <c r="G156" s="43" t="s">
        <v>170</v>
      </c>
      <c r="H156" s="42">
        <v>1</v>
      </c>
      <c r="I156" s="44">
        <v>129.75</v>
      </c>
      <c r="J156" s="48"/>
    </row>
    <row r="157" spans="1:10" ht="18.75" customHeight="1" x14ac:dyDescent="0.25">
      <c r="A157" t="s">
        <v>48</v>
      </c>
      <c r="B157" s="40">
        <v>44760</v>
      </c>
      <c r="C157" s="41">
        <v>71373</v>
      </c>
      <c r="D157" s="42" t="s">
        <v>49</v>
      </c>
      <c r="E157" s="43" t="s">
        <v>50</v>
      </c>
      <c r="F157" s="41">
        <v>40014688</v>
      </c>
      <c r="G157" s="43" t="s">
        <v>146</v>
      </c>
      <c r="H157" s="42">
        <v>1</v>
      </c>
      <c r="I157" s="44">
        <v>199.75</v>
      </c>
      <c r="J157" s="48"/>
    </row>
    <row r="158" spans="1:10" ht="18.75" customHeight="1" x14ac:dyDescent="0.25">
      <c r="A158" t="s">
        <v>48</v>
      </c>
      <c r="B158" s="40">
        <v>44760</v>
      </c>
      <c r="C158" s="41">
        <v>71373</v>
      </c>
      <c r="D158" s="42" t="s">
        <v>49</v>
      </c>
      <c r="E158" s="43" t="s">
        <v>50</v>
      </c>
      <c r="F158" s="41">
        <v>40014690</v>
      </c>
      <c r="G158" s="43" t="s">
        <v>146</v>
      </c>
      <c r="H158" s="42">
        <v>1</v>
      </c>
      <c r="I158" s="44">
        <v>199.75</v>
      </c>
      <c r="J158" s="48"/>
    </row>
    <row r="159" spans="1:10" ht="18.75" customHeight="1" x14ac:dyDescent="0.25">
      <c r="A159" t="s">
        <v>48</v>
      </c>
      <c r="B159" s="40">
        <v>44761</v>
      </c>
      <c r="C159" s="41">
        <v>53158</v>
      </c>
      <c r="D159" s="42" t="s">
        <v>49</v>
      </c>
      <c r="E159" s="43" t="s">
        <v>50</v>
      </c>
      <c r="F159" s="41">
        <v>40017636</v>
      </c>
      <c r="G159" s="43" t="s">
        <v>117</v>
      </c>
      <c r="H159" s="42">
        <v>1</v>
      </c>
      <c r="I159" s="44">
        <v>299.75</v>
      </c>
      <c r="J159" s="48"/>
    </row>
    <row r="160" spans="1:10" ht="18.75" customHeight="1" x14ac:dyDescent="0.25">
      <c r="A160" t="s">
        <v>48</v>
      </c>
      <c r="B160" s="40">
        <v>44761</v>
      </c>
      <c r="C160" s="41">
        <v>62465</v>
      </c>
      <c r="D160" s="42" t="s">
        <v>49</v>
      </c>
      <c r="E160" s="43" t="s">
        <v>50</v>
      </c>
      <c r="F160" s="41">
        <v>40016885</v>
      </c>
      <c r="G160" s="43" t="s">
        <v>171</v>
      </c>
      <c r="H160" s="42">
        <v>2</v>
      </c>
      <c r="I160" s="44">
        <v>1098</v>
      </c>
      <c r="J160" s="48"/>
    </row>
    <row r="161" spans="1:10" ht="18.75" customHeight="1" x14ac:dyDescent="0.25">
      <c r="A161" t="s">
        <v>48</v>
      </c>
      <c r="B161" s="40">
        <v>44761</v>
      </c>
      <c r="C161" s="41">
        <v>69605</v>
      </c>
      <c r="D161" s="42" t="s">
        <v>49</v>
      </c>
      <c r="E161" s="43" t="s">
        <v>50</v>
      </c>
      <c r="F161" s="41">
        <v>40013730</v>
      </c>
      <c r="G161" s="43" t="s">
        <v>172</v>
      </c>
      <c r="H161" s="42">
        <v>1</v>
      </c>
      <c r="I161" s="44">
        <v>399.75</v>
      </c>
      <c r="J161" s="48"/>
    </row>
    <row r="162" spans="1:10" ht="18.75" customHeight="1" x14ac:dyDescent="0.25">
      <c r="A162" t="s">
        <v>48</v>
      </c>
      <c r="B162" s="40">
        <v>44762</v>
      </c>
      <c r="C162" s="41">
        <v>69632</v>
      </c>
      <c r="D162" s="42" t="s">
        <v>49</v>
      </c>
      <c r="E162" s="43" t="s">
        <v>50</v>
      </c>
      <c r="F162" s="41">
        <v>40015622</v>
      </c>
      <c r="G162" s="43" t="s">
        <v>55</v>
      </c>
      <c r="H162" s="42">
        <v>1</v>
      </c>
      <c r="I162" s="44">
        <v>499.75</v>
      </c>
      <c r="J162" s="48"/>
    </row>
    <row r="163" spans="1:10" ht="18.75" customHeight="1" x14ac:dyDescent="0.25">
      <c r="A163" t="s">
        <v>48</v>
      </c>
      <c r="B163" s="40">
        <v>44762</v>
      </c>
      <c r="C163" s="41">
        <v>69743</v>
      </c>
      <c r="D163" s="42" t="s">
        <v>49</v>
      </c>
      <c r="E163" s="43" t="s">
        <v>50</v>
      </c>
      <c r="F163" s="41">
        <v>40013816</v>
      </c>
      <c r="G163" s="43" t="s">
        <v>81</v>
      </c>
      <c r="H163" s="42">
        <v>1</v>
      </c>
      <c r="I163" s="44">
        <v>299.75</v>
      </c>
      <c r="J163" s="48"/>
    </row>
    <row r="164" spans="1:10" ht="18.75" customHeight="1" x14ac:dyDescent="0.25">
      <c r="A164" t="s">
        <v>48</v>
      </c>
      <c r="B164" s="40">
        <v>44762</v>
      </c>
      <c r="C164" s="41">
        <v>69743</v>
      </c>
      <c r="D164" s="42" t="s">
        <v>49</v>
      </c>
      <c r="E164" s="43" t="s">
        <v>50</v>
      </c>
      <c r="F164" s="41">
        <v>40017871</v>
      </c>
      <c r="G164" s="43" t="s">
        <v>173</v>
      </c>
      <c r="H164" s="42">
        <v>1</v>
      </c>
      <c r="I164" s="44">
        <v>129.75</v>
      </c>
      <c r="J164" s="48"/>
    </row>
    <row r="165" spans="1:10" ht="18.75" customHeight="1" x14ac:dyDescent="0.25">
      <c r="A165" t="s">
        <v>48</v>
      </c>
      <c r="B165" s="40">
        <v>44762</v>
      </c>
      <c r="C165" s="41">
        <v>71475</v>
      </c>
      <c r="D165" s="42" t="s">
        <v>49</v>
      </c>
      <c r="E165" s="43" t="s">
        <v>50</v>
      </c>
      <c r="F165" s="41">
        <v>40013300</v>
      </c>
      <c r="G165" s="43" t="s">
        <v>103</v>
      </c>
      <c r="H165" s="42">
        <v>1</v>
      </c>
      <c r="I165" s="44">
        <v>229.75</v>
      </c>
      <c r="J165" s="48"/>
    </row>
    <row r="166" spans="1:10" ht="18.75" customHeight="1" x14ac:dyDescent="0.25">
      <c r="A166" t="s">
        <v>48</v>
      </c>
      <c r="B166" s="40">
        <v>44762</v>
      </c>
      <c r="C166" s="41">
        <v>71475</v>
      </c>
      <c r="D166" s="42" t="s">
        <v>49</v>
      </c>
      <c r="E166" s="43" t="s">
        <v>50</v>
      </c>
      <c r="F166" s="41">
        <v>40013303</v>
      </c>
      <c r="G166" s="43" t="s">
        <v>174</v>
      </c>
      <c r="H166" s="42">
        <v>1</v>
      </c>
      <c r="I166" s="44">
        <v>229.75</v>
      </c>
      <c r="J166" s="48"/>
    </row>
    <row r="167" spans="1:10" ht="18.75" customHeight="1" x14ac:dyDescent="0.25">
      <c r="A167" t="s">
        <v>48</v>
      </c>
      <c r="B167" s="40">
        <v>44762</v>
      </c>
      <c r="C167" s="41">
        <v>71475</v>
      </c>
      <c r="D167" s="42" t="s">
        <v>49</v>
      </c>
      <c r="E167" s="43" t="s">
        <v>50</v>
      </c>
      <c r="F167" s="41">
        <v>40013895</v>
      </c>
      <c r="G167" s="43" t="s">
        <v>65</v>
      </c>
      <c r="H167" s="42">
        <v>1</v>
      </c>
      <c r="I167" s="44">
        <v>129.75</v>
      </c>
      <c r="J167" s="48"/>
    </row>
    <row r="168" spans="1:10" ht="18.75" customHeight="1" x14ac:dyDescent="0.25">
      <c r="A168" t="s">
        <v>48</v>
      </c>
      <c r="B168" s="40">
        <v>44762</v>
      </c>
      <c r="C168" s="41">
        <v>71475</v>
      </c>
      <c r="D168" s="42" t="s">
        <v>49</v>
      </c>
      <c r="E168" s="43" t="s">
        <v>50</v>
      </c>
      <c r="F168" s="41">
        <v>40018834</v>
      </c>
      <c r="G168" s="43" t="s">
        <v>82</v>
      </c>
      <c r="H168" s="42">
        <v>1</v>
      </c>
      <c r="I168" s="44">
        <v>199.75</v>
      </c>
      <c r="J168" s="48"/>
    </row>
    <row r="169" spans="1:10" ht="18.75" customHeight="1" x14ac:dyDescent="0.25">
      <c r="A169" t="s">
        <v>48</v>
      </c>
      <c r="B169" s="40">
        <v>44762</v>
      </c>
      <c r="C169" s="41">
        <v>71475</v>
      </c>
      <c r="D169" s="42" t="s">
        <v>49</v>
      </c>
      <c r="E169" s="43" t="s">
        <v>50</v>
      </c>
      <c r="F169" s="41">
        <v>40018834</v>
      </c>
      <c r="G169" s="43" t="s">
        <v>82</v>
      </c>
      <c r="H169" s="42">
        <v>1</v>
      </c>
      <c r="I169" s="44">
        <v>199.75</v>
      </c>
      <c r="J169" s="48"/>
    </row>
    <row r="170" spans="1:10" ht="18.75" customHeight="1" x14ac:dyDescent="0.25">
      <c r="A170" t="s">
        <v>48</v>
      </c>
      <c r="B170" s="40">
        <v>44763</v>
      </c>
      <c r="C170" s="41">
        <v>53221</v>
      </c>
      <c r="D170" s="42" t="s">
        <v>49</v>
      </c>
      <c r="E170" s="43" t="s">
        <v>50</v>
      </c>
      <c r="F170" s="41">
        <v>40018586</v>
      </c>
      <c r="G170" s="43" t="s">
        <v>175</v>
      </c>
      <c r="H170" s="42">
        <v>1</v>
      </c>
      <c r="I170" s="44">
        <v>499.75</v>
      </c>
      <c r="J170" s="48"/>
    </row>
    <row r="171" spans="1:10" ht="18.75" customHeight="1" x14ac:dyDescent="0.25">
      <c r="A171" t="s">
        <v>48</v>
      </c>
      <c r="B171" s="40">
        <v>44763</v>
      </c>
      <c r="C171" s="41">
        <v>62516</v>
      </c>
      <c r="D171" s="42" t="s">
        <v>49</v>
      </c>
      <c r="E171" s="43" t="s">
        <v>50</v>
      </c>
      <c r="F171" s="41">
        <v>40017593</v>
      </c>
      <c r="G171" s="43" t="s">
        <v>176</v>
      </c>
      <c r="H171" s="42">
        <v>1</v>
      </c>
      <c r="I171" s="44">
        <v>229.75</v>
      </c>
      <c r="J171" s="48"/>
    </row>
    <row r="172" spans="1:10" ht="18.75" customHeight="1" x14ac:dyDescent="0.25">
      <c r="A172" t="s">
        <v>48</v>
      </c>
      <c r="B172" s="40">
        <v>44763</v>
      </c>
      <c r="C172" s="41">
        <v>69656</v>
      </c>
      <c r="D172" s="42" t="s">
        <v>49</v>
      </c>
      <c r="E172" s="43" t="s">
        <v>50</v>
      </c>
      <c r="F172" s="41">
        <v>40016865</v>
      </c>
      <c r="G172" s="43" t="s">
        <v>157</v>
      </c>
      <c r="H172" s="42">
        <v>1</v>
      </c>
      <c r="I172" s="44">
        <v>599.75</v>
      </c>
      <c r="J172" s="48"/>
    </row>
    <row r="173" spans="1:10" ht="18.75" customHeight="1" x14ac:dyDescent="0.25">
      <c r="A173" t="s">
        <v>48</v>
      </c>
      <c r="B173" s="40">
        <v>44763</v>
      </c>
      <c r="C173" s="41">
        <v>69656</v>
      </c>
      <c r="D173" s="42" t="s">
        <v>49</v>
      </c>
      <c r="E173" s="43" t="s">
        <v>50</v>
      </c>
      <c r="F173" s="41">
        <v>40016786</v>
      </c>
      <c r="G173" s="43" t="s">
        <v>177</v>
      </c>
      <c r="H173" s="42">
        <v>1</v>
      </c>
      <c r="I173" s="44">
        <v>300</v>
      </c>
      <c r="J173" s="48"/>
    </row>
    <row r="174" spans="1:10" ht="18.75" customHeight="1" x14ac:dyDescent="0.25">
      <c r="A174" t="s">
        <v>48</v>
      </c>
      <c r="B174" s="40">
        <v>44763</v>
      </c>
      <c r="C174" s="41">
        <v>69672</v>
      </c>
      <c r="D174" s="42" t="s">
        <v>49</v>
      </c>
      <c r="E174" s="43" t="s">
        <v>50</v>
      </c>
      <c r="F174" s="41">
        <v>40015623</v>
      </c>
      <c r="G174" s="43" t="s">
        <v>55</v>
      </c>
      <c r="H174" s="42">
        <v>1</v>
      </c>
      <c r="I174" s="44">
        <v>499.75</v>
      </c>
      <c r="J174" s="48"/>
    </row>
    <row r="175" spans="1:10" ht="18.75" customHeight="1" x14ac:dyDescent="0.25">
      <c r="A175" t="s">
        <v>48</v>
      </c>
      <c r="B175" s="40">
        <v>44764</v>
      </c>
      <c r="C175" s="41">
        <v>53251</v>
      </c>
      <c r="D175" s="42" t="s">
        <v>49</v>
      </c>
      <c r="E175" s="43" t="s">
        <v>50</v>
      </c>
      <c r="F175" s="41">
        <v>40012991</v>
      </c>
      <c r="G175" s="43" t="s">
        <v>178</v>
      </c>
      <c r="H175" s="42">
        <v>1</v>
      </c>
      <c r="I175" s="44">
        <v>199.75</v>
      </c>
      <c r="J175" s="48"/>
    </row>
    <row r="176" spans="1:10" ht="18.75" customHeight="1" x14ac:dyDescent="0.25">
      <c r="A176" t="s">
        <v>48</v>
      </c>
      <c r="B176" s="40">
        <v>44764</v>
      </c>
      <c r="C176" s="41">
        <v>53251</v>
      </c>
      <c r="D176" s="42" t="s">
        <v>49</v>
      </c>
      <c r="E176" s="43" t="s">
        <v>50</v>
      </c>
      <c r="F176" s="41">
        <v>40014679</v>
      </c>
      <c r="G176" s="43" t="s">
        <v>179</v>
      </c>
      <c r="H176" s="42">
        <v>1</v>
      </c>
      <c r="I176" s="44">
        <v>199.75</v>
      </c>
      <c r="J176" s="48"/>
    </row>
    <row r="177" spans="1:10" ht="18.75" customHeight="1" x14ac:dyDescent="0.25">
      <c r="A177" t="s">
        <v>48</v>
      </c>
      <c r="B177" s="40">
        <v>44764</v>
      </c>
      <c r="C177" s="41">
        <v>53251</v>
      </c>
      <c r="D177" s="42" t="s">
        <v>49</v>
      </c>
      <c r="E177" s="43" t="s">
        <v>50</v>
      </c>
      <c r="F177" s="41">
        <v>40017845</v>
      </c>
      <c r="G177" s="43" t="s">
        <v>180</v>
      </c>
      <c r="H177" s="42">
        <v>1</v>
      </c>
      <c r="I177" s="44">
        <v>199.75</v>
      </c>
      <c r="J177" s="48"/>
    </row>
    <row r="178" spans="1:10" ht="18.75" customHeight="1" x14ac:dyDescent="0.25">
      <c r="A178" t="s">
        <v>48</v>
      </c>
      <c r="B178" s="40">
        <v>44764</v>
      </c>
      <c r="C178" s="41">
        <v>53251</v>
      </c>
      <c r="D178" s="42" t="s">
        <v>49</v>
      </c>
      <c r="E178" s="43" t="s">
        <v>50</v>
      </c>
      <c r="F178" s="41">
        <v>40017863</v>
      </c>
      <c r="G178" s="43" t="s">
        <v>181</v>
      </c>
      <c r="H178" s="42">
        <v>1</v>
      </c>
      <c r="I178" s="44">
        <v>199.75</v>
      </c>
      <c r="J178" s="48"/>
    </row>
    <row r="179" spans="1:10" ht="18.75" customHeight="1" x14ac:dyDescent="0.25">
      <c r="A179" t="s">
        <v>48</v>
      </c>
      <c r="B179" s="40">
        <v>44764</v>
      </c>
      <c r="C179" s="41">
        <v>62563</v>
      </c>
      <c r="D179" s="42" t="s">
        <v>49</v>
      </c>
      <c r="E179" s="43" t="s">
        <v>50</v>
      </c>
      <c r="F179" s="41">
        <v>40016728</v>
      </c>
      <c r="G179" s="43" t="s">
        <v>182</v>
      </c>
      <c r="H179" s="42">
        <v>1</v>
      </c>
      <c r="I179" s="44">
        <v>249.75</v>
      </c>
      <c r="J179" s="48"/>
    </row>
    <row r="180" spans="1:10" ht="18.75" customHeight="1" x14ac:dyDescent="0.25">
      <c r="A180" t="s">
        <v>48</v>
      </c>
      <c r="B180" s="40">
        <v>44764</v>
      </c>
      <c r="C180" s="41">
        <v>69791</v>
      </c>
      <c r="D180" s="42" t="s">
        <v>49</v>
      </c>
      <c r="E180" s="43" t="s">
        <v>50</v>
      </c>
      <c r="F180" s="41">
        <v>40013875</v>
      </c>
      <c r="G180" s="43" t="s">
        <v>126</v>
      </c>
      <c r="H180" s="42">
        <v>1</v>
      </c>
      <c r="I180" s="44">
        <v>99.75</v>
      </c>
      <c r="J180" s="48"/>
    </row>
    <row r="181" spans="1:10" ht="18.75" customHeight="1" x14ac:dyDescent="0.25">
      <c r="A181" t="s">
        <v>48</v>
      </c>
      <c r="B181" s="40">
        <v>44764</v>
      </c>
      <c r="C181" s="41">
        <v>71494</v>
      </c>
      <c r="D181" s="42" t="s">
        <v>49</v>
      </c>
      <c r="E181" s="43" t="s">
        <v>50</v>
      </c>
      <c r="F181" s="41">
        <v>40013323</v>
      </c>
      <c r="G181" s="43" t="s">
        <v>95</v>
      </c>
      <c r="H181" s="42">
        <v>3</v>
      </c>
      <c r="I181" s="44">
        <v>449.25</v>
      </c>
      <c r="J181" s="48"/>
    </row>
    <row r="182" spans="1:10" ht="18.75" customHeight="1" x14ac:dyDescent="0.25">
      <c r="A182" t="s">
        <v>48</v>
      </c>
      <c r="B182" s="40">
        <v>44764</v>
      </c>
      <c r="C182" s="41">
        <v>71494</v>
      </c>
      <c r="D182" s="42" t="s">
        <v>49</v>
      </c>
      <c r="E182" s="43" t="s">
        <v>50</v>
      </c>
      <c r="F182" s="41">
        <v>40015383</v>
      </c>
      <c r="G182" s="43" t="s">
        <v>183</v>
      </c>
      <c r="H182" s="42">
        <v>1</v>
      </c>
      <c r="I182" s="44">
        <v>169.75</v>
      </c>
      <c r="J182" s="48"/>
    </row>
    <row r="183" spans="1:10" ht="18.75" customHeight="1" x14ac:dyDescent="0.25">
      <c r="A183" t="s">
        <v>48</v>
      </c>
      <c r="B183" s="40">
        <v>44765</v>
      </c>
      <c r="C183" s="41">
        <v>69721</v>
      </c>
      <c r="D183" s="42" t="s">
        <v>49</v>
      </c>
      <c r="E183" s="43" t="s">
        <v>50</v>
      </c>
      <c r="F183" s="41">
        <v>40019152</v>
      </c>
      <c r="G183" s="43" t="s">
        <v>184</v>
      </c>
      <c r="H183" s="42">
        <v>1</v>
      </c>
      <c r="I183" s="44">
        <v>199.75</v>
      </c>
      <c r="J183" s="48"/>
    </row>
    <row r="184" spans="1:10" ht="18.75" customHeight="1" x14ac:dyDescent="0.25">
      <c r="A184" t="s">
        <v>48</v>
      </c>
      <c r="B184" s="40">
        <v>44765</v>
      </c>
      <c r="C184" s="41">
        <v>69722</v>
      </c>
      <c r="D184" s="42" t="s">
        <v>49</v>
      </c>
      <c r="E184" s="43" t="s">
        <v>50</v>
      </c>
      <c r="F184" s="41">
        <v>40019135</v>
      </c>
      <c r="G184" s="43" t="s">
        <v>128</v>
      </c>
      <c r="H184" s="42">
        <v>1</v>
      </c>
      <c r="I184" s="44">
        <v>249.75</v>
      </c>
      <c r="J184" s="48"/>
    </row>
    <row r="185" spans="1:10" ht="18.75" customHeight="1" x14ac:dyDescent="0.25">
      <c r="A185" t="s">
        <v>48</v>
      </c>
      <c r="B185" s="40">
        <v>44765</v>
      </c>
      <c r="C185" s="41">
        <v>69735</v>
      </c>
      <c r="D185" s="42" t="s">
        <v>49</v>
      </c>
      <c r="E185" s="43" t="s">
        <v>50</v>
      </c>
      <c r="F185" s="41">
        <v>40020457</v>
      </c>
      <c r="G185" s="43" t="s">
        <v>185</v>
      </c>
      <c r="H185" s="42">
        <v>1</v>
      </c>
      <c r="I185" s="44">
        <v>449.75</v>
      </c>
      <c r="J185" s="48"/>
    </row>
    <row r="186" spans="1:10" ht="18.75" customHeight="1" x14ac:dyDescent="0.25">
      <c r="A186" t="s">
        <v>48</v>
      </c>
      <c r="B186" s="40">
        <v>44765</v>
      </c>
      <c r="C186" s="41">
        <v>69800</v>
      </c>
      <c r="D186" s="42" t="s">
        <v>49</v>
      </c>
      <c r="E186" s="43" t="s">
        <v>50</v>
      </c>
      <c r="F186" s="41">
        <v>40013873</v>
      </c>
      <c r="G186" s="43" t="s">
        <v>98</v>
      </c>
      <c r="H186" s="42">
        <v>1</v>
      </c>
      <c r="I186" s="44">
        <v>99.75</v>
      </c>
      <c r="J186" s="48"/>
    </row>
    <row r="187" spans="1:10" ht="18.75" customHeight="1" x14ac:dyDescent="0.25">
      <c r="A187" t="s">
        <v>48</v>
      </c>
      <c r="B187" s="40">
        <v>44765</v>
      </c>
      <c r="C187" s="41">
        <v>69817</v>
      </c>
      <c r="D187" s="42" t="s">
        <v>49</v>
      </c>
      <c r="E187" s="43" t="s">
        <v>50</v>
      </c>
      <c r="F187" s="41">
        <v>40016709</v>
      </c>
      <c r="G187" s="43" t="s">
        <v>63</v>
      </c>
      <c r="H187" s="42">
        <v>1</v>
      </c>
      <c r="I187" s="44">
        <v>250</v>
      </c>
      <c r="J187" s="48"/>
    </row>
    <row r="188" spans="1:10" ht="18.75" customHeight="1" x14ac:dyDescent="0.25">
      <c r="A188" t="s">
        <v>48</v>
      </c>
      <c r="B188" s="40">
        <v>44765</v>
      </c>
      <c r="C188" s="41">
        <v>71520</v>
      </c>
      <c r="D188" s="42" t="s">
        <v>49</v>
      </c>
      <c r="E188" s="43" t="s">
        <v>50</v>
      </c>
      <c r="F188" s="41">
        <v>40021976</v>
      </c>
      <c r="G188" s="43" t="s">
        <v>186</v>
      </c>
      <c r="H188" s="42">
        <v>1</v>
      </c>
      <c r="I188" s="44">
        <v>129.75</v>
      </c>
      <c r="J188" s="48"/>
    </row>
    <row r="189" spans="1:10" ht="18.75" customHeight="1" x14ac:dyDescent="0.25">
      <c r="A189" t="s">
        <v>48</v>
      </c>
      <c r="B189" s="40">
        <v>44765</v>
      </c>
      <c r="C189" s="41">
        <v>71524</v>
      </c>
      <c r="D189" s="42" t="s">
        <v>49</v>
      </c>
      <c r="E189" s="43" t="s">
        <v>50</v>
      </c>
      <c r="F189" s="41">
        <v>40018829</v>
      </c>
      <c r="G189" s="43" t="s">
        <v>187</v>
      </c>
      <c r="H189" s="42">
        <v>1</v>
      </c>
      <c r="I189" s="44">
        <v>899.75</v>
      </c>
      <c r="J189" s="48"/>
    </row>
    <row r="190" spans="1:10" ht="18.75" customHeight="1" x14ac:dyDescent="0.25">
      <c r="A190" t="s">
        <v>48</v>
      </c>
      <c r="B190" s="40">
        <v>44765</v>
      </c>
      <c r="C190" s="41">
        <v>71524</v>
      </c>
      <c r="D190" s="42" t="s">
        <v>49</v>
      </c>
      <c r="E190" s="43" t="s">
        <v>50</v>
      </c>
      <c r="F190" s="41">
        <v>40018817</v>
      </c>
      <c r="G190" s="43" t="s">
        <v>188</v>
      </c>
      <c r="H190" s="42">
        <v>1</v>
      </c>
      <c r="I190" s="44">
        <v>399.75</v>
      </c>
      <c r="J190" s="48"/>
    </row>
    <row r="191" spans="1:10" ht="18.75" customHeight="1" x14ac:dyDescent="0.25">
      <c r="A191" t="s">
        <v>48</v>
      </c>
      <c r="B191" s="40">
        <v>44765</v>
      </c>
      <c r="C191" s="41">
        <v>71530</v>
      </c>
      <c r="D191" s="42" t="s">
        <v>49</v>
      </c>
      <c r="E191" s="43" t="s">
        <v>50</v>
      </c>
      <c r="F191" s="41">
        <v>40013878</v>
      </c>
      <c r="G191" s="43" t="s">
        <v>114</v>
      </c>
      <c r="H191" s="42">
        <v>1</v>
      </c>
      <c r="I191" s="44">
        <v>99.75</v>
      </c>
      <c r="J191" s="48"/>
    </row>
    <row r="192" spans="1:10" ht="18.75" customHeight="1" x14ac:dyDescent="0.25">
      <c r="A192" t="s">
        <v>48</v>
      </c>
      <c r="B192" s="40">
        <v>44765</v>
      </c>
      <c r="C192" s="41">
        <v>71540</v>
      </c>
      <c r="D192" s="42" t="s">
        <v>49</v>
      </c>
      <c r="E192" s="43" t="s">
        <v>50</v>
      </c>
      <c r="F192" s="41">
        <v>40013305</v>
      </c>
      <c r="G192" s="43" t="s">
        <v>189</v>
      </c>
      <c r="H192" s="42">
        <v>1</v>
      </c>
      <c r="I192" s="44">
        <v>149.75</v>
      </c>
      <c r="J192" s="48"/>
    </row>
    <row r="193" spans="1:10" ht="18.75" customHeight="1" x14ac:dyDescent="0.25">
      <c r="A193" t="s">
        <v>48</v>
      </c>
      <c r="B193" s="40">
        <v>44766</v>
      </c>
      <c r="C193" s="41">
        <v>69843</v>
      </c>
      <c r="D193" s="42" t="s">
        <v>49</v>
      </c>
      <c r="E193" s="43" t="s">
        <v>50</v>
      </c>
      <c r="F193" s="41">
        <v>40018255</v>
      </c>
      <c r="G193" s="43" t="s">
        <v>96</v>
      </c>
      <c r="H193" s="42">
        <v>1</v>
      </c>
      <c r="I193" s="44">
        <v>749.75</v>
      </c>
      <c r="J193" s="48"/>
    </row>
    <row r="194" spans="1:10" ht="18.75" customHeight="1" x14ac:dyDescent="0.25">
      <c r="A194" t="s">
        <v>48</v>
      </c>
      <c r="B194" s="40">
        <v>44766</v>
      </c>
      <c r="C194" s="41">
        <v>69783</v>
      </c>
      <c r="D194" s="42" t="s">
        <v>49</v>
      </c>
      <c r="E194" s="43" t="s">
        <v>50</v>
      </c>
      <c r="F194" s="41">
        <v>40019413</v>
      </c>
      <c r="G194" s="43" t="s">
        <v>190</v>
      </c>
      <c r="H194" s="42">
        <v>1</v>
      </c>
      <c r="I194" s="44">
        <v>599.75</v>
      </c>
      <c r="J194" s="48"/>
    </row>
    <row r="195" spans="1:10" ht="18.75" customHeight="1" x14ac:dyDescent="0.25">
      <c r="A195" t="s">
        <v>48</v>
      </c>
      <c r="B195" s="40">
        <v>44766</v>
      </c>
      <c r="C195" s="41">
        <v>53337</v>
      </c>
      <c r="D195" s="42" t="s">
        <v>49</v>
      </c>
      <c r="E195" s="43" t="s">
        <v>50</v>
      </c>
      <c r="F195" s="41">
        <v>40017444</v>
      </c>
      <c r="G195" s="43" t="s">
        <v>191</v>
      </c>
      <c r="H195" s="42">
        <v>1</v>
      </c>
      <c r="I195" s="44">
        <v>399.75</v>
      </c>
      <c r="J195" s="48"/>
    </row>
    <row r="196" spans="1:10" ht="18.75" customHeight="1" x14ac:dyDescent="0.25">
      <c r="A196" t="s">
        <v>48</v>
      </c>
      <c r="B196" s="40">
        <v>44766</v>
      </c>
      <c r="C196" s="41">
        <v>53337</v>
      </c>
      <c r="D196" s="42" t="s">
        <v>49</v>
      </c>
      <c r="E196" s="43" t="s">
        <v>50</v>
      </c>
      <c r="F196" s="41">
        <v>40017470</v>
      </c>
      <c r="G196" s="43" t="s">
        <v>192</v>
      </c>
      <c r="H196" s="42">
        <v>1</v>
      </c>
      <c r="I196" s="44">
        <v>399.75</v>
      </c>
      <c r="J196" s="48"/>
    </row>
    <row r="197" spans="1:10" ht="18.75" customHeight="1" x14ac:dyDescent="0.25">
      <c r="A197" t="s">
        <v>48</v>
      </c>
      <c r="B197" s="40">
        <v>44766</v>
      </c>
      <c r="C197" s="41">
        <v>71555</v>
      </c>
      <c r="D197" s="42" t="s">
        <v>49</v>
      </c>
      <c r="E197" s="43" t="s">
        <v>50</v>
      </c>
      <c r="F197" s="41">
        <v>40019369</v>
      </c>
      <c r="G197" s="43" t="s">
        <v>193</v>
      </c>
      <c r="H197" s="42">
        <v>1</v>
      </c>
      <c r="I197" s="44">
        <v>299.75</v>
      </c>
      <c r="J197" s="48"/>
    </row>
    <row r="198" spans="1:10" ht="18.75" customHeight="1" x14ac:dyDescent="0.25">
      <c r="A198" t="s">
        <v>48</v>
      </c>
      <c r="B198" s="40">
        <v>44766</v>
      </c>
      <c r="C198" s="41">
        <v>69753</v>
      </c>
      <c r="D198" s="42" t="s">
        <v>49</v>
      </c>
      <c r="E198" s="43" t="s">
        <v>50</v>
      </c>
      <c r="F198" s="41">
        <v>40018353</v>
      </c>
      <c r="G198" s="43" t="s">
        <v>194</v>
      </c>
      <c r="H198" s="42">
        <v>3</v>
      </c>
      <c r="I198" s="44">
        <v>599.25</v>
      </c>
      <c r="J198" s="48"/>
    </row>
    <row r="199" spans="1:10" ht="18.75" customHeight="1" x14ac:dyDescent="0.25">
      <c r="A199" t="s">
        <v>48</v>
      </c>
      <c r="B199" s="40">
        <v>44766</v>
      </c>
      <c r="C199" s="41">
        <v>69753</v>
      </c>
      <c r="D199" s="42" t="s">
        <v>49</v>
      </c>
      <c r="E199" s="43" t="s">
        <v>50</v>
      </c>
      <c r="F199" s="41">
        <v>40018354</v>
      </c>
      <c r="G199" s="43" t="s">
        <v>195</v>
      </c>
      <c r="H199" s="42">
        <v>3</v>
      </c>
      <c r="I199" s="44">
        <v>599.25</v>
      </c>
      <c r="J199" s="48"/>
    </row>
    <row r="200" spans="1:10" ht="18.75" customHeight="1" x14ac:dyDescent="0.25">
      <c r="A200" t="s">
        <v>48</v>
      </c>
      <c r="B200" s="40">
        <v>44766</v>
      </c>
      <c r="C200" s="41">
        <v>71555</v>
      </c>
      <c r="D200" s="42" t="s">
        <v>49</v>
      </c>
      <c r="E200" s="43" t="s">
        <v>50</v>
      </c>
      <c r="F200" s="41">
        <v>40019431</v>
      </c>
      <c r="G200" s="43" t="s">
        <v>106</v>
      </c>
      <c r="H200" s="42">
        <v>1</v>
      </c>
      <c r="I200" s="44">
        <v>199.75</v>
      </c>
      <c r="J200" s="48"/>
    </row>
    <row r="201" spans="1:10" ht="18.75" customHeight="1" x14ac:dyDescent="0.25">
      <c r="A201" t="s">
        <v>48</v>
      </c>
      <c r="B201" s="40">
        <v>44766</v>
      </c>
      <c r="C201" s="41">
        <v>53330</v>
      </c>
      <c r="D201" s="42" t="s">
        <v>49</v>
      </c>
      <c r="E201" s="43" t="s">
        <v>50</v>
      </c>
      <c r="F201" s="41">
        <v>40020451</v>
      </c>
      <c r="G201" s="43" t="s">
        <v>196</v>
      </c>
      <c r="H201" s="42">
        <v>1</v>
      </c>
      <c r="I201" s="44">
        <v>399.75</v>
      </c>
      <c r="J201" s="48"/>
    </row>
    <row r="202" spans="1:10" ht="18.75" customHeight="1" x14ac:dyDescent="0.25">
      <c r="A202" t="s">
        <v>48</v>
      </c>
      <c r="B202" s="40">
        <v>44766</v>
      </c>
      <c r="C202" s="41">
        <v>53337</v>
      </c>
      <c r="D202" s="42" t="s">
        <v>49</v>
      </c>
      <c r="E202" s="43" t="s">
        <v>50</v>
      </c>
      <c r="F202" s="41">
        <v>40014528</v>
      </c>
      <c r="G202" s="43" t="s">
        <v>197</v>
      </c>
      <c r="H202" s="42">
        <v>1</v>
      </c>
      <c r="I202" s="44">
        <v>85</v>
      </c>
      <c r="J202" s="48"/>
    </row>
    <row r="203" spans="1:10" ht="18.75" customHeight="1" x14ac:dyDescent="0.25">
      <c r="A203" t="s">
        <v>48</v>
      </c>
      <c r="B203" s="40">
        <v>44766</v>
      </c>
      <c r="C203" s="41">
        <v>53337</v>
      </c>
      <c r="D203" s="42" t="s">
        <v>49</v>
      </c>
      <c r="E203" s="43" t="s">
        <v>50</v>
      </c>
      <c r="F203" s="41">
        <v>40020448</v>
      </c>
      <c r="G203" s="43" t="s">
        <v>62</v>
      </c>
      <c r="H203" s="42">
        <v>1</v>
      </c>
      <c r="I203" s="44">
        <v>499.75</v>
      </c>
      <c r="J203" s="48"/>
    </row>
    <row r="204" spans="1:10" ht="18.75" customHeight="1" x14ac:dyDescent="0.25">
      <c r="A204" t="s">
        <v>48</v>
      </c>
      <c r="B204" s="40">
        <v>44766</v>
      </c>
      <c r="C204" s="41">
        <v>53337</v>
      </c>
      <c r="D204" s="42" t="s">
        <v>49</v>
      </c>
      <c r="E204" s="43" t="s">
        <v>50</v>
      </c>
      <c r="F204" s="41">
        <v>40017508</v>
      </c>
      <c r="G204" s="43" t="s">
        <v>198</v>
      </c>
      <c r="H204" s="42">
        <v>1</v>
      </c>
      <c r="I204" s="44">
        <v>300</v>
      </c>
      <c r="J204" s="48"/>
    </row>
    <row r="205" spans="1:10" ht="18.75" customHeight="1" x14ac:dyDescent="0.25">
      <c r="A205" t="s">
        <v>48</v>
      </c>
      <c r="B205" s="40">
        <v>44766</v>
      </c>
      <c r="C205" s="41">
        <v>53351</v>
      </c>
      <c r="D205" s="42" t="s">
        <v>49</v>
      </c>
      <c r="E205" s="43" t="s">
        <v>50</v>
      </c>
      <c r="F205" s="41">
        <v>40017634</v>
      </c>
      <c r="G205" s="43" t="s">
        <v>100</v>
      </c>
      <c r="H205" s="42">
        <v>1</v>
      </c>
      <c r="I205" s="44">
        <v>299.75</v>
      </c>
      <c r="J205" s="48"/>
    </row>
    <row r="206" spans="1:10" ht="18.75" customHeight="1" x14ac:dyDescent="0.25">
      <c r="A206" t="s">
        <v>48</v>
      </c>
      <c r="B206" s="40">
        <v>44766</v>
      </c>
      <c r="C206" s="41">
        <v>69770</v>
      </c>
      <c r="D206" s="42" t="s">
        <v>49</v>
      </c>
      <c r="E206" s="43" t="s">
        <v>50</v>
      </c>
      <c r="F206" s="41">
        <v>40020456</v>
      </c>
      <c r="G206" s="43" t="s">
        <v>199</v>
      </c>
      <c r="H206" s="42">
        <v>2</v>
      </c>
      <c r="I206" s="44">
        <v>899.5</v>
      </c>
      <c r="J206" s="48"/>
    </row>
    <row r="207" spans="1:10" ht="18.75" customHeight="1" x14ac:dyDescent="0.25">
      <c r="A207" t="s">
        <v>48</v>
      </c>
      <c r="B207" s="40">
        <v>44767</v>
      </c>
      <c r="C207" s="41">
        <v>53371</v>
      </c>
      <c r="D207" s="42" t="s">
        <v>49</v>
      </c>
      <c r="E207" s="43" t="s">
        <v>50</v>
      </c>
      <c r="F207" s="41">
        <v>40015621</v>
      </c>
      <c r="G207" s="43" t="s">
        <v>55</v>
      </c>
      <c r="H207" s="42">
        <v>1</v>
      </c>
      <c r="I207" s="44">
        <v>499.75</v>
      </c>
      <c r="J207" s="48"/>
    </row>
    <row r="208" spans="1:10" ht="18.75" customHeight="1" x14ac:dyDescent="0.25">
      <c r="A208" t="s">
        <v>48</v>
      </c>
      <c r="B208" s="40">
        <v>44767</v>
      </c>
      <c r="C208" s="41">
        <v>69799</v>
      </c>
      <c r="D208" s="42" t="s">
        <v>49</v>
      </c>
      <c r="E208" s="43" t="s">
        <v>50</v>
      </c>
      <c r="F208" s="41">
        <v>40018826</v>
      </c>
      <c r="G208" s="43" t="s">
        <v>83</v>
      </c>
      <c r="H208" s="42">
        <v>2</v>
      </c>
      <c r="I208" s="44">
        <v>399.5</v>
      </c>
      <c r="J208" s="48"/>
    </row>
    <row r="209" spans="1:10" ht="18.75" customHeight="1" x14ac:dyDescent="0.25">
      <c r="A209" t="s">
        <v>48</v>
      </c>
      <c r="B209" s="40">
        <v>44767</v>
      </c>
      <c r="C209" s="41">
        <v>69799</v>
      </c>
      <c r="D209" s="42" t="s">
        <v>49</v>
      </c>
      <c r="E209" s="43" t="s">
        <v>50</v>
      </c>
      <c r="F209" s="41">
        <v>40014609</v>
      </c>
      <c r="G209" s="43" t="s">
        <v>200</v>
      </c>
      <c r="H209" s="42">
        <v>2</v>
      </c>
      <c r="I209" s="44">
        <v>600</v>
      </c>
      <c r="J209" s="48"/>
    </row>
    <row r="210" spans="1:10" ht="18.75" customHeight="1" x14ac:dyDescent="0.25">
      <c r="A210" t="s">
        <v>48</v>
      </c>
      <c r="B210" s="40">
        <v>44767</v>
      </c>
      <c r="C210" s="41">
        <v>69799</v>
      </c>
      <c r="D210" s="42" t="s">
        <v>49</v>
      </c>
      <c r="E210" s="43" t="s">
        <v>50</v>
      </c>
      <c r="F210" s="41">
        <v>40018814</v>
      </c>
      <c r="G210" s="43" t="s">
        <v>201</v>
      </c>
      <c r="H210" s="42">
        <v>2</v>
      </c>
      <c r="I210" s="44">
        <v>599.5</v>
      </c>
      <c r="J210" s="48"/>
    </row>
    <row r="211" spans="1:10" ht="18.75" customHeight="1" x14ac:dyDescent="0.25">
      <c r="A211" t="s">
        <v>48</v>
      </c>
      <c r="B211" s="40">
        <v>44767</v>
      </c>
      <c r="C211" s="41">
        <v>69884</v>
      </c>
      <c r="D211" s="42" t="s">
        <v>49</v>
      </c>
      <c r="E211" s="43" t="s">
        <v>50</v>
      </c>
      <c r="F211" s="41">
        <v>40014666</v>
      </c>
      <c r="G211" s="43" t="s">
        <v>202</v>
      </c>
      <c r="H211" s="42">
        <v>1</v>
      </c>
      <c r="I211" s="44">
        <v>499.75</v>
      </c>
      <c r="J211" s="48"/>
    </row>
    <row r="212" spans="1:10" ht="18.75" customHeight="1" x14ac:dyDescent="0.25">
      <c r="A212" t="s">
        <v>48</v>
      </c>
      <c r="B212" s="40">
        <v>44768</v>
      </c>
      <c r="C212" s="41">
        <v>71611</v>
      </c>
      <c r="D212" s="42" t="s">
        <v>49</v>
      </c>
      <c r="E212" s="43" t="s">
        <v>50</v>
      </c>
      <c r="F212" s="41">
        <v>40014000</v>
      </c>
      <c r="G212" s="43" t="s">
        <v>203</v>
      </c>
      <c r="H212" s="42">
        <v>1</v>
      </c>
      <c r="I212" s="44">
        <v>549.75</v>
      </c>
      <c r="J212" s="48"/>
    </row>
    <row r="213" spans="1:10" ht="18.75" customHeight="1" x14ac:dyDescent="0.25">
      <c r="A213" t="s">
        <v>48</v>
      </c>
      <c r="B213" s="40">
        <v>44768</v>
      </c>
      <c r="C213" s="41">
        <v>69897</v>
      </c>
      <c r="D213" s="42" t="s">
        <v>49</v>
      </c>
      <c r="E213" s="43" t="s">
        <v>50</v>
      </c>
      <c r="F213" s="41">
        <v>40018254</v>
      </c>
      <c r="G213" s="43" t="s">
        <v>164</v>
      </c>
      <c r="H213" s="42">
        <v>1</v>
      </c>
      <c r="I213" s="44">
        <v>499.75</v>
      </c>
      <c r="J213" s="48"/>
    </row>
    <row r="214" spans="1:10" ht="18.75" customHeight="1" x14ac:dyDescent="0.25">
      <c r="A214" t="s">
        <v>48</v>
      </c>
      <c r="B214" s="40">
        <v>44768</v>
      </c>
      <c r="C214" s="41">
        <v>69897</v>
      </c>
      <c r="D214" s="42" t="s">
        <v>49</v>
      </c>
      <c r="E214" s="43" t="s">
        <v>50</v>
      </c>
      <c r="F214" s="41">
        <v>40018259</v>
      </c>
      <c r="G214" s="43" t="s">
        <v>204</v>
      </c>
      <c r="H214" s="42">
        <v>1</v>
      </c>
      <c r="I214" s="44">
        <v>499.75</v>
      </c>
      <c r="J214" s="48"/>
    </row>
    <row r="215" spans="1:10" ht="18.75" customHeight="1" x14ac:dyDescent="0.25">
      <c r="A215" t="s">
        <v>48</v>
      </c>
      <c r="B215" s="40">
        <v>44768</v>
      </c>
      <c r="C215" s="41">
        <v>62642</v>
      </c>
      <c r="D215" s="42" t="s">
        <v>49</v>
      </c>
      <c r="E215" s="43" t="s">
        <v>50</v>
      </c>
      <c r="F215" s="41">
        <v>40017372</v>
      </c>
      <c r="G215" s="43" t="s">
        <v>205</v>
      </c>
      <c r="H215" s="42">
        <v>1</v>
      </c>
      <c r="I215" s="44">
        <v>199.75</v>
      </c>
      <c r="J215" s="48"/>
    </row>
    <row r="216" spans="1:10" ht="18.75" customHeight="1" x14ac:dyDescent="0.25">
      <c r="A216" t="s">
        <v>48</v>
      </c>
      <c r="B216" s="40">
        <v>44768</v>
      </c>
      <c r="C216" s="41">
        <v>62660</v>
      </c>
      <c r="D216" s="42" t="s">
        <v>49</v>
      </c>
      <c r="E216" s="43" t="s">
        <v>50</v>
      </c>
      <c r="F216" s="41">
        <v>40016727</v>
      </c>
      <c r="G216" s="43" t="s">
        <v>206</v>
      </c>
      <c r="H216" s="42">
        <v>2</v>
      </c>
      <c r="I216" s="44">
        <v>499.5</v>
      </c>
      <c r="J216" s="48"/>
    </row>
    <row r="217" spans="1:10" ht="18.75" customHeight="1" x14ac:dyDescent="0.25">
      <c r="A217" t="s">
        <v>48</v>
      </c>
      <c r="B217" s="40">
        <v>44768</v>
      </c>
      <c r="C217" s="41">
        <v>69891</v>
      </c>
      <c r="D217" s="42" t="s">
        <v>49</v>
      </c>
      <c r="E217" s="43" t="s">
        <v>50</v>
      </c>
      <c r="F217" s="41">
        <v>40018706</v>
      </c>
      <c r="G217" s="43" t="s">
        <v>88</v>
      </c>
      <c r="H217" s="42">
        <v>1</v>
      </c>
      <c r="I217" s="44">
        <v>599.75</v>
      </c>
      <c r="J217" s="48"/>
    </row>
    <row r="218" spans="1:10" ht="18.75" customHeight="1" x14ac:dyDescent="0.25">
      <c r="A218" t="s">
        <v>48</v>
      </c>
      <c r="B218" s="40">
        <v>44768</v>
      </c>
      <c r="C218" s="41">
        <v>71620</v>
      </c>
      <c r="D218" s="42" t="s">
        <v>49</v>
      </c>
      <c r="E218" s="43" t="s">
        <v>50</v>
      </c>
      <c r="F218" s="41">
        <v>40013341</v>
      </c>
      <c r="G218" s="43" t="s">
        <v>64</v>
      </c>
      <c r="H218" s="42">
        <v>1</v>
      </c>
      <c r="I218" s="44">
        <v>129.75</v>
      </c>
      <c r="J218" s="48"/>
    </row>
    <row r="219" spans="1:10" ht="18.75" customHeight="1" x14ac:dyDescent="0.25">
      <c r="A219" t="s">
        <v>48</v>
      </c>
      <c r="B219" s="40">
        <v>44768</v>
      </c>
      <c r="C219" s="41">
        <v>71620</v>
      </c>
      <c r="D219" s="42" t="s">
        <v>49</v>
      </c>
      <c r="E219" s="43" t="s">
        <v>50</v>
      </c>
      <c r="F219" s="41">
        <v>40013322</v>
      </c>
      <c r="G219" s="43" t="s">
        <v>95</v>
      </c>
      <c r="H219" s="42">
        <v>1</v>
      </c>
      <c r="I219" s="44">
        <v>129.75</v>
      </c>
      <c r="J219" s="48"/>
    </row>
    <row r="220" spans="1:10" ht="18.75" customHeight="1" x14ac:dyDescent="0.25">
      <c r="A220" t="s">
        <v>48</v>
      </c>
      <c r="B220" s="40">
        <v>44768</v>
      </c>
      <c r="C220" s="41">
        <v>71620</v>
      </c>
      <c r="D220" s="42" t="s">
        <v>49</v>
      </c>
      <c r="E220" s="43" t="s">
        <v>50</v>
      </c>
      <c r="F220" s="41">
        <v>40021962</v>
      </c>
      <c r="G220" s="43" t="s">
        <v>207</v>
      </c>
      <c r="H220" s="42">
        <v>1</v>
      </c>
      <c r="I220" s="44">
        <v>129.75</v>
      </c>
      <c r="J220" s="48"/>
    </row>
    <row r="221" spans="1:10" ht="18.75" customHeight="1" x14ac:dyDescent="0.25">
      <c r="A221" t="s">
        <v>48</v>
      </c>
      <c r="B221" s="40">
        <v>44768</v>
      </c>
      <c r="C221" s="41">
        <v>71642</v>
      </c>
      <c r="D221" s="42" t="s">
        <v>49</v>
      </c>
      <c r="E221" s="43" t="s">
        <v>50</v>
      </c>
      <c r="F221" s="41">
        <v>40017638</v>
      </c>
      <c r="G221" s="43" t="s">
        <v>166</v>
      </c>
      <c r="H221" s="42">
        <v>1</v>
      </c>
      <c r="I221" s="44">
        <v>249.75</v>
      </c>
      <c r="J221" s="48"/>
    </row>
    <row r="222" spans="1:10" ht="18.75" customHeight="1" x14ac:dyDescent="0.25">
      <c r="A222" t="s">
        <v>48</v>
      </c>
      <c r="B222" s="40">
        <v>44768</v>
      </c>
      <c r="C222" s="41">
        <v>71642</v>
      </c>
      <c r="D222" s="42" t="s">
        <v>49</v>
      </c>
      <c r="E222" s="43" t="s">
        <v>50</v>
      </c>
      <c r="F222" s="41">
        <v>40017638</v>
      </c>
      <c r="G222" s="43" t="s">
        <v>166</v>
      </c>
      <c r="H222" s="42">
        <v>1</v>
      </c>
      <c r="I222" s="44">
        <v>249.75</v>
      </c>
      <c r="J222" s="48"/>
    </row>
    <row r="223" spans="1:10" ht="18.75" customHeight="1" x14ac:dyDescent="0.25">
      <c r="A223" t="s">
        <v>48</v>
      </c>
      <c r="B223" s="40">
        <v>44769</v>
      </c>
      <c r="C223" s="41">
        <v>71668</v>
      </c>
      <c r="D223" s="42" t="s">
        <v>49</v>
      </c>
      <c r="E223" s="43" t="s">
        <v>50</v>
      </c>
      <c r="F223" s="41">
        <v>40019409</v>
      </c>
      <c r="G223" s="43" t="s">
        <v>208</v>
      </c>
      <c r="H223" s="42">
        <v>2</v>
      </c>
      <c r="I223" s="44">
        <v>1199.5</v>
      </c>
      <c r="J223" s="48"/>
    </row>
    <row r="224" spans="1:10" ht="18.75" customHeight="1" x14ac:dyDescent="0.25">
      <c r="A224" t="s">
        <v>48</v>
      </c>
      <c r="B224" s="40">
        <v>44769</v>
      </c>
      <c r="C224" s="41">
        <v>71668</v>
      </c>
      <c r="D224" s="42" t="s">
        <v>49</v>
      </c>
      <c r="E224" s="43" t="s">
        <v>50</v>
      </c>
      <c r="F224" s="41">
        <v>40019413</v>
      </c>
      <c r="G224" s="43" t="s">
        <v>190</v>
      </c>
      <c r="H224" s="42">
        <v>2</v>
      </c>
      <c r="I224" s="44">
        <v>1199.5</v>
      </c>
      <c r="J224" s="48"/>
    </row>
    <row r="225" spans="1:10" ht="18.75" customHeight="1" x14ac:dyDescent="0.25">
      <c r="A225" t="s">
        <v>48</v>
      </c>
      <c r="B225" s="40">
        <v>44769</v>
      </c>
      <c r="C225" s="41">
        <v>62666</v>
      </c>
      <c r="D225" s="42" t="s">
        <v>49</v>
      </c>
      <c r="E225" s="43" t="s">
        <v>50</v>
      </c>
      <c r="F225" s="41">
        <v>40017526</v>
      </c>
      <c r="G225" s="43" t="s">
        <v>209</v>
      </c>
      <c r="H225" s="42">
        <v>1</v>
      </c>
      <c r="I225" s="44">
        <v>549.75</v>
      </c>
      <c r="J225" s="48"/>
    </row>
    <row r="226" spans="1:10" ht="18.75" customHeight="1" x14ac:dyDescent="0.25">
      <c r="A226" t="s">
        <v>48</v>
      </c>
      <c r="B226" s="40">
        <v>44769</v>
      </c>
      <c r="C226" s="41">
        <v>69883</v>
      </c>
      <c r="D226" s="42" t="s">
        <v>49</v>
      </c>
      <c r="E226" s="43" t="s">
        <v>50</v>
      </c>
      <c r="F226" s="41">
        <v>40017599</v>
      </c>
      <c r="G226" s="43" t="s">
        <v>210</v>
      </c>
      <c r="H226" s="42">
        <v>1</v>
      </c>
      <c r="I226" s="44">
        <v>349.75</v>
      </c>
      <c r="J226" s="48"/>
    </row>
    <row r="227" spans="1:10" ht="18.75" customHeight="1" x14ac:dyDescent="0.25">
      <c r="A227" t="s">
        <v>48</v>
      </c>
      <c r="B227" s="40">
        <v>44769</v>
      </c>
      <c r="C227" s="41">
        <v>69883</v>
      </c>
      <c r="D227" s="42" t="s">
        <v>49</v>
      </c>
      <c r="E227" s="43" t="s">
        <v>50</v>
      </c>
      <c r="F227" s="41">
        <v>40013539</v>
      </c>
      <c r="G227" s="43" t="s">
        <v>211</v>
      </c>
      <c r="H227" s="42">
        <v>1</v>
      </c>
      <c r="I227" s="44">
        <v>229.75</v>
      </c>
      <c r="J227" s="48"/>
    </row>
    <row r="228" spans="1:10" ht="18.75" customHeight="1" x14ac:dyDescent="0.25">
      <c r="A228" t="s">
        <v>48</v>
      </c>
      <c r="B228" s="40">
        <v>44769</v>
      </c>
      <c r="C228" s="41">
        <v>53432</v>
      </c>
      <c r="D228" s="42" t="s">
        <v>49</v>
      </c>
      <c r="E228" s="43" t="s">
        <v>50</v>
      </c>
      <c r="F228" s="41">
        <v>40020448</v>
      </c>
      <c r="G228" s="43" t="s">
        <v>62</v>
      </c>
      <c r="H228" s="42">
        <v>1</v>
      </c>
      <c r="I228" s="44">
        <v>499.75</v>
      </c>
      <c r="J228" s="48"/>
    </row>
    <row r="229" spans="1:10" ht="18.75" customHeight="1" x14ac:dyDescent="0.25">
      <c r="A229" t="s">
        <v>48</v>
      </c>
      <c r="B229" s="40">
        <v>44769</v>
      </c>
      <c r="C229" s="41">
        <v>62677</v>
      </c>
      <c r="D229" s="42" t="s">
        <v>49</v>
      </c>
      <c r="E229" s="43" t="s">
        <v>50</v>
      </c>
      <c r="F229" s="41">
        <v>40013873</v>
      </c>
      <c r="G229" s="43" t="s">
        <v>98</v>
      </c>
      <c r="H229" s="42">
        <v>1</v>
      </c>
      <c r="I229" s="44">
        <v>99.75</v>
      </c>
      <c r="J229" s="48"/>
    </row>
    <row r="230" spans="1:10" ht="18.75" customHeight="1" x14ac:dyDescent="0.25">
      <c r="A230" t="s">
        <v>48</v>
      </c>
      <c r="B230" s="40">
        <v>44769</v>
      </c>
      <c r="C230" s="41">
        <v>69862</v>
      </c>
      <c r="D230" s="42" t="s">
        <v>49</v>
      </c>
      <c r="E230" s="43" t="s">
        <v>50</v>
      </c>
      <c r="F230" s="41">
        <v>40014612</v>
      </c>
      <c r="G230" s="43" t="s">
        <v>120</v>
      </c>
      <c r="H230" s="42">
        <v>2</v>
      </c>
      <c r="I230" s="44">
        <v>500</v>
      </c>
      <c r="J230" s="48"/>
    </row>
    <row r="231" spans="1:10" ht="18.75" customHeight="1" x14ac:dyDescent="0.25">
      <c r="A231" t="s">
        <v>48</v>
      </c>
      <c r="B231" s="40">
        <v>44769</v>
      </c>
      <c r="C231" s="41">
        <v>69873</v>
      </c>
      <c r="D231" s="42" t="s">
        <v>49</v>
      </c>
      <c r="E231" s="43" t="s">
        <v>50</v>
      </c>
      <c r="F231" s="41">
        <v>40013847</v>
      </c>
      <c r="G231" s="43" t="s">
        <v>212</v>
      </c>
      <c r="H231" s="42">
        <v>1</v>
      </c>
      <c r="I231" s="44">
        <v>129.75</v>
      </c>
      <c r="J231" s="48"/>
    </row>
    <row r="232" spans="1:10" ht="18.75" customHeight="1" x14ac:dyDescent="0.25">
      <c r="A232" t="s">
        <v>48</v>
      </c>
      <c r="B232" s="40">
        <v>44769</v>
      </c>
      <c r="C232" s="41">
        <v>69883</v>
      </c>
      <c r="D232" s="42" t="s">
        <v>49</v>
      </c>
      <c r="E232" s="43" t="s">
        <v>50</v>
      </c>
      <c r="F232" s="41">
        <v>40021969</v>
      </c>
      <c r="G232" s="43" t="s">
        <v>71</v>
      </c>
      <c r="H232" s="42">
        <v>2</v>
      </c>
      <c r="I232" s="44">
        <v>459.5</v>
      </c>
      <c r="J232" s="48"/>
    </row>
    <row r="233" spans="1:10" ht="18.75" customHeight="1" x14ac:dyDescent="0.25">
      <c r="A233" t="s">
        <v>48</v>
      </c>
      <c r="B233" s="40">
        <v>44769</v>
      </c>
      <c r="C233" s="41">
        <v>69883</v>
      </c>
      <c r="D233" s="42" t="s">
        <v>49</v>
      </c>
      <c r="E233" s="43" t="s">
        <v>50</v>
      </c>
      <c r="F233" s="41">
        <v>40018023</v>
      </c>
      <c r="G233" s="43" t="s">
        <v>213</v>
      </c>
      <c r="H233" s="42">
        <v>4</v>
      </c>
      <c r="I233" s="44">
        <v>799</v>
      </c>
      <c r="J233" s="48"/>
    </row>
    <row r="234" spans="1:10" ht="18.75" customHeight="1" x14ac:dyDescent="0.25">
      <c r="A234" t="s">
        <v>48</v>
      </c>
      <c r="B234" s="40">
        <v>44769</v>
      </c>
      <c r="C234" s="41">
        <v>69883</v>
      </c>
      <c r="D234" s="42" t="s">
        <v>49</v>
      </c>
      <c r="E234" s="43" t="s">
        <v>50</v>
      </c>
      <c r="F234" s="41">
        <v>40017638</v>
      </c>
      <c r="G234" s="43" t="s">
        <v>166</v>
      </c>
      <c r="H234" s="42">
        <v>2</v>
      </c>
      <c r="I234" s="44">
        <v>499.5</v>
      </c>
      <c r="J234" s="48"/>
    </row>
    <row r="235" spans="1:10" ht="18.75" customHeight="1" x14ac:dyDescent="0.25">
      <c r="A235" t="s">
        <v>48</v>
      </c>
      <c r="B235" s="40">
        <v>44770</v>
      </c>
      <c r="C235" s="41">
        <v>69920</v>
      </c>
      <c r="D235" s="42" t="s">
        <v>49</v>
      </c>
      <c r="E235" s="43" t="s">
        <v>50</v>
      </c>
      <c r="F235" s="41">
        <v>40019395</v>
      </c>
      <c r="G235" s="43" t="s">
        <v>214</v>
      </c>
      <c r="H235" s="42">
        <v>1</v>
      </c>
      <c r="I235" s="44">
        <v>299.75</v>
      </c>
      <c r="J235" s="48"/>
    </row>
    <row r="236" spans="1:10" ht="18.75" customHeight="1" x14ac:dyDescent="0.25">
      <c r="A236" t="s">
        <v>48</v>
      </c>
      <c r="B236" s="40">
        <v>44770</v>
      </c>
      <c r="C236" s="41">
        <v>62719</v>
      </c>
      <c r="D236" s="42" t="s">
        <v>49</v>
      </c>
      <c r="E236" s="43" t="s">
        <v>50</v>
      </c>
      <c r="F236" s="41">
        <v>40013874</v>
      </c>
      <c r="G236" s="43" t="s">
        <v>51</v>
      </c>
      <c r="H236" s="42">
        <v>1</v>
      </c>
      <c r="I236" s="44">
        <v>99.75</v>
      </c>
      <c r="J236" s="48"/>
    </row>
    <row r="237" spans="1:10" ht="18.75" customHeight="1" x14ac:dyDescent="0.25">
      <c r="A237" t="s">
        <v>48</v>
      </c>
      <c r="B237" s="40">
        <v>44770</v>
      </c>
      <c r="C237" s="41">
        <v>62719</v>
      </c>
      <c r="D237" s="42" t="s">
        <v>49</v>
      </c>
      <c r="E237" s="43" t="s">
        <v>50</v>
      </c>
      <c r="F237" s="41">
        <v>40013875</v>
      </c>
      <c r="G237" s="43" t="s">
        <v>126</v>
      </c>
      <c r="H237" s="42">
        <v>1</v>
      </c>
      <c r="I237" s="44">
        <v>99.75</v>
      </c>
      <c r="J237" s="48"/>
    </row>
    <row r="238" spans="1:10" ht="18.75" customHeight="1" x14ac:dyDescent="0.25">
      <c r="A238" t="s">
        <v>48</v>
      </c>
      <c r="B238" s="40">
        <v>44770</v>
      </c>
      <c r="C238" s="41">
        <v>62727</v>
      </c>
      <c r="D238" s="42" t="s">
        <v>49</v>
      </c>
      <c r="E238" s="43" t="s">
        <v>50</v>
      </c>
      <c r="F238" s="41">
        <v>40017634</v>
      </c>
      <c r="G238" s="43" t="s">
        <v>100</v>
      </c>
      <c r="H238" s="42">
        <v>1</v>
      </c>
      <c r="I238" s="44">
        <v>299.75</v>
      </c>
      <c r="J238" s="48"/>
    </row>
    <row r="239" spans="1:10" ht="18.75" customHeight="1" x14ac:dyDescent="0.25">
      <c r="A239" t="s">
        <v>48</v>
      </c>
      <c r="B239" s="40">
        <v>44770</v>
      </c>
      <c r="C239" s="41">
        <v>62727</v>
      </c>
      <c r="D239" s="42" t="s">
        <v>49</v>
      </c>
      <c r="E239" s="43" t="s">
        <v>50</v>
      </c>
      <c r="F239" s="41">
        <v>40013816</v>
      </c>
      <c r="G239" s="43" t="s">
        <v>81</v>
      </c>
      <c r="H239" s="42">
        <v>1</v>
      </c>
      <c r="I239" s="44">
        <v>299.75</v>
      </c>
      <c r="J239" s="48"/>
    </row>
    <row r="240" spans="1:10" ht="18.75" customHeight="1" x14ac:dyDescent="0.25">
      <c r="A240" t="s">
        <v>48</v>
      </c>
      <c r="B240" s="40">
        <v>44770</v>
      </c>
      <c r="C240" s="41">
        <v>69927</v>
      </c>
      <c r="D240" s="42" t="s">
        <v>49</v>
      </c>
      <c r="E240" s="43" t="s">
        <v>50</v>
      </c>
      <c r="F240" s="41">
        <v>40020461</v>
      </c>
      <c r="G240" s="43" t="s">
        <v>76</v>
      </c>
      <c r="H240" s="42">
        <v>1</v>
      </c>
      <c r="I240" s="44">
        <v>449.75</v>
      </c>
      <c r="J240" s="48"/>
    </row>
    <row r="241" spans="1:10" ht="18.75" customHeight="1" x14ac:dyDescent="0.25">
      <c r="A241" t="s">
        <v>48</v>
      </c>
      <c r="B241" s="40">
        <v>44771</v>
      </c>
      <c r="C241" s="41">
        <v>69934</v>
      </c>
      <c r="D241" s="42" t="s">
        <v>49</v>
      </c>
      <c r="E241" s="43" t="s">
        <v>50</v>
      </c>
      <c r="F241" s="41">
        <v>40018254</v>
      </c>
      <c r="G241" s="43" t="s">
        <v>164</v>
      </c>
      <c r="H241" s="42">
        <v>1</v>
      </c>
      <c r="I241" s="44">
        <v>449.77500000000003</v>
      </c>
      <c r="J241" s="48"/>
    </row>
    <row r="242" spans="1:10" ht="18.75" customHeight="1" x14ac:dyDescent="0.25">
      <c r="A242" t="s">
        <v>48</v>
      </c>
      <c r="B242" s="40">
        <v>44771</v>
      </c>
      <c r="C242" s="41">
        <v>53496</v>
      </c>
      <c r="D242" s="42" t="s">
        <v>49</v>
      </c>
      <c r="E242" s="43" t="s">
        <v>50</v>
      </c>
      <c r="F242" s="41">
        <v>40016725</v>
      </c>
      <c r="G242" s="43" t="s">
        <v>54</v>
      </c>
      <c r="H242" s="42">
        <v>1</v>
      </c>
      <c r="I242" s="44">
        <v>399.75</v>
      </c>
      <c r="J242" s="48"/>
    </row>
    <row r="243" spans="1:10" ht="18.75" customHeight="1" x14ac:dyDescent="0.25">
      <c r="A243" t="s">
        <v>48</v>
      </c>
      <c r="B243" s="40">
        <v>44771</v>
      </c>
      <c r="C243" s="41">
        <v>62729</v>
      </c>
      <c r="D243" s="42" t="s">
        <v>49</v>
      </c>
      <c r="E243" s="43" t="s">
        <v>50</v>
      </c>
      <c r="F243" s="41">
        <v>40016727</v>
      </c>
      <c r="G243" s="43" t="s">
        <v>206</v>
      </c>
      <c r="H243" s="42">
        <v>1</v>
      </c>
      <c r="I243" s="44">
        <v>249.75</v>
      </c>
      <c r="J243" s="48"/>
    </row>
    <row r="244" spans="1:10" ht="18.75" customHeight="1" x14ac:dyDescent="0.25">
      <c r="A244" t="s">
        <v>48</v>
      </c>
      <c r="B244" s="40">
        <v>44771</v>
      </c>
      <c r="C244" s="41">
        <v>62744</v>
      </c>
      <c r="D244" s="42" t="s">
        <v>49</v>
      </c>
      <c r="E244" s="43" t="s">
        <v>50</v>
      </c>
      <c r="F244" s="41">
        <v>40019269</v>
      </c>
      <c r="G244" s="43" t="s">
        <v>215</v>
      </c>
      <c r="H244" s="42">
        <v>1</v>
      </c>
      <c r="I244" s="44">
        <v>699.75</v>
      </c>
      <c r="J244" s="48"/>
    </row>
    <row r="245" spans="1:10" ht="18.75" customHeight="1" x14ac:dyDescent="0.25">
      <c r="A245" t="s">
        <v>48</v>
      </c>
      <c r="B245" s="40">
        <v>44771</v>
      </c>
      <c r="C245" s="41">
        <v>62756</v>
      </c>
      <c r="D245" s="42" t="s">
        <v>49</v>
      </c>
      <c r="E245" s="43" t="s">
        <v>50</v>
      </c>
      <c r="F245" s="41">
        <v>40013854</v>
      </c>
      <c r="G245" s="43" t="s">
        <v>212</v>
      </c>
      <c r="H245" s="42">
        <v>1</v>
      </c>
      <c r="I245" s="44">
        <v>129.75</v>
      </c>
      <c r="J245" s="48"/>
    </row>
    <row r="246" spans="1:10" ht="18.75" customHeight="1" x14ac:dyDescent="0.25">
      <c r="A246" t="s">
        <v>48</v>
      </c>
      <c r="B246" s="40">
        <v>44771</v>
      </c>
      <c r="C246" s="41">
        <v>62756</v>
      </c>
      <c r="D246" s="42" t="s">
        <v>49</v>
      </c>
      <c r="E246" s="43" t="s">
        <v>50</v>
      </c>
      <c r="F246" s="41">
        <v>40013852</v>
      </c>
      <c r="G246" s="43" t="s">
        <v>212</v>
      </c>
      <c r="H246" s="42">
        <v>1</v>
      </c>
      <c r="I246" s="44">
        <v>129.75</v>
      </c>
      <c r="J246" s="48"/>
    </row>
    <row r="247" spans="1:10" ht="18.75" customHeight="1" x14ac:dyDescent="0.25">
      <c r="A247" t="s">
        <v>48</v>
      </c>
      <c r="B247" s="40">
        <v>44771</v>
      </c>
      <c r="C247" s="41">
        <v>62756</v>
      </c>
      <c r="D247" s="42" t="s">
        <v>49</v>
      </c>
      <c r="E247" s="43" t="s">
        <v>50</v>
      </c>
      <c r="F247" s="41">
        <v>40013847</v>
      </c>
      <c r="G247" s="43" t="s">
        <v>212</v>
      </c>
      <c r="H247" s="42">
        <v>1</v>
      </c>
      <c r="I247" s="44">
        <v>129.75</v>
      </c>
      <c r="J247" s="48"/>
    </row>
    <row r="248" spans="1:10" ht="18.75" customHeight="1" x14ac:dyDescent="0.25">
      <c r="A248" t="s">
        <v>48</v>
      </c>
      <c r="B248" s="40">
        <v>44771</v>
      </c>
      <c r="C248" s="41">
        <v>62756</v>
      </c>
      <c r="D248" s="42" t="s">
        <v>49</v>
      </c>
      <c r="E248" s="43" t="s">
        <v>50</v>
      </c>
      <c r="F248" s="41">
        <v>40018700</v>
      </c>
      <c r="G248" s="43" t="s">
        <v>216</v>
      </c>
      <c r="H248" s="42">
        <v>1</v>
      </c>
      <c r="I248" s="44">
        <v>599.75</v>
      </c>
      <c r="J248" s="48"/>
    </row>
    <row r="249" spans="1:10" ht="18.75" customHeight="1" x14ac:dyDescent="0.25">
      <c r="A249" t="s">
        <v>48</v>
      </c>
      <c r="B249" s="40">
        <v>44771</v>
      </c>
      <c r="C249" s="41">
        <v>62756</v>
      </c>
      <c r="D249" s="42" t="s">
        <v>49</v>
      </c>
      <c r="E249" s="43" t="s">
        <v>50</v>
      </c>
      <c r="F249" s="41">
        <v>40021265</v>
      </c>
      <c r="G249" s="43" t="s">
        <v>217</v>
      </c>
      <c r="H249" s="42">
        <v>1</v>
      </c>
      <c r="I249" s="44">
        <v>129.75</v>
      </c>
      <c r="J249" s="48"/>
    </row>
    <row r="250" spans="1:10" ht="18.75" customHeight="1" x14ac:dyDescent="0.25">
      <c r="A250" t="s">
        <v>48</v>
      </c>
      <c r="B250" s="40">
        <v>44771</v>
      </c>
      <c r="C250" s="41">
        <v>69967</v>
      </c>
      <c r="D250" s="42" t="s">
        <v>49</v>
      </c>
      <c r="E250" s="43" t="s">
        <v>50</v>
      </c>
      <c r="F250" s="41">
        <v>40013231</v>
      </c>
      <c r="G250" s="43" t="s">
        <v>218</v>
      </c>
      <c r="H250" s="42">
        <v>1</v>
      </c>
      <c r="I250" s="44">
        <v>799.75</v>
      </c>
      <c r="J250" s="48"/>
    </row>
    <row r="251" spans="1:10" ht="18.75" customHeight="1" x14ac:dyDescent="0.25">
      <c r="A251" t="s">
        <v>48</v>
      </c>
      <c r="B251" s="40">
        <v>44772</v>
      </c>
      <c r="C251" s="41">
        <v>62785</v>
      </c>
      <c r="D251" s="42" t="s">
        <v>49</v>
      </c>
      <c r="E251" s="43" t="s">
        <v>50</v>
      </c>
      <c r="F251" s="41">
        <v>40017910</v>
      </c>
      <c r="G251" s="43" t="s">
        <v>219</v>
      </c>
      <c r="H251" s="42">
        <v>2</v>
      </c>
      <c r="I251" s="44">
        <v>1349.55</v>
      </c>
      <c r="J251" s="48"/>
    </row>
    <row r="252" spans="1:10" ht="18.75" customHeight="1" x14ac:dyDescent="0.25">
      <c r="A252" t="s">
        <v>48</v>
      </c>
      <c r="B252" s="40">
        <v>44772</v>
      </c>
      <c r="C252" s="41">
        <v>70012</v>
      </c>
      <c r="D252" s="42" t="s">
        <v>49</v>
      </c>
      <c r="E252" s="43" t="s">
        <v>50</v>
      </c>
      <c r="F252" s="41">
        <v>40014000</v>
      </c>
      <c r="G252" s="43" t="s">
        <v>203</v>
      </c>
      <c r="H252" s="42">
        <v>1</v>
      </c>
      <c r="I252" s="44">
        <v>494.77500000000003</v>
      </c>
      <c r="J252" s="48"/>
    </row>
    <row r="253" spans="1:10" ht="18.75" customHeight="1" x14ac:dyDescent="0.25">
      <c r="A253" t="s">
        <v>48</v>
      </c>
      <c r="B253" s="40">
        <v>44772</v>
      </c>
      <c r="C253" s="41">
        <v>53562</v>
      </c>
      <c r="D253" s="42" t="s">
        <v>49</v>
      </c>
      <c r="E253" s="43" t="s">
        <v>50</v>
      </c>
      <c r="F253" s="41">
        <v>40020876</v>
      </c>
      <c r="G253" s="43" t="s">
        <v>220</v>
      </c>
      <c r="H253" s="42">
        <v>1</v>
      </c>
      <c r="I253" s="44">
        <v>799.75</v>
      </c>
      <c r="J253" s="48"/>
    </row>
    <row r="254" spans="1:10" ht="18.75" customHeight="1" x14ac:dyDescent="0.25">
      <c r="A254" t="s">
        <v>48</v>
      </c>
      <c r="B254" s="40">
        <v>44772</v>
      </c>
      <c r="C254" s="41">
        <v>62806</v>
      </c>
      <c r="D254" s="42" t="s">
        <v>49</v>
      </c>
      <c r="E254" s="43" t="s">
        <v>50</v>
      </c>
      <c r="F254" s="41">
        <v>40013334</v>
      </c>
      <c r="G254" s="43" t="s">
        <v>64</v>
      </c>
      <c r="H254" s="42">
        <v>2</v>
      </c>
      <c r="I254" s="44">
        <v>199.5</v>
      </c>
      <c r="J254" s="48"/>
    </row>
    <row r="255" spans="1:10" ht="18.75" customHeight="1" x14ac:dyDescent="0.25">
      <c r="A255" t="s">
        <v>48</v>
      </c>
      <c r="B255" s="40">
        <v>44772</v>
      </c>
      <c r="C255" s="41">
        <v>62806</v>
      </c>
      <c r="D255" s="42" t="s">
        <v>49</v>
      </c>
      <c r="E255" s="43" t="s">
        <v>50</v>
      </c>
      <c r="F255" s="41">
        <v>40017393</v>
      </c>
      <c r="G255" s="43" t="s">
        <v>221</v>
      </c>
      <c r="H255" s="42">
        <v>1</v>
      </c>
      <c r="I255" s="44">
        <v>99.75</v>
      </c>
      <c r="J255" s="48"/>
    </row>
    <row r="256" spans="1:10" ht="18.75" customHeight="1" x14ac:dyDescent="0.25">
      <c r="A256" t="s">
        <v>48</v>
      </c>
      <c r="B256" s="40">
        <v>44772</v>
      </c>
      <c r="C256" s="41">
        <v>70016</v>
      </c>
      <c r="D256" s="42" t="s">
        <v>49</v>
      </c>
      <c r="E256" s="43" t="s">
        <v>50</v>
      </c>
      <c r="F256" s="41">
        <v>40017871</v>
      </c>
      <c r="G256" s="43" t="s">
        <v>173</v>
      </c>
      <c r="H256" s="42">
        <v>1</v>
      </c>
      <c r="I256" s="44">
        <v>129.75</v>
      </c>
      <c r="J256" s="48"/>
    </row>
    <row r="257" spans="1:10" ht="18.75" customHeight="1" x14ac:dyDescent="0.25">
      <c r="A257" t="s">
        <v>48</v>
      </c>
      <c r="B257" s="40">
        <v>44772</v>
      </c>
      <c r="C257" s="41">
        <v>71763</v>
      </c>
      <c r="D257" s="42" t="s">
        <v>49</v>
      </c>
      <c r="E257" s="43" t="s">
        <v>50</v>
      </c>
      <c r="F257" s="41">
        <v>40019134</v>
      </c>
      <c r="G257" s="43" t="s">
        <v>124</v>
      </c>
      <c r="H257" s="42">
        <v>1</v>
      </c>
      <c r="I257" s="44">
        <v>249.75</v>
      </c>
      <c r="J257" s="48"/>
    </row>
    <row r="258" spans="1:10" ht="18.75" customHeight="1" x14ac:dyDescent="0.25">
      <c r="A258" t="s">
        <v>48</v>
      </c>
      <c r="B258" s="40">
        <v>44773</v>
      </c>
      <c r="C258" s="41">
        <v>71800</v>
      </c>
      <c r="D258" s="42" t="s">
        <v>49</v>
      </c>
      <c r="E258" s="43" t="s">
        <v>50</v>
      </c>
      <c r="F258" s="41">
        <v>40017461</v>
      </c>
      <c r="G258" s="43" t="s">
        <v>222</v>
      </c>
      <c r="H258" s="42">
        <v>1</v>
      </c>
      <c r="I258" s="44">
        <v>719.77499999999998</v>
      </c>
      <c r="J258" s="48"/>
    </row>
    <row r="259" spans="1:10" ht="18.75" customHeight="1" x14ac:dyDescent="0.25">
      <c r="A259" t="s">
        <v>48</v>
      </c>
      <c r="B259" s="40">
        <v>44773</v>
      </c>
      <c r="C259" s="41">
        <v>71800</v>
      </c>
      <c r="D259" s="42" t="s">
        <v>49</v>
      </c>
      <c r="E259" s="43" t="s">
        <v>50</v>
      </c>
      <c r="F259" s="41">
        <v>40017462</v>
      </c>
      <c r="G259" s="43" t="s">
        <v>137</v>
      </c>
      <c r="H259" s="42">
        <v>1</v>
      </c>
      <c r="I259" s="44">
        <v>719.77499999999998</v>
      </c>
      <c r="J259" s="48"/>
    </row>
    <row r="260" spans="1:10" ht="18.75" customHeight="1" x14ac:dyDescent="0.25">
      <c r="A260" t="s">
        <v>48</v>
      </c>
      <c r="B260" s="40">
        <v>44773</v>
      </c>
      <c r="C260" s="41">
        <v>71800</v>
      </c>
      <c r="D260" s="42" t="s">
        <v>49</v>
      </c>
      <c r="E260" s="43" t="s">
        <v>50</v>
      </c>
      <c r="F260" s="41">
        <v>40017460</v>
      </c>
      <c r="G260" s="43" t="s">
        <v>153</v>
      </c>
      <c r="H260" s="42">
        <v>1</v>
      </c>
      <c r="I260" s="44">
        <v>539.77499999999998</v>
      </c>
      <c r="J260" s="48"/>
    </row>
    <row r="261" spans="1:10" ht="18.75" customHeight="1" x14ac:dyDescent="0.25">
      <c r="A261" t="s">
        <v>48</v>
      </c>
      <c r="B261" s="40">
        <v>44773</v>
      </c>
      <c r="C261" s="41">
        <v>71800</v>
      </c>
      <c r="D261" s="42" t="s">
        <v>49</v>
      </c>
      <c r="E261" s="43" t="s">
        <v>50</v>
      </c>
      <c r="F261" s="41">
        <v>40017459</v>
      </c>
      <c r="G261" s="43" t="s">
        <v>223</v>
      </c>
      <c r="H261" s="42">
        <v>1</v>
      </c>
      <c r="I261" s="44">
        <v>539.77499999999998</v>
      </c>
      <c r="J261" s="48"/>
    </row>
    <row r="262" spans="1:10" ht="18.75" customHeight="1" x14ac:dyDescent="0.25">
      <c r="A262" t="s">
        <v>48</v>
      </c>
      <c r="B262" s="40">
        <v>44773</v>
      </c>
      <c r="C262" s="41">
        <v>71800</v>
      </c>
      <c r="D262" s="42" t="s">
        <v>49</v>
      </c>
      <c r="E262" s="43" t="s">
        <v>50</v>
      </c>
      <c r="F262" s="41">
        <v>40017464</v>
      </c>
      <c r="G262" s="43" t="s">
        <v>224</v>
      </c>
      <c r="H262" s="42">
        <v>1</v>
      </c>
      <c r="I262" s="44">
        <v>539.77499999999998</v>
      </c>
      <c r="J262" s="48"/>
    </row>
    <row r="263" spans="1:10" ht="18.75" customHeight="1" x14ac:dyDescent="0.25">
      <c r="A263" t="s">
        <v>48</v>
      </c>
      <c r="B263" s="40">
        <v>44773</v>
      </c>
      <c r="C263" s="41">
        <v>70059</v>
      </c>
      <c r="D263" s="42" t="s">
        <v>49</v>
      </c>
      <c r="E263" s="43" t="s">
        <v>50</v>
      </c>
      <c r="F263" s="41">
        <v>40017526</v>
      </c>
      <c r="G263" s="43" t="s">
        <v>209</v>
      </c>
      <c r="H263" s="42">
        <v>1</v>
      </c>
      <c r="I263" s="44">
        <v>494.77500000000003</v>
      </c>
      <c r="J263" s="48"/>
    </row>
    <row r="264" spans="1:10" ht="18.75" customHeight="1" x14ac:dyDescent="0.25">
      <c r="A264" t="s">
        <v>48</v>
      </c>
      <c r="B264" s="40">
        <v>44773</v>
      </c>
      <c r="C264" s="41">
        <v>62850</v>
      </c>
      <c r="D264" s="42" t="s">
        <v>49</v>
      </c>
      <c r="E264" s="43" t="s">
        <v>50</v>
      </c>
      <c r="F264" s="41">
        <v>40019138</v>
      </c>
      <c r="G264" s="43" t="s">
        <v>162</v>
      </c>
      <c r="H264" s="42">
        <v>1</v>
      </c>
      <c r="I264" s="44">
        <v>249.75</v>
      </c>
      <c r="J264" s="48"/>
    </row>
    <row r="265" spans="1:10" ht="18.75" customHeight="1" x14ac:dyDescent="0.25">
      <c r="A265" t="s">
        <v>48</v>
      </c>
      <c r="B265" s="40">
        <v>44773</v>
      </c>
      <c r="C265" s="41">
        <v>62857</v>
      </c>
      <c r="D265" s="42" t="s">
        <v>49</v>
      </c>
      <c r="E265" s="43" t="s">
        <v>50</v>
      </c>
      <c r="F265" s="41">
        <v>40018812</v>
      </c>
      <c r="G265" s="43" t="s">
        <v>225</v>
      </c>
      <c r="H265" s="42">
        <v>1</v>
      </c>
      <c r="I265" s="44">
        <v>199.75</v>
      </c>
      <c r="J265" s="48"/>
    </row>
    <row r="266" spans="1:10" ht="18.75" customHeight="1" x14ac:dyDescent="0.25">
      <c r="A266" t="s">
        <v>48</v>
      </c>
      <c r="B266" s="40">
        <v>44773</v>
      </c>
      <c r="C266" s="41">
        <v>70047</v>
      </c>
      <c r="D266" s="42" t="s">
        <v>49</v>
      </c>
      <c r="E266" s="43" t="s">
        <v>50</v>
      </c>
      <c r="F266" s="41">
        <v>40019383</v>
      </c>
      <c r="G266" s="43" t="s">
        <v>52</v>
      </c>
      <c r="H266" s="42">
        <v>1</v>
      </c>
      <c r="I266" s="44">
        <v>749.75</v>
      </c>
      <c r="J266" s="48"/>
    </row>
    <row r="267" spans="1:10" ht="18.75" customHeight="1" x14ac:dyDescent="0.25">
      <c r="A267" t="s">
        <v>48</v>
      </c>
      <c r="B267" s="40">
        <v>44773</v>
      </c>
      <c r="C267" s="41">
        <v>71768</v>
      </c>
      <c r="D267" s="42" t="s">
        <v>49</v>
      </c>
      <c r="E267" s="43" t="s">
        <v>50</v>
      </c>
      <c r="F267" s="41">
        <v>40013848</v>
      </c>
      <c r="G267" s="43" t="s">
        <v>212</v>
      </c>
      <c r="H267" s="42">
        <v>1</v>
      </c>
      <c r="I267" s="44">
        <v>129.75</v>
      </c>
      <c r="J267" s="48"/>
    </row>
    <row r="268" spans="1:10" ht="18.75" customHeight="1" x14ac:dyDescent="0.25">
      <c r="A268" t="s">
        <v>48</v>
      </c>
      <c r="B268" s="40">
        <v>44773</v>
      </c>
      <c r="C268" s="41">
        <v>71768</v>
      </c>
      <c r="D268" s="42" t="s">
        <v>49</v>
      </c>
      <c r="E268" s="43" t="s">
        <v>50</v>
      </c>
      <c r="F268" s="41">
        <v>40021273</v>
      </c>
      <c r="G268" s="43" t="s">
        <v>226</v>
      </c>
      <c r="H268" s="42">
        <v>1</v>
      </c>
      <c r="I268" s="44">
        <v>129.75</v>
      </c>
      <c r="J268" s="48"/>
    </row>
    <row r="269" spans="1:10" ht="18.75" customHeight="1" x14ac:dyDescent="0.25">
      <c r="A269" t="s">
        <v>48</v>
      </c>
      <c r="B269" s="40">
        <v>44773</v>
      </c>
      <c r="C269" s="41">
        <v>71770</v>
      </c>
      <c r="D269" s="42" t="s">
        <v>49</v>
      </c>
      <c r="E269" s="43" t="s">
        <v>50</v>
      </c>
      <c r="F269" s="41">
        <v>40013805</v>
      </c>
      <c r="G269" s="43" t="s">
        <v>73</v>
      </c>
      <c r="H269" s="42">
        <v>1</v>
      </c>
      <c r="I269" s="44">
        <v>49.75</v>
      </c>
      <c r="J269" s="48"/>
    </row>
    <row r="270" spans="1:10" ht="18.75" customHeight="1" x14ac:dyDescent="0.25">
      <c r="A270" t="s">
        <v>48</v>
      </c>
      <c r="B270" s="40">
        <v>44773</v>
      </c>
      <c r="C270" s="41">
        <v>71770</v>
      </c>
      <c r="D270" s="42" t="s">
        <v>49</v>
      </c>
      <c r="E270" s="43" t="s">
        <v>50</v>
      </c>
      <c r="F270" s="41">
        <v>40013806</v>
      </c>
      <c r="G270" s="43" t="s">
        <v>67</v>
      </c>
      <c r="H270" s="42">
        <v>1</v>
      </c>
      <c r="I270" s="44">
        <v>49.75</v>
      </c>
      <c r="J270" s="48"/>
    </row>
    <row r="271" spans="1:10" ht="18.75" customHeight="1" x14ac:dyDescent="0.25">
      <c r="A271" t="s">
        <v>48</v>
      </c>
      <c r="B271" s="40">
        <v>44773</v>
      </c>
      <c r="C271" s="41">
        <v>71770</v>
      </c>
      <c r="D271" s="42" t="s">
        <v>49</v>
      </c>
      <c r="E271" s="43" t="s">
        <v>50</v>
      </c>
      <c r="F271" s="41">
        <v>40018028</v>
      </c>
      <c r="G271" s="43" t="s">
        <v>227</v>
      </c>
      <c r="H271" s="42">
        <v>2</v>
      </c>
      <c r="I271" s="44">
        <v>399.5</v>
      </c>
      <c r="J271" s="48"/>
    </row>
    <row r="272" spans="1:10" ht="18.75" customHeight="1" x14ac:dyDescent="0.25">
      <c r="A272" t="s">
        <v>48</v>
      </c>
      <c r="B272" s="40">
        <v>44773</v>
      </c>
      <c r="C272" s="41">
        <v>71770</v>
      </c>
      <c r="D272" s="42" t="s">
        <v>49</v>
      </c>
      <c r="E272" s="43" t="s">
        <v>50</v>
      </c>
      <c r="F272" s="41">
        <v>40018816</v>
      </c>
      <c r="G272" s="43" t="s">
        <v>228</v>
      </c>
      <c r="H272" s="42">
        <v>1</v>
      </c>
      <c r="I272" s="44">
        <v>299.75</v>
      </c>
      <c r="J272" s="48"/>
    </row>
    <row r="273" spans="1:10" ht="18.75" customHeight="1" x14ac:dyDescent="0.25">
      <c r="A273" t="s">
        <v>48</v>
      </c>
      <c r="B273" s="40">
        <v>44773</v>
      </c>
      <c r="C273" s="41">
        <v>71782</v>
      </c>
      <c r="D273" s="42" t="s">
        <v>49</v>
      </c>
      <c r="E273" s="43" t="s">
        <v>50</v>
      </c>
      <c r="F273" s="41">
        <v>40020457</v>
      </c>
      <c r="G273" s="43" t="s">
        <v>185</v>
      </c>
      <c r="H273" s="42">
        <v>1</v>
      </c>
      <c r="I273" s="44">
        <v>449.75</v>
      </c>
      <c r="J273" s="48"/>
    </row>
    <row r="274" spans="1:10" ht="18.75" customHeight="1" x14ac:dyDescent="0.25">
      <c r="A274" t="s">
        <v>48</v>
      </c>
      <c r="B274" s="40">
        <v>44773</v>
      </c>
      <c r="C274" s="41">
        <v>71782</v>
      </c>
      <c r="D274" s="42" t="s">
        <v>49</v>
      </c>
      <c r="E274" s="43" t="s">
        <v>50</v>
      </c>
      <c r="F274" s="41">
        <v>40018707</v>
      </c>
      <c r="G274" s="43" t="s">
        <v>89</v>
      </c>
      <c r="H274" s="42">
        <v>1</v>
      </c>
      <c r="I274" s="44">
        <v>599.75</v>
      </c>
      <c r="J274" s="48"/>
    </row>
    <row r="275" spans="1:10" ht="18.75" customHeight="1" x14ac:dyDescent="0.25">
      <c r="A275" t="s">
        <v>48</v>
      </c>
      <c r="B275" s="40">
        <v>44773</v>
      </c>
      <c r="C275" s="41">
        <v>71796</v>
      </c>
      <c r="D275" s="42" t="s">
        <v>49</v>
      </c>
      <c r="E275" s="43" t="s">
        <v>50</v>
      </c>
      <c r="F275" s="41">
        <v>40013805</v>
      </c>
      <c r="G275" s="43" t="s">
        <v>73</v>
      </c>
      <c r="H275" s="42">
        <v>1</v>
      </c>
      <c r="I275" s="44">
        <v>49.75</v>
      </c>
      <c r="J275" s="48"/>
    </row>
    <row r="276" spans="1:10" ht="18.75" customHeight="1" x14ac:dyDescent="0.25">
      <c r="A276" t="s">
        <v>48</v>
      </c>
      <c r="B276" s="40">
        <v>44773</v>
      </c>
      <c r="C276" s="41">
        <v>71800</v>
      </c>
      <c r="D276" s="42" t="s">
        <v>49</v>
      </c>
      <c r="E276" s="43" t="s">
        <v>50</v>
      </c>
      <c r="F276" s="41">
        <v>40014696</v>
      </c>
      <c r="G276" s="43" t="s">
        <v>229</v>
      </c>
      <c r="H276" s="42">
        <v>1</v>
      </c>
      <c r="I276" s="44">
        <v>199.75</v>
      </c>
      <c r="J276" s="48"/>
    </row>
    <row r="277" spans="1:10" ht="18.75" customHeight="1" x14ac:dyDescent="0.25">
      <c r="A277" t="s">
        <v>48</v>
      </c>
      <c r="B277" s="40">
        <v>44773</v>
      </c>
      <c r="C277" s="41">
        <v>71800</v>
      </c>
      <c r="D277" s="42" t="s">
        <v>49</v>
      </c>
      <c r="E277" s="43" t="s">
        <v>50</v>
      </c>
      <c r="F277" s="41">
        <v>40017501</v>
      </c>
      <c r="G277" s="43" t="s">
        <v>230</v>
      </c>
      <c r="H277" s="42">
        <v>1</v>
      </c>
      <c r="I277" s="44">
        <v>450</v>
      </c>
      <c r="J277" s="48"/>
    </row>
    <row r="278" spans="1:10" ht="18.75" customHeight="1" x14ac:dyDescent="0.25">
      <c r="A278" t="s">
        <v>48</v>
      </c>
      <c r="B278" s="40">
        <v>44773</v>
      </c>
      <c r="C278" s="41">
        <v>71800</v>
      </c>
      <c r="D278" s="42" t="s">
        <v>49</v>
      </c>
      <c r="E278" s="43" t="s">
        <v>50</v>
      </c>
      <c r="F278" s="41">
        <v>40017866</v>
      </c>
      <c r="G278" s="43" t="s">
        <v>231</v>
      </c>
      <c r="H278" s="42">
        <v>1</v>
      </c>
      <c r="I278" s="44">
        <v>199.75</v>
      </c>
      <c r="J278" s="48"/>
    </row>
    <row r="279" spans="1:10" ht="18.75" customHeight="1" x14ac:dyDescent="0.25">
      <c r="A279" t="s">
        <v>48</v>
      </c>
      <c r="B279" s="40">
        <v>44773</v>
      </c>
      <c r="C279" s="41">
        <v>71800</v>
      </c>
      <c r="D279" s="42" t="s">
        <v>49</v>
      </c>
      <c r="E279" s="43" t="s">
        <v>50</v>
      </c>
      <c r="F279" s="41">
        <v>40017845</v>
      </c>
      <c r="G279" s="43" t="s">
        <v>180</v>
      </c>
      <c r="H279" s="42">
        <v>1</v>
      </c>
      <c r="I279" s="44">
        <v>199.75</v>
      </c>
      <c r="J279" s="48"/>
    </row>
    <row r="280" spans="1:10" ht="18.75" customHeight="1" x14ac:dyDescent="0.25">
      <c r="A280" t="s">
        <v>48</v>
      </c>
      <c r="B280" s="40">
        <v>44773</v>
      </c>
      <c r="C280" s="41">
        <v>71806</v>
      </c>
      <c r="D280" s="42" t="s">
        <v>49</v>
      </c>
      <c r="E280" s="43" t="s">
        <v>50</v>
      </c>
      <c r="F280" s="41">
        <v>40014080</v>
      </c>
      <c r="G280" s="43" t="s">
        <v>232</v>
      </c>
      <c r="H280" s="42">
        <v>1</v>
      </c>
      <c r="I280" s="44">
        <v>200</v>
      </c>
      <c r="J280" s="48"/>
    </row>
    <row r="281" spans="1:10" ht="18.75" customHeight="1" x14ac:dyDescent="0.25">
      <c r="A281" t="s">
        <v>233</v>
      </c>
      <c r="B281" s="45">
        <v>44743</v>
      </c>
      <c r="C281" s="42">
        <v>18638</v>
      </c>
      <c r="D281" s="42" t="s">
        <v>49</v>
      </c>
      <c r="E281" s="43" t="s">
        <v>50</v>
      </c>
      <c r="F281" s="42">
        <v>40013570</v>
      </c>
      <c r="G281" s="43" t="s">
        <v>234</v>
      </c>
      <c r="H281" s="42">
        <v>2</v>
      </c>
      <c r="I281" s="44">
        <v>3500</v>
      </c>
      <c r="J281" s="48"/>
    </row>
    <row r="282" spans="1:10" ht="18.75" customHeight="1" x14ac:dyDescent="0.25">
      <c r="A282" t="s">
        <v>233</v>
      </c>
      <c r="B282" s="45">
        <v>44743</v>
      </c>
      <c r="C282" s="42">
        <v>17180</v>
      </c>
      <c r="D282" s="42" t="s">
        <v>49</v>
      </c>
      <c r="E282" s="43" t="s">
        <v>50</v>
      </c>
      <c r="F282" s="42">
        <v>40013878</v>
      </c>
      <c r="G282" s="43" t="s">
        <v>114</v>
      </c>
      <c r="H282" s="42">
        <v>1</v>
      </c>
      <c r="I282" s="44">
        <v>99.75</v>
      </c>
      <c r="J282" s="48"/>
    </row>
    <row r="283" spans="1:10" ht="18.75" customHeight="1" x14ac:dyDescent="0.25">
      <c r="A283" t="s">
        <v>233</v>
      </c>
      <c r="B283" s="45">
        <v>44743</v>
      </c>
      <c r="C283" s="42">
        <v>17180</v>
      </c>
      <c r="D283" s="42" t="s">
        <v>49</v>
      </c>
      <c r="E283" s="43" t="s">
        <v>50</v>
      </c>
      <c r="F283" s="42">
        <v>40013868</v>
      </c>
      <c r="G283" s="43" t="s">
        <v>235</v>
      </c>
      <c r="H283" s="42">
        <v>1</v>
      </c>
      <c r="I283" s="44">
        <v>99.75</v>
      </c>
      <c r="J283" s="48"/>
    </row>
    <row r="284" spans="1:10" ht="18.75" customHeight="1" x14ac:dyDescent="0.25">
      <c r="A284" t="s">
        <v>233</v>
      </c>
      <c r="B284" s="45">
        <v>44743</v>
      </c>
      <c r="C284" s="42">
        <v>17180</v>
      </c>
      <c r="D284" s="42" t="s">
        <v>49</v>
      </c>
      <c r="E284" s="43" t="s">
        <v>50</v>
      </c>
      <c r="F284" s="42">
        <v>40013867</v>
      </c>
      <c r="G284" s="43" t="s">
        <v>236</v>
      </c>
      <c r="H284" s="42">
        <v>1</v>
      </c>
      <c r="I284" s="44">
        <v>99.75</v>
      </c>
      <c r="J284" s="48"/>
    </row>
    <row r="285" spans="1:10" ht="18.75" customHeight="1" x14ac:dyDescent="0.25">
      <c r="A285" t="s">
        <v>233</v>
      </c>
      <c r="B285" s="45">
        <v>44743</v>
      </c>
      <c r="C285" s="42">
        <v>19578</v>
      </c>
      <c r="D285" s="42" t="s">
        <v>49</v>
      </c>
      <c r="E285" s="43" t="s">
        <v>50</v>
      </c>
      <c r="F285" s="42">
        <v>40020440</v>
      </c>
      <c r="G285" s="43" t="s">
        <v>237</v>
      </c>
      <c r="H285" s="42">
        <v>1</v>
      </c>
      <c r="I285" s="44">
        <v>349.75</v>
      </c>
      <c r="J285" s="48"/>
    </row>
    <row r="286" spans="1:10" ht="18.75" customHeight="1" x14ac:dyDescent="0.25">
      <c r="A286" t="s">
        <v>233</v>
      </c>
      <c r="B286" s="45">
        <v>44743</v>
      </c>
      <c r="C286" s="42">
        <v>19578</v>
      </c>
      <c r="D286" s="42" t="s">
        <v>49</v>
      </c>
      <c r="E286" s="43" t="s">
        <v>50</v>
      </c>
      <c r="F286" s="42">
        <v>40019135</v>
      </c>
      <c r="G286" s="43" t="s">
        <v>128</v>
      </c>
      <c r="H286" s="42">
        <v>1</v>
      </c>
      <c r="I286" s="44">
        <v>249.75</v>
      </c>
      <c r="J286" s="48"/>
    </row>
    <row r="287" spans="1:10" ht="18.75" customHeight="1" x14ac:dyDescent="0.25">
      <c r="A287" t="s">
        <v>233</v>
      </c>
      <c r="B287" s="45">
        <v>44743</v>
      </c>
      <c r="C287" s="42">
        <v>19578</v>
      </c>
      <c r="D287" s="42" t="s">
        <v>49</v>
      </c>
      <c r="E287" s="43" t="s">
        <v>50</v>
      </c>
      <c r="F287" s="42">
        <v>40019133</v>
      </c>
      <c r="G287" s="43" t="s">
        <v>238</v>
      </c>
      <c r="H287" s="42">
        <v>1</v>
      </c>
      <c r="I287" s="44">
        <v>249.75</v>
      </c>
      <c r="J287" s="48"/>
    </row>
    <row r="288" spans="1:10" ht="18.75" customHeight="1" x14ac:dyDescent="0.25">
      <c r="A288" t="s">
        <v>233</v>
      </c>
      <c r="B288" s="45">
        <v>44743</v>
      </c>
      <c r="C288" s="42">
        <v>19578</v>
      </c>
      <c r="D288" s="42" t="s">
        <v>49</v>
      </c>
      <c r="E288" s="43" t="s">
        <v>50</v>
      </c>
      <c r="F288" s="42">
        <v>40016861</v>
      </c>
      <c r="G288" s="43" t="s">
        <v>239</v>
      </c>
      <c r="H288" s="42">
        <v>1</v>
      </c>
      <c r="I288" s="44">
        <v>499.75</v>
      </c>
      <c r="J288" s="48"/>
    </row>
    <row r="289" spans="1:10" ht="18.75" customHeight="1" x14ac:dyDescent="0.25">
      <c r="A289" t="s">
        <v>233</v>
      </c>
      <c r="B289" s="45">
        <v>44743</v>
      </c>
      <c r="C289" s="42">
        <v>19578</v>
      </c>
      <c r="D289" s="42" t="s">
        <v>49</v>
      </c>
      <c r="E289" s="43" t="s">
        <v>50</v>
      </c>
      <c r="F289" s="42">
        <v>40020450</v>
      </c>
      <c r="G289" s="43" t="s">
        <v>240</v>
      </c>
      <c r="H289" s="42">
        <v>1</v>
      </c>
      <c r="I289" s="44">
        <v>499.75</v>
      </c>
      <c r="J289" s="48"/>
    </row>
    <row r="290" spans="1:10" ht="18.75" customHeight="1" x14ac:dyDescent="0.25">
      <c r="A290" t="s">
        <v>233</v>
      </c>
      <c r="B290" s="45">
        <v>44743</v>
      </c>
      <c r="C290" s="42">
        <v>19578</v>
      </c>
      <c r="D290" s="42" t="s">
        <v>49</v>
      </c>
      <c r="E290" s="43" t="s">
        <v>50</v>
      </c>
      <c r="F290" s="42">
        <v>40019105</v>
      </c>
      <c r="G290" s="43" t="s">
        <v>241</v>
      </c>
      <c r="H290" s="42">
        <v>2</v>
      </c>
      <c r="I290" s="44">
        <v>2599.5</v>
      </c>
      <c r="J290" s="48"/>
    </row>
    <row r="291" spans="1:10" ht="18.75" customHeight="1" x14ac:dyDescent="0.25">
      <c r="A291" t="s">
        <v>233</v>
      </c>
      <c r="B291" s="45">
        <v>44744</v>
      </c>
      <c r="C291" s="42">
        <v>10160</v>
      </c>
      <c r="D291" s="42" t="s">
        <v>49</v>
      </c>
      <c r="E291" s="43" t="s">
        <v>50</v>
      </c>
      <c r="F291" s="42">
        <v>40018363</v>
      </c>
      <c r="G291" s="43" t="s">
        <v>242</v>
      </c>
      <c r="H291" s="42">
        <v>1</v>
      </c>
      <c r="I291" s="44">
        <v>179.77500000000001</v>
      </c>
      <c r="J291" s="48"/>
    </row>
    <row r="292" spans="1:10" ht="18.75" customHeight="1" x14ac:dyDescent="0.25">
      <c r="A292" t="s">
        <v>233</v>
      </c>
      <c r="B292" s="45">
        <v>44744</v>
      </c>
      <c r="C292" s="42">
        <v>10160</v>
      </c>
      <c r="D292" s="42" t="s">
        <v>49</v>
      </c>
      <c r="E292" s="43" t="s">
        <v>50</v>
      </c>
      <c r="F292" s="42">
        <v>40017353</v>
      </c>
      <c r="G292" s="43" t="s">
        <v>61</v>
      </c>
      <c r="H292" s="42">
        <v>1</v>
      </c>
      <c r="I292" s="44">
        <v>152.77500000000001</v>
      </c>
      <c r="J292" s="48"/>
    </row>
    <row r="293" spans="1:10" ht="18.75" customHeight="1" x14ac:dyDescent="0.25">
      <c r="A293" t="s">
        <v>233</v>
      </c>
      <c r="B293" s="45">
        <v>44744</v>
      </c>
      <c r="C293" s="42">
        <v>19635</v>
      </c>
      <c r="D293" s="42" t="s">
        <v>49</v>
      </c>
      <c r="E293" s="43" t="s">
        <v>50</v>
      </c>
      <c r="F293" s="42">
        <v>40013731</v>
      </c>
      <c r="G293" s="43" t="s">
        <v>172</v>
      </c>
      <c r="H293" s="42">
        <v>1</v>
      </c>
      <c r="I293" s="44">
        <v>399.75</v>
      </c>
      <c r="J293" s="48"/>
    </row>
    <row r="294" spans="1:10" ht="18.75" customHeight="1" x14ac:dyDescent="0.25">
      <c r="A294" t="s">
        <v>233</v>
      </c>
      <c r="B294" s="45">
        <v>44744</v>
      </c>
      <c r="C294" s="42">
        <v>7908</v>
      </c>
      <c r="D294" s="42" t="s">
        <v>49</v>
      </c>
      <c r="E294" s="43" t="s">
        <v>50</v>
      </c>
      <c r="F294" s="42">
        <v>40017917</v>
      </c>
      <c r="G294" s="43" t="s">
        <v>243</v>
      </c>
      <c r="H294" s="42">
        <v>1</v>
      </c>
      <c r="I294" s="44">
        <v>699.75</v>
      </c>
      <c r="J294" s="48"/>
    </row>
    <row r="295" spans="1:10" ht="18.75" customHeight="1" x14ac:dyDescent="0.25">
      <c r="A295" t="s">
        <v>233</v>
      </c>
      <c r="B295" s="45">
        <v>44744</v>
      </c>
      <c r="C295" s="42">
        <v>18706</v>
      </c>
      <c r="D295" s="42" t="s">
        <v>49</v>
      </c>
      <c r="E295" s="43" t="s">
        <v>50</v>
      </c>
      <c r="F295" s="42">
        <v>40019144</v>
      </c>
      <c r="G295" s="43" t="s">
        <v>244</v>
      </c>
      <c r="H295" s="42">
        <v>1</v>
      </c>
      <c r="I295" s="44">
        <v>449.75</v>
      </c>
      <c r="J295" s="48"/>
    </row>
    <row r="296" spans="1:10" ht="18.75" customHeight="1" x14ac:dyDescent="0.25">
      <c r="A296" t="s">
        <v>233</v>
      </c>
      <c r="B296" s="45">
        <v>44744</v>
      </c>
      <c r="C296" s="42">
        <v>7871</v>
      </c>
      <c r="D296" s="42" t="s">
        <v>49</v>
      </c>
      <c r="E296" s="43" t="s">
        <v>50</v>
      </c>
      <c r="F296" s="42">
        <v>40013805</v>
      </c>
      <c r="G296" s="43" t="s">
        <v>73</v>
      </c>
      <c r="H296" s="42">
        <v>1</v>
      </c>
      <c r="I296" s="44">
        <v>49.75</v>
      </c>
      <c r="J296" s="48"/>
    </row>
    <row r="297" spans="1:10" ht="18.75" customHeight="1" x14ac:dyDescent="0.25">
      <c r="A297" t="s">
        <v>233</v>
      </c>
      <c r="B297" s="45">
        <v>44745</v>
      </c>
      <c r="C297" s="42">
        <v>18723</v>
      </c>
      <c r="D297" s="42" t="s">
        <v>49</v>
      </c>
      <c r="E297" s="43" t="s">
        <v>50</v>
      </c>
      <c r="F297" s="42">
        <v>40014010</v>
      </c>
      <c r="G297" s="43" t="s">
        <v>245</v>
      </c>
      <c r="H297" s="42">
        <v>1</v>
      </c>
      <c r="I297" s="44">
        <v>2699.7750000000001</v>
      </c>
      <c r="J297" s="48"/>
    </row>
    <row r="298" spans="1:10" ht="18.75" customHeight="1" x14ac:dyDescent="0.25">
      <c r="A298" t="s">
        <v>233</v>
      </c>
      <c r="B298" s="45">
        <v>44745</v>
      </c>
      <c r="C298" s="42">
        <v>19693</v>
      </c>
      <c r="D298" s="42" t="s">
        <v>49</v>
      </c>
      <c r="E298" s="43" t="s">
        <v>50</v>
      </c>
      <c r="F298" s="42">
        <v>40018586</v>
      </c>
      <c r="G298" s="43" t="s">
        <v>175</v>
      </c>
      <c r="H298" s="42">
        <v>1</v>
      </c>
      <c r="I298" s="44">
        <v>449.77500000000003</v>
      </c>
      <c r="J298" s="48"/>
    </row>
    <row r="299" spans="1:10" ht="18.75" customHeight="1" x14ac:dyDescent="0.25">
      <c r="A299" t="s">
        <v>233</v>
      </c>
      <c r="B299" s="45">
        <v>44745</v>
      </c>
      <c r="C299" s="42">
        <v>18804</v>
      </c>
      <c r="D299" s="42" t="s">
        <v>49</v>
      </c>
      <c r="E299" s="43" t="s">
        <v>50</v>
      </c>
      <c r="F299" s="42">
        <v>40018366</v>
      </c>
      <c r="G299" s="43" t="s">
        <v>246</v>
      </c>
      <c r="H299" s="42">
        <v>1</v>
      </c>
      <c r="I299" s="44">
        <v>269.77500000000003</v>
      </c>
      <c r="J299" s="48"/>
    </row>
    <row r="300" spans="1:10" ht="18.75" customHeight="1" x14ac:dyDescent="0.25">
      <c r="A300" t="s">
        <v>233</v>
      </c>
      <c r="B300" s="45">
        <v>44745</v>
      </c>
      <c r="C300" s="42">
        <v>19698</v>
      </c>
      <c r="D300" s="42" t="s">
        <v>49</v>
      </c>
      <c r="E300" s="43" t="s">
        <v>50</v>
      </c>
      <c r="F300" s="42">
        <v>40019432</v>
      </c>
      <c r="G300" s="43" t="s">
        <v>106</v>
      </c>
      <c r="H300" s="42">
        <v>1</v>
      </c>
      <c r="I300" s="44">
        <v>179.77500000000001</v>
      </c>
      <c r="J300" s="48"/>
    </row>
    <row r="301" spans="1:10" ht="18.75" customHeight="1" x14ac:dyDescent="0.25">
      <c r="A301" t="s">
        <v>233</v>
      </c>
      <c r="B301" s="45">
        <v>44745</v>
      </c>
      <c r="C301" s="42">
        <v>7922</v>
      </c>
      <c r="D301" s="42" t="s">
        <v>49</v>
      </c>
      <c r="E301" s="43" t="s">
        <v>50</v>
      </c>
      <c r="F301" s="42">
        <v>40021976</v>
      </c>
      <c r="G301" s="43" t="s">
        <v>186</v>
      </c>
      <c r="H301" s="42">
        <v>1</v>
      </c>
      <c r="I301" s="44">
        <v>129.75</v>
      </c>
      <c r="J301" s="48"/>
    </row>
    <row r="302" spans="1:10" ht="18.75" customHeight="1" x14ac:dyDescent="0.25">
      <c r="A302" t="s">
        <v>233</v>
      </c>
      <c r="B302" s="45">
        <v>44745</v>
      </c>
      <c r="C302" s="42">
        <v>7922</v>
      </c>
      <c r="D302" s="42" t="s">
        <v>49</v>
      </c>
      <c r="E302" s="43" t="s">
        <v>50</v>
      </c>
      <c r="F302" s="42">
        <v>40021973</v>
      </c>
      <c r="G302" s="43" t="s">
        <v>247</v>
      </c>
      <c r="H302" s="42">
        <v>1</v>
      </c>
      <c r="I302" s="44">
        <v>129.75</v>
      </c>
      <c r="J302" s="48"/>
    </row>
    <row r="303" spans="1:10" ht="18.75" customHeight="1" x14ac:dyDescent="0.25">
      <c r="A303" t="s">
        <v>233</v>
      </c>
      <c r="B303" s="45">
        <v>44745</v>
      </c>
      <c r="C303" s="42">
        <v>17294</v>
      </c>
      <c r="D303" s="42" t="s">
        <v>49</v>
      </c>
      <c r="E303" s="43" t="s">
        <v>50</v>
      </c>
      <c r="F303" s="42">
        <v>40019122</v>
      </c>
      <c r="G303" s="43" t="s">
        <v>248</v>
      </c>
      <c r="H303" s="42">
        <v>1</v>
      </c>
      <c r="I303" s="44">
        <v>500</v>
      </c>
      <c r="J303" s="48"/>
    </row>
    <row r="304" spans="1:10" ht="18.75" customHeight="1" x14ac:dyDescent="0.25">
      <c r="A304" t="s">
        <v>233</v>
      </c>
      <c r="B304" s="45">
        <v>44745</v>
      </c>
      <c r="C304" s="42">
        <v>18791</v>
      </c>
      <c r="D304" s="42" t="s">
        <v>49</v>
      </c>
      <c r="E304" s="43" t="s">
        <v>50</v>
      </c>
      <c r="F304" s="42">
        <v>40019155</v>
      </c>
      <c r="G304" s="43" t="s">
        <v>249</v>
      </c>
      <c r="H304" s="42">
        <v>1</v>
      </c>
      <c r="I304" s="44">
        <v>199.75</v>
      </c>
      <c r="J304" s="48"/>
    </row>
    <row r="305" spans="1:10" ht="18.75" customHeight="1" x14ac:dyDescent="0.25">
      <c r="A305" t="s">
        <v>233</v>
      </c>
      <c r="B305" s="45">
        <v>44745</v>
      </c>
      <c r="C305" s="42">
        <v>18791</v>
      </c>
      <c r="D305" s="42" t="s">
        <v>49</v>
      </c>
      <c r="E305" s="43" t="s">
        <v>50</v>
      </c>
      <c r="F305" s="42">
        <v>40019156</v>
      </c>
      <c r="G305" s="43" t="s">
        <v>250</v>
      </c>
      <c r="H305" s="42">
        <v>1</v>
      </c>
      <c r="I305" s="44">
        <v>199.75</v>
      </c>
      <c r="J305" s="48"/>
    </row>
    <row r="306" spans="1:10" ht="18.75" customHeight="1" x14ac:dyDescent="0.25">
      <c r="A306" t="s">
        <v>233</v>
      </c>
      <c r="B306" s="45">
        <v>44745</v>
      </c>
      <c r="C306" s="42">
        <v>18791</v>
      </c>
      <c r="D306" s="42" t="s">
        <v>49</v>
      </c>
      <c r="E306" s="43" t="s">
        <v>50</v>
      </c>
      <c r="F306" s="42">
        <v>40019158</v>
      </c>
      <c r="G306" s="43" t="s">
        <v>251</v>
      </c>
      <c r="H306" s="42">
        <v>1</v>
      </c>
      <c r="I306" s="44">
        <v>199.75</v>
      </c>
      <c r="J306" s="48"/>
    </row>
    <row r="307" spans="1:10" ht="18.75" customHeight="1" x14ac:dyDescent="0.25">
      <c r="A307" t="s">
        <v>233</v>
      </c>
      <c r="B307" s="45">
        <v>44746</v>
      </c>
      <c r="C307" s="42">
        <v>10237</v>
      </c>
      <c r="D307" s="42" t="s">
        <v>49</v>
      </c>
      <c r="E307" s="43" t="s">
        <v>50</v>
      </c>
      <c r="F307" s="42">
        <v>40017478</v>
      </c>
      <c r="G307" s="43" t="s">
        <v>130</v>
      </c>
      <c r="H307" s="42">
        <v>1</v>
      </c>
      <c r="I307" s="44">
        <v>599.75</v>
      </c>
      <c r="J307" s="48"/>
    </row>
    <row r="308" spans="1:10" ht="18.75" customHeight="1" x14ac:dyDescent="0.25">
      <c r="A308" t="s">
        <v>233</v>
      </c>
      <c r="B308" s="45">
        <v>44746</v>
      </c>
      <c r="C308" s="42">
        <v>10244</v>
      </c>
      <c r="D308" s="42" t="s">
        <v>49</v>
      </c>
      <c r="E308" s="43" t="s">
        <v>50</v>
      </c>
      <c r="F308" s="42">
        <v>40019410</v>
      </c>
      <c r="G308" s="43" t="s">
        <v>252</v>
      </c>
      <c r="H308" s="42">
        <v>1</v>
      </c>
      <c r="I308" s="44">
        <v>499.75</v>
      </c>
      <c r="J308" s="48"/>
    </row>
    <row r="309" spans="1:10" ht="18.75" customHeight="1" x14ac:dyDescent="0.25">
      <c r="A309" t="s">
        <v>233</v>
      </c>
      <c r="B309" s="45">
        <v>44746</v>
      </c>
      <c r="C309" s="42">
        <v>19813</v>
      </c>
      <c r="D309" s="42" t="s">
        <v>49</v>
      </c>
      <c r="E309" s="43" t="s">
        <v>50</v>
      </c>
      <c r="F309" s="42">
        <v>40019391</v>
      </c>
      <c r="G309" s="43" t="s">
        <v>253</v>
      </c>
      <c r="H309" s="42">
        <v>1</v>
      </c>
      <c r="I309" s="44">
        <v>199.75</v>
      </c>
      <c r="J309" s="48"/>
    </row>
    <row r="310" spans="1:10" ht="18.75" customHeight="1" x14ac:dyDescent="0.25">
      <c r="A310" t="s">
        <v>233</v>
      </c>
      <c r="B310" s="45">
        <v>44746</v>
      </c>
      <c r="C310" s="42">
        <v>19813</v>
      </c>
      <c r="D310" s="42" t="s">
        <v>49</v>
      </c>
      <c r="E310" s="43" t="s">
        <v>50</v>
      </c>
      <c r="F310" s="42">
        <v>40019398</v>
      </c>
      <c r="G310" s="43" t="s">
        <v>253</v>
      </c>
      <c r="H310" s="42">
        <v>1</v>
      </c>
      <c r="I310" s="44">
        <v>199.75</v>
      </c>
      <c r="J310" s="48"/>
    </row>
    <row r="311" spans="1:10" ht="18.75" customHeight="1" x14ac:dyDescent="0.25">
      <c r="A311" t="s">
        <v>233</v>
      </c>
      <c r="B311" s="45">
        <v>44746</v>
      </c>
      <c r="C311" s="42">
        <v>10244</v>
      </c>
      <c r="D311" s="42" t="s">
        <v>49</v>
      </c>
      <c r="E311" s="43" t="s">
        <v>50</v>
      </c>
      <c r="F311" s="42">
        <v>40013732</v>
      </c>
      <c r="G311" s="43" t="s">
        <v>172</v>
      </c>
      <c r="H311" s="42">
        <v>1</v>
      </c>
      <c r="I311" s="44">
        <v>399.75</v>
      </c>
      <c r="J311" s="48"/>
    </row>
    <row r="312" spans="1:10" ht="18.75" customHeight="1" x14ac:dyDescent="0.25">
      <c r="A312" t="s">
        <v>233</v>
      </c>
      <c r="B312" s="45">
        <v>44746</v>
      </c>
      <c r="C312" s="42">
        <v>18830</v>
      </c>
      <c r="D312" s="42" t="s">
        <v>49</v>
      </c>
      <c r="E312" s="43" t="s">
        <v>50</v>
      </c>
      <c r="F312" s="42">
        <v>40013873</v>
      </c>
      <c r="G312" s="43" t="s">
        <v>98</v>
      </c>
      <c r="H312" s="42">
        <v>1</v>
      </c>
      <c r="I312" s="44">
        <v>99.75</v>
      </c>
      <c r="J312" s="48"/>
    </row>
    <row r="313" spans="1:10" ht="18.75" customHeight="1" x14ac:dyDescent="0.25">
      <c r="A313" t="s">
        <v>233</v>
      </c>
      <c r="B313" s="45">
        <v>44746</v>
      </c>
      <c r="C313" s="42">
        <v>18830</v>
      </c>
      <c r="D313" s="42" t="s">
        <v>49</v>
      </c>
      <c r="E313" s="43" t="s">
        <v>50</v>
      </c>
      <c r="F313" s="42">
        <v>40013871</v>
      </c>
      <c r="G313" s="43" t="s">
        <v>254</v>
      </c>
      <c r="H313" s="42">
        <v>1</v>
      </c>
      <c r="I313" s="44">
        <v>99.75</v>
      </c>
      <c r="J313" s="48"/>
    </row>
    <row r="314" spans="1:10" ht="18.75" customHeight="1" x14ac:dyDescent="0.25">
      <c r="A314" t="s">
        <v>233</v>
      </c>
      <c r="B314" s="45">
        <v>44746</v>
      </c>
      <c r="C314" s="42">
        <v>17336</v>
      </c>
      <c r="D314" s="42" t="s">
        <v>49</v>
      </c>
      <c r="E314" s="43" t="s">
        <v>50</v>
      </c>
      <c r="F314" s="42">
        <v>40020449</v>
      </c>
      <c r="G314" s="43" t="s">
        <v>255</v>
      </c>
      <c r="H314" s="42">
        <v>1</v>
      </c>
      <c r="I314" s="44">
        <v>499.75</v>
      </c>
      <c r="J314" s="48"/>
    </row>
    <row r="315" spans="1:10" ht="18.75" customHeight="1" x14ac:dyDescent="0.25">
      <c r="A315" t="s">
        <v>233</v>
      </c>
      <c r="B315" s="45">
        <v>44746</v>
      </c>
      <c r="C315" s="42">
        <v>10237</v>
      </c>
      <c r="D315" s="42" t="s">
        <v>49</v>
      </c>
      <c r="E315" s="43" t="s">
        <v>50</v>
      </c>
      <c r="F315" s="42">
        <v>40013986</v>
      </c>
      <c r="G315" s="43" t="s">
        <v>256</v>
      </c>
      <c r="H315" s="42">
        <v>1</v>
      </c>
      <c r="I315" s="44">
        <v>199</v>
      </c>
      <c r="J315" s="48"/>
    </row>
    <row r="316" spans="1:10" ht="18.75" customHeight="1" x14ac:dyDescent="0.25">
      <c r="A316" t="s">
        <v>233</v>
      </c>
      <c r="B316" s="45">
        <v>44746</v>
      </c>
      <c r="C316" s="42">
        <v>10205</v>
      </c>
      <c r="D316" s="42" t="s">
        <v>49</v>
      </c>
      <c r="E316" s="43" t="s">
        <v>50</v>
      </c>
      <c r="F316" s="42">
        <v>40017503</v>
      </c>
      <c r="G316" s="43" t="s">
        <v>257</v>
      </c>
      <c r="H316" s="42">
        <v>1</v>
      </c>
      <c r="I316" s="44">
        <v>600</v>
      </c>
      <c r="J316" s="48"/>
    </row>
    <row r="317" spans="1:10" ht="18.75" customHeight="1" x14ac:dyDescent="0.25">
      <c r="A317" t="s">
        <v>233</v>
      </c>
      <c r="B317" s="45">
        <v>44746</v>
      </c>
      <c r="C317" s="42">
        <v>10205</v>
      </c>
      <c r="D317" s="42" t="s">
        <v>49</v>
      </c>
      <c r="E317" s="43" t="s">
        <v>50</v>
      </c>
      <c r="F317" s="42">
        <v>40017504</v>
      </c>
      <c r="G317" s="43" t="s">
        <v>258</v>
      </c>
      <c r="H317" s="42">
        <v>1</v>
      </c>
      <c r="I317" s="44">
        <v>600</v>
      </c>
      <c r="J317" s="48"/>
    </row>
    <row r="318" spans="1:10" ht="18.75" customHeight="1" x14ac:dyDescent="0.25">
      <c r="A318" t="s">
        <v>233</v>
      </c>
      <c r="B318" s="45">
        <v>44747</v>
      </c>
      <c r="C318" s="42">
        <v>17470</v>
      </c>
      <c r="D318" s="42" t="s">
        <v>49</v>
      </c>
      <c r="E318" s="43" t="s">
        <v>50</v>
      </c>
      <c r="F318" s="42">
        <v>40018110</v>
      </c>
      <c r="G318" s="43" t="s">
        <v>132</v>
      </c>
      <c r="H318" s="42">
        <v>1</v>
      </c>
      <c r="I318" s="44">
        <v>199.75</v>
      </c>
      <c r="J318" s="48"/>
    </row>
    <row r="319" spans="1:10" ht="18.75" customHeight="1" x14ac:dyDescent="0.25">
      <c r="A319" t="s">
        <v>233</v>
      </c>
      <c r="B319" s="45">
        <v>44747</v>
      </c>
      <c r="C319" s="42">
        <v>18891</v>
      </c>
      <c r="D319" s="42" t="s">
        <v>49</v>
      </c>
      <c r="E319" s="43" t="s">
        <v>50</v>
      </c>
      <c r="F319" s="42">
        <v>40021975</v>
      </c>
      <c r="G319" s="43" t="s">
        <v>259</v>
      </c>
      <c r="H319" s="42">
        <v>1</v>
      </c>
      <c r="I319" s="44">
        <v>149.75</v>
      </c>
      <c r="J319" s="48"/>
    </row>
    <row r="320" spans="1:10" ht="18.75" customHeight="1" x14ac:dyDescent="0.25">
      <c r="A320" t="s">
        <v>233</v>
      </c>
      <c r="B320" s="45">
        <v>44747</v>
      </c>
      <c r="C320" s="42">
        <v>18866</v>
      </c>
      <c r="D320" s="42" t="s">
        <v>49</v>
      </c>
      <c r="E320" s="43" t="s">
        <v>50</v>
      </c>
      <c r="F320" s="42">
        <v>40021973</v>
      </c>
      <c r="G320" s="43" t="s">
        <v>247</v>
      </c>
      <c r="H320" s="42">
        <v>1</v>
      </c>
      <c r="I320" s="44">
        <v>129.75</v>
      </c>
      <c r="J320" s="48"/>
    </row>
    <row r="321" spans="1:10" ht="18.75" customHeight="1" x14ac:dyDescent="0.25">
      <c r="A321" t="s">
        <v>233</v>
      </c>
      <c r="B321" s="45">
        <v>44747</v>
      </c>
      <c r="C321" s="42">
        <v>17440</v>
      </c>
      <c r="D321" s="42" t="s">
        <v>49</v>
      </c>
      <c r="E321" s="43" t="s">
        <v>50</v>
      </c>
      <c r="F321" s="42">
        <v>40019134</v>
      </c>
      <c r="G321" s="43" t="s">
        <v>124</v>
      </c>
      <c r="H321" s="42">
        <v>1</v>
      </c>
      <c r="I321" s="44">
        <v>249.75</v>
      </c>
      <c r="J321" s="48"/>
    </row>
    <row r="322" spans="1:10" ht="18.75" customHeight="1" x14ac:dyDescent="0.25">
      <c r="A322" t="s">
        <v>233</v>
      </c>
      <c r="B322" s="45">
        <v>44747</v>
      </c>
      <c r="C322" s="42">
        <v>17440</v>
      </c>
      <c r="D322" s="42" t="s">
        <v>49</v>
      </c>
      <c r="E322" s="43" t="s">
        <v>50</v>
      </c>
      <c r="F322" s="42">
        <v>40019136</v>
      </c>
      <c r="G322" s="43" t="s">
        <v>260</v>
      </c>
      <c r="H322" s="42">
        <v>1</v>
      </c>
      <c r="I322" s="44">
        <v>249.75</v>
      </c>
      <c r="J322" s="48"/>
    </row>
    <row r="323" spans="1:10" ht="18.75" customHeight="1" x14ac:dyDescent="0.25">
      <c r="A323" t="s">
        <v>233</v>
      </c>
      <c r="B323" s="45">
        <v>44747</v>
      </c>
      <c r="C323" s="42">
        <v>17470</v>
      </c>
      <c r="D323" s="42" t="s">
        <v>49</v>
      </c>
      <c r="E323" s="43" t="s">
        <v>50</v>
      </c>
      <c r="F323" s="42">
        <v>40019122</v>
      </c>
      <c r="G323" s="43" t="s">
        <v>248</v>
      </c>
      <c r="H323" s="42">
        <v>1</v>
      </c>
      <c r="I323" s="44">
        <v>500</v>
      </c>
      <c r="J323" s="48"/>
    </row>
    <row r="324" spans="1:10" ht="18.75" customHeight="1" x14ac:dyDescent="0.25">
      <c r="A324" t="s">
        <v>233</v>
      </c>
      <c r="B324" s="45">
        <v>44747</v>
      </c>
      <c r="C324" s="42">
        <v>17472</v>
      </c>
      <c r="D324" s="42" t="s">
        <v>49</v>
      </c>
      <c r="E324" s="43" t="s">
        <v>50</v>
      </c>
      <c r="F324" s="42">
        <v>40020460</v>
      </c>
      <c r="G324" s="43" t="s">
        <v>261</v>
      </c>
      <c r="H324" s="42">
        <v>1</v>
      </c>
      <c r="I324" s="44">
        <v>399.75</v>
      </c>
      <c r="J324" s="48"/>
    </row>
    <row r="325" spans="1:10" ht="18.75" customHeight="1" x14ac:dyDescent="0.25">
      <c r="A325" t="s">
        <v>233</v>
      </c>
      <c r="B325" s="45">
        <v>44747</v>
      </c>
      <c r="C325" s="42">
        <v>19897</v>
      </c>
      <c r="D325" s="42" t="s">
        <v>49</v>
      </c>
      <c r="E325" s="43" t="s">
        <v>50</v>
      </c>
      <c r="F325" s="42">
        <v>40018574</v>
      </c>
      <c r="G325" s="43" t="s">
        <v>262</v>
      </c>
      <c r="H325" s="42">
        <v>1</v>
      </c>
      <c r="I325" s="44">
        <v>999.75</v>
      </c>
      <c r="J325" s="48"/>
    </row>
    <row r="326" spans="1:10" ht="18.75" customHeight="1" x14ac:dyDescent="0.25">
      <c r="A326" t="s">
        <v>233</v>
      </c>
      <c r="B326" s="45">
        <v>44747</v>
      </c>
      <c r="C326" s="42">
        <v>19889</v>
      </c>
      <c r="D326" s="42" t="s">
        <v>49</v>
      </c>
      <c r="E326" s="43" t="s">
        <v>50</v>
      </c>
      <c r="F326" s="42">
        <v>40013745</v>
      </c>
      <c r="G326" s="43" t="s">
        <v>263</v>
      </c>
      <c r="H326" s="42">
        <v>1</v>
      </c>
      <c r="I326" s="44">
        <v>449.75</v>
      </c>
      <c r="J326" s="48"/>
    </row>
    <row r="327" spans="1:10" ht="18.75" customHeight="1" x14ac:dyDescent="0.25">
      <c r="A327" t="s">
        <v>233</v>
      </c>
      <c r="B327" s="45">
        <v>44748</v>
      </c>
      <c r="C327" s="42">
        <v>18930</v>
      </c>
      <c r="D327" s="42" t="s">
        <v>49</v>
      </c>
      <c r="E327" s="43" t="s">
        <v>50</v>
      </c>
      <c r="F327" s="42">
        <v>40019136</v>
      </c>
      <c r="G327" s="43" t="s">
        <v>260</v>
      </c>
      <c r="H327" s="42">
        <v>1</v>
      </c>
      <c r="I327" s="44">
        <v>249.75</v>
      </c>
      <c r="J327" s="48"/>
    </row>
    <row r="328" spans="1:10" ht="18.75" customHeight="1" x14ac:dyDescent="0.25">
      <c r="A328" t="s">
        <v>233</v>
      </c>
      <c r="B328" s="45">
        <v>44748</v>
      </c>
      <c r="C328" s="42">
        <v>10286</v>
      </c>
      <c r="D328" s="42" t="s">
        <v>49</v>
      </c>
      <c r="E328" s="43" t="s">
        <v>50</v>
      </c>
      <c r="F328" s="42">
        <v>40017571</v>
      </c>
      <c r="G328" s="43" t="s">
        <v>264</v>
      </c>
      <c r="H328" s="42">
        <v>1</v>
      </c>
      <c r="I328" s="44">
        <v>299.75</v>
      </c>
      <c r="J328" s="48"/>
    </row>
    <row r="329" spans="1:10" ht="18.75" customHeight="1" x14ac:dyDescent="0.25">
      <c r="A329" t="s">
        <v>233</v>
      </c>
      <c r="B329" s="45">
        <v>44748</v>
      </c>
      <c r="C329" s="42">
        <v>18930</v>
      </c>
      <c r="D329" s="42" t="s">
        <v>49</v>
      </c>
      <c r="E329" s="43" t="s">
        <v>50</v>
      </c>
      <c r="F329" s="42">
        <v>40020459</v>
      </c>
      <c r="G329" s="43" t="s">
        <v>265</v>
      </c>
      <c r="H329" s="42">
        <v>1</v>
      </c>
      <c r="I329" s="44">
        <v>399.75</v>
      </c>
      <c r="J329" s="48"/>
    </row>
    <row r="330" spans="1:10" ht="18.75" customHeight="1" x14ac:dyDescent="0.25">
      <c r="A330" t="s">
        <v>233</v>
      </c>
      <c r="B330" s="45">
        <v>44748</v>
      </c>
      <c r="C330" s="42">
        <v>10292</v>
      </c>
      <c r="D330" s="42" t="s">
        <v>49</v>
      </c>
      <c r="E330" s="43" t="s">
        <v>50</v>
      </c>
      <c r="F330" s="42">
        <v>40020448</v>
      </c>
      <c r="G330" s="43" t="s">
        <v>62</v>
      </c>
      <c r="H330" s="42">
        <v>1</v>
      </c>
      <c r="I330" s="44">
        <v>499.75</v>
      </c>
      <c r="J330" s="48"/>
    </row>
    <row r="331" spans="1:10" ht="18.75" customHeight="1" x14ac:dyDescent="0.25">
      <c r="A331" t="s">
        <v>233</v>
      </c>
      <c r="B331" s="45">
        <v>44748</v>
      </c>
      <c r="C331" s="42">
        <v>17498</v>
      </c>
      <c r="D331" s="42" t="s">
        <v>49</v>
      </c>
      <c r="E331" s="43" t="s">
        <v>50</v>
      </c>
      <c r="F331" s="42">
        <v>40013306</v>
      </c>
      <c r="G331" s="43" t="s">
        <v>189</v>
      </c>
      <c r="H331" s="42">
        <v>2</v>
      </c>
      <c r="I331" s="44">
        <v>459.5</v>
      </c>
      <c r="J331" s="48"/>
    </row>
    <row r="332" spans="1:10" ht="18.75" customHeight="1" x14ac:dyDescent="0.25">
      <c r="A332" t="s">
        <v>233</v>
      </c>
      <c r="B332" s="45">
        <v>44748</v>
      </c>
      <c r="C332" s="42">
        <v>17498</v>
      </c>
      <c r="D332" s="42" t="s">
        <v>49</v>
      </c>
      <c r="E332" s="43" t="s">
        <v>50</v>
      </c>
      <c r="F332" s="42">
        <v>40021963</v>
      </c>
      <c r="G332" s="43" t="s">
        <v>266</v>
      </c>
      <c r="H332" s="42">
        <v>1</v>
      </c>
      <c r="I332" s="44">
        <v>229.75</v>
      </c>
      <c r="J332" s="48"/>
    </row>
    <row r="333" spans="1:10" ht="18.75" customHeight="1" x14ac:dyDescent="0.25">
      <c r="A333" t="s">
        <v>233</v>
      </c>
      <c r="B333" s="45">
        <v>44749</v>
      </c>
      <c r="C333" s="42">
        <v>13199</v>
      </c>
      <c r="D333" s="42" t="s">
        <v>49</v>
      </c>
      <c r="E333" s="43" t="s">
        <v>50</v>
      </c>
      <c r="F333" s="42">
        <v>40019122</v>
      </c>
      <c r="G333" s="43" t="s">
        <v>248</v>
      </c>
      <c r="H333" s="42">
        <v>1</v>
      </c>
      <c r="I333" s="44">
        <v>500</v>
      </c>
      <c r="J333" s="48"/>
    </row>
    <row r="334" spans="1:10" ht="18.75" customHeight="1" x14ac:dyDescent="0.25">
      <c r="A334" t="s">
        <v>233</v>
      </c>
      <c r="B334" s="45">
        <v>44749</v>
      </c>
      <c r="C334" s="42">
        <v>19011</v>
      </c>
      <c r="D334" s="42" t="s">
        <v>49</v>
      </c>
      <c r="E334" s="43" t="s">
        <v>50</v>
      </c>
      <c r="F334" s="42">
        <v>40014607</v>
      </c>
      <c r="G334" s="43" t="s">
        <v>267</v>
      </c>
      <c r="H334" s="42">
        <v>1</v>
      </c>
      <c r="I334" s="44">
        <v>299.75</v>
      </c>
      <c r="J334" s="48"/>
    </row>
    <row r="335" spans="1:10" ht="18.75" customHeight="1" x14ac:dyDescent="0.25">
      <c r="A335" t="s">
        <v>233</v>
      </c>
      <c r="B335" s="45">
        <v>44750</v>
      </c>
      <c r="C335" s="42">
        <v>13260</v>
      </c>
      <c r="D335" s="42" t="s">
        <v>49</v>
      </c>
      <c r="E335" s="43" t="s">
        <v>50</v>
      </c>
      <c r="F335" s="42">
        <v>40018708</v>
      </c>
      <c r="G335" s="43" t="s">
        <v>268</v>
      </c>
      <c r="H335" s="42">
        <v>1</v>
      </c>
      <c r="I335" s="44">
        <v>599.75</v>
      </c>
      <c r="J335" s="48"/>
    </row>
    <row r="336" spans="1:10" ht="18.75" customHeight="1" x14ac:dyDescent="0.25">
      <c r="A336" t="s">
        <v>233</v>
      </c>
      <c r="B336" s="45">
        <v>44750</v>
      </c>
      <c r="C336" s="42">
        <v>10303</v>
      </c>
      <c r="D336" s="42" t="s">
        <v>49</v>
      </c>
      <c r="E336" s="43" t="s">
        <v>50</v>
      </c>
      <c r="F336" s="42">
        <v>40012853</v>
      </c>
      <c r="G336" s="43" t="s">
        <v>269</v>
      </c>
      <c r="H336" s="42">
        <v>1</v>
      </c>
      <c r="I336" s="44">
        <v>350</v>
      </c>
      <c r="J336" s="48"/>
    </row>
    <row r="337" spans="1:10" ht="18.75" customHeight="1" x14ac:dyDescent="0.25">
      <c r="A337" t="s">
        <v>233</v>
      </c>
      <c r="B337" s="45">
        <v>44750</v>
      </c>
      <c r="C337" s="42">
        <v>19025</v>
      </c>
      <c r="D337" s="42" t="s">
        <v>49</v>
      </c>
      <c r="E337" s="43" t="s">
        <v>50</v>
      </c>
      <c r="F337" s="42">
        <v>40019277</v>
      </c>
      <c r="G337" s="43" t="s">
        <v>270</v>
      </c>
      <c r="H337" s="42">
        <v>1</v>
      </c>
      <c r="I337" s="44">
        <v>399.75</v>
      </c>
      <c r="J337" s="48"/>
    </row>
    <row r="338" spans="1:10" ht="18.75" customHeight="1" x14ac:dyDescent="0.25">
      <c r="A338" t="s">
        <v>233</v>
      </c>
      <c r="B338" s="45">
        <v>44750</v>
      </c>
      <c r="C338" s="42">
        <v>19035</v>
      </c>
      <c r="D338" s="42" t="s">
        <v>49</v>
      </c>
      <c r="E338" s="43" t="s">
        <v>50</v>
      </c>
      <c r="F338" s="42">
        <v>40020461</v>
      </c>
      <c r="G338" s="43" t="s">
        <v>76</v>
      </c>
      <c r="H338" s="42">
        <v>1</v>
      </c>
      <c r="I338" s="44">
        <v>449.75</v>
      </c>
      <c r="J338" s="48"/>
    </row>
    <row r="339" spans="1:10" ht="18.75" customHeight="1" x14ac:dyDescent="0.25">
      <c r="A339" t="s">
        <v>233</v>
      </c>
      <c r="B339" s="45">
        <v>44750</v>
      </c>
      <c r="C339" s="42">
        <v>19028</v>
      </c>
      <c r="D339" s="42" t="s">
        <v>49</v>
      </c>
      <c r="E339" s="43" t="s">
        <v>50</v>
      </c>
      <c r="F339" s="42">
        <v>40014663</v>
      </c>
      <c r="G339" s="43" t="s">
        <v>271</v>
      </c>
      <c r="H339" s="42">
        <v>2</v>
      </c>
      <c r="I339" s="44">
        <v>999.5</v>
      </c>
      <c r="J339" s="48"/>
    </row>
    <row r="340" spans="1:10" ht="18.75" customHeight="1" x14ac:dyDescent="0.25">
      <c r="A340" t="s">
        <v>233</v>
      </c>
      <c r="B340" s="45">
        <v>44750</v>
      </c>
      <c r="C340" s="42">
        <v>19028</v>
      </c>
      <c r="D340" s="42" t="s">
        <v>49</v>
      </c>
      <c r="E340" s="43" t="s">
        <v>50</v>
      </c>
      <c r="F340" s="42">
        <v>40014664</v>
      </c>
      <c r="G340" s="43" t="s">
        <v>271</v>
      </c>
      <c r="H340" s="42">
        <v>1</v>
      </c>
      <c r="I340" s="44">
        <v>499.75</v>
      </c>
      <c r="J340" s="48"/>
    </row>
    <row r="341" spans="1:10" ht="18.75" customHeight="1" x14ac:dyDescent="0.25">
      <c r="A341" t="s">
        <v>233</v>
      </c>
      <c r="B341" s="45">
        <v>44750</v>
      </c>
      <c r="C341" s="42">
        <v>19028</v>
      </c>
      <c r="D341" s="42" t="s">
        <v>49</v>
      </c>
      <c r="E341" s="43" t="s">
        <v>50</v>
      </c>
      <c r="F341" s="42">
        <v>40019158</v>
      </c>
      <c r="G341" s="43" t="s">
        <v>251</v>
      </c>
      <c r="H341" s="42">
        <v>5</v>
      </c>
      <c r="I341" s="44">
        <v>998.75</v>
      </c>
      <c r="J341" s="48"/>
    </row>
    <row r="342" spans="1:10" ht="18.75" customHeight="1" x14ac:dyDescent="0.25">
      <c r="A342" t="s">
        <v>233</v>
      </c>
      <c r="B342" s="45">
        <v>44750</v>
      </c>
      <c r="C342" s="42">
        <v>10327</v>
      </c>
      <c r="D342" s="42" t="s">
        <v>49</v>
      </c>
      <c r="E342" s="43" t="s">
        <v>50</v>
      </c>
      <c r="F342" s="42">
        <v>40019141</v>
      </c>
      <c r="G342" s="43" t="s">
        <v>272</v>
      </c>
      <c r="H342" s="42">
        <v>1</v>
      </c>
      <c r="I342" s="44">
        <v>499.75</v>
      </c>
      <c r="J342" s="48"/>
    </row>
    <row r="343" spans="1:10" ht="18.75" customHeight="1" x14ac:dyDescent="0.25">
      <c r="A343" t="s">
        <v>233</v>
      </c>
      <c r="B343" s="45">
        <v>44750</v>
      </c>
      <c r="C343" s="42">
        <v>19025</v>
      </c>
      <c r="D343" s="42" t="s">
        <v>49</v>
      </c>
      <c r="E343" s="43" t="s">
        <v>50</v>
      </c>
      <c r="F343" s="42">
        <v>40020448</v>
      </c>
      <c r="G343" s="43" t="s">
        <v>62</v>
      </c>
      <c r="H343" s="42">
        <v>1</v>
      </c>
      <c r="I343" s="44">
        <v>499.75</v>
      </c>
      <c r="J343" s="48"/>
    </row>
    <row r="344" spans="1:10" ht="18.75" customHeight="1" x14ac:dyDescent="0.25">
      <c r="A344" t="s">
        <v>233</v>
      </c>
      <c r="B344" s="45">
        <v>44751</v>
      </c>
      <c r="C344" s="42">
        <v>17584</v>
      </c>
      <c r="D344" s="42" t="s">
        <v>49</v>
      </c>
      <c r="E344" s="43" t="s">
        <v>50</v>
      </c>
      <c r="F344" s="42">
        <v>40014010</v>
      </c>
      <c r="G344" s="43" t="s">
        <v>245</v>
      </c>
      <c r="H344" s="42">
        <v>1</v>
      </c>
      <c r="I344" s="44">
        <v>2999.75</v>
      </c>
      <c r="J344" s="48"/>
    </row>
    <row r="345" spans="1:10" ht="18.75" customHeight="1" x14ac:dyDescent="0.25">
      <c r="A345" t="s">
        <v>233</v>
      </c>
      <c r="B345" s="45">
        <v>44751</v>
      </c>
      <c r="C345" s="42">
        <v>7948</v>
      </c>
      <c r="D345" s="42" t="s">
        <v>49</v>
      </c>
      <c r="E345" s="43" t="s">
        <v>50</v>
      </c>
      <c r="F345" s="42">
        <v>40019406</v>
      </c>
      <c r="G345" s="43" t="s">
        <v>273</v>
      </c>
      <c r="H345" s="42">
        <v>1</v>
      </c>
      <c r="I345" s="44">
        <v>799.75</v>
      </c>
      <c r="J345" s="48"/>
    </row>
    <row r="346" spans="1:10" ht="18.75" customHeight="1" x14ac:dyDescent="0.25">
      <c r="A346" t="s">
        <v>233</v>
      </c>
      <c r="B346" s="45">
        <v>44751</v>
      </c>
      <c r="C346" s="42">
        <v>7948</v>
      </c>
      <c r="D346" s="42" t="s">
        <v>49</v>
      </c>
      <c r="E346" s="43" t="s">
        <v>50</v>
      </c>
      <c r="F346" s="42">
        <v>40014667</v>
      </c>
      <c r="G346" s="43" t="s">
        <v>68</v>
      </c>
      <c r="H346" s="42">
        <v>1</v>
      </c>
      <c r="I346" s="44">
        <v>499.75</v>
      </c>
      <c r="J346" s="48"/>
    </row>
    <row r="347" spans="1:10" ht="18.75" customHeight="1" x14ac:dyDescent="0.25">
      <c r="A347" t="s">
        <v>233</v>
      </c>
      <c r="B347" s="45">
        <v>44751</v>
      </c>
      <c r="C347" s="42">
        <v>20187</v>
      </c>
      <c r="D347" s="42" t="s">
        <v>49</v>
      </c>
      <c r="E347" s="43" t="s">
        <v>50</v>
      </c>
      <c r="F347" s="42">
        <v>40014667</v>
      </c>
      <c r="G347" s="43" t="s">
        <v>68</v>
      </c>
      <c r="H347" s="42">
        <v>1</v>
      </c>
      <c r="I347" s="44">
        <v>499.75</v>
      </c>
      <c r="J347" s="48"/>
    </row>
    <row r="348" spans="1:10" ht="18.75" customHeight="1" x14ac:dyDescent="0.25">
      <c r="A348" t="s">
        <v>233</v>
      </c>
      <c r="B348" s="45">
        <v>44751</v>
      </c>
      <c r="C348" s="42">
        <v>20217</v>
      </c>
      <c r="D348" s="42" t="s">
        <v>49</v>
      </c>
      <c r="E348" s="43" t="s">
        <v>50</v>
      </c>
      <c r="F348" s="42">
        <v>40014668</v>
      </c>
      <c r="G348" s="43" t="s">
        <v>68</v>
      </c>
      <c r="H348" s="42">
        <v>1</v>
      </c>
      <c r="I348" s="44">
        <v>499.75</v>
      </c>
      <c r="J348" s="48"/>
    </row>
    <row r="349" spans="1:10" ht="18.75" customHeight="1" x14ac:dyDescent="0.25">
      <c r="A349" t="s">
        <v>233</v>
      </c>
      <c r="B349" s="45">
        <v>44751</v>
      </c>
      <c r="C349" s="42">
        <v>20210</v>
      </c>
      <c r="D349" s="42" t="s">
        <v>49</v>
      </c>
      <c r="E349" s="43" t="s">
        <v>50</v>
      </c>
      <c r="F349" s="42">
        <v>40019372</v>
      </c>
      <c r="G349" s="43" t="s">
        <v>118</v>
      </c>
      <c r="H349" s="42">
        <v>1</v>
      </c>
      <c r="I349" s="44">
        <v>1299.75</v>
      </c>
      <c r="J349" s="48"/>
    </row>
    <row r="350" spans="1:10" ht="18.75" customHeight="1" x14ac:dyDescent="0.25">
      <c r="A350" t="s">
        <v>233</v>
      </c>
      <c r="B350" s="45">
        <v>44751</v>
      </c>
      <c r="C350" s="42">
        <v>20187</v>
      </c>
      <c r="D350" s="42" t="s">
        <v>49</v>
      </c>
      <c r="E350" s="43" t="s">
        <v>50</v>
      </c>
      <c r="F350" s="42">
        <v>40018590</v>
      </c>
      <c r="G350" s="43" t="s">
        <v>274</v>
      </c>
      <c r="H350" s="42">
        <v>1</v>
      </c>
      <c r="I350" s="44">
        <v>999.75</v>
      </c>
      <c r="J350" s="48"/>
    </row>
    <row r="351" spans="1:10" ht="18.75" customHeight="1" x14ac:dyDescent="0.25">
      <c r="A351" t="s">
        <v>233</v>
      </c>
      <c r="B351" s="45">
        <v>44751</v>
      </c>
      <c r="C351" s="42">
        <v>19061</v>
      </c>
      <c r="D351" s="42" t="s">
        <v>49</v>
      </c>
      <c r="E351" s="43" t="s">
        <v>50</v>
      </c>
      <c r="F351" s="42">
        <v>40018820</v>
      </c>
      <c r="G351" s="43" t="s">
        <v>275</v>
      </c>
      <c r="H351" s="42">
        <v>1</v>
      </c>
      <c r="I351" s="44">
        <v>599.75</v>
      </c>
      <c r="J351" s="48"/>
    </row>
    <row r="352" spans="1:10" ht="18.75" customHeight="1" x14ac:dyDescent="0.25">
      <c r="A352" t="s">
        <v>233</v>
      </c>
      <c r="B352" s="45">
        <v>44751</v>
      </c>
      <c r="C352" s="42">
        <v>19061</v>
      </c>
      <c r="D352" s="42" t="s">
        <v>49</v>
      </c>
      <c r="E352" s="43" t="s">
        <v>50</v>
      </c>
      <c r="F352" s="42">
        <v>40018821</v>
      </c>
      <c r="G352" s="43" t="s">
        <v>276</v>
      </c>
      <c r="H352" s="42">
        <v>1</v>
      </c>
      <c r="I352" s="44">
        <v>599.75</v>
      </c>
      <c r="J352" s="48"/>
    </row>
    <row r="353" spans="1:10" ht="18.75" customHeight="1" x14ac:dyDescent="0.25">
      <c r="A353" t="s">
        <v>233</v>
      </c>
      <c r="B353" s="45">
        <v>44752</v>
      </c>
      <c r="C353" s="42">
        <v>19150</v>
      </c>
      <c r="D353" s="42" t="s">
        <v>49</v>
      </c>
      <c r="E353" s="43" t="s">
        <v>50</v>
      </c>
      <c r="F353" s="42">
        <v>40019367</v>
      </c>
      <c r="G353" s="43" t="s">
        <v>277</v>
      </c>
      <c r="H353" s="42">
        <v>1</v>
      </c>
      <c r="I353" s="44">
        <v>279.75</v>
      </c>
      <c r="J353" s="48"/>
    </row>
    <row r="354" spans="1:10" ht="18.75" customHeight="1" x14ac:dyDescent="0.25">
      <c r="A354" t="s">
        <v>233</v>
      </c>
      <c r="B354" s="45">
        <v>44752</v>
      </c>
      <c r="C354" s="42">
        <v>13308</v>
      </c>
      <c r="D354" s="42" t="s">
        <v>49</v>
      </c>
      <c r="E354" s="43" t="s">
        <v>50</v>
      </c>
      <c r="F354" s="42">
        <v>40021976</v>
      </c>
      <c r="G354" s="43" t="s">
        <v>186</v>
      </c>
      <c r="H354" s="42">
        <v>1</v>
      </c>
      <c r="I354" s="44">
        <v>129.75</v>
      </c>
      <c r="J354" s="48"/>
    </row>
    <row r="355" spans="1:10" ht="18.75" customHeight="1" x14ac:dyDescent="0.25">
      <c r="A355" t="s">
        <v>233</v>
      </c>
      <c r="B355" s="45">
        <v>44752</v>
      </c>
      <c r="C355" s="42">
        <v>19182</v>
      </c>
      <c r="D355" s="42" t="s">
        <v>49</v>
      </c>
      <c r="E355" s="43" t="s">
        <v>50</v>
      </c>
      <c r="F355" s="42">
        <v>40013871</v>
      </c>
      <c r="G355" s="43" t="s">
        <v>254</v>
      </c>
      <c r="H355" s="42">
        <v>1</v>
      </c>
      <c r="I355" s="44">
        <v>99.75</v>
      </c>
      <c r="J355" s="48"/>
    </row>
    <row r="356" spans="1:10" ht="18.75" customHeight="1" x14ac:dyDescent="0.25">
      <c r="A356" t="s">
        <v>233</v>
      </c>
      <c r="B356" s="45">
        <v>44752</v>
      </c>
      <c r="C356" s="42">
        <v>13296</v>
      </c>
      <c r="D356" s="42" t="s">
        <v>49</v>
      </c>
      <c r="E356" s="43" t="s">
        <v>50</v>
      </c>
      <c r="F356" s="42">
        <v>40014667</v>
      </c>
      <c r="G356" s="43" t="s">
        <v>68</v>
      </c>
      <c r="H356" s="42">
        <v>1</v>
      </c>
      <c r="I356" s="44">
        <v>499.75</v>
      </c>
      <c r="J356" s="48"/>
    </row>
    <row r="357" spans="1:10" ht="18.75" customHeight="1" x14ac:dyDescent="0.25">
      <c r="A357" t="s">
        <v>233</v>
      </c>
      <c r="B357" s="45">
        <v>44753</v>
      </c>
      <c r="C357" s="42">
        <v>19239</v>
      </c>
      <c r="D357" s="42" t="s">
        <v>49</v>
      </c>
      <c r="E357" s="43" t="s">
        <v>50</v>
      </c>
      <c r="F357" s="42">
        <v>40017527</v>
      </c>
      <c r="G357" s="43" t="s">
        <v>278</v>
      </c>
      <c r="H357" s="42">
        <v>1</v>
      </c>
      <c r="I357" s="44">
        <v>749.75</v>
      </c>
      <c r="J357" s="48"/>
    </row>
    <row r="358" spans="1:10" ht="18.75" customHeight="1" x14ac:dyDescent="0.25">
      <c r="A358" t="s">
        <v>233</v>
      </c>
      <c r="B358" s="45">
        <v>44753</v>
      </c>
      <c r="C358" s="42">
        <v>13382</v>
      </c>
      <c r="D358" s="42" t="s">
        <v>49</v>
      </c>
      <c r="E358" s="43" t="s">
        <v>50</v>
      </c>
      <c r="F358" s="42">
        <v>40019136</v>
      </c>
      <c r="G358" s="43" t="s">
        <v>260</v>
      </c>
      <c r="H358" s="42">
        <v>1</v>
      </c>
      <c r="I358" s="44">
        <v>249.75</v>
      </c>
      <c r="J358" s="48"/>
    </row>
    <row r="359" spans="1:10" ht="18.75" customHeight="1" x14ac:dyDescent="0.25">
      <c r="A359" t="s">
        <v>233</v>
      </c>
      <c r="B359" s="45">
        <v>44754</v>
      </c>
      <c r="C359" s="42">
        <v>19276</v>
      </c>
      <c r="D359" s="42" t="s">
        <v>49</v>
      </c>
      <c r="E359" s="43" t="s">
        <v>50</v>
      </c>
      <c r="F359" s="42">
        <v>40019136</v>
      </c>
      <c r="G359" s="43" t="s">
        <v>260</v>
      </c>
      <c r="H359" s="42">
        <v>1</v>
      </c>
      <c r="I359" s="44">
        <v>249.75</v>
      </c>
      <c r="J359" s="48"/>
    </row>
    <row r="360" spans="1:10" ht="18.75" customHeight="1" x14ac:dyDescent="0.25">
      <c r="A360" t="s">
        <v>233</v>
      </c>
      <c r="B360" s="45">
        <v>44754</v>
      </c>
      <c r="C360" s="42">
        <v>10461</v>
      </c>
      <c r="D360" s="42" t="s">
        <v>49</v>
      </c>
      <c r="E360" s="43" t="s">
        <v>50</v>
      </c>
      <c r="F360" s="42">
        <v>40017571</v>
      </c>
      <c r="G360" s="43" t="s">
        <v>264</v>
      </c>
      <c r="H360" s="42">
        <v>1</v>
      </c>
      <c r="I360" s="44">
        <v>299.75</v>
      </c>
      <c r="J360" s="48"/>
    </row>
    <row r="361" spans="1:10" ht="18.75" customHeight="1" x14ac:dyDescent="0.25">
      <c r="A361" t="s">
        <v>233</v>
      </c>
      <c r="B361" s="45">
        <v>44754</v>
      </c>
      <c r="C361" s="42">
        <v>20359</v>
      </c>
      <c r="D361" s="42" t="s">
        <v>49</v>
      </c>
      <c r="E361" s="43" t="s">
        <v>50</v>
      </c>
      <c r="F361" s="42">
        <v>40013305</v>
      </c>
      <c r="G361" s="43" t="s">
        <v>189</v>
      </c>
      <c r="H361" s="42">
        <v>1</v>
      </c>
      <c r="I361" s="44">
        <v>149.75</v>
      </c>
      <c r="J361" s="48"/>
    </row>
    <row r="362" spans="1:10" ht="18.75" customHeight="1" x14ac:dyDescent="0.25">
      <c r="A362" t="s">
        <v>233</v>
      </c>
      <c r="B362" s="45">
        <v>44755</v>
      </c>
      <c r="C362" s="42">
        <v>20419</v>
      </c>
      <c r="D362" s="42" t="s">
        <v>49</v>
      </c>
      <c r="E362" s="43" t="s">
        <v>50</v>
      </c>
      <c r="F362" s="42">
        <v>40017426</v>
      </c>
      <c r="G362" s="43" t="s">
        <v>279</v>
      </c>
      <c r="H362" s="42">
        <v>1</v>
      </c>
      <c r="I362" s="44">
        <v>599.75</v>
      </c>
      <c r="J362" s="48"/>
    </row>
    <row r="363" spans="1:10" ht="18.75" customHeight="1" x14ac:dyDescent="0.25">
      <c r="A363" t="s">
        <v>233</v>
      </c>
      <c r="B363" s="45">
        <v>44755</v>
      </c>
      <c r="C363" s="42">
        <v>19335</v>
      </c>
      <c r="D363" s="42" t="s">
        <v>49</v>
      </c>
      <c r="E363" s="43" t="s">
        <v>50</v>
      </c>
      <c r="F363" s="42">
        <v>40017597</v>
      </c>
      <c r="G363" s="43" t="s">
        <v>280</v>
      </c>
      <c r="H363" s="42">
        <v>1</v>
      </c>
      <c r="I363" s="44">
        <v>199.75</v>
      </c>
      <c r="J363" s="48"/>
    </row>
    <row r="364" spans="1:10" ht="18.75" customHeight="1" x14ac:dyDescent="0.25">
      <c r="A364" t="s">
        <v>233</v>
      </c>
      <c r="B364" s="45">
        <v>44755</v>
      </c>
      <c r="C364" s="42">
        <v>19335</v>
      </c>
      <c r="D364" s="42" t="s">
        <v>49</v>
      </c>
      <c r="E364" s="43" t="s">
        <v>50</v>
      </c>
      <c r="F364" s="42">
        <v>40017353</v>
      </c>
      <c r="G364" s="43" t="s">
        <v>61</v>
      </c>
      <c r="H364" s="42">
        <v>1</v>
      </c>
      <c r="I364" s="44">
        <v>169.75</v>
      </c>
      <c r="J364" s="48"/>
    </row>
    <row r="365" spans="1:10" ht="18.75" customHeight="1" x14ac:dyDescent="0.25">
      <c r="A365" t="s">
        <v>233</v>
      </c>
      <c r="B365" s="45">
        <v>44755</v>
      </c>
      <c r="C365" s="42">
        <v>19372</v>
      </c>
      <c r="D365" s="42" t="s">
        <v>49</v>
      </c>
      <c r="E365" s="43" t="s">
        <v>50</v>
      </c>
      <c r="F365" s="42">
        <v>40018708</v>
      </c>
      <c r="G365" s="43" t="s">
        <v>268</v>
      </c>
      <c r="H365" s="42">
        <v>1</v>
      </c>
      <c r="I365" s="44">
        <v>599.75</v>
      </c>
      <c r="J365" s="48"/>
    </row>
    <row r="366" spans="1:10" ht="18.75" customHeight="1" x14ac:dyDescent="0.25">
      <c r="A366" t="s">
        <v>233</v>
      </c>
      <c r="B366" s="45">
        <v>44755</v>
      </c>
      <c r="C366" s="42">
        <v>13418</v>
      </c>
      <c r="D366" s="42" t="s">
        <v>49</v>
      </c>
      <c r="E366" s="43" t="s">
        <v>50</v>
      </c>
      <c r="F366" s="42">
        <v>40019136</v>
      </c>
      <c r="G366" s="43" t="s">
        <v>260</v>
      </c>
      <c r="H366" s="42">
        <v>1</v>
      </c>
      <c r="I366" s="44">
        <v>249.75</v>
      </c>
      <c r="J366" s="48"/>
    </row>
    <row r="367" spans="1:10" ht="18.75" customHeight="1" x14ac:dyDescent="0.25">
      <c r="A367" t="s">
        <v>233</v>
      </c>
      <c r="B367" s="45">
        <v>44755</v>
      </c>
      <c r="C367" s="42">
        <v>20419</v>
      </c>
      <c r="D367" s="42" t="s">
        <v>49</v>
      </c>
      <c r="E367" s="43" t="s">
        <v>50</v>
      </c>
      <c r="F367" s="42">
        <v>40019136</v>
      </c>
      <c r="G367" s="43" t="s">
        <v>260</v>
      </c>
      <c r="H367" s="42">
        <v>1</v>
      </c>
      <c r="I367" s="44">
        <v>249.75</v>
      </c>
      <c r="J367" s="48"/>
    </row>
    <row r="368" spans="1:10" ht="18.75" customHeight="1" x14ac:dyDescent="0.25">
      <c r="A368" t="s">
        <v>233</v>
      </c>
      <c r="B368" s="45">
        <v>44755</v>
      </c>
      <c r="C368" s="42">
        <v>10526</v>
      </c>
      <c r="D368" s="42" t="s">
        <v>49</v>
      </c>
      <c r="E368" s="43" t="s">
        <v>50</v>
      </c>
      <c r="F368" s="42">
        <v>40018021</v>
      </c>
      <c r="G368" s="43" t="s">
        <v>281</v>
      </c>
      <c r="H368" s="42">
        <v>1</v>
      </c>
      <c r="I368" s="44">
        <v>199.75</v>
      </c>
      <c r="J368" s="48"/>
    </row>
    <row r="369" spans="1:10" ht="18.75" customHeight="1" x14ac:dyDescent="0.25">
      <c r="A369" t="s">
        <v>233</v>
      </c>
      <c r="B369" s="45">
        <v>44755</v>
      </c>
      <c r="C369" s="42">
        <v>10508</v>
      </c>
      <c r="D369" s="42" t="s">
        <v>49</v>
      </c>
      <c r="E369" s="43" t="s">
        <v>50</v>
      </c>
      <c r="F369" s="42">
        <v>40013868</v>
      </c>
      <c r="G369" s="43" t="s">
        <v>235</v>
      </c>
      <c r="H369" s="42">
        <v>1</v>
      </c>
      <c r="I369" s="44">
        <v>99.75</v>
      </c>
      <c r="J369" s="48"/>
    </row>
    <row r="370" spans="1:10" ht="18.75" customHeight="1" x14ac:dyDescent="0.25">
      <c r="A370" t="s">
        <v>233</v>
      </c>
      <c r="B370" s="45">
        <v>44755</v>
      </c>
      <c r="C370" s="42">
        <v>17811</v>
      </c>
      <c r="D370" s="42" t="s">
        <v>49</v>
      </c>
      <c r="E370" s="43" t="s">
        <v>50</v>
      </c>
      <c r="F370" s="42">
        <v>40013868</v>
      </c>
      <c r="G370" s="43" t="s">
        <v>235</v>
      </c>
      <c r="H370" s="42">
        <v>1</v>
      </c>
      <c r="I370" s="44">
        <v>99.75</v>
      </c>
      <c r="J370" s="48"/>
    </row>
    <row r="371" spans="1:10" ht="18.75" customHeight="1" x14ac:dyDescent="0.25">
      <c r="A371" t="s">
        <v>233</v>
      </c>
      <c r="B371" s="45">
        <v>44755</v>
      </c>
      <c r="C371" s="42">
        <v>17811</v>
      </c>
      <c r="D371" s="42" t="s">
        <v>49</v>
      </c>
      <c r="E371" s="43" t="s">
        <v>50</v>
      </c>
      <c r="F371" s="42">
        <v>40013873</v>
      </c>
      <c r="G371" s="43" t="s">
        <v>98</v>
      </c>
      <c r="H371" s="42">
        <v>1</v>
      </c>
      <c r="I371" s="44">
        <v>99.75</v>
      </c>
      <c r="J371" s="48"/>
    </row>
    <row r="372" spans="1:10" ht="18.75" customHeight="1" x14ac:dyDescent="0.25">
      <c r="A372" t="s">
        <v>233</v>
      </c>
      <c r="B372" s="45">
        <v>44755</v>
      </c>
      <c r="C372" s="42">
        <v>20394</v>
      </c>
      <c r="D372" s="42" t="s">
        <v>49</v>
      </c>
      <c r="E372" s="43" t="s">
        <v>50</v>
      </c>
      <c r="F372" s="42">
        <v>40013871</v>
      </c>
      <c r="G372" s="43" t="s">
        <v>254</v>
      </c>
      <c r="H372" s="42">
        <v>2</v>
      </c>
      <c r="I372" s="44">
        <v>199.5</v>
      </c>
      <c r="J372" s="48"/>
    </row>
    <row r="373" spans="1:10" ht="18.75" customHeight="1" x14ac:dyDescent="0.25">
      <c r="A373" t="s">
        <v>233</v>
      </c>
      <c r="B373" s="45">
        <v>44755</v>
      </c>
      <c r="C373" s="42">
        <v>17811</v>
      </c>
      <c r="D373" s="42" t="s">
        <v>49</v>
      </c>
      <c r="E373" s="43" t="s">
        <v>50</v>
      </c>
      <c r="F373" s="42">
        <v>40013870</v>
      </c>
      <c r="G373" s="43" t="s">
        <v>282</v>
      </c>
      <c r="H373" s="42">
        <v>1</v>
      </c>
      <c r="I373" s="44">
        <v>99.75</v>
      </c>
      <c r="J373" s="48"/>
    </row>
    <row r="374" spans="1:10" ht="18.75" customHeight="1" x14ac:dyDescent="0.25">
      <c r="A374" t="s">
        <v>233</v>
      </c>
      <c r="B374" s="45">
        <v>44755</v>
      </c>
      <c r="C374" s="42">
        <v>13407</v>
      </c>
      <c r="D374" s="42" t="s">
        <v>49</v>
      </c>
      <c r="E374" s="43" t="s">
        <v>50</v>
      </c>
      <c r="F374" s="42">
        <v>40014664</v>
      </c>
      <c r="G374" s="43" t="s">
        <v>271</v>
      </c>
      <c r="H374" s="42">
        <v>1</v>
      </c>
      <c r="I374" s="44">
        <v>499.75</v>
      </c>
      <c r="J374" s="48"/>
    </row>
    <row r="375" spans="1:10" ht="18.75" customHeight="1" x14ac:dyDescent="0.25">
      <c r="A375" t="s">
        <v>233</v>
      </c>
      <c r="B375" s="45">
        <v>44755</v>
      </c>
      <c r="C375" s="42">
        <v>17785</v>
      </c>
      <c r="D375" s="42" t="s">
        <v>49</v>
      </c>
      <c r="E375" s="43" t="s">
        <v>50</v>
      </c>
      <c r="F375" s="42">
        <v>40014663</v>
      </c>
      <c r="G375" s="43" t="s">
        <v>271</v>
      </c>
      <c r="H375" s="42">
        <v>1</v>
      </c>
      <c r="I375" s="44">
        <v>499.75</v>
      </c>
      <c r="J375" s="48"/>
    </row>
    <row r="376" spans="1:10" ht="18.75" customHeight="1" x14ac:dyDescent="0.25">
      <c r="A376" t="s">
        <v>233</v>
      </c>
      <c r="B376" s="45">
        <v>44756</v>
      </c>
      <c r="C376" s="42">
        <v>20457</v>
      </c>
      <c r="D376" s="42" t="s">
        <v>49</v>
      </c>
      <c r="E376" s="43" t="s">
        <v>50</v>
      </c>
      <c r="F376" s="42">
        <v>40013792</v>
      </c>
      <c r="G376" s="43" t="s">
        <v>283</v>
      </c>
      <c r="H376" s="42">
        <v>1</v>
      </c>
      <c r="I376" s="44">
        <v>149.75</v>
      </c>
      <c r="J376" s="48"/>
    </row>
    <row r="377" spans="1:10" ht="18.75" customHeight="1" x14ac:dyDescent="0.25">
      <c r="A377" t="s">
        <v>233</v>
      </c>
      <c r="B377" s="45">
        <v>44756</v>
      </c>
      <c r="C377" s="42">
        <v>19391</v>
      </c>
      <c r="D377" s="42" t="s">
        <v>49</v>
      </c>
      <c r="E377" s="43" t="s">
        <v>50</v>
      </c>
      <c r="F377" s="42">
        <v>40020460</v>
      </c>
      <c r="G377" s="43" t="s">
        <v>261</v>
      </c>
      <c r="H377" s="42">
        <v>1</v>
      </c>
      <c r="I377" s="44">
        <v>399.75</v>
      </c>
      <c r="J377" s="48"/>
    </row>
    <row r="378" spans="1:10" ht="18.75" customHeight="1" x14ac:dyDescent="0.25">
      <c r="A378" t="s">
        <v>233</v>
      </c>
      <c r="B378" s="45">
        <v>44756</v>
      </c>
      <c r="C378" s="42">
        <v>17820</v>
      </c>
      <c r="D378" s="42" t="s">
        <v>49</v>
      </c>
      <c r="E378" s="43" t="s">
        <v>50</v>
      </c>
      <c r="F378" s="42">
        <v>40019142</v>
      </c>
      <c r="G378" s="43" t="s">
        <v>284</v>
      </c>
      <c r="H378" s="42">
        <v>1</v>
      </c>
      <c r="I378" s="44">
        <v>499.75</v>
      </c>
      <c r="J378" s="48"/>
    </row>
    <row r="379" spans="1:10" ht="18.75" customHeight="1" x14ac:dyDescent="0.25">
      <c r="A379" t="s">
        <v>233</v>
      </c>
      <c r="B379" s="45">
        <v>44756</v>
      </c>
      <c r="C379" s="42">
        <v>20494</v>
      </c>
      <c r="D379" s="42" t="s">
        <v>49</v>
      </c>
      <c r="E379" s="43" t="s">
        <v>50</v>
      </c>
      <c r="F379" s="42">
        <v>40019140</v>
      </c>
      <c r="G379" s="43" t="s">
        <v>285</v>
      </c>
      <c r="H379" s="42">
        <v>1</v>
      </c>
      <c r="I379" s="44">
        <v>499.75</v>
      </c>
      <c r="J379" s="48"/>
    </row>
    <row r="380" spans="1:10" ht="18.75" customHeight="1" x14ac:dyDescent="0.25">
      <c r="A380" t="s">
        <v>233</v>
      </c>
      <c r="B380" s="45">
        <v>44756</v>
      </c>
      <c r="C380" s="42">
        <v>10563</v>
      </c>
      <c r="D380" s="42" t="s">
        <v>49</v>
      </c>
      <c r="E380" s="43" t="s">
        <v>50</v>
      </c>
      <c r="F380" s="42">
        <v>40014693</v>
      </c>
      <c r="G380" s="43" t="s">
        <v>286</v>
      </c>
      <c r="H380" s="42">
        <v>1</v>
      </c>
      <c r="I380" s="44">
        <v>199.75</v>
      </c>
      <c r="J380" s="48"/>
    </row>
    <row r="381" spans="1:10" ht="18.75" customHeight="1" x14ac:dyDescent="0.25">
      <c r="A381" t="s">
        <v>233</v>
      </c>
      <c r="B381" s="45">
        <v>44756</v>
      </c>
      <c r="C381" s="42">
        <v>10563</v>
      </c>
      <c r="D381" s="42" t="s">
        <v>49</v>
      </c>
      <c r="E381" s="43" t="s">
        <v>50</v>
      </c>
      <c r="F381" s="42">
        <v>40018813</v>
      </c>
      <c r="G381" s="43" t="s">
        <v>287</v>
      </c>
      <c r="H381" s="42">
        <v>1</v>
      </c>
      <c r="I381" s="44">
        <v>199.75</v>
      </c>
      <c r="J381" s="48"/>
    </row>
    <row r="382" spans="1:10" ht="18.75" customHeight="1" x14ac:dyDescent="0.25">
      <c r="A382" t="s">
        <v>233</v>
      </c>
      <c r="B382" s="45">
        <v>44757</v>
      </c>
      <c r="C382" s="42">
        <v>10613</v>
      </c>
      <c r="D382" s="42" t="s">
        <v>49</v>
      </c>
      <c r="E382" s="43" t="s">
        <v>50</v>
      </c>
      <c r="F382" s="42">
        <v>40017525</v>
      </c>
      <c r="G382" s="43" t="s">
        <v>288</v>
      </c>
      <c r="H382" s="42">
        <v>1</v>
      </c>
      <c r="I382" s="44">
        <v>224.77500000000001</v>
      </c>
      <c r="J382" s="48"/>
    </row>
    <row r="383" spans="1:10" ht="18.75" customHeight="1" x14ac:dyDescent="0.25">
      <c r="A383" t="s">
        <v>233</v>
      </c>
      <c r="B383" s="45">
        <v>44757</v>
      </c>
      <c r="C383" s="42">
        <v>20594</v>
      </c>
      <c r="D383" s="42" t="s">
        <v>49</v>
      </c>
      <c r="E383" s="43" t="s">
        <v>50</v>
      </c>
      <c r="F383" s="42">
        <v>40019432</v>
      </c>
      <c r="G383" s="43" t="s">
        <v>106</v>
      </c>
      <c r="H383" s="42">
        <v>1</v>
      </c>
      <c r="I383" s="44">
        <v>179.77500000000001</v>
      </c>
      <c r="J383" s="48"/>
    </row>
    <row r="384" spans="1:10" ht="18.75" customHeight="1" x14ac:dyDescent="0.25">
      <c r="A384" t="s">
        <v>233</v>
      </c>
      <c r="B384" s="45">
        <v>44757</v>
      </c>
      <c r="C384" s="42">
        <v>19461</v>
      </c>
      <c r="D384" s="42" t="s">
        <v>49</v>
      </c>
      <c r="E384" s="43" t="s">
        <v>50</v>
      </c>
      <c r="F384" s="42">
        <v>40013732</v>
      </c>
      <c r="G384" s="43" t="s">
        <v>172</v>
      </c>
      <c r="H384" s="42">
        <v>1</v>
      </c>
      <c r="I384" s="44">
        <v>399.75</v>
      </c>
      <c r="J384" s="48"/>
    </row>
    <row r="385" spans="1:10" ht="18.75" customHeight="1" x14ac:dyDescent="0.25">
      <c r="A385" t="s">
        <v>233</v>
      </c>
      <c r="B385" s="45">
        <v>44757</v>
      </c>
      <c r="C385" s="42">
        <v>10586</v>
      </c>
      <c r="D385" s="42" t="s">
        <v>49</v>
      </c>
      <c r="E385" s="43" t="s">
        <v>50</v>
      </c>
      <c r="F385" s="42">
        <v>40014015</v>
      </c>
      <c r="G385" s="43" t="s">
        <v>289</v>
      </c>
      <c r="H385" s="42">
        <v>1</v>
      </c>
      <c r="I385" s="44">
        <v>599.75</v>
      </c>
      <c r="J385" s="48"/>
    </row>
    <row r="386" spans="1:10" ht="18.75" customHeight="1" x14ac:dyDescent="0.25">
      <c r="A386" t="s">
        <v>233</v>
      </c>
      <c r="B386" s="45">
        <v>44757</v>
      </c>
      <c r="C386" s="42">
        <v>17924</v>
      </c>
      <c r="D386" s="42" t="s">
        <v>49</v>
      </c>
      <c r="E386" s="43" t="s">
        <v>50</v>
      </c>
      <c r="F386" s="42">
        <v>40017571</v>
      </c>
      <c r="G386" s="43" t="s">
        <v>264</v>
      </c>
      <c r="H386" s="42">
        <v>1</v>
      </c>
      <c r="I386" s="44">
        <v>299.75</v>
      </c>
      <c r="J386" s="48"/>
    </row>
    <row r="387" spans="1:10" ht="18.75" customHeight="1" x14ac:dyDescent="0.25">
      <c r="A387" t="s">
        <v>233</v>
      </c>
      <c r="B387" s="45">
        <v>44757</v>
      </c>
      <c r="C387" s="42">
        <v>10613</v>
      </c>
      <c r="D387" s="42" t="s">
        <v>49</v>
      </c>
      <c r="E387" s="43" t="s">
        <v>50</v>
      </c>
      <c r="F387" s="42">
        <v>40019276</v>
      </c>
      <c r="G387" s="43" t="s">
        <v>290</v>
      </c>
      <c r="H387" s="42">
        <v>1</v>
      </c>
      <c r="I387" s="44">
        <v>399.75</v>
      </c>
      <c r="J387" s="48"/>
    </row>
    <row r="388" spans="1:10" ht="18.75" customHeight="1" x14ac:dyDescent="0.25">
      <c r="A388" t="s">
        <v>233</v>
      </c>
      <c r="B388" s="45">
        <v>44757</v>
      </c>
      <c r="C388" s="42">
        <v>17879</v>
      </c>
      <c r="D388" s="42" t="s">
        <v>49</v>
      </c>
      <c r="E388" s="43" t="s">
        <v>50</v>
      </c>
      <c r="F388" s="42">
        <v>40020456</v>
      </c>
      <c r="G388" s="43" t="s">
        <v>199</v>
      </c>
      <c r="H388" s="42">
        <v>1</v>
      </c>
      <c r="I388" s="44">
        <v>449.75</v>
      </c>
      <c r="J388" s="48"/>
    </row>
    <row r="389" spans="1:10" ht="18.75" customHeight="1" x14ac:dyDescent="0.25">
      <c r="A389" t="s">
        <v>233</v>
      </c>
      <c r="B389" s="45">
        <v>44757</v>
      </c>
      <c r="C389" s="42">
        <v>17871</v>
      </c>
      <c r="D389" s="42" t="s">
        <v>49</v>
      </c>
      <c r="E389" s="43" t="s">
        <v>50</v>
      </c>
      <c r="F389" s="42">
        <v>40020454</v>
      </c>
      <c r="G389" s="43" t="s">
        <v>291</v>
      </c>
      <c r="H389" s="42">
        <v>1</v>
      </c>
      <c r="I389" s="44">
        <v>399.75</v>
      </c>
      <c r="J389" s="48"/>
    </row>
    <row r="390" spans="1:10" ht="18.75" customHeight="1" x14ac:dyDescent="0.25">
      <c r="A390" t="s">
        <v>233</v>
      </c>
      <c r="B390" s="45">
        <v>44757</v>
      </c>
      <c r="C390" s="42">
        <v>10610</v>
      </c>
      <c r="D390" s="42" t="s">
        <v>49</v>
      </c>
      <c r="E390" s="43" t="s">
        <v>50</v>
      </c>
      <c r="F390" s="42">
        <v>40019122</v>
      </c>
      <c r="G390" s="43" t="s">
        <v>248</v>
      </c>
      <c r="H390" s="42">
        <v>1</v>
      </c>
      <c r="I390" s="44">
        <v>500</v>
      </c>
      <c r="J390" s="48"/>
    </row>
    <row r="391" spans="1:10" ht="18.75" customHeight="1" x14ac:dyDescent="0.25">
      <c r="A391" t="s">
        <v>233</v>
      </c>
      <c r="B391" s="45">
        <v>44758</v>
      </c>
      <c r="C391" s="42">
        <v>17943</v>
      </c>
      <c r="D391" s="42" t="s">
        <v>49</v>
      </c>
      <c r="E391" s="43" t="s">
        <v>50</v>
      </c>
      <c r="F391" s="42">
        <v>40013998</v>
      </c>
      <c r="G391" s="43" t="s">
        <v>292</v>
      </c>
      <c r="H391" s="42">
        <v>1</v>
      </c>
      <c r="I391" s="44">
        <v>224.77500000000001</v>
      </c>
      <c r="J391" s="48"/>
    </row>
    <row r="392" spans="1:10" ht="18.75" customHeight="1" x14ac:dyDescent="0.25">
      <c r="A392" t="s">
        <v>233</v>
      </c>
      <c r="B392" s="45">
        <v>44758</v>
      </c>
      <c r="C392" s="42">
        <v>20698</v>
      </c>
      <c r="D392" s="42" t="s">
        <v>49</v>
      </c>
      <c r="E392" s="43" t="s">
        <v>50</v>
      </c>
      <c r="F392" s="42">
        <v>40016534</v>
      </c>
      <c r="G392" s="43" t="s">
        <v>293</v>
      </c>
      <c r="H392" s="42">
        <v>1</v>
      </c>
      <c r="I392" s="44">
        <v>349.75</v>
      </c>
      <c r="J392" s="48"/>
    </row>
    <row r="393" spans="1:10" ht="18.75" customHeight="1" x14ac:dyDescent="0.25">
      <c r="A393" t="s">
        <v>233</v>
      </c>
      <c r="B393" s="45">
        <v>44758</v>
      </c>
      <c r="C393" s="42">
        <v>20644</v>
      </c>
      <c r="D393" s="42" t="s">
        <v>49</v>
      </c>
      <c r="E393" s="43" t="s">
        <v>50</v>
      </c>
      <c r="F393" s="42">
        <v>40021973</v>
      </c>
      <c r="G393" s="43" t="s">
        <v>247</v>
      </c>
      <c r="H393" s="42">
        <v>1</v>
      </c>
      <c r="I393" s="44">
        <v>129.75</v>
      </c>
      <c r="J393" s="48"/>
    </row>
    <row r="394" spans="1:10" ht="18.75" customHeight="1" x14ac:dyDescent="0.25">
      <c r="A394" t="s">
        <v>233</v>
      </c>
      <c r="B394" s="45">
        <v>44758</v>
      </c>
      <c r="C394" s="42">
        <v>19494</v>
      </c>
      <c r="D394" s="42" t="s">
        <v>49</v>
      </c>
      <c r="E394" s="43" t="s">
        <v>50</v>
      </c>
      <c r="F394" s="42">
        <v>40014663</v>
      </c>
      <c r="G394" s="43" t="s">
        <v>271</v>
      </c>
      <c r="H394" s="42">
        <v>1</v>
      </c>
      <c r="I394" s="44">
        <v>499.75</v>
      </c>
      <c r="J394" s="48"/>
    </row>
    <row r="395" spans="1:10" ht="18.75" customHeight="1" x14ac:dyDescent="0.25">
      <c r="A395" t="s">
        <v>233</v>
      </c>
      <c r="B395" s="45">
        <v>44758</v>
      </c>
      <c r="C395" s="42">
        <v>13529</v>
      </c>
      <c r="D395" s="42" t="s">
        <v>49</v>
      </c>
      <c r="E395" s="43" t="s">
        <v>50</v>
      </c>
      <c r="F395" s="42">
        <v>40014668</v>
      </c>
      <c r="G395" s="43" t="s">
        <v>68</v>
      </c>
      <c r="H395" s="42">
        <v>1</v>
      </c>
      <c r="I395" s="44">
        <v>499.75</v>
      </c>
      <c r="J395" s="48"/>
    </row>
    <row r="396" spans="1:10" ht="18.75" customHeight="1" x14ac:dyDescent="0.25">
      <c r="A396" t="s">
        <v>233</v>
      </c>
      <c r="B396" s="45">
        <v>44758</v>
      </c>
      <c r="C396" s="42">
        <v>19489</v>
      </c>
      <c r="D396" s="42" t="s">
        <v>49</v>
      </c>
      <c r="E396" s="43" t="s">
        <v>50</v>
      </c>
      <c r="F396" s="42">
        <v>40014667</v>
      </c>
      <c r="G396" s="43" t="s">
        <v>68</v>
      </c>
      <c r="H396" s="42">
        <v>1</v>
      </c>
      <c r="I396" s="44">
        <v>499.75</v>
      </c>
      <c r="J396" s="48"/>
    </row>
    <row r="397" spans="1:10" ht="18.75" customHeight="1" x14ac:dyDescent="0.25">
      <c r="A397" t="s">
        <v>233</v>
      </c>
      <c r="B397" s="45">
        <v>44758</v>
      </c>
      <c r="C397" s="42">
        <v>20694</v>
      </c>
      <c r="D397" s="42" t="s">
        <v>49</v>
      </c>
      <c r="E397" s="43" t="s">
        <v>50</v>
      </c>
      <c r="F397" s="42">
        <v>40013299</v>
      </c>
      <c r="G397" s="43" t="s">
        <v>103</v>
      </c>
      <c r="H397" s="42">
        <v>1</v>
      </c>
      <c r="I397" s="44">
        <v>149.75</v>
      </c>
      <c r="J397" s="48"/>
    </row>
    <row r="398" spans="1:10" ht="18.75" customHeight="1" x14ac:dyDescent="0.25">
      <c r="A398" t="s">
        <v>233</v>
      </c>
      <c r="B398" s="45">
        <v>44758</v>
      </c>
      <c r="C398" s="42">
        <v>10653</v>
      </c>
      <c r="D398" s="42" t="s">
        <v>49</v>
      </c>
      <c r="E398" s="43" t="s">
        <v>50</v>
      </c>
      <c r="F398" s="42">
        <v>40014074</v>
      </c>
      <c r="G398" s="43" t="s">
        <v>294</v>
      </c>
      <c r="H398" s="42">
        <v>1</v>
      </c>
      <c r="I398" s="44">
        <v>699.75</v>
      </c>
      <c r="J398" s="48"/>
    </row>
    <row r="399" spans="1:10" ht="18.75" customHeight="1" x14ac:dyDescent="0.25">
      <c r="A399" t="s">
        <v>233</v>
      </c>
      <c r="B399" s="45">
        <v>44759</v>
      </c>
      <c r="C399" s="42">
        <v>19563</v>
      </c>
      <c r="D399" s="42" t="s">
        <v>49</v>
      </c>
      <c r="E399" s="43" t="s">
        <v>50</v>
      </c>
      <c r="F399" s="42">
        <v>40013138</v>
      </c>
      <c r="G399" s="43" t="s">
        <v>295</v>
      </c>
      <c r="H399" s="42">
        <v>1</v>
      </c>
      <c r="I399" s="44">
        <v>115</v>
      </c>
      <c r="J399" s="48"/>
    </row>
    <row r="400" spans="1:10" ht="18.75" customHeight="1" x14ac:dyDescent="0.25">
      <c r="A400" t="s">
        <v>233</v>
      </c>
      <c r="B400" s="45">
        <v>44759</v>
      </c>
      <c r="C400" s="42">
        <v>10670</v>
      </c>
      <c r="D400" s="42" t="s">
        <v>49</v>
      </c>
      <c r="E400" s="43" t="s">
        <v>50</v>
      </c>
      <c r="F400" s="42">
        <v>40019109</v>
      </c>
      <c r="G400" s="43" t="s">
        <v>296</v>
      </c>
      <c r="H400" s="42">
        <v>1</v>
      </c>
      <c r="I400" s="44">
        <v>329.75</v>
      </c>
      <c r="J400" s="48"/>
    </row>
    <row r="401" spans="1:10" ht="18.75" customHeight="1" x14ac:dyDescent="0.25">
      <c r="A401" t="s">
        <v>233</v>
      </c>
      <c r="B401" s="45">
        <v>44759</v>
      </c>
      <c r="C401" s="42">
        <v>19558</v>
      </c>
      <c r="D401" s="42" t="s">
        <v>49</v>
      </c>
      <c r="E401" s="43" t="s">
        <v>50</v>
      </c>
      <c r="F401" s="42">
        <v>40018033</v>
      </c>
      <c r="G401" s="43" t="s">
        <v>297</v>
      </c>
      <c r="H401" s="42">
        <v>1</v>
      </c>
      <c r="I401" s="44">
        <v>199.75</v>
      </c>
      <c r="J401" s="48"/>
    </row>
    <row r="402" spans="1:10" ht="18.75" customHeight="1" x14ac:dyDescent="0.25">
      <c r="A402" t="s">
        <v>233</v>
      </c>
      <c r="B402" s="45">
        <v>44759</v>
      </c>
      <c r="C402" s="42">
        <v>10670</v>
      </c>
      <c r="D402" s="42" t="s">
        <v>49</v>
      </c>
      <c r="E402" s="43" t="s">
        <v>50</v>
      </c>
      <c r="F402" s="42">
        <v>40013878</v>
      </c>
      <c r="G402" s="43" t="s">
        <v>114</v>
      </c>
      <c r="H402" s="42">
        <v>1</v>
      </c>
      <c r="I402" s="44">
        <v>99.75</v>
      </c>
      <c r="J402" s="48"/>
    </row>
    <row r="403" spans="1:10" ht="18.75" customHeight="1" x14ac:dyDescent="0.25">
      <c r="A403" t="s">
        <v>233</v>
      </c>
      <c r="B403" s="45">
        <v>44759</v>
      </c>
      <c r="C403" s="42">
        <v>13590</v>
      </c>
      <c r="D403" s="42" t="s">
        <v>49</v>
      </c>
      <c r="E403" s="43" t="s">
        <v>50</v>
      </c>
      <c r="F403" s="42">
        <v>40013879</v>
      </c>
      <c r="G403" s="43" t="s">
        <v>298</v>
      </c>
      <c r="H403" s="42">
        <v>1</v>
      </c>
      <c r="I403" s="44">
        <v>349.75</v>
      </c>
      <c r="J403" s="48"/>
    </row>
    <row r="404" spans="1:10" ht="18.75" customHeight="1" x14ac:dyDescent="0.25">
      <c r="A404" t="s">
        <v>233</v>
      </c>
      <c r="B404" s="45">
        <v>44759</v>
      </c>
      <c r="C404" s="42">
        <v>13590</v>
      </c>
      <c r="D404" s="42" t="s">
        <v>49</v>
      </c>
      <c r="E404" s="43" t="s">
        <v>50</v>
      </c>
      <c r="F404" s="42">
        <v>40013867</v>
      </c>
      <c r="G404" s="43" t="s">
        <v>236</v>
      </c>
      <c r="H404" s="42">
        <v>1</v>
      </c>
      <c r="I404" s="44">
        <v>99.75</v>
      </c>
      <c r="J404" s="48"/>
    </row>
    <row r="405" spans="1:10" ht="18.75" customHeight="1" x14ac:dyDescent="0.25">
      <c r="A405" t="s">
        <v>233</v>
      </c>
      <c r="B405" s="45">
        <v>44759</v>
      </c>
      <c r="C405" s="42">
        <v>10743</v>
      </c>
      <c r="D405" s="42" t="s">
        <v>49</v>
      </c>
      <c r="E405" s="43" t="s">
        <v>50</v>
      </c>
      <c r="F405" s="42">
        <v>40020460</v>
      </c>
      <c r="G405" s="43" t="s">
        <v>261</v>
      </c>
      <c r="H405" s="42">
        <v>1</v>
      </c>
      <c r="I405" s="44">
        <v>399.75</v>
      </c>
      <c r="J405" s="48"/>
    </row>
    <row r="406" spans="1:10" ht="18.75" customHeight="1" x14ac:dyDescent="0.25">
      <c r="A406" t="s">
        <v>233</v>
      </c>
      <c r="B406" s="45">
        <v>44759</v>
      </c>
      <c r="C406" s="42">
        <v>18010</v>
      </c>
      <c r="D406" s="42" t="s">
        <v>49</v>
      </c>
      <c r="E406" s="43" t="s">
        <v>50</v>
      </c>
      <c r="F406" s="42">
        <v>40019161</v>
      </c>
      <c r="G406" s="43" t="s">
        <v>299</v>
      </c>
      <c r="H406" s="42">
        <v>1</v>
      </c>
      <c r="I406" s="44">
        <v>499.75</v>
      </c>
      <c r="J406" s="48"/>
    </row>
    <row r="407" spans="1:10" ht="18.75" customHeight="1" x14ac:dyDescent="0.25">
      <c r="A407" t="s">
        <v>233</v>
      </c>
      <c r="B407" s="45">
        <v>44759</v>
      </c>
      <c r="C407" s="42">
        <v>10679</v>
      </c>
      <c r="D407" s="42" t="s">
        <v>49</v>
      </c>
      <c r="E407" s="43" t="s">
        <v>50</v>
      </c>
      <c r="F407" s="42">
        <v>40014664</v>
      </c>
      <c r="G407" s="43" t="s">
        <v>271</v>
      </c>
      <c r="H407" s="42">
        <v>1</v>
      </c>
      <c r="I407" s="44">
        <v>499.75</v>
      </c>
      <c r="J407" s="48"/>
    </row>
    <row r="408" spans="1:10" ht="18.75" customHeight="1" x14ac:dyDescent="0.25">
      <c r="A408" t="s">
        <v>233</v>
      </c>
      <c r="B408" s="45">
        <v>44759</v>
      </c>
      <c r="C408" s="42">
        <v>13609</v>
      </c>
      <c r="D408" s="42" t="s">
        <v>49</v>
      </c>
      <c r="E408" s="43" t="s">
        <v>50</v>
      </c>
      <c r="F408" s="42">
        <v>40019140</v>
      </c>
      <c r="G408" s="43" t="s">
        <v>285</v>
      </c>
      <c r="H408" s="42">
        <v>1</v>
      </c>
      <c r="I408" s="44">
        <v>499.75</v>
      </c>
      <c r="J408" s="48"/>
    </row>
    <row r="409" spans="1:10" ht="18.75" customHeight="1" x14ac:dyDescent="0.25">
      <c r="A409" t="s">
        <v>233</v>
      </c>
      <c r="B409" s="45">
        <v>44759</v>
      </c>
      <c r="C409" s="42">
        <v>19558</v>
      </c>
      <c r="D409" s="42" t="s">
        <v>49</v>
      </c>
      <c r="E409" s="43" t="s">
        <v>50</v>
      </c>
      <c r="F409" s="42">
        <v>40013804</v>
      </c>
      <c r="G409" s="43" t="s">
        <v>300</v>
      </c>
      <c r="H409" s="42">
        <v>2</v>
      </c>
      <c r="I409" s="44">
        <v>99.5</v>
      </c>
      <c r="J409" s="48"/>
    </row>
    <row r="410" spans="1:10" ht="18.75" customHeight="1" x14ac:dyDescent="0.25">
      <c r="A410" t="s">
        <v>233</v>
      </c>
      <c r="B410" s="45">
        <v>44759</v>
      </c>
      <c r="C410" s="42">
        <v>19558</v>
      </c>
      <c r="D410" s="42" t="s">
        <v>49</v>
      </c>
      <c r="E410" s="43" t="s">
        <v>50</v>
      </c>
      <c r="F410" s="42">
        <v>40013805</v>
      </c>
      <c r="G410" s="43" t="s">
        <v>73</v>
      </c>
      <c r="H410" s="42">
        <v>1</v>
      </c>
      <c r="I410" s="44">
        <v>49.75</v>
      </c>
      <c r="J410" s="48"/>
    </row>
    <row r="411" spans="1:10" ht="18.75" customHeight="1" x14ac:dyDescent="0.25">
      <c r="A411" t="s">
        <v>233</v>
      </c>
      <c r="B411" s="45">
        <v>44759</v>
      </c>
      <c r="C411" s="42">
        <v>19558</v>
      </c>
      <c r="D411" s="42" t="s">
        <v>49</v>
      </c>
      <c r="E411" s="43" t="s">
        <v>50</v>
      </c>
      <c r="F411" s="42">
        <v>40013807</v>
      </c>
      <c r="G411" s="43" t="s">
        <v>301</v>
      </c>
      <c r="H411" s="42">
        <v>1</v>
      </c>
      <c r="I411" s="44">
        <v>39.75</v>
      </c>
      <c r="J411" s="48"/>
    </row>
    <row r="412" spans="1:10" ht="18.75" customHeight="1" x14ac:dyDescent="0.25">
      <c r="A412" t="s">
        <v>233</v>
      </c>
      <c r="B412" s="45">
        <v>44759</v>
      </c>
      <c r="C412" s="42">
        <v>19606</v>
      </c>
      <c r="D412" s="42" t="s">
        <v>49</v>
      </c>
      <c r="E412" s="43" t="s">
        <v>50</v>
      </c>
      <c r="F412" s="42">
        <v>40017559</v>
      </c>
      <c r="G412" s="43" t="s">
        <v>302</v>
      </c>
      <c r="H412" s="42">
        <v>1</v>
      </c>
      <c r="I412" s="44">
        <v>150</v>
      </c>
      <c r="J412" s="48"/>
    </row>
    <row r="413" spans="1:10" ht="18.75" customHeight="1" x14ac:dyDescent="0.25">
      <c r="A413" t="s">
        <v>233</v>
      </c>
      <c r="B413" s="45">
        <v>44760</v>
      </c>
      <c r="C413" s="42">
        <v>19690</v>
      </c>
      <c r="D413" s="42" t="s">
        <v>49</v>
      </c>
      <c r="E413" s="43" t="s">
        <v>50</v>
      </c>
      <c r="F413" s="42">
        <v>40017465</v>
      </c>
      <c r="G413" s="43" t="s">
        <v>303</v>
      </c>
      <c r="H413" s="42">
        <v>1</v>
      </c>
      <c r="I413" s="44">
        <v>799.75</v>
      </c>
      <c r="J413" s="48"/>
    </row>
    <row r="414" spans="1:10" ht="18.75" customHeight="1" x14ac:dyDescent="0.25">
      <c r="A414" t="s">
        <v>233</v>
      </c>
      <c r="B414" s="45">
        <v>44760</v>
      </c>
      <c r="C414" s="42">
        <v>19690</v>
      </c>
      <c r="D414" s="42" t="s">
        <v>49</v>
      </c>
      <c r="E414" s="43" t="s">
        <v>50</v>
      </c>
      <c r="F414" s="42">
        <v>40018291</v>
      </c>
      <c r="G414" s="43" t="s">
        <v>304</v>
      </c>
      <c r="H414" s="42">
        <v>1</v>
      </c>
      <c r="I414" s="44">
        <v>499.75</v>
      </c>
      <c r="J414" s="48"/>
    </row>
    <row r="415" spans="1:10" ht="18.75" customHeight="1" x14ac:dyDescent="0.25">
      <c r="A415" t="s">
        <v>233</v>
      </c>
      <c r="B415" s="45">
        <v>44760</v>
      </c>
      <c r="C415" s="42">
        <v>10793</v>
      </c>
      <c r="D415" s="42" t="s">
        <v>49</v>
      </c>
      <c r="E415" s="43" t="s">
        <v>50</v>
      </c>
      <c r="F415" s="42">
        <v>40019431</v>
      </c>
      <c r="G415" s="43" t="s">
        <v>106</v>
      </c>
      <c r="H415" s="42">
        <v>1</v>
      </c>
      <c r="I415" s="44">
        <v>199.75</v>
      </c>
      <c r="J415" s="48"/>
    </row>
    <row r="416" spans="1:10" ht="18.75" customHeight="1" x14ac:dyDescent="0.25">
      <c r="A416" t="s">
        <v>233</v>
      </c>
      <c r="B416" s="45">
        <v>44760</v>
      </c>
      <c r="C416" s="42">
        <v>19677</v>
      </c>
      <c r="D416" s="42" t="s">
        <v>49</v>
      </c>
      <c r="E416" s="43" t="s">
        <v>50</v>
      </c>
      <c r="F416" s="42">
        <v>40013868</v>
      </c>
      <c r="G416" s="43" t="s">
        <v>235</v>
      </c>
      <c r="H416" s="42">
        <v>1</v>
      </c>
      <c r="I416" s="44">
        <v>99.75</v>
      </c>
      <c r="J416" s="48"/>
    </row>
    <row r="417" spans="1:10" ht="18.75" customHeight="1" x14ac:dyDescent="0.25">
      <c r="A417" t="s">
        <v>233</v>
      </c>
      <c r="B417" s="45">
        <v>44760</v>
      </c>
      <c r="C417" s="42">
        <v>19677</v>
      </c>
      <c r="D417" s="42" t="s">
        <v>49</v>
      </c>
      <c r="E417" s="43" t="s">
        <v>50</v>
      </c>
      <c r="F417" s="42">
        <v>40013879</v>
      </c>
      <c r="G417" s="43" t="s">
        <v>298</v>
      </c>
      <c r="H417" s="42">
        <v>1</v>
      </c>
      <c r="I417" s="44">
        <v>349.75</v>
      </c>
      <c r="J417" s="48"/>
    </row>
    <row r="418" spans="1:10" ht="18.75" customHeight="1" x14ac:dyDescent="0.25">
      <c r="A418" t="s">
        <v>233</v>
      </c>
      <c r="B418" s="45">
        <v>44760</v>
      </c>
      <c r="C418" s="42">
        <v>19691</v>
      </c>
      <c r="D418" s="42" t="s">
        <v>49</v>
      </c>
      <c r="E418" s="43" t="s">
        <v>50</v>
      </c>
      <c r="F418" s="42">
        <v>40013873</v>
      </c>
      <c r="G418" s="43" t="s">
        <v>98</v>
      </c>
      <c r="H418" s="42">
        <v>1</v>
      </c>
      <c r="I418" s="44">
        <v>99.75</v>
      </c>
      <c r="J418" s="48"/>
    </row>
    <row r="419" spans="1:10" ht="18.75" customHeight="1" x14ac:dyDescent="0.25">
      <c r="A419" t="s">
        <v>233</v>
      </c>
      <c r="B419" s="45">
        <v>44760</v>
      </c>
      <c r="C419" s="42">
        <v>18054</v>
      </c>
      <c r="D419" s="42" t="s">
        <v>49</v>
      </c>
      <c r="E419" s="43" t="s">
        <v>50</v>
      </c>
      <c r="F419" s="42">
        <v>40019142</v>
      </c>
      <c r="G419" s="43" t="s">
        <v>284</v>
      </c>
      <c r="H419" s="42">
        <v>1</v>
      </c>
      <c r="I419" s="44">
        <v>499.75</v>
      </c>
      <c r="J419" s="48"/>
    </row>
    <row r="420" spans="1:10" ht="18.75" customHeight="1" x14ac:dyDescent="0.25">
      <c r="A420" t="s">
        <v>233</v>
      </c>
      <c r="B420" s="45">
        <v>44760</v>
      </c>
      <c r="C420" s="42">
        <v>18054</v>
      </c>
      <c r="D420" s="42" t="s">
        <v>49</v>
      </c>
      <c r="E420" s="43" t="s">
        <v>50</v>
      </c>
      <c r="F420" s="42">
        <v>40019140</v>
      </c>
      <c r="G420" s="43" t="s">
        <v>285</v>
      </c>
      <c r="H420" s="42">
        <v>1</v>
      </c>
      <c r="I420" s="44">
        <v>499.75</v>
      </c>
      <c r="J420" s="48"/>
    </row>
    <row r="421" spans="1:10" ht="18.75" customHeight="1" x14ac:dyDescent="0.25">
      <c r="A421" t="s">
        <v>233</v>
      </c>
      <c r="B421" s="45">
        <v>44760</v>
      </c>
      <c r="C421" s="42">
        <v>18052</v>
      </c>
      <c r="D421" s="42" t="s">
        <v>49</v>
      </c>
      <c r="E421" s="43" t="s">
        <v>50</v>
      </c>
      <c r="F421" s="42">
        <v>40020448</v>
      </c>
      <c r="G421" s="43" t="s">
        <v>62</v>
      </c>
      <c r="H421" s="42">
        <v>1</v>
      </c>
      <c r="I421" s="44">
        <v>499.75</v>
      </c>
      <c r="J421" s="48"/>
    </row>
    <row r="422" spans="1:10" ht="18.75" customHeight="1" x14ac:dyDescent="0.25">
      <c r="A422" t="s">
        <v>233</v>
      </c>
      <c r="B422" s="45">
        <v>44760</v>
      </c>
      <c r="C422" s="42">
        <v>18086</v>
      </c>
      <c r="D422" s="42" t="s">
        <v>49</v>
      </c>
      <c r="E422" s="43" t="s">
        <v>50</v>
      </c>
      <c r="F422" s="42">
        <v>40013804</v>
      </c>
      <c r="G422" s="43" t="s">
        <v>300</v>
      </c>
      <c r="H422" s="42">
        <v>2</v>
      </c>
      <c r="I422" s="44">
        <v>99.5</v>
      </c>
      <c r="J422" s="48"/>
    </row>
    <row r="423" spans="1:10" ht="18.75" customHeight="1" x14ac:dyDescent="0.25">
      <c r="A423" t="s">
        <v>233</v>
      </c>
      <c r="B423" s="45">
        <v>44760</v>
      </c>
      <c r="C423" s="42">
        <v>19671</v>
      </c>
      <c r="D423" s="42" t="s">
        <v>49</v>
      </c>
      <c r="E423" s="43" t="s">
        <v>50</v>
      </c>
      <c r="F423" s="42">
        <v>40013804</v>
      </c>
      <c r="G423" s="43" t="s">
        <v>300</v>
      </c>
      <c r="H423" s="42">
        <v>1</v>
      </c>
      <c r="I423" s="44">
        <v>49.75</v>
      </c>
      <c r="J423" s="48"/>
    </row>
    <row r="424" spans="1:10" ht="18.75" customHeight="1" x14ac:dyDescent="0.25">
      <c r="A424" t="s">
        <v>233</v>
      </c>
      <c r="B424" s="45">
        <v>44760</v>
      </c>
      <c r="C424" s="42">
        <v>10758</v>
      </c>
      <c r="D424" s="42" t="s">
        <v>49</v>
      </c>
      <c r="E424" s="43" t="s">
        <v>50</v>
      </c>
      <c r="F424" s="42">
        <v>40014684</v>
      </c>
      <c r="G424" s="43" t="s">
        <v>305</v>
      </c>
      <c r="H424" s="42">
        <v>1</v>
      </c>
      <c r="I424" s="44">
        <v>199.75</v>
      </c>
      <c r="J424" s="48"/>
    </row>
    <row r="425" spans="1:10" ht="18.75" customHeight="1" x14ac:dyDescent="0.25">
      <c r="A425" t="s">
        <v>233</v>
      </c>
      <c r="B425" s="45">
        <v>44760</v>
      </c>
      <c r="C425" s="42">
        <v>18092</v>
      </c>
      <c r="D425" s="42" t="s">
        <v>49</v>
      </c>
      <c r="E425" s="43" t="s">
        <v>50</v>
      </c>
      <c r="F425" s="42">
        <v>40021963</v>
      </c>
      <c r="G425" s="43" t="s">
        <v>266</v>
      </c>
      <c r="H425" s="42">
        <v>1</v>
      </c>
      <c r="I425" s="44">
        <v>229.75</v>
      </c>
      <c r="J425" s="48"/>
    </row>
    <row r="426" spans="1:10" ht="18.75" customHeight="1" x14ac:dyDescent="0.25">
      <c r="A426" t="s">
        <v>233</v>
      </c>
      <c r="B426" s="45">
        <v>44761</v>
      </c>
      <c r="C426" s="42">
        <v>10851</v>
      </c>
      <c r="D426" s="42" t="s">
        <v>49</v>
      </c>
      <c r="E426" s="43" t="s">
        <v>50</v>
      </c>
      <c r="F426" s="42">
        <v>40014010</v>
      </c>
      <c r="G426" s="43" t="s">
        <v>245</v>
      </c>
      <c r="H426" s="42">
        <v>1</v>
      </c>
      <c r="I426" s="44">
        <v>2999.75</v>
      </c>
      <c r="J426" s="48"/>
    </row>
    <row r="427" spans="1:10" ht="18.75" customHeight="1" x14ac:dyDescent="0.25">
      <c r="A427" t="s">
        <v>233</v>
      </c>
      <c r="B427" s="45">
        <v>44761</v>
      </c>
      <c r="C427" s="42">
        <v>19783</v>
      </c>
      <c r="D427" s="42" t="s">
        <v>49</v>
      </c>
      <c r="E427" s="43" t="s">
        <v>50</v>
      </c>
      <c r="F427" s="42">
        <v>40018307</v>
      </c>
      <c r="G427" s="43" t="s">
        <v>306</v>
      </c>
      <c r="H427" s="42">
        <v>1</v>
      </c>
      <c r="I427" s="44">
        <v>1299.75</v>
      </c>
      <c r="J427" s="48"/>
    </row>
    <row r="428" spans="1:10" ht="18.75" customHeight="1" x14ac:dyDescent="0.25">
      <c r="A428" t="s">
        <v>233</v>
      </c>
      <c r="B428" s="45">
        <v>44761</v>
      </c>
      <c r="C428" s="42">
        <v>19783</v>
      </c>
      <c r="D428" s="42" t="s">
        <v>49</v>
      </c>
      <c r="E428" s="43" t="s">
        <v>50</v>
      </c>
      <c r="F428" s="42">
        <v>40018265</v>
      </c>
      <c r="G428" s="43" t="s">
        <v>307</v>
      </c>
      <c r="H428" s="42">
        <v>1</v>
      </c>
      <c r="I428" s="44">
        <v>1299.75</v>
      </c>
      <c r="J428" s="48"/>
    </row>
    <row r="429" spans="1:10" ht="18.75" customHeight="1" x14ac:dyDescent="0.25">
      <c r="A429" t="s">
        <v>233</v>
      </c>
      <c r="B429" s="45">
        <v>44761</v>
      </c>
      <c r="C429" s="42">
        <v>19783</v>
      </c>
      <c r="D429" s="42" t="s">
        <v>49</v>
      </c>
      <c r="E429" s="43" t="s">
        <v>50</v>
      </c>
      <c r="F429" s="42">
        <v>40018263</v>
      </c>
      <c r="G429" s="43" t="s">
        <v>308</v>
      </c>
      <c r="H429" s="42">
        <v>1</v>
      </c>
      <c r="I429" s="44">
        <v>999.75</v>
      </c>
      <c r="J429" s="48"/>
    </row>
    <row r="430" spans="1:10" ht="18.75" customHeight="1" x14ac:dyDescent="0.25">
      <c r="A430" t="s">
        <v>233</v>
      </c>
      <c r="B430" s="45">
        <v>44761</v>
      </c>
      <c r="C430" s="42">
        <v>19783</v>
      </c>
      <c r="D430" s="42" t="s">
        <v>49</v>
      </c>
      <c r="E430" s="43" t="s">
        <v>50</v>
      </c>
      <c r="F430" s="42">
        <v>40018255</v>
      </c>
      <c r="G430" s="43" t="s">
        <v>96</v>
      </c>
      <c r="H430" s="42">
        <v>1</v>
      </c>
      <c r="I430" s="44">
        <v>749.75</v>
      </c>
      <c r="J430" s="48"/>
    </row>
    <row r="431" spans="1:10" ht="18.75" customHeight="1" x14ac:dyDescent="0.25">
      <c r="A431" t="s">
        <v>233</v>
      </c>
      <c r="B431" s="45">
        <v>44761</v>
      </c>
      <c r="C431" s="42">
        <v>19821</v>
      </c>
      <c r="D431" s="42" t="s">
        <v>49</v>
      </c>
      <c r="E431" s="43" t="s">
        <v>50</v>
      </c>
      <c r="F431" s="42">
        <v>40019361</v>
      </c>
      <c r="G431" s="43" t="s">
        <v>309</v>
      </c>
      <c r="H431" s="42">
        <v>1</v>
      </c>
      <c r="I431" s="44">
        <v>179.75</v>
      </c>
      <c r="J431" s="48"/>
    </row>
    <row r="432" spans="1:10" ht="18.75" customHeight="1" x14ac:dyDescent="0.25">
      <c r="A432" t="s">
        <v>233</v>
      </c>
      <c r="B432" s="45">
        <v>44761</v>
      </c>
      <c r="C432" s="42">
        <v>19821</v>
      </c>
      <c r="D432" s="42" t="s">
        <v>49</v>
      </c>
      <c r="E432" s="43" t="s">
        <v>50</v>
      </c>
      <c r="F432" s="42">
        <v>40019361</v>
      </c>
      <c r="G432" s="43" t="s">
        <v>309</v>
      </c>
      <c r="H432" s="42">
        <v>1</v>
      </c>
      <c r="I432" s="44">
        <v>179.75</v>
      </c>
      <c r="J432" s="48"/>
    </row>
    <row r="433" spans="1:10" ht="18.75" customHeight="1" x14ac:dyDescent="0.25">
      <c r="A433" t="s">
        <v>233</v>
      </c>
      <c r="B433" s="45">
        <v>44761</v>
      </c>
      <c r="C433" s="42">
        <v>10857</v>
      </c>
      <c r="D433" s="42" t="s">
        <v>49</v>
      </c>
      <c r="E433" s="43" t="s">
        <v>50</v>
      </c>
      <c r="F433" s="42">
        <v>40019106</v>
      </c>
      <c r="G433" s="43" t="s">
        <v>92</v>
      </c>
      <c r="H433" s="42">
        <v>1</v>
      </c>
      <c r="I433" s="44">
        <v>329.75</v>
      </c>
      <c r="J433" s="48"/>
    </row>
    <row r="434" spans="1:10" ht="18.75" customHeight="1" x14ac:dyDescent="0.25">
      <c r="A434" t="s">
        <v>233</v>
      </c>
      <c r="B434" s="45">
        <v>44761</v>
      </c>
      <c r="C434" s="42">
        <v>10831</v>
      </c>
      <c r="D434" s="42" t="s">
        <v>49</v>
      </c>
      <c r="E434" s="43" t="s">
        <v>50</v>
      </c>
      <c r="F434" s="42">
        <v>40013867</v>
      </c>
      <c r="G434" s="43" t="s">
        <v>236</v>
      </c>
      <c r="H434" s="42">
        <v>1</v>
      </c>
      <c r="I434" s="44">
        <v>99.75</v>
      </c>
      <c r="J434" s="48"/>
    </row>
    <row r="435" spans="1:10" ht="18.75" customHeight="1" x14ac:dyDescent="0.25">
      <c r="A435" t="s">
        <v>233</v>
      </c>
      <c r="B435" s="45">
        <v>44761</v>
      </c>
      <c r="C435" s="42">
        <v>19781</v>
      </c>
      <c r="D435" s="42" t="s">
        <v>49</v>
      </c>
      <c r="E435" s="43" t="s">
        <v>50</v>
      </c>
      <c r="F435" s="42">
        <v>40018592</v>
      </c>
      <c r="G435" s="43" t="s">
        <v>163</v>
      </c>
      <c r="H435" s="42">
        <v>2</v>
      </c>
      <c r="I435" s="44">
        <v>1999.5</v>
      </c>
      <c r="J435" s="48"/>
    </row>
    <row r="436" spans="1:10" ht="18.75" customHeight="1" x14ac:dyDescent="0.25">
      <c r="A436" t="s">
        <v>233</v>
      </c>
      <c r="B436" s="45">
        <v>44761</v>
      </c>
      <c r="C436" s="42">
        <v>18139</v>
      </c>
      <c r="D436" s="42" t="s">
        <v>49</v>
      </c>
      <c r="E436" s="43" t="s">
        <v>50</v>
      </c>
      <c r="F436" s="42">
        <v>40019142</v>
      </c>
      <c r="G436" s="43" t="s">
        <v>284</v>
      </c>
      <c r="H436" s="42">
        <v>1</v>
      </c>
      <c r="I436" s="44">
        <v>499.75</v>
      </c>
      <c r="J436" s="48"/>
    </row>
    <row r="437" spans="1:10" ht="18.75" customHeight="1" x14ac:dyDescent="0.25">
      <c r="A437" t="s">
        <v>233</v>
      </c>
      <c r="B437" s="45">
        <v>44761</v>
      </c>
      <c r="C437" s="42">
        <v>18124</v>
      </c>
      <c r="D437" s="42" t="s">
        <v>49</v>
      </c>
      <c r="E437" s="43" t="s">
        <v>50</v>
      </c>
      <c r="F437" s="42">
        <v>40014664</v>
      </c>
      <c r="G437" s="43" t="s">
        <v>271</v>
      </c>
      <c r="H437" s="42">
        <v>1</v>
      </c>
      <c r="I437" s="44">
        <v>499.75</v>
      </c>
      <c r="J437" s="48"/>
    </row>
    <row r="438" spans="1:10" ht="18.75" customHeight="1" x14ac:dyDescent="0.25">
      <c r="A438" t="s">
        <v>233</v>
      </c>
      <c r="B438" s="45">
        <v>44761</v>
      </c>
      <c r="C438" s="42">
        <v>18124</v>
      </c>
      <c r="D438" s="42" t="s">
        <v>49</v>
      </c>
      <c r="E438" s="43" t="s">
        <v>50</v>
      </c>
      <c r="F438" s="42">
        <v>40018576</v>
      </c>
      <c r="G438" s="43" t="s">
        <v>310</v>
      </c>
      <c r="H438" s="42">
        <v>1</v>
      </c>
      <c r="I438" s="44">
        <v>999.75</v>
      </c>
      <c r="J438" s="48"/>
    </row>
    <row r="439" spans="1:10" ht="18.75" customHeight="1" x14ac:dyDescent="0.25">
      <c r="A439" t="s">
        <v>233</v>
      </c>
      <c r="B439" s="45">
        <v>44761</v>
      </c>
      <c r="C439" s="42">
        <v>18130</v>
      </c>
      <c r="D439" s="42" t="s">
        <v>49</v>
      </c>
      <c r="E439" s="43" t="s">
        <v>50</v>
      </c>
      <c r="F439" s="42">
        <v>40021269</v>
      </c>
      <c r="G439" s="43" t="s">
        <v>311</v>
      </c>
      <c r="H439" s="42">
        <v>1</v>
      </c>
      <c r="I439" s="44">
        <v>129.75</v>
      </c>
      <c r="J439" s="48"/>
    </row>
    <row r="440" spans="1:10" ht="18.75" customHeight="1" x14ac:dyDescent="0.25">
      <c r="A440" t="s">
        <v>233</v>
      </c>
      <c r="B440" s="45">
        <v>44761</v>
      </c>
      <c r="C440" s="42">
        <v>18130</v>
      </c>
      <c r="D440" s="42" t="s">
        <v>49</v>
      </c>
      <c r="E440" s="43" t="s">
        <v>50</v>
      </c>
      <c r="F440" s="42">
        <v>40014667</v>
      </c>
      <c r="G440" s="43" t="s">
        <v>68</v>
      </c>
      <c r="H440" s="42">
        <v>1</v>
      </c>
      <c r="I440" s="44">
        <v>499.75</v>
      </c>
      <c r="J440" s="48"/>
    </row>
    <row r="441" spans="1:10" ht="18.75" customHeight="1" x14ac:dyDescent="0.25">
      <c r="A441" t="s">
        <v>233</v>
      </c>
      <c r="B441" s="45">
        <v>44762</v>
      </c>
      <c r="C441" s="42">
        <v>20793</v>
      </c>
      <c r="D441" s="42" t="s">
        <v>49</v>
      </c>
      <c r="E441" s="43" t="s">
        <v>50</v>
      </c>
      <c r="F441" s="42">
        <v>40013024</v>
      </c>
      <c r="G441" s="43" t="s">
        <v>312</v>
      </c>
      <c r="H441" s="42">
        <v>1</v>
      </c>
      <c r="I441" s="44">
        <v>1899.75</v>
      </c>
      <c r="J441" s="48"/>
    </row>
    <row r="442" spans="1:10" ht="18.75" customHeight="1" x14ac:dyDescent="0.25">
      <c r="A442" t="s">
        <v>233</v>
      </c>
      <c r="B442" s="45">
        <v>44762</v>
      </c>
      <c r="C442" s="42">
        <v>18182</v>
      </c>
      <c r="D442" s="42" t="s">
        <v>49</v>
      </c>
      <c r="E442" s="43" t="s">
        <v>50</v>
      </c>
      <c r="F442" s="42">
        <v>40018702</v>
      </c>
      <c r="G442" s="43" t="s">
        <v>87</v>
      </c>
      <c r="H442" s="42">
        <v>1</v>
      </c>
      <c r="I442" s="44">
        <v>599.75</v>
      </c>
      <c r="J442" s="48"/>
    </row>
    <row r="443" spans="1:10" ht="18.75" customHeight="1" x14ac:dyDescent="0.25">
      <c r="A443" t="s">
        <v>233</v>
      </c>
      <c r="B443" s="45">
        <v>44762</v>
      </c>
      <c r="C443" s="42">
        <v>10877</v>
      </c>
      <c r="D443" s="42" t="s">
        <v>49</v>
      </c>
      <c r="E443" s="43" t="s">
        <v>50</v>
      </c>
      <c r="F443" s="42">
        <v>40013805</v>
      </c>
      <c r="G443" s="43" t="s">
        <v>73</v>
      </c>
      <c r="H443" s="42">
        <v>2</v>
      </c>
      <c r="I443" s="44">
        <v>99.5</v>
      </c>
      <c r="J443" s="48"/>
    </row>
    <row r="444" spans="1:10" ht="18.75" customHeight="1" x14ac:dyDescent="0.25">
      <c r="A444" t="s">
        <v>233</v>
      </c>
      <c r="B444" s="45">
        <v>44762</v>
      </c>
      <c r="C444" s="42">
        <v>20787</v>
      </c>
      <c r="D444" s="42" t="s">
        <v>49</v>
      </c>
      <c r="E444" s="43" t="s">
        <v>50</v>
      </c>
      <c r="F444" s="42">
        <v>40019099</v>
      </c>
      <c r="G444" s="43" t="s">
        <v>313</v>
      </c>
      <c r="H444" s="42">
        <v>1</v>
      </c>
      <c r="I444" s="44">
        <v>699.75</v>
      </c>
      <c r="J444" s="48"/>
    </row>
    <row r="445" spans="1:10" ht="18.75" customHeight="1" x14ac:dyDescent="0.25">
      <c r="A445" t="s">
        <v>233</v>
      </c>
      <c r="B445" s="45">
        <v>44762</v>
      </c>
      <c r="C445" s="42">
        <v>18198</v>
      </c>
      <c r="D445" s="42" t="s">
        <v>49</v>
      </c>
      <c r="E445" s="43" t="s">
        <v>50</v>
      </c>
      <c r="F445" s="42">
        <v>40019152</v>
      </c>
      <c r="G445" s="43" t="s">
        <v>184</v>
      </c>
      <c r="H445" s="42">
        <v>1</v>
      </c>
      <c r="I445" s="44">
        <v>199.75</v>
      </c>
      <c r="J445" s="48"/>
    </row>
    <row r="446" spans="1:10" ht="18.75" customHeight="1" x14ac:dyDescent="0.25">
      <c r="A446" t="s">
        <v>233</v>
      </c>
      <c r="B446" s="45">
        <v>44763</v>
      </c>
      <c r="C446" s="42">
        <v>18259</v>
      </c>
      <c r="D446" s="42" t="s">
        <v>49</v>
      </c>
      <c r="E446" s="43" t="s">
        <v>50</v>
      </c>
      <c r="F446" s="42">
        <v>40019100</v>
      </c>
      <c r="G446" s="43" t="s">
        <v>152</v>
      </c>
      <c r="H446" s="42">
        <v>1</v>
      </c>
      <c r="I446" s="44">
        <v>1499.75</v>
      </c>
      <c r="J446" s="48"/>
    </row>
    <row r="447" spans="1:10" ht="18.75" customHeight="1" x14ac:dyDescent="0.25">
      <c r="A447" t="s">
        <v>233</v>
      </c>
      <c r="B447" s="45">
        <v>44763</v>
      </c>
      <c r="C447" s="42">
        <v>19899</v>
      </c>
      <c r="D447" s="42" t="s">
        <v>49</v>
      </c>
      <c r="E447" s="43" t="s">
        <v>50</v>
      </c>
      <c r="F447" s="42">
        <v>40019111</v>
      </c>
      <c r="G447" s="43" t="s">
        <v>123</v>
      </c>
      <c r="H447" s="42">
        <v>1</v>
      </c>
      <c r="I447" s="44">
        <v>329.75</v>
      </c>
      <c r="J447" s="48"/>
    </row>
    <row r="448" spans="1:10" ht="18.75" customHeight="1" x14ac:dyDescent="0.25">
      <c r="A448" t="s">
        <v>233</v>
      </c>
      <c r="B448" s="45">
        <v>44763</v>
      </c>
      <c r="C448" s="42">
        <v>19928</v>
      </c>
      <c r="D448" s="42" t="s">
        <v>49</v>
      </c>
      <c r="E448" s="43" t="s">
        <v>50</v>
      </c>
      <c r="F448" s="42">
        <v>40021267</v>
      </c>
      <c r="G448" s="43" t="s">
        <v>314</v>
      </c>
      <c r="H448" s="42">
        <v>1</v>
      </c>
      <c r="I448" s="44">
        <v>129.75</v>
      </c>
      <c r="J448" s="48"/>
    </row>
    <row r="449" spans="1:10" ht="18.75" customHeight="1" x14ac:dyDescent="0.25">
      <c r="A449" t="s">
        <v>233</v>
      </c>
      <c r="B449" s="45">
        <v>44763</v>
      </c>
      <c r="C449" s="42">
        <v>19918</v>
      </c>
      <c r="D449" s="42" t="s">
        <v>49</v>
      </c>
      <c r="E449" s="43" t="s">
        <v>50</v>
      </c>
      <c r="F449" s="42">
        <v>40013871</v>
      </c>
      <c r="G449" s="43" t="s">
        <v>254</v>
      </c>
      <c r="H449" s="42">
        <v>2</v>
      </c>
      <c r="I449" s="44">
        <v>199.5</v>
      </c>
      <c r="J449" s="48"/>
    </row>
    <row r="450" spans="1:10" ht="18.75" customHeight="1" x14ac:dyDescent="0.25">
      <c r="A450" t="s">
        <v>233</v>
      </c>
      <c r="B450" s="45">
        <v>44763</v>
      </c>
      <c r="C450" s="42">
        <v>13689</v>
      </c>
      <c r="D450" s="42" t="s">
        <v>49</v>
      </c>
      <c r="E450" s="43" t="s">
        <v>50</v>
      </c>
      <c r="F450" s="42">
        <v>40020451</v>
      </c>
      <c r="G450" s="43" t="s">
        <v>196</v>
      </c>
      <c r="H450" s="42">
        <v>1</v>
      </c>
      <c r="I450" s="44">
        <v>399.75</v>
      </c>
      <c r="J450" s="48"/>
    </row>
    <row r="451" spans="1:10" ht="18.75" customHeight="1" x14ac:dyDescent="0.25">
      <c r="A451" t="s">
        <v>233</v>
      </c>
      <c r="B451" s="45">
        <v>44763</v>
      </c>
      <c r="C451" s="42">
        <v>13643</v>
      </c>
      <c r="D451" s="42" t="s">
        <v>49</v>
      </c>
      <c r="E451" s="43" t="s">
        <v>50</v>
      </c>
      <c r="F451" s="42">
        <v>40014668</v>
      </c>
      <c r="G451" s="43" t="s">
        <v>68</v>
      </c>
      <c r="H451" s="42">
        <v>1</v>
      </c>
      <c r="I451" s="44">
        <v>499.75</v>
      </c>
      <c r="J451" s="48"/>
    </row>
    <row r="452" spans="1:10" ht="18.75" customHeight="1" x14ac:dyDescent="0.25">
      <c r="A452" t="s">
        <v>233</v>
      </c>
      <c r="B452" s="45">
        <v>44763</v>
      </c>
      <c r="C452" s="42">
        <v>19925</v>
      </c>
      <c r="D452" s="42" t="s">
        <v>49</v>
      </c>
      <c r="E452" s="43" t="s">
        <v>50</v>
      </c>
      <c r="F452" s="42">
        <v>40019098</v>
      </c>
      <c r="G452" s="43" t="s">
        <v>161</v>
      </c>
      <c r="H452" s="42">
        <v>1</v>
      </c>
      <c r="I452" s="44">
        <v>699.75</v>
      </c>
      <c r="J452" s="48"/>
    </row>
    <row r="453" spans="1:10" ht="18.75" customHeight="1" x14ac:dyDescent="0.25">
      <c r="A453" t="s">
        <v>233</v>
      </c>
      <c r="B453" s="45">
        <v>44764</v>
      </c>
      <c r="C453" s="42">
        <v>19950</v>
      </c>
      <c r="D453" s="42" t="s">
        <v>49</v>
      </c>
      <c r="E453" s="43" t="s">
        <v>50</v>
      </c>
      <c r="F453" s="42">
        <v>40021971</v>
      </c>
      <c r="G453" s="43" t="s">
        <v>79</v>
      </c>
      <c r="H453" s="42">
        <v>1</v>
      </c>
      <c r="I453" s="44">
        <v>229.75</v>
      </c>
      <c r="J453" s="48"/>
    </row>
    <row r="454" spans="1:10" ht="18.75" customHeight="1" x14ac:dyDescent="0.25">
      <c r="A454" t="s">
        <v>233</v>
      </c>
      <c r="B454" s="45">
        <v>44764</v>
      </c>
      <c r="C454" s="42">
        <v>19984</v>
      </c>
      <c r="D454" s="42" t="s">
        <v>49</v>
      </c>
      <c r="E454" s="43" t="s">
        <v>50</v>
      </c>
      <c r="F454" s="42">
        <v>40019136</v>
      </c>
      <c r="G454" s="43" t="s">
        <v>260</v>
      </c>
      <c r="H454" s="42">
        <v>1</v>
      </c>
      <c r="I454" s="44">
        <v>249.75</v>
      </c>
      <c r="J454" s="48"/>
    </row>
    <row r="455" spans="1:10" ht="18.75" customHeight="1" x14ac:dyDescent="0.25">
      <c r="A455" t="s">
        <v>233</v>
      </c>
      <c r="B455" s="45">
        <v>44764</v>
      </c>
      <c r="C455" s="42">
        <v>20881</v>
      </c>
      <c r="D455" s="42" t="s">
        <v>49</v>
      </c>
      <c r="E455" s="43" t="s">
        <v>50</v>
      </c>
      <c r="F455" s="42">
        <v>40013787</v>
      </c>
      <c r="G455" s="43" t="s">
        <v>315</v>
      </c>
      <c r="H455" s="42">
        <v>1</v>
      </c>
      <c r="I455" s="44">
        <v>249.75</v>
      </c>
      <c r="J455" s="48"/>
    </row>
    <row r="456" spans="1:10" ht="18.75" customHeight="1" x14ac:dyDescent="0.25">
      <c r="A456" t="s">
        <v>233</v>
      </c>
      <c r="B456" s="45">
        <v>44764</v>
      </c>
      <c r="C456" s="42">
        <v>19950</v>
      </c>
      <c r="D456" s="42" t="s">
        <v>49</v>
      </c>
      <c r="E456" s="43" t="s">
        <v>50</v>
      </c>
      <c r="F456" s="42">
        <v>40013300</v>
      </c>
      <c r="G456" s="43" t="s">
        <v>103</v>
      </c>
      <c r="H456" s="42">
        <v>1</v>
      </c>
      <c r="I456" s="44">
        <v>229.75</v>
      </c>
      <c r="J456" s="48"/>
    </row>
    <row r="457" spans="1:10" ht="18.75" customHeight="1" x14ac:dyDescent="0.25">
      <c r="A457" t="s">
        <v>233</v>
      </c>
      <c r="B457" s="45">
        <v>44764</v>
      </c>
      <c r="C457" s="42">
        <v>20910</v>
      </c>
      <c r="D457" s="42" t="s">
        <v>49</v>
      </c>
      <c r="E457" s="43" t="s">
        <v>50</v>
      </c>
      <c r="F457" s="42">
        <v>40013304</v>
      </c>
      <c r="G457" s="43" t="s">
        <v>189</v>
      </c>
      <c r="H457" s="42">
        <v>1</v>
      </c>
      <c r="I457" s="44">
        <v>129.75</v>
      </c>
      <c r="J457" s="48"/>
    </row>
    <row r="458" spans="1:10" ht="18.75" customHeight="1" x14ac:dyDescent="0.25">
      <c r="A458" t="s">
        <v>233</v>
      </c>
      <c r="B458" s="45">
        <v>44764</v>
      </c>
      <c r="C458" s="42">
        <v>20910</v>
      </c>
      <c r="D458" s="42" t="s">
        <v>49</v>
      </c>
      <c r="E458" s="43" t="s">
        <v>50</v>
      </c>
      <c r="F458" s="42">
        <v>40021965</v>
      </c>
      <c r="G458" s="43" t="s">
        <v>316</v>
      </c>
      <c r="H458" s="42">
        <v>1</v>
      </c>
      <c r="I458" s="44">
        <v>129.75</v>
      </c>
      <c r="J458" s="48"/>
    </row>
    <row r="459" spans="1:10" ht="18.75" customHeight="1" x14ac:dyDescent="0.25">
      <c r="A459" t="s">
        <v>233</v>
      </c>
      <c r="B459" s="45">
        <v>44765</v>
      </c>
      <c r="C459" s="42">
        <v>18357</v>
      </c>
      <c r="D459" s="42" t="s">
        <v>49</v>
      </c>
      <c r="E459" s="43" t="s">
        <v>50</v>
      </c>
      <c r="F459" s="42">
        <v>40018267</v>
      </c>
      <c r="G459" s="43" t="s">
        <v>317</v>
      </c>
      <c r="H459" s="42">
        <v>1</v>
      </c>
      <c r="I459" s="44">
        <v>499.75</v>
      </c>
      <c r="J459" s="48"/>
    </row>
    <row r="460" spans="1:10" ht="18.75" customHeight="1" x14ac:dyDescent="0.25">
      <c r="A460" t="s">
        <v>233</v>
      </c>
      <c r="B460" s="45">
        <v>44765</v>
      </c>
      <c r="C460" s="42">
        <v>20004</v>
      </c>
      <c r="D460" s="42" t="s">
        <v>49</v>
      </c>
      <c r="E460" s="43" t="s">
        <v>50</v>
      </c>
      <c r="F460" s="42">
        <v>40019395</v>
      </c>
      <c r="G460" s="43" t="s">
        <v>214</v>
      </c>
      <c r="H460" s="42">
        <v>1</v>
      </c>
      <c r="I460" s="44">
        <v>299.75</v>
      </c>
      <c r="J460" s="48"/>
    </row>
    <row r="461" spans="1:10" ht="18.75" customHeight="1" x14ac:dyDescent="0.25">
      <c r="A461" t="s">
        <v>233</v>
      </c>
      <c r="B461" s="45">
        <v>44765</v>
      </c>
      <c r="C461" s="42">
        <v>20031</v>
      </c>
      <c r="D461" s="42" t="s">
        <v>49</v>
      </c>
      <c r="E461" s="43" t="s">
        <v>50</v>
      </c>
      <c r="F461" s="42">
        <v>40016533</v>
      </c>
      <c r="G461" s="43" t="s">
        <v>318</v>
      </c>
      <c r="H461" s="42">
        <v>1</v>
      </c>
      <c r="I461" s="44">
        <v>349.75</v>
      </c>
      <c r="J461" s="48"/>
    </row>
    <row r="462" spans="1:10" ht="18.75" customHeight="1" x14ac:dyDescent="0.25">
      <c r="A462" t="s">
        <v>233</v>
      </c>
      <c r="B462" s="45">
        <v>44765</v>
      </c>
      <c r="C462" s="42">
        <v>20948</v>
      </c>
      <c r="D462" s="42" t="s">
        <v>49</v>
      </c>
      <c r="E462" s="43" t="s">
        <v>50</v>
      </c>
      <c r="F462" s="42">
        <v>40020435</v>
      </c>
      <c r="G462" s="43" t="s">
        <v>319</v>
      </c>
      <c r="H462" s="42">
        <v>1</v>
      </c>
      <c r="I462" s="44">
        <v>599.75</v>
      </c>
      <c r="J462" s="48"/>
    </row>
    <row r="463" spans="1:10" ht="18.75" customHeight="1" x14ac:dyDescent="0.25">
      <c r="A463" t="s">
        <v>233</v>
      </c>
      <c r="B463" s="45">
        <v>44765</v>
      </c>
      <c r="C463" s="42">
        <v>20031</v>
      </c>
      <c r="D463" s="42" t="s">
        <v>49</v>
      </c>
      <c r="E463" s="43" t="s">
        <v>50</v>
      </c>
      <c r="F463" s="42">
        <v>40013731</v>
      </c>
      <c r="G463" s="43" t="s">
        <v>172</v>
      </c>
      <c r="H463" s="42">
        <v>1</v>
      </c>
      <c r="I463" s="44">
        <v>399.75</v>
      </c>
      <c r="J463" s="48"/>
    </row>
    <row r="464" spans="1:10" ht="18.75" customHeight="1" x14ac:dyDescent="0.25">
      <c r="A464" t="s">
        <v>233</v>
      </c>
      <c r="B464" s="45">
        <v>44765</v>
      </c>
      <c r="C464" s="42">
        <v>20926</v>
      </c>
      <c r="D464" s="42" t="s">
        <v>49</v>
      </c>
      <c r="E464" s="43" t="s">
        <v>50</v>
      </c>
      <c r="F464" s="42">
        <v>40020452</v>
      </c>
      <c r="G464" s="43" t="s">
        <v>320</v>
      </c>
      <c r="H464" s="42">
        <v>1</v>
      </c>
      <c r="I464" s="44">
        <v>399.75</v>
      </c>
      <c r="J464" s="48"/>
    </row>
    <row r="465" spans="1:10" ht="18.75" customHeight="1" x14ac:dyDescent="0.25">
      <c r="A465" t="s">
        <v>233</v>
      </c>
      <c r="B465" s="45">
        <v>44765</v>
      </c>
      <c r="C465" s="42">
        <v>20031</v>
      </c>
      <c r="D465" s="42" t="s">
        <v>49</v>
      </c>
      <c r="E465" s="43" t="s">
        <v>50</v>
      </c>
      <c r="F465" s="42">
        <v>40013972</v>
      </c>
      <c r="G465" s="43" t="s">
        <v>321</v>
      </c>
      <c r="H465" s="42">
        <v>1</v>
      </c>
      <c r="I465" s="44">
        <v>100</v>
      </c>
      <c r="J465" s="48"/>
    </row>
    <row r="466" spans="1:10" ht="18.75" customHeight="1" x14ac:dyDescent="0.25">
      <c r="A466" t="s">
        <v>233</v>
      </c>
      <c r="B466" s="45">
        <v>44765</v>
      </c>
      <c r="C466" s="42">
        <v>18357</v>
      </c>
      <c r="D466" s="42" t="s">
        <v>49</v>
      </c>
      <c r="E466" s="43" t="s">
        <v>50</v>
      </c>
      <c r="F466" s="42">
        <v>40017500</v>
      </c>
      <c r="G466" s="43" t="s">
        <v>322</v>
      </c>
      <c r="H466" s="42">
        <v>1</v>
      </c>
      <c r="I466" s="44">
        <v>600</v>
      </c>
      <c r="J466" s="48"/>
    </row>
    <row r="467" spans="1:10" ht="18.75" customHeight="1" x14ac:dyDescent="0.25">
      <c r="A467" t="s">
        <v>233</v>
      </c>
      <c r="B467" s="45">
        <v>44765</v>
      </c>
      <c r="C467" s="42">
        <v>20004</v>
      </c>
      <c r="D467" s="42" t="s">
        <v>49</v>
      </c>
      <c r="E467" s="43" t="s">
        <v>50</v>
      </c>
      <c r="F467" s="42">
        <v>40018822</v>
      </c>
      <c r="G467" s="43" t="s">
        <v>323</v>
      </c>
      <c r="H467" s="42">
        <v>1</v>
      </c>
      <c r="I467" s="44">
        <v>599.75</v>
      </c>
      <c r="J467" s="48"/>
    </row>
    <row r="468" spans="1:10" ht="18.75" customHeight="1" x14ac:dyDescent="0.25">
      <c r="A468" t="s">
        <v>233</v>
      </c>
      <c r="B468" s="45">
        <v>44765</v>
      </c>
      <c r="C468" s="42">
        <v>11003</v>
      </c>
      <c r="D468" s="42" t="s">
        <v>49</v>
      </c>
      <c r="E468" s="43" t="s">
        <v>50</v>
      </c>
      <c r="F468" s="42">
        <v>40021824</v>
      </c>
      <c r="G468" s="43" t="s">
        <v>324</v>
      </c>
      <c r="H468" s="42">
        <v>1</v>
      </c>
      <c r="I468" s="44">
        <v>599.75</v>
      </c>
      <c r="J468" s="48"/>
    </row>
    <row r="469" spans="1:10" ht="18.75" customHeight="1" x14ac:dyDescent="0.25">
      <c r="A469" t="s">
        <v>233</v>
      </c>
      <c r="B469" s="45">
        <v>44766</v>
      </c>
      <c r="C469" s="42">
        <v>11045</v>
      </c>
      <c r="D469" s="42" t="s">
        <v>49</v>
      </c>
      <c r="E469" s="43" t="s">
        <v>50</v>
      </c>
      <c r="F469" s="42">
        <v>40014010</v>
      </c>
      <c r="G469" s="43" t="s">
        <v>245</v>
      </c>
      <c r="H469" s="42">
        <v>1</v>
      </c>
      <c r="I469" s="44">
        <v>2999.75</v>
      </c>
      <c r="J469" s="48"/>
    </row>
    <row r="470" spans="1:10" ht="18.75" customHeight="1" x14ac:dyDescent="0.25">
      <c r="A470" t="s">
        <v>233</v>
      </c>
      <c r="B470" s="45">
        <v>44766</v>
      </c>
      <c r="C470" s="42">
        <v>21008</v>
      </c>
      <c r="D470" s="42" t="s">
        <v>49</v>
      </c>
      <c r="E470" s="43" t="s">
        <v>50</v>
      </c>
      <c r="F470" s="42">
        <v>40013799</v>
      </c>
      <c r="G470" s="43" t="s">
        <v>142</v>
      </c>
      <c r="H470" s="42">
        <v>1</v>
      </c>
      <c r="I470" s="44">
        <v>79.75</v>
      </c>
      <c r="J470" s="48"/>
    </row>
    <row r="471" spans="1:10" ht="18.75" customHeight="1" x14ac:dyDescent="0.25">
      <c r="A471" t="s">
        <v>233</v>
      </c>
      <c r="B471" s="45">
        <v>44766</v>
      </c>
      <c r="C471" s="42">
        <v>13767</v>
      </c>
      <c r="D471" s="42" t="s">
        <v>49</v>
      </c>
      <c r="E471" s="43" t="s">
        <v>50</v>
      </c>
      <c r="F471" s="42">
        <v>40020434</v>
      </c>
      <c r="G471" s="43" t="s">
        <v>325</v>
      </c>
      <c r="H471" s="42">
        <v>1</v>
      </c>
      <c r="I471" s="44">
        <v>449.75</v>
      </c>
      <c r="J471" s="48"/>
    </row>
    <row r="472" spans="1:10" ht="18.75" customHeight="1" x14ac:dyDescent="0.25">
      <c r="A472" t="s">
        <v>233</v>
      </c>
      <c r="B472" s="45">
        <v>44766</v>
      </c>
      <c r="C472" s="42">
        <v>13767</v>
      </c>
      <c r="D472" s="42" t="s">
        <v>49</v>
      </c>
      <c r="E472" s="43" t="s">
        <v>50</v>
      </c>
      <c r="F472" s="42">
        <v>40020436</v>
      </c>
      <c r="G472" s="43" t="s">
        <v>326</v>
      </c>
      <c r="H472" s="42">
        <v>1</v>
      </c>
      <c r="I472" s="44">
        <v>449.75</v>
      </c>
      <c r="J472" s="48"/>
    </row>
    <row r="473" spans="1:10" ht="18.75" customHeight="1" x14ac:dyDescent="0.25">
      <c r="A473" t="s">
        <v>233</v>
      </c>
      <c r="B473" s="45">
        <v>44766</v>
      </c>
      <c r="C473" s="42">
        <v>13767</v>
      </c>
      <c r="D473" s="42" t="s">
        <v>49</v>
      </c>
      <c r="E473" s="43" t="s">
        <v>50</v>
      </c>
      <c r="F473" s="42">
        <v>40019626</v>
      </c>
      <c r="G473" s="43" t="s">
        <v>327</v>
      </c>
      <c r="H473" s="42">
        <v>1</v>
      </c>
      <c r="I473" s="44">
        <v>499.75</v>
      </c>
      <c r="J473" s="48"/>
    </row>
    <row r="474" spans="1:10" ht="18.75" customHeight="1" x14ac:dyDescent="0.25">
      <c r="A474" t="s">
        <v>233</v>
      </c>
      <c r="B474" s="45">
        <v>44766</v>
      </c>
      <c r="C474" s="42">
        <v>13767</v>
      </c>
      <c r="D474" s="42" t="s">
        <v>49</v>
      </c>
      <c r="E474" s="43" t="s">
        <v>50</v>
      </c>
      <c r="F474" s="42">
        <v>40019627</v>
      </c>
      <c r="G474" s="43" t="s">
        <v>328</v>
      </c>
      <c r="H474" s="42">
        <v>1</v>
      </c>
      <c r="I474" s="44">
        <v>699.75</v>
      </c>
      <c r="J474" s="48"/>
    </row>
    <row r="475" spans="1:10" ht="18.75" customHeight="1" x14ac:dyDescent="0.25">
      <c r="A475" t="s">
        <v>233</v>
      </c>
      <c r="B475" s="45">
        <v>44766</v>
      </c>
      <c r="C475" s="42">
        <v>13767</v>
      </c>
      <c r="D475" s="42" t="s">
        <v>49</v>
      </c>
      <c r="E475" s="43" t="s">
        <v>50</v>
      </c>
      <c r="F475" s="42">
        <v>40019630</v>
      </c>
      <c r="G475" s="43" t="s">
        <v>329</v>
      </c>
      <c r="H475" s="42">
        <v>1</v>
      </c>
      <c r="I475" s="44">
        <v>1299.75</v>
      </c>
      <c r="J475" s="48"/>
    </row>
    <row r="476" spans="1:10" ht="18.75" customHeight="1" x14ac:dyDescent="0.25">
      <c r="A476" t="s">
        <v>233</v>
      </c>
      <c r="B476" s="45">
        <v>44766</v>
      </c>
      <c r="C476" s="42">
        <v>21008</v>
      </c>
      <c r="D476" s="42" t="s">
        <v>49</v>
      </c>
      <c r="E476" s="43" t="s">
        <v>50</v>
      </c>
      <c r="F476" s="42">
        <v>40013868</v>
      </c>
      <c r="G476" s="43" t="s">
        <v>235</v>
      </c>
      <c r="H476" s="42">
        <v>1</v>
      </c>
      <c r="I476" s="44">
        <v>99.75</v>
      </c>
      <c r="J476" s="48"/>
    </row>
    <row r="477" spans="1:10" ht="18.75" customHeight="1" x14ac:dyDescent="0.25">
      <c r="A477" t="s">
        <v>233</v>
      </c>
      <c r="B477" s="45">
        <v>44766</v>
      </c>
      <c r="C477" s="42">
        <v>11028</v>
      </c>
      <c r="D477" s="42" t="s">
        <v>49</v>
      </c>
      <c r="E477" s="43" t="s">
        <v>50</v>
      </c>
      <c r="F477" s="42">
        <v>40013871</v>
      </c>
      <c r="G477" s="43" t="s">
        <v>254</v>
      </c>
      <c r="H477" s="42">
        <v>1</v>
      </c>
      <c r="I477" s="44">
        <v>99.75</v>
      </c>
      <c r="J477" s="48"/>
    </row>
    <row r="478" spans="1:10" ht="18.75" customHeight="1" x14ac:dyDescent="0.25">
      <c r="A478" t="s">
        <v>233</v>
      </c>
      <c r="B478" s="45">
        <v>44766</v>
      </c>
      <c r="C478" s="42">
        <v>13730</v>
      </c>
      <c r="D478" s="42" t="s">
        <v>49</v>
      </c>
      <c r="E478" s="43" t="s">
        <v>50</v>
      </c>
      <c r="F478" s="42">
        <v>40019155</v>
      </c>
      <c r="G478" s="43" t="s">
        <v>249</v>
      </c>
      <c r="H478" s="42">
        <v>1</v>
      </c>
      <c r="I478" s="44">
        <v>199.75</v>
      </c>
      <c r="J478" s="48"/>
    </row>
    <row r="479" spans="1:10" ht="18.75" customHeight="1" x14ac:dyDescent="0.25">
      <c r="A479" t="s">
        <v>233</v>
      </c>
      <c r="B479" s="45">
        <v>44766</v>
      </c>
      <c r="C479" s="42">
        <v>20043</v>
      </c>
      <c r="D479" s="42" t="s">
        <v>49</v>
      </c>
      <c r="E479" s="43" t="s">
        <v>50</v>
      </c>
      <c r="F479" s="42">
        <v>40017402</v>
      </c>
      <c r="G479" s="43" t="s">
        <v>330</v>
      </c>
      <c r="H479" s="42">
        <v>1</v>
      </c>
      <c r="I479" s="44">
        <v>499.75</v>
      </c>
      <c r="J479" s="48"/>
    </row>
    <row r="480" spans="1:10" ht="18.75" customHeight="1" x14ac:dyDescent="0.25">
      <c r="A480" t="s">
        <v>233</v>
      </c>
      <c r="B480" s="45">
        <v>44766</v>
      </c>
      <c r="C480" s="42">
        <v>13767</v>
      </c>
      <c r="D480" s="42" t="s">
        <v>49</v>
      </c>
      <c r="E480" s="43" t="s">
        <v>50</v>
      </c>
      <c r="F480" s="42">
        <v>40019258</v>
      </c>
      <c r="G480" s="43" t="s">
        <v>331</v>
      </c>
      <c r="H480" s="42">
        <v>1</v>
      </c>
      <c r="I480" s="44">
        <v>249.75</v>
      </c>
      <c r="J480" s="48"/>
    </row>
    <row r="481" spans="1:10" ht="18.75" customHeight="1" x14ac:dyDescent="0.25">
      <c r="A481" t="s">
        <v>233</v>
      </c>
      <c r="B481" s="45">
        <v>44767</v>
      </c>
      <c r="C481" s="42">
        <v>11094</v>
      </c>
      <c r="D481" s="42" t="s">
        <v>49</v>
      </c>
      <c r="E481" s="43" t="s">
        <v>50</v>
      </c>
      <c r="F481" s="42">
        <v>40013868</v>
      </c>
      <c r="G481" s="43" t="s">
        <v>235</v>
      </c>
      <c r="H481" s="42">
        <v>1</v>
      </c>
      <c r="I481" s="44">
        <v>99.75</v>
      </c>
      <c r="J481" s="48"/>
    </row>
    <row r="482" spans="1:10" ht="18.75" customHeight="1" x14ac:dyDescent="0.25">
      <c r="A482" t="s">
        <v>233</v>
      </c>
      <c r="B482" s="45">
        <v>44767</v>
      </c>
      <c r="C482" s="42">
        <v>11094</v>
      </c>
      <c r="D482" s="42" t="s">
        <v>49</v>
      </c>
      <c r="E482" s="43" t="s">
        <v>50</v>
      </c>
      <c r="F482" s="42">
        <v>40013877</v>
      </c>
      <c r="G482" s="43" t="s">
        <v>332</v>
      </c>
      <c r="H482" s="42">
        <v>1</v>
      </c>
      <c r="I482" s="44">
        <v>99.75</v>
      </c>
      <c r="J482" s="48"/>
    </row>
    <row r="483" spans="1:10" ht="18.75" customHeight="1" x14ac:dyDescent="0.25">
      <c r="A483" t="s">
        <v>233</v>
      </c>
      <c r="B483" s="45">
        <v>44767</v>
      </c>
      <c r="C483" s="42">
        <v>20105</v>
      </c>
      <c r="D483" s="42" t="s">
        <v>49</v>
      </c>
      <c r="E483" s="43" t="s">
        <v>50</v>
      </c>
      <c r="F483" s="42">
        <v>40021959</v>
      </c>
      <c r="G483" s="43" t="s">
        <v>333</v>
      </c>
      <c r="H483" s="42">
        <v>1</v>
      </c>
      <c r="I483" s="44">
        <v>149.75</v>
      </c>
      <c r="J483" s="48"/>
    </row>
    <row r="484" spans="1:10" ht="18.75" customHeight="1" x14ac:dyDescent="0.25">
      <c r="A484" t="s">
        <v>233</v>
      </c>
      <c r="B484" s="45">
        <v>44768</v>
      </c>
      <c r="C484" s="42">
        <v>13838</v>
      </c>
      <c r="D484" s="42" t="s">
        <v>49</v>
      </c>
      <c r="E484" s="43" t="s">
        <v>50</v>
      </c>
      <c r="F484" s="42">
        <v>40017603</v>
      </c>
      <c r="G484" s="43" t="s">
        <v>334</v>
      </c>
      <c r="H484" s="42">
        <v>1</v>
      </c>
      <c r="I484" s="44">
        <v>599.75</v>
      </c>
      <c r="J484" s="48"/>
    </row>
    <row r="485" spans="1:10" ht="18.75" customHeight="1" x14ac:dyDescent="0.25">
      <c r="A485" t="s">
        <v>233</v>
      </c>
      <c r="B485" s="45">
        <v>44768</v>
      </c>
      <c r="C485" s="42">
        <v>13852</v>
      </c>
      <c r="D485" s="42" t="s">
        <v>49</v>
      </c>
      <c r="E485" s="43" t="s">
        <v>50</v>
      </c>
      <c r="F485" s="42">
        <v>40017470</v>
      </c>
      <c r="G485" s="43" t="s">
        <v>192</v>
      </c>
      <c r="H485" s="42">
        <v>1</v>
      </c>
      <c r="I485" s="44">
        <v>399.75</v>
      </c>
      <c r="J485" s="48"/>
    </row>
    <row r="486" spans="1:10" ht="18.75" customHeight="1" x14ac:dyDescent="0.25">
      <c r="A486" t="s">
        <v>233</v>
      </c>
      <c r="B486" s="45">
        <v>44768</v>
      </c>
      <c r="C486" s="42">
        <v>13852</v>
      </c>
      <c r="D486" s="42" t="s">
        <v>49</v>
      </c>
      <c r="E486" s="43" t="s">
        <v>50</v>
      </c>
      <c r="F486" s="42">
        <v>40017467</v>
      </c>
      <c r="G486" s="43" t="s">
        <v>335</v>
      </c>
      <c r="H486" s="42">
        <v>1</v>
      </c>
      <c r="I486" s="44">
        <v>399.75</v>
      </c>
      <c r="J486" s="48"/>
    </row>
    <row r="487" spans="1:10" ht="18.75" customHeight="1" x14ac:dyDescent="0.25">
      <c r="A487" t="s">
        <v>233</v>
      </c>
      <c r="B487" s="45">
        <v>44768</v>
      </c>
      <c r="C487" s="42">
        <v>13852</v>
      </c>
      <c r="D487" s="42" t="s">
        <v>49</v>
      </c>
      <c r="E487" s="43" t="s">
        <v>50</v>
      </c>
      <c r="F487" s="42">
        <v>40017419</v>
      </c>
      <c r="G487" s="43" t="s">
        <v>336</v>
      </c>
      <c r="H487" s="42">
        <v>1</v>
      </c>
      <c r="I487" s="44">
        <v>399.75</v>
      </c>
      <c r="J487" s="48"/>
    </row>
    <row r="488" spans="1:10" ht="18.75" customHeight="1" x14ac:dyDescent="0.25">
      <c r="A488" t="s">
        <v>233</v>
      </c>
      <c r="B488" s="45">
        <v>44768</v>
      </c>
      <c r="C488" s="42">
        <v>13852</v>
      </c>
      <c r="D488" s="42" t="s">
        <v>49</v>
      </c>
      <c r="E488" s="43" t="s">
        <v>50</v>
      </c>
      <c r="F488" s="42">
        <v>40017468</v>
      </c>
      <c r="G488" s="43" t="s">
        <v>337</v>
      </c>
      <c r="H488" s="42">
        <v>1</v>
      </c>
      <c r="I488" s="44">
        <v>399.75</v>
      </c>
      <c r="J488" s="48"/>
    </row>
    <row r="489" spans="1:10" ht="18.75" customHeight="1" x14ac:dyDescent="0.25">
      <c r="A489" t="s">
        <v>233</v>
      </c>
      <c r="B489" s="45">
        <v>44768</v>
      </c>
      <c r="C489" s="42">
        <v>13838</v>
      </c>
      <c r="D489" s="42" t="s">
        <v>49</v>
      </c>
      <c r="E489" s="43" t="s">
        <v>50</v>
      </c>
      <c r="F489" s="42">
        <v>40013539</v>
      </c>
      <c r="G489" s="43" t="s">
        <v>211</v>
      </c>
      <c r="H489" s="42">
        <v>1</v>
      </c>
      <c r="I489" s="44">
        <v>229.75</v>
      </c>
      <c r="J489" s="48"/>
    </row>
    <row r="490" spans="1:10" ht="18.75" customHeight="1" x14ac:dyDescent="0.25">
      <c r="A490" t="s">
        <v>233</v>
      </c>
      <c r="B490" s="45">
        <v>44768</v>
      </c>
      <c r="C490" s="42">
        <v>13838</v>
      </c>
      <c r="D490" s="42" t="s">
        <v>49</v>
      </c>
      <c r="E490" s="43" t="s">
        <v>50</v>
      </c>
      <c r="F490" s="42">
        <v>40017597</v>
      </c>
      <c r="G490" s="43" t="s">
        <v>280</v>
      </c>
      <c r="H490" s="42">
        <v>1</v>
      </c>
      <c r="I490" s="44">
        <v>199.75</v>
      </c>
      <c r="J490" s="48"/>
    </row>
    <row r="491" spans="1:10" ht="18.75" customHeight="1" x14ac:dyDescent="0.25">
      <c r="A491" t="s">
        <v>233</v>
      </c>
      <c r="B491" s="45">
        <v>44768</v>
      </c>
      <c r="C491" s="42">
        <v>13838</v>
      </c>
      <c r="D491" s="42" t="s">
        <v>49</v>
      </c>
      <c r="E491" s="43" t="s">
        <v>50</v>
      </c>
      <c r="F491" s="42">
        <v>40017598</v>
      </c>
      <c r="G491" s="43" t="s">
        <v>280</v>
      </c>
      <c r="H491" s="42">
        <v>1</v>
      </c>
      <c r="I491" s="44">
        <v>199.75</v>
      </c>
      <c r="J491" s="48"/>
    </row>
    <row r="492" spans="1:10" ht="18.75" customHeight="1" x14ac:dyDescent="0.25">
      <c r="A492" t="s">
        <v>233</v>
      </c>
      <c r="B492" s="45">
        <v>44768</v>
      </c>
      <c r="C492" s="42">
        <v>11187</v>
      </c>
      <c r="D492" s="42" t="s">
        <v>49</v>
      </c>
      <c r="E492" s="43" t="s">
        <v>50</v>
      </c>
      <c r="F492" s="42">
        <v>40021976</v>
      </c>
      <c r="G492" s="43" t="s">
        <v>186</v>
      </c>
      <c r="H492" s="42">
        <v>1</v>
      </c>
      <c r="I492" s="44">
        <v>129.75</v>
      </c>
      <c r="J492" s="48"/>
    </row>
    <row r="493" spans="1:10" ht="18.75" customHeight="1" x14ac:dyDescent="0.25">
      <c r="A493" t="s">
        <v>233</v>
      </c>
      <c r="B493" s="45">
        <v>44768</v>
      </c>
      <c r="C493" s="42">
        <v>11187</v>
      </c>
      <c r="D493" s="42" t="s">
        <v>49</v>
      </c>
      <c r="E493" s="43" t="s">
        <v>50</v>
      </c>
      <c r="F493" s="42">
        <v>40021970</v>
      </c>
      <c r="G493" s="43" t="s">
        <v>338</v>
      </c>
      <c r="H493" s="42">
        <v>1</v>
      </c>
      <c r="I493" s="44">
        <v>129.75</v>
      </c>
      <c r="J493" s="48"/>
    </row>
    <row r="494" spans="1:10" ht="18.75" customHeight="1" x14ac:dyDescent="0.25">
      <c r="A494" t="s">
        <v>233</v>
      </c>
      <c r="B494" s="45">
        <v>44768</v>
      </c>
      <c r="C494" s="42">
        <v>11168</v>
      </c>
      <c r="D494" s="42" t="s">
        <v>49</v>
      </c>
      <c r="E494" s="43" t="s">
        <v>50</v>
      </c>
      <c r="F494" s="42">
        <v>40021973</v>
      </c>
      <c r="G494" s="43" t="s">
        <v>247</v>
      </c>
      <c r="H494" s="42">
        <v>1</v>
      </c>
      <c r="I494" s="44">
        <v>129.75</v>
      </c>
      <c r="J494" s="48"/>
    </row>
    <row r="495" spans="1:10" ht="18.75" customHeight="1" x14ac:dyDescent="0.25">
      <c r="A495" t="s">
        <v>233</v>
      </c>
      <c r="B495" s="45">
        <v>44768</v>
      </c>
      <c r="C495" s="42">
        <v>20181</v>
      </c>
      <c r="D495" s="42" t="s">
        <v>49</v>
      </c>
      <c r="E495" s="43" t="s">
        <v>50</v>
      </c>
      <c r="F495" s="42">
        <v>40020457</v>
      </c>
      <c r="G495" s="43" t="s">
        <v>185</v>
      </c>
      <c r="H495" s="42">
        <v>1</v>
      </c>
      <c r="I495" s="44">
        <v>449.75</v>
      </c>
      <c r="J495" s="48"/>
    </row>
    <row r="496" spans="1:10" ht="18.75" customHeight="1" x14ac:dyDescent="0.25">
      <c r="A496" t="s">
        <v>233</v>
      </c>
      <c r="B496" s="45">
        <v>44768</v>
      </c>
      <c r="C496" s="42">
        <v>13838</v>
      </c>
      <c r="D496" s="42" t="s">
        <v>49</v>
      </c>
      <c r="E496" s="43" t="s">
        <v>50</v>
      </c>
      <c r="F496" s="42">
        <v>40019161</v>
      </c>
      <c r="G496" s="43" t="s">
        <v>299</v>
      </c>
      <c r="H496" s="42">
        <v>1</v>
      </c>
      <c r="I496" s="44">
        <v>499.75</v>
      </c>
      <c r="J496" s="48"/>
    </row>
    <row r="497" spans="1:10" ht="18.75" customHeight="1" x14ac:dyDescent="0.25">
      <c r="A497" t="s">
        <v>233</v>
      </c>
      <c r="B497" s="45">
        <v>44768</v>
      </c>
      <c r="C497" s="42">
        <v>11168</v>
      </c>
      <c r="D497" s="42" t="s">
        <v>49</v>
      </c>
      <c r="E497" s="43" t="s">
        <v>50</v>
      </c>
      <c r="F497" s="42">
        <v>40013301</v>
      </c>
      <c r="G497" s="43" t="s">
        <v>174</v>
      </c>
      <c r="H497" s="42">
        <v>1</v>
      </c>
      <c r="I497" s="44">
        <v>129.75</v>
      </c>
      <c r="J497" s="48"/>
    </row>
    <row r="498" spans="1:10" ht="18.75" customHeight="1" x14ac:dyDescent="0.25">
      <c r="A498" t="s">
        <v>233</v>
      </c>
      <c r="B498" s="45">
        <v>44768</v>
      </c>
      <c r="C498" s="42">
        <v>11187</v>
      </c>
      <c r="D498" s="42" t="s">
        <v>49</v>
      </c>
      <c r="E498" s="43" t="s">
        <v>50</v>
      </c>
      <c r="F498" s="42">
        <v>40013298</v>
      </c>
      <c r="G498" s="43" t="s">
        <v>103</v>
      </c>
      <c r="H498" s="42">
        <v>1</v>
      </c>
      <c r="I498" s="44">
        <v>129.75</v>
      </c>
      <c r="J498" s="48"/>
    </row>
    <row r="499" spans="1:10" ht="18.75" customHeight="1" x14ac:dyDescent="0.25">
      <c r="A499" t="s">
        <v>233</v>
      </c>
      <c r="B499" s="45">
        <v>44768</v>
      </c>
      <c r="C499" s="42">
        <v>13828</v>
      </c>
      <c r="D499" s="42" t="s">
        <v>49</v>
      </c>
      <c r="E499" s="43" t="s">
        <v>50</v>
      </c>
      <c r="F499" s="42">
        <v>40019097</v>
      </c>
      <c r="G499" s="43" t="s">
        <v>86</v>
      </c>
      <c r="H499" s="42">
        <v>1</v>
      </c>
      <c r="I499" s="44">
        <v>699.75</v>
      </c>
      <c r="J499" s="48"/>
    </row>
    <row r="500" spans="1:10" ht="18.75" customHeight="1" x14ac:dyDescent="0.25">
      <c r="A500" t="s">
        <v>233</v>
      </c>
      <c r="B500" s="45">
        <v>44768</v>
      </c>
      <c r="C500" s="42">
        <v>11187</v>
      </c>
      <c r="D500" s="42" t="s">
        <v>49</v>
      </c>
      <c r="E500" s="43" t="s">
        <v>50</v>
      </c>
      <c r="F500" s="42">
        <v>40021965</v>
      </c>
      <c r="G500" s="43" t="s">
        <v>316</v>
      </c>
      <c r="H500" s="42">
        <v>1</v>
      </c>
      <c r="I500" s="44">
        <v>129.75</v>
      </c>
      <c r="J500" s="48"/>
    </row>
    <row r="501" spans="1:10" ht="18.75" customHeight="1" x14ac:dyDescent="0.25">
      <c r="A501" t="s">
        <v>233</v>
      </c>
      <c r="B501" s="45">
        <v>44768</v>
      </c>
      <c r="C501" s="42">
        <v>11187</v>
      </c>
      <c r="D501" s="42" t="s">
        <v>49</v>
      </c>
      <c r="E501" s="43" t="s">
        <v>50</v>
      </c>
      <c r="F501" s="42">
        <v>40021968</v>
      </c>
      <c r="G501" s="43" t="s">
        <v>339</v>
      </c>
      <c r="H501" s="42">
        <v>1</v>
      </c>
      <c r="I501" s="44">
        <v>129.75</v>
      </c>
      <c r="J501" s="48"/>
    </row>
    <row r="502" spans="1:10" ht="18.75" customHeight="1" x14ac:dyDescent="0.25">
      <c r="A502" t="s">
        <v>233</v>
      </c>
      <c r="B502" s="45">
        <v>44769</v>
      </c>
      <c r="C502" s="42">
        <v>13882</v>
      </c>
      <c r="D502" s="42" t="s">
        <v>49</v>
      </c>
      <c r="E502" s="43" t="s">
        <v>50</v>
      </c>
      <c r="F502" s="42">
        <v>40013847</v>
      </c>
      <c r="G502" s="43" t="s">
        <v>212</v>
      </c>
      <c r="H502" s="42">
        <v>1</v>
      </c>
      <c r="I502" s="44">
        <v>129.75</v>
      </c>
      <c r="J502" s="48"/>
    </row>
    <row r="503" spans="1:10" ht="18.75" customHeight="1" x14ac:dyDescent="0.25">
      <c r="A503" t="s">
        <v>233</v>
      </c>
      <c r="B503" s="45">
        <v>44769</v>
      </c>
      <c r="C503" s="42">
        <v>13882</v>
      </c>
      <c r="D503" s="42" t="s">
        <v>49</v>
      </c>
      <c r="E503" s="43" t="s">
        <v>50</v>
      </c>
      <c r="F503" s="42">
        <v>40013855</v>
      </c>
      <c r="G503" s="43" t="s">
        <v>212</v>
      </c>
      <c r="H503" s="42">
        <v>1</v>
      </c>
      <c r="I503" s="44">
        <v>129.75</v>
      </c>
      <c r="J503" s="48"/>
    </row>
    <row r="504" spans="1:10" ht="18.75" customHeight="1" x14ac:dyDescent="0.25">
      <c r="A504" t="s">
        <v>233</v>
      </c>
      <c r="B504" s="45">
        <v>44769</v>
      </c>
      <c r="C504" s="42">
        <v>13879</v>
      </c>
      <c r="D504" s="42" t="s">
        <v>49</v>
      </c>
      <c r="E504" s="43" t="s">
        <v>50</v>
      </c>
      <c r="F504" s="42">
        <v>40013799</v>
      </c>
      <c r="G504" s="43" t="s">
        <v>142</v>
      </c>
      <c r="H504" s="42">
        <v>2</v>
      </c>
      <c r="I504" s="44">
        <v>159.5</v>
      </c>
      <c r="J504" s="48"/>
    </row>
    <row r="505" spans="1:10" ht="18.75" customHeight="1" x14ac:dyDescent="0.25">
      <c r="A505" t="s">
        <v>233</v>
      </c>
      <c r="B505" s="45">
        <v>44769</v>
      </c>
      <c r="C505" s="42">
        <v>13879</v>
      </c>
      <c r="D505" s="42" t="s">
        <v>49</v>
      </c>
      <c r="E505" s="43" t="s">
        <v>50</v>
      </c>
      <c r="F505" s="42">
        <v>40019621</v>
      </c>
      <c r="G505" s="43" t="s">
        <v>340</v>
      </c>
      <c r="H505" s="42">
        <v>1</v>
      </c>
      <c r="I505" s="44">
        <v>229.75</v>
      </c>
      <c r="J505" s="48"/>
    </row>
    <row r="506" spans="1:10" ht="18.75" customHeight="1" x14ac:dyDescent="0.25">
      <c r="A506" t="s">
        <v>233</v>
      </c>
      <c r="B506" s="45">
        <v>44769</v>
      </c>
      <c r="C506" s="42">
        <v>13902</v>
      </c>
      <c r="D506" s="42" t="s">
        <v>49</v>
      </c>
      <c r="E506" s="43" t="s">
        <v>50</v>
      </c>
      <c r="F506" s="42">
        <v>40018573</v>
      </c>
      <c r="G506" s="43" t="s">
        <v>341</v>
      </c>
      <c r="H506" s="42">
        <v>1</v>
      </c>
      <c r="I506" s="44">
        <v>999.75</v>
      </c>
      <c r="J506" s="48"/>
    </row>
    <row r="507" spans="1:10" ht="18.75" customHeight="1" x14ac:dyDescent="0.25">
      <c r="A507" t="s">
        <v>233</v>
      </c>
      <c r="B507" s="45">
        <v>44769</v>
      </c>
      <c r="C507" s="42">
        <v>13902</v>
      </c>
      <c r="D507" s="42" t="s">
        <v>49</v>
      </c>
      <c r="E507" s="43" t="s">
        <v>50</v>
      </c>
      <c r="F507" s="42">
        <v>40018589</v>
      </c>
      <c r="G507" s="43" t="s">
        <v>53</v>
      </c>
      <c r="H507" s="42">
        <v>1</v>
      </c>
      <c r="I507" s="44">
        <v>699.75</v>
      </c>
      <c r="J507" s="48"/>
    </row>
    <row r="508" spans="1:10" ht="18.75" customHeight="1" x14ac:dyDescent="0.25">
      <c r="A508" t="s">
        <v>233</v>
      </c>
      <c r="B508" s="45">
        <v>44769</v>
      </c>
      <c r="C508" s="42">
        <v>13887</v>
      </c>
      <c r="D508" s="42" t="s">
        <v>49</v>
      </c>
      <c r="E508" s="43" t="s">
        <v>50</v>
      </c>
      <c r="F508" s="42">
        <v>40019143</v>
      </c>
      <c r="G508" s="43" t="s">
        <v>168</v>
      </c>
      <c r="H508" s="42">
        <v>2</v>
      </c>
      <c r="I508" s="44">
        <v>899.5</v>
      </c>
      <c r="J508" s="48"/>
    </row>
    <row r="509" spans="1:10" ht="18.75" customHeight="1" x14ac:dyDescent="0.25">
      <c r="A509" t="s">
        <v>233</v>
      </c>
      <c r="B509" s="45">
        <v>44769</v>
      </c>
      <c r="C509" s="42">
        <v>21025</v>
      </c>
      <c r="D509" s="42" t="s">
        <v>49</v>
      </c>
      <c r="E509" s="43" t="s">
        <v>50</v>
      </c>
      <c r="F509" s="42">
        <v>40020461</v>
      </c>
      <c r="G509" s="43" t="s">
        <v>76</v>
      </c>
      <c r="H509" s="42">
        <v>1</v>
      </c>
      <c r="I509" s="44">
        <v>449.75</v>
      </c>
      <c r="J509" s="48"/>
    </row>
    <row r="510" spans="1:10" ht="18.75" customHeight="1" x14ac:dyDescent="0.25">
      <c r="A510" t="s">
        <v>233</v>
      </c>
      <c r="B510" s="45">
        <v>44769</v>
      </c>
      <c r="C510" s="42">
        <v>21032</v>
      </c>
      <c r="D510" s="42" t="s">
        <v>49</v>
      </c>
      <c r="E510" s="43" t="s">
        <v>50</v>
      </c>
      <c r="F510" s="42">
        <v>40019099</v>
      </c>
      <c r="G510" s="43" t="s">
        <v>313</v>
      </c>
      <c r="H510" s="42">
        <v>1</v>
      </c>
      <c r="I510" s="44">
        <v>699.75</v>
      </c>
      <c r="J510" s="48"/>
    </row>
    <row r="511" spans="1:10" ht="18.75" customHeight="1" x14ac:dyDescent="0.25">
      <c r="A511" t="s">
        <v>233</v>
      </c>
      <c r="B511" s="45">
        <v>44769</v>
      </c>
      <c r="C511" s="42">
        <v>13912</v>
      </c>
      <c r="D511" s="42" t="s">
        <v>49</v>
      </c>
      <c r="E511" s="43" t="s">
        <v>50</v>
      </c>
      <c r="F511" s="42">
        <v>40021960</v>
      </c>
      <c r="G511" s="43" t="s">
        <v>113</v>
      </c>
      <c r="H511" s="42">
        <v>1</v>
      </c>
      <c r="I511" s="44">
        <v>229.75</v>
      </c>
      <c r="J511" s="48"/>
    </row>
    <row r="512" spans="1:10" ht="18.75" customHeight="1" x14ac:dyDescent="0.25">
      <c r="A512" t="s">
        <v>233</v>
      </c>
      <c r="B512" s="45">
        <v>44770</v>
      </c>
      <c r="C512" s="42">
        <v>21120</v>
      </c>
      <c r="D512" s="42" t="s">
        <v>49</v>
      </c>
      <c r="E512" s="43" t="s">
        <v>50</v>
      </c>
      <c r="F512" s="42">
        <v>40017434</v>
      </c>
      <c r="G512" s="43" t="s">
        <v>342</v>
      </c>
      <c r="H512" s="42">
        <v>2</v>
      </c>
      <c r="I512" s="44">
        <v>1199.5</v>
      </c>
      <c r="J512" s="48"/>
    </row>
    <row r="513" spans="1:10" ht="18.75" customHeight="1" x14ac:dyDescent="0.25">
      <c r="A513" t="s">
        <v>233</v>
      </c>
      <c r="B513" s="45">
        <v>44770</v>
      </c>
      <c r="C513" s="42">
        <v>21120</v>
      </c>
      <c r="D513" s="42" t="s">
        <v>49</v>
      </c>
      <c r="E513" s="43" t="s">
        <v>50</v>
      </c>
      <c r="F513" s="42">
        <v>40017433</v>
      </c>
      <c r="G513" s="43" t="s">
        <v>343</v>
      </c>
      <c r="H513" s="42">
        <v>1</v>
      </c>
      <c r="I513" s="44">
        <v>599.75</v>
      </c>
      <c r="J513" s="48"/>
    </row>
    <row r="514" spans="1:10" ht="18.75" customHeight="1" x14ac:dyDescent="0.25">
      <c r="A514" t="s">
        <v>233</v>
      </c>
      <c r="B514" s="45">
        <v>44770</v>
      </c>
      <c r="C514" s="42">
        <v>21105</v>
      </c>
      <c r="D514" s="42" t="s">
        <v>49</v>
      </c>
      <c r="E514" s="43" t="s">
        <v>50</v>
      </c>
      <c r="F514" s="42">
        <v>40019108</v>
      </c>
      <c r="G514" s="43" t="s">
        <v>344</v>
      </c>
      <c r="H514" s="42">
        <v>1</v>
      </c>
      <c r="I514" s="44">
        <v>329.75</v>
      </c>
      <c r="J514" s="48"/>
    </row>
    <row r="515" spans="1:10" ht="18.75" customHeight="1" x14ac:dyDescent="0.25">
      <c r="A515" t="s">
        <v>233</v>
      </c>
      <c r="B515" s="45">
        <v>44770</v>
      </c>
      <c r="C515" s="42">
        <v>21105</v>
      </c>
      <c r="D515" s="42" t="s">
        <v>49</v>
      </c>
      <c r="E515" s="43" t="s">
        <v>50</v>
      </c>
      <c r="F515" s="42">
        <v>40017571</v>
      </c>
      <c r="G515" s="43" t="s">
        <v>264</v>
      </c>
      <c r="H515" s="42">
        <v>1</v>
      </c>
      <c r="I515" s="44">
        <v>299.75</v>
      </c>
      <c r="J515" s="48"/>
    </row>
    <row r="516" spans="1:10" ht="18.75" customHeight="1" x14ac:dyDescent="0.25">
      <c r="A516" t="s">
        <v>233</v>
      </c>
      <c r="B516" s="45">
        <v>44771</v>
      </c>
      <c r="C516" s="42">
        <v>14006</v>
      </c>
      <c r="D516" s="42" t="s">
        <v>49</v>
      </c>
      <c r="E516" s="43" t="s">
        <v>50</v>
      </c>
      <c r="F516" s="42">
        <v>40021972</v>
      </c>
      <c r="G516" s="43" t="s">
        <v>345</v>
      </c>
      <c r="H516" s="42">
        <v>1</v>
      </c>
      <c r="I516" s="44">
        <v>149.75</v>
      </c>
      <c r="J516" s="48"/>
    </row>
    <row r="517" spans="1:10" ht="18.75" customHeight="1" x14ac:dyDescent="0.25">
      <c r="A517" t="s">
        <v>233</v>
      </c>
      <c r="B517" s="45">
        <v>44771</v>
      </c>
      <c r="C517" s="42">
        <v>18732</v>
      </c>
      <c r="D517" s="42" t="s">
        <v>49</v>
      </c>
      <c r="E517" s="43" t="s">
        <v>50</v>
      </c>
      <c r="F517" s="42">
        <v>40019108</v>
      </c>
      <c r="G517" s="43" t="s">
        <v>344</v>
      </c>
      <c r="H517" s="42">
        <v>1</v>
      </c>
      <c r="I517" s="44">
        <v>329.75</v>
      </c>
      <c r="J517" s="48"/>
    </row>
    <row r="518" spans="1:10" ht="18.75" customHeight="1" x14ac:dyDescent="0.25">
      <c r="A518" t="s">
        <v>233</v>
      </c>
      <c r="B518" s="45">
        <v>44771</v>
      </c>
      <c r="C518" s="42">
        <v>8039</v>
      </c>
      <c r="D518" s="42" t="s">
        <v>49</v>
      </c>
      <c r="E518" s="43" t="s">
        <v>50</v>
      </c>
      <c r="F518" s="42">
        <v>40018029</v>
      </c>
      <c r="G518" s="43" t="s">
        <v>75</v>
      </c>
      <c r="H518" s="42">
        <v>1</v>
      </c>
      <c r="I518" s="44">
        <v>199.75</v>
      </c>
      <c r="J518" s="48"/>
    </row>
    <row r="519" spans="1:10" ht="18.75" customHeight="1" x14ac:dyDescent="0.25">
      <c r="A519" t="s">
        <v>233</v>
      </c>
      <c r="B519" s="45">
        <v>44771</v>
      </c>
      <c r="C519" s="42">
        <v>8022</v>
      </c>
      <c r="D519" s="42" t="s">
        <v>49</v>
      </c>
      <c r="E519" s="43" t="s">
        <v>50</v>
      </c>
      <c r="F519" s="42">
        <v>40013877</v>
      </c>
      <c r="G519" s="43" t="s">
        <v>332</v>
      </c>
      <c r="H519" s="42">
        <v>1</v>
      </c>
      <c r="I519" s="44">
        <v>99.75</v>
      </c>
      <c r="J519" s="48"/>
    </row>
    <row r="520" spans="1:10" ht="18.75" customHeight="1" x14ac:dyDescent="0.25">
      <c r="A520" t="s">
        <v>233</v>
      </c>
      <c r="B520" s="45">
        <v>44771</v>
      </c>
      <c r="C520" s="42">
        <v>8022</v>
      </c>
      <c r="D520" s="42" t="s">
        <v>49</v>
      </c>
      <c r="E520" s="43" t="s">
        <v>50</v>
      </c>
      <c r="F520" s="42">
        <v>40013873</v>
      </c>
      <c r="G520" s="43" t="s">
        <v>98</v>
      </c>
      <c r="H520" s="42">
        <v>1</v>
      </c>
      <c r="I520" s="44">
        <v>99.75</v>
      </c>
      <c r="J520" s="48"/>
    </row>
    <row r="521" spans="1:10" ht="18.75" customHeight="1" x14ac:dyDescent="0.25">
      <c r="A521" t="s">
        <v>233</v>
      </c>
      <c r="B521" s="45">
        <v>44771</v>
      </c>
      <c r="C521" s="42">
        <v>18707</v>
      </c>
      <c r="D521" s="42" t="s">
        <v>49</v>
      </c>
      <c r="E521" s="43" t="s">
        <v>50</v>
      </c>
      <c r="F521" s="42">
        <v>40020457</v>
      </c>
      <c r="G521" s="43" t="s">
        <v>185</v>
      </c>
      <c r="H521" s="42">
        <v>1</v>
      </c>
      <c r="I521" s="44">
        <v>449.75</v>
      </c>
      <c r="J521" s="48"/>
    </row>
    <row r="522" spans="1:10" ht="18.75" customHeight="1" x14ac:dyDescent="0.25">
      <c r="A522" t="s">
        <v>233</v>
      </c>
      <c r="B522" s="45">
        <v>44771</v>
      </c>
      <c r="C522" s="42">
        <v>18706</v>
      </c>
      <c r="D522" s="42" t="s">
        <v>49</v>
      </c>
      <c r="E522" s="43" t="s">
        <v>50</v>
      </c>
      <c r="F522" s="42">
        <v>40020456</v>
      </c>
      <c r="G522" s="43" t="s">
        <v>199</v>
      </c>
      <c r="H522" s="42">
        <v>1</v>
      </c>
      <c r="I522" s="44">
        <v>449.75</v>
      </c>
      <c r="J522" s="48"/>
    </row>
    <row r="523" spans="1:10" ht="18.75" customHeight="1" x14ac:dyDescent="0.25">
      <c r="A523" t="s">
        <v>233</v>
      </c>
      <c r="B523" s="45">
        <v>44771</v>
      </c>
      <c r="C523" s="42">
        <v>13991</v>
      </c>
      <c r="D523" s="42" t="s">
        <v>49</v>
      </c>
      <c r="E523" s="43" t="s">
        <v>50</v>
      </c>
      <c r="F523" s="42">
        <v>40020458</v>
      </c>
      <c r="G523" s="43" t="s">
        <v>346</v>
      </c>
      <c r="H523" s="42">
        <v>1</v>
      </c>
      <c r="I523" s="44">
        <v>399.75</v>
      </c>
      <c r="J523" s="48"/>
    </row>
    <row r="524" spans="1:10" ht="18.75" customHeight="1" x14ac:dyDescent="0.25">
      <c r="A524" t="s">
        <v>233</v>
      </c>
      <c r="B524" s="45">
        <v>44771</v>
      </c>
      <c r="C524" s="42">
        <v>18732</v>
      </c>
      <c r="D524" s="42" t="s">
        <v>49</v>
      </c>
      <c r="E524" s="43" t="s">
        <v>50</v>
      </c>
      <c r="F524" s="42">
        <v>40019156</v>
      </c>
      <c r="G524" s="43" t="s">
        <v>250</v>
      </c>
      <c r="H524" s="42">
        <v>1</v>
      </c>
      <c r="I524" s="44">
        <v>199.75</v>
      </c>
      <c r="J524" s="48"/>
    </row>
    <row r="525" spans="1:10" ht="18.75" customHeight="1" x14ac:dyDescent="0.25">
      <c r="A525" t="s">
        <v>233</v>
      </c>
      <c r="B525" s="45">
        <v>44771</v>
      </c>
      <c r="C525" s="42">
        <v>8050</v>
      </c>
      <c r="D525" s="42" t="s">
        <v>49</v>
      </c>
      <c r="E525" s="43" t="s">
        <v>50</v>
      </c>
      <c r="F525" s="42">
        <v>40019159</v>
      </c>
      <c r="G525" s="43" t="s">
        <v>250</v>
      </c>
      <c r="H525" s="42">
        <v>1</v>
      </c>
      <c r="I525" s="44">
        <v>199.75</v>
      </c>
      <c r="J525" s="48"/>
    </row>
    <row r="526" spans="1:10" ht="18.75" customHeight="1" x14ac:dyDescent="0.25">
      <c r="A526" t="s">
        <v>233</v>
      </c>
      <c r="B526" s="45">
        <v>44771</v>
      </c>
      <c r="C526" s="42">
        <v>21192</v>
      </c>
      <c r="D526" s="42" t="s">
        <v>49</v>
      </c>
      <c r="E526" s="43" t="s">
        <v>50</v>
      </c>
      <c r="F526" s="42">
        <v>40015614</v>
      </c>
      <c r="G526" s="43" t="s">
        <v>160</v>
      </c>
      <c r="H526" s="42">
        <v>1</v>
      </c>
      <c r="I526" s="44">
        <v>449.75</v>
      </c>
      <c r="J526" s="48"/>
    </row>
    <row r="527" spans="1:10" ht="18.75" customHeight="1" x14ac:dyDescent="0.25">
      <c r="A527" t="s">
        <v>233</v>
      </c>
      <c r="B527" s="45">
        <v>44771</v>
      </c>
      <c r="C527" s="42">
        <v>14006</v>
      </c>
      <c r="D527" s="42" t="s">
        <v>49</v>
      </c>
      <c r="E527" s="43" t="s">
        <v>50</v>
      </c>
      <c r="F527" s="42">
        <v>40013302</v>
      </c>
      <c r="G527" s="43" t="s">
        <v>174</v>
      </c>
      <c r="H527" s="42">
        <v>1</v>
      </c>
      <c r="I527" s="44">
        <v>149.75</v>
      </c>
      <c r="J527" s="48"/>
    </row>
    <row r="528" spans="1:10" ht="18.75" customHeight="1" x14ac:dyDescent="0.25">
      <c r="A528" t="s">
        <v>233</v>
      </c>
      <c r="B528" s="45">
        <v>44771</v>
      </c>
      <c r="C528" s="42">
        <v>8039</v>
      </c>
      <c r="D528" s="42" t="s">
        <v>49</v>
      </c>
      <c r="E528" s="43" t="s">
        <v>50</v>
      </c>
      <c r="F528" s="42">
        <v>40021967</v>
      </c>
      <c r="G528" s="43" t="s">
        <v>347</v>
      </c>
      <c r="H528" s="42">
        <v>2</v>
      </c>
      <c r="I528" s="44">
        <v>299.5</v>
      </c>
      <c r="J528" s="48"/>
    </row>
    <row r="529" spans="1:10" ht="18.75" customHeight="1" x14ac:dyDescent="0.25">
      <c r="A529" t="s">
        <v>233</v>
      </c>
      <c r="B529" s="45">
        <v>44771</v>
      </c>
      <c r="C529" s="42">
        <v>14006</v>
      </c>
      <c r="D529" s="42" t="s">
        <v>49</v>
      </c>
      <c r="E529" s="43" t="s">
        <v>50</v>
      </c>
      <c r="F529" s="42">
        <v>40021961</v>
      </c>
      <c r="G529" s="43" t="s">
        <v>104</v>
      </c>
      <c r="H529" s="42">
        <v>1</v>
      </c>
      <c r="I529" s="44">
        <v>149.75</v>
      </c>
      <c r="J529" s="48"/>
    </row>
    <row r="530" spans="1:10" ht="18.75" customHeight="1" x14ac:dyDescent="0.25">
      <c r="A530" t="s">
        <v>233</v>
      </c>
      <c r="B530" s="45">
        <v>44772</v>
      </c>
      <c r="C530" s="42">
        <v>11214</v>
      </c>
      <c r="D530" s="42" t="s">
        <v>49</v>
      </c>
      <c r="E530" s="43" t="s">
        <v>50</v>
      </c>
      <c r="F530" s="42">
        <v>40014010</v>
      </c>
      <c r="G530" s="43" t="s">
        <v>245</v>
      </c>
      <c r="H530" s="42">
        <v>1</v>
      </c>
      <c r="I530" s="44">
        <v>2699.7750000000001</v>
      </c>
      <c r="J530" s="48"/>
    </row>
    <row r="531" spans="1:10" ht="18.75" customHeight="1" x14ac:dyDescent="0.25">
      <c r="A531" t="s">
        <v>233</v>
      </c>
      <c r="B531" s="45">
        <v>44772</v>
      </c>
      <c r="C531" s="42">
        <v>18788</v>
      </c>
      <c r="D531" s="42" t="s">
        <v>49</v>
      </c>
      <c r="E531" s="43" t="s">
        <v>50</v>
      </c>
      <c r="F531" s="42">
        <v>40014511</v>
      </c>
      <c r="G531" s="43" t="s">
        <v>348</v>
      </c>
      <c r="H531" s="42">
        <v>1</v>
      </c>
      <c r="I531" s="44">
        <v>175</v>
      </c>
      <c r="J531" s="48"/>
    </row>
    <row r="532" spans="1:10" ht="18.75" customHeight="1" x14ac:dyDescent="0.25">
      <c r="A532" t="s">
        <v>233</v>
      </c>
      <c r="B532" s="45">
        <v>44772</v>
      </c>
      <c r="C532" s="42">
        <v>20334</v>
      </c>
      <c r="D532" s="42" t="s">
        <v>49</v>
      </c>
      <c r="E532" s="43" t="s">
        <v>50</v>
      </c>
      <c r="F532" s="42">
        <v>40018707</v>
      </c>
      <c r="G532" s="43" t="s">
        <v>89</v>
      </c>
      <c r="H532" s="42">
        <v>1</v>
      </c>
      <c r="I532" s="44">
        <v>599.75</v>
      </c>
      <c r="J532" s="48"/>
    </row>
    <row r="533" spans="1:10" ht="18.75" customHeight="1" x14ac:dyDescent="0.25">
      <c r="A533" t="s">
        <v>233</v>
      </c>
      <c r="B533" s="45">
        <v>44772</v>
      </c>
      <c r="C533" s="42">
        <v>8065</v>
      </c>
      <c r="D533" s="42" t="s">
        <v>49</v>
      </c>
      <c r="E533" s="43" t="s">
        <v>50</v>
      </c>
      <c r="F533" s="42">
        <v>40019108</v>
      </c>
      <c r="G533" s="43" t="s">
        <v>344</v>
      </c>
      <c r="H533" s="42">
        <v>1</v>
      </c>
      <c r="I533" s="44">
        <v>329.75</v>
      </c>
      <c r="J533" s="48"/>
    </row>
    <row r="534" spans="1:10" ht="18.75" customHeight="1" x14ac:dyDescent="0.25">
      <c r="A534" t="s">
        <v>233</v>
      </c>
      <c r="B534" s="45">
        <v>44772</v>
      </c>
      <c r="C534" s="42">
        <v>8078</v>
      </c>
      <c r="D534" s="42" t="s">
        <v>49</v>
      </c>
      <c r="E534" s="43" t="s">
        <v>50</v>
      </c>
      <c r="F534" s="42">
        <v>40013873</v>
      </c>
      <c r="G534" s="43" t="s">
        <v>98</v>
      </c>
      <c r="H534" s="42">
        <v>1</v>
      </c>
      <c r="I534" s="44">
        <v>99.75</v>
      </c>
      <c r="J534" s="48"/>
    </row>
    <row r="535" spans="1:10" ht="18.75" customHeight="1" x14ac:dyDescent="0.25">
      <c r="A535" t="s">
        <v>233</v>
      </c>
      <c r="B535" s="45">
        <v>44772</v>
      </c>
      <c r="C535" s="42">
        <v>20362</v>
      </c>
      <c r="D535" s="42" t="s">
        <v>49</v>
      </c>
      <c r="E535" s="43" t="s">
        <v>50</v>
      </c>
      <c r="F535" s="42">
        <v>40013873</v>
      </c>
      <c r="G535" s="43" t="s">
        <v>98</v>
      </c>
      <c r="H535" s="42">
        <v>1</v>
      </c>
      <c r="I535" s="44">
        <v>99.75</v>
      </c>
      <c r="J535" s="48"/>
    </row>
    <row r="536" spans="1:10" ht="18.75" customHeight="1" x14ac:dyDescent="0.25">
      <c r="A536" t="s">
        <v>233</v>
      </c>
      <c r="B536" s="45">
        <v>44772</v>
      </c>
      <c r="C536" s="42">
        <v>21229</v>
      </c>
      <c r="D536" s="42" t="s">
        <v>49</v>
      </c>
      <c r="E536" s="43" t="s">
        <v>50</v>
      </c>
      <c r="F536" s="42">
        <v>40014663</v>
      </c>
      <c r="G536" s="43" t="s">
        <v>271</v>
      </c>
      <c r="H536" s="42">
        <v>1</v>
      </c>
      <c r="I536" s="44">
        <v>499.75</v>
      </c>
      <c r="J536" s="48"/>
    </row>
    <row r="537" spans="1:10" ht="18.75" customHeight="1" x14ac:dyDescent="0.25">
      <c r="A537" t="s">
        <v>233</v>
      </c>
      <c r="B537" s="45">
        <v>44773</v>
      </c>
      <c r="C537" s="42">
        <v>18826</v>
      </c>
      <c r="D537" s="42" t="s">
        <v>49</v>
      </c>
      <c r="E537" s="43" t="s">
        <v>50</v>
      </c>
      <c r="F537" s="42">
        <v>40018347</v>
      </c>
      <c r="G537" s="43" t="s">
        <v>175</v>
      </c>
      <c r="H537" s="42">
        <v>2</v>
      </c>
      <c r="I537" s="44">
        <v>899.55000000000007</v>
      </c>
      <c r="J537" s="48"/>
    </row>
    <row r="538" spans="1:10" ht="18.75" customHeight="1" x14ac:dyDescent="0.25">
      <c r="A538" t="s">
        <v>233</v>
      </c>
      <c r="B538" s="45">
        <v>44773</v>
      </c>
      <c r="C538" s="42">
        <v>14098</v>
      </c>
      <c r="D538" s="42" t="s">
        <v>49</v>
      </c>
      <c r="E538" s="43" t="s">
        <v>50</v>
      </c>
      <c r="F538" s="42">
        <v>40013732</v>
      </c>
      <c r="G538" s="43" t="s">
        <v>172</v>
      </c>
      <c r="H538" s="42">
        <v>1</v>
      </c>
      <c r="I538" s="44">
        <v>399.75</v>
      </c>
      <c r="J538" s="48"/>
    </row>
    <row r="539" spans="1:10" ht="18.75" customHeight="1" x14ac:dyDescent="0.25">
      <c r="A539" t="s">
        <v>233</v>
      </c>
      <c r="B539" s="45">
        <v>44773</v>
      </c>
      <c r="C539" s="42">
        <v>8114</v>
      </c>
      <c r="D539" s="42" t="s">
        <v>49</v>
      </c>
      <c r="E539" s="43" t="s">
        <v>50</v>
      </c>
      <c r="F539" s="42">
        <v>40021975</v>
      </c>
      <c r="G539" s="43" t="s">
        <v>259</v>
      </c>
      <c r="H539" s="42">
        <v>2</v>
      </c>
      <c r="I539" s="44">
        <v>299.5</v>
      </c>
      <c r="J539" s="48"/>
    </row>
    <row r="540" spans="1:10" ht="18.75" customHeight="1" x14ac:dyDescent="0.25">
      <c r="A540" t="s">
        <v>233</v>
      </c>
      <c r="B540" s="45">
        <v>44773</v>
      </c>
      <c r="C540" s="42">
        <v>20401</v>
      </c>
      <c r="D540" s="42" t="s">
        <v>49</v>
      </c>
      <c r="E540" s="43" t="s">
        <v>50</v>
      </c>
      <c r="F540" s="42">
        <v>40021970</v>
      </c>
      <c r="G540" s="43" t="s">
        <v>338</v>
      </c>
      <c r="H540" s="42">
        <v>1</v>
      </c>
      <c r="I540" s="44">
        <v>129.75</v>
      </c>
      <c r="J540" s="48"/>
    </row>
    <row r="541" spans="1:10" ht="18.75" customHeight="1" x14ac:dyDescent="0.25">
      <c r="A541" t="s">
        <v>233</v>
      </c>
      <c r="B541" s="45">
        <v>44773</v>
      </c>
      <c r="C541" s="42">
        <v>14118</v>
      </c>
      <c r="D541" s="42" t="s">
        <v>49</v>
      </c>
      <c r="E541" s="43" t="s">
        <v>50</v>
      </c>
      <c r="F541" s="42">
        <v>40018023</v>
      </c>
      <c r="G541" s="43" t="s">
        <v>213</v>
      </c>
      <c r="H541" s="42">
        <v>1</v>
      </c>
      <c r="I541" s="44">
        <v>199.75</v>
      </c>
      <c r="J541" s="48"/>
    </row>
    <row r="542" spans="1:10" ht="18.75" customHeight="1" x14ac:dyDescent="0.25">
      <c r="A542" t="s">
        <v>233</v>
      </c>
      <c r="B542" s="45">
        <v>44773</v>
      </c>
      <c r="C542" s="42">
        <v>14118</v>
      </c>
      <c r="D542" s="42" t="s">
        <v>49</v>
      </c>
      <c r="E542" s="43" t="s">
        <v>50</v>
      </c>
      <c r="F542" s="42">
        <v>40018028</v>
      </c>
      <c r="G542" s="43" t="s">
        <v>227</v>
      </c>
      <c r="H542" s="42">
        <v>1</v>
      </c>
      <c r="I542" s="44">
        <v>199.75</v>
      </c>
      <c r="J542" s="48"/>
    </row>
    <row r="543" spans="1:10" ht="18.75" customHeight="1" x14ac:dyDescent="0.25">
      <c r="A543" t="s">
        <v>233</v>
      </c>
      <c r="B543" s="45">
        <v>44773</v>
      </c>
      <c r="C543" s="42">
        <v>21289</v>
      </c>
      <c r="D543" s="42" t="s">
        <v>49</v>
      </c>
      <c r="E543" s="43" t="s">
        <v>50</v>
      </c>
      <c r="F543" s="42">
        <v>40018028</v>
      </c>
      <c r="G543" s="43" t="s">
        <v>227</v>
      </c>
      <c r="H543" s="42">
        <v>1</v>
      </c>
      <c r="I543" s="44">
        <v>199.75</v>
      </c>
      <c r="J543" s="48"/>
    </row>
    <row r="544" spans="1:10" ht="18.75" customHeight="1" x14ac:dyDescent="0.25">
      <c r="A544" t="s">
        <v>233</v>
      </c>
      <c r="B544" s="45">
        <v>44773</v>
      </c>
      <c r="C544" s="42">
        <v>18826</v>
      </c>
      <c r="D544" s="42" t="s">
        <v>49</v>
      </c>
      <c r="E544" s="43" t="s">
        <v>50</v>
      </c>
      <c r="F544" s="42">
        <v>40018589</v>
      </c>
      <c r="G544" s="43" t="s">
        <v>53</v>
      </c>
      <c r="H544" s="42">
        <v>1</v>
      </c>
      <c r="I544" s="44">
        <v>699.75</v>
      </c>
      <c r="J544" s="48"/>
    </row>
    <row r="545" spans="1:10" ht="18.75" customHeight="1" x14ac:dyDescent="0.25">
      <c r="A545" t="s">
        <v>233</v>
      </c>
      <c r="B545" s="45">
        <v>44773</v>
      </c>
      <c r="C545" s="42">
        <v>8114</v>
      </c>
      <c r="D545" s="42" t="s">
        <v>49</v>
      </c>
      <c r="E545" s="43" t="s">
        <v>50</v>
      </c>
      <c r="F545" s="42">
        <v>40014582</v>
      </c>
      <c r="G545" s="43" t="s">
        <v>349</v>
      </c>
      <c r="H545" s="42">
        <v>1</v>
      </c>
      <c r="I545" s="44">
        <v>149.75</v>
      </c>
      <c r="J545" s="48"/>
    </row>
    <row r="546" spans="1:10" ht="18.75" customHeight="1" x14ac:dyDescent="0.25">
      <c r="A546" t="s">
        <v>233</v>
      </c>
      <c r="B546" s="45">
        <v>44773</v>
      </c>
      <c r="C546" s="42">
        <v>18809</v>
      </c>
      <c r="D546" s="42" t="s">
        <v>49</v>
      </c>
      <c r="E546" s="43" t="s">
        <v>50</v>
      </c>
      <c r="F546" s="42">
        <v>40020451</v>
      </c>
      <c r="G546" s="43" t="s">
        <v>196</v>
      </c>
      <c r="H546" s="42">
        <v>1</v>
      </c>
      <c r="I546" s="44">
        <v>399.75</v>
      </c>
      <c r="J546" s="48"/>
    </row>
    <row r="547" spans="1:10" ht="18.75" customHeight="1" x14ac:dyDescent="0.25">
      <c r="A547" t="s">
        <v>233</v>
      </c>
      <c r="B547" s="45">
        <v>44773</v>
      </c>
      <c r="C547" s="42">
        <v>18826</v>
      </c>
      <c r="D547" s="42" t="s">
        <v>49</v>
      </c>
      <c r="E547" s="43" t="s">
        <v>50</v>
      </c>
      <c r="F547" s="42">
        <v>40018352</v>
      </c>
      <c r="G547" s="43" t="s">
        <v>350</v>
      </c>
      <c r="H547" s="42">
        <v>1</v>
      </c>
      <c r="I547" s="44">
        <v>599.75</v>
      </c>
      <c r="J547" s="48"/>
    </row>
    <row r="548" spans="1:10" ht="18.75" customHeight="1" x14ac:dyDescent="0.25">
      <c r="A548" t="s">
        <v>233</v>
      </c>
      <c r="B548" s="45">
        <v>44773</v>
      </c>
      <c r="C548" s="42">
        <v>18835</v>
      </c>
      <c r="D548" s="42" t="s">
        <v>49</v>
      </c>
      <c r="E548" s="43" t="s">
        <v>50</v>
      </c>
      <c r="F548" s="42">
        <v>40013805</v>
      </c>
      <c r="G548" s="43" t="s">
        <v>73</v>
      </c>
      <c r="H548" s="42">
        <v>1</v>
      </c>
      <c r="I548" s="44">
        <v>49.75</v>
      </c>
      <c r="J548" s="48"/>
    </row>
    <row r="549" spans="1:10" ht="18.75" customHeight="1" x14ac:dyDescent="0.25">
      <c r="A549" t="s">
        <v>351</v>
      </c>
      <c r="B549" s="40">
        <v>44743</v>
      </c>
      <c r="C549" s="41">
        <v>33050</v>
      </c>
      <c r="D549" s="42" t="s">
        <v>49</v>
      </c>
      <c r="E549" s="43" t="s">
        <v>50</v>
      </c>
      <c r="F549" s="41">
        <v>40018304</v>
      </c>
      <c r="G549" s="43" t="s">
        <v>352</v>
      </c>
      <c r="H549" s="42">
        <v>1</v>
      </c>
      <c r="I549" s="44">
        <v>449.77500000000003</v>
      </c>
      <c r="J549" s="48"/>
    </row>
    <row r="550" spans="1:10" ht="18.75" customHeight="1" x14ac:dyDescent="0.25">
      <c r="A550" t="s">
        <v>351</v>
      </c>
      <c r="B550" s="40">
        <v>44743</v>
      </c>
      <c r="C550" s="41">
        <v>51028</v>
      </c>
      <c r="D550" s="42" t="s">
        <v>49</v>
      </c>
      <c r="E550" s="43" t="s">
        <v>50</v>
      </c>
      <c r="F550" s="41">
        <v>40014712</v>
      </c>
      <c r="G550" s="43" t="s">
        <v>353</v>
      </c>
      <c r="H550" s="42">
        <v>2</v>
      </c>
      <c r="I550" s="44">
        <v>413.55</v>
      </c>
      <c r="J550" s="48"/>
    </row>
    <row r="551" spans="1:10" ht="18.75" customHeight="1" x14ac:dyDescent="0.25">
      <c r="A551" t="s">
        <v>351</v>
      </c>
      <c r="B551" s="40">
        <v>44743</v>
      </c>
      <c r="C551" s="41">
        <v>43164</v>
      </c>
      <c r="D551" s="42" t="s">
        <v>49</v>
      </c>
      <c r="E551" s="43" t="s">
        <v>50</v>
      </c>
      <c r="F551" s="41">
        <v>40019277</v>
      </c>
      <c r="G551" s="43" t="s">
        <v>270</v>
      </c>
      <c r="H551" s="42">
        <v>1</v>
      </c>
      <c r="I551" s="44">
        <v>399.75</v>
      </c>
      <c r="J551" s="48"/>
    </row>
    <row r="552" spans="1:10" ht="18.75" customHeight="1" x14ac:dyDescent="0.25">
      <c r="A552" t="s">
        <v>351</v>
      </c>
      <c r="B552" s="40">
        <v>44743</v>
      </c>
      <c r="C552" s="41">
        <v>51029</v>
      </c>
      <c r="D552" s="42" t="s">
        <v>49</v>
      </c>
      <c r="E552" s="43" t="s">
        <v>50</v>
      </c>
      <c r="F552" s="41">
        <v>40013877</v>
      </c>
      <c r="G552" s="43" t="s">
        <v>332</v>
      </c>
      <c r="H552" s="42">
        <v>1</v>
      </c>
      <c r="I552" s="44">
        <v>99.75</v>
      </c>
      <c r="J552" s="48"/>
    </row>
    <row r="553" spans="1:10" ht="18.75" customHeight="1" x14ac:dyDescent="0.25">
      <c r="A553" t="s">
        <v>351</v>
      </c>
      <c r="B553" s="40">
        <v>44743</v>
      </c>
      <c r="C553" s="41">
        <v>33050</v>
      </c>
      <c r="D553" s="42" t="s">
        <v>49</v>
      </c>
      <c r="E553" s="43" t="s">
        <v>50</v>
      </c>
      <c r="F553" s="41">
        <v>40020459</v>
      </c>
      <c r="G553" s="43" t="s">
        <v>265</v>
      </c>
      <c r="H553" s="42">
        <v>1</v>
      </c>
      <c r="I553" s="44">
        <v>399.75</v>
      </c>
      <c r="J553" s="48"/>
    </row>
    <row r="554" spans="1:10" ht="18.75" customHeight="1" x14ac:dyDescent="0.25">
      <c r="A554" t="s">
        <v>351</v>
      </c>
      <c r="B554" s="40">
        <v>44743</v>
      </c>
      <c r="C554" s="41">
        <v>70987</v>
      </c>
      <c r="D554" s="42" t="s">
        <v>49</v>
      </c>
      <c r="E554" s="43" t="s">
        <v>50</v>
      </c>
      <c r="F554" s="41">
        <v>40017403</v>
      </c>
      <c r="G554" s="43" t="s">
        <v>354</v>
      </c>
      <c r="H554" s="42">
        <v>1</v>
      </c>
      <c r="I554" s="44">
        <v>349.75</v>
      </c>
      <c r="J554" s="48"/>
    </row>
    <row r="555" spans="1:10" ht="18.75" customHeight="1" x14ac:dyDescent="0.25">
      <c r="A555" t="s">
        <v>351</v>
      </c>
      <c r="B555" s="40">
        <v>44743</v>
      </c>
      <c r="C555" s="41">
        <v>70959</v>
      </c>
      <c r="D555" s="42" t="s">
        <v>49</v>
      </c>
      <c r="E555" s="43" t="s">
        <v>50</v>
      </c>
      <c r="F555" s="41">
        <v>40021965</v>
      </c>
      <c r="G555" s="43" t="s">
        <v>316</v>
      </c>
      <c r="H555" s="42">
        <v>1</v>
      </c>
      <c r="I555" s="44">
        <v>129.75</v>
      </c>
      <c r="J555" s="48"/>
    </row>
    <row r="556" spans="1:10" ht="18.75" customHeight="1" x14ac:dyDescent="0.25">
      <c r="A556" t="s">
        <v>351</v>
      </c>
      <c r="B556" s="40">
        <v>44743</v>
      </c>
      <c r="C556" s="41">
        <v>70959</v>
      </c>
      <c r="D556" s="42" t="s">
        <v>49</v>
      </c>
      <c r="E556" s="43" t="s">
        <v>50</v>
      </c>
      <c r="F556" s="41">
        <v>40021962</v>
      </c>
      <c r="G556" s="43" t="s">
        <v>207</v>
      </c>
      <c r="H556" s="42">
        <v>1</v>
      </c>
      <c r="I556" s="44">
        <v>129.75</v>
      </c>
      <c r="J556" s="48"/>
    </row>
    <row r="557" spans="1:10" ht="18.75" customHeight="1" x14ac:dyDescent="0.25">
      <c r="A557" t="s">
        <v>351</v>
      </c>
      <c r="B557" s="40">
        <v>44744</v>
      </c>
      <c r="C557" s="41">
        <v>33099</v>
      </c>
      <c r="D557" s="42" t="s">
        <v>49</v>
      </c>
      <c r="E557" s="43" t="s">
        <v>50</v>
      </c>
      <c r="F557" s="41">
        <v>40013820</v>
      </c>
      <c r="G557" s="43" t="s">
        <v>355</v>
      </c>
      <c r="H557" s="42">
        <v>1</v>
      </c>
      <c r="I557" s="44">
        <v>299.75</v>
      </c>
      <c r="J557" s="48"/>
    </row>
    <row r="558" spans="1:10" ht="18.75" customHeight="1" x14ac:dyDescent="0.25">
      <c r="A558" t="s">
        <v>351</v>
      </c>
      <c r="B558" s="40">
        <v>44744</v>
      </c>
      <c r="C558" s="41">
        <v>33099</v>
      </c>
      <c r="D558" s="42" t="s">
        <v>49</v>
      </c>
      <c r="E558" s="43" t="s">
        <v>50</v>
      </c>
      <c r="F558" s="41">
        <v>40018028</v>
      </c>
      <c r="G558" s="43" t="s">
        <v>227</v>
      </c>
      <c r="H558" s="42">
        <v>2</v>
      </c>
      <c r="I558" s="44">
        <v>399.5</v>
      </c>
      <c r="J558" s="48"/>
    </row>
    <row r="559" spans="1:10" ht="18.75" customHeight="1" x14ac:dyDescent="0.25">
      <c r="A559" t="s">
        <v>351</v>
      </c>
      <c r="B559" s="40">
        <v>44744</v>
      </c>
      <c r="C559" s="41">
        <v>43197</v>
      </c>
      <c r="D559" s="42" t="s">
        <v>49</v>
      </c>
      <c r="E559" s="43" t="s">
        <v>50</v>
      </c>
      <c r="F559" s="41">
        <v>40014663</v>
      </c>
      <c r="G559" s="43" t="s">
        <v>271</v>
      </c>
      <c r="H559" s="42">
        <v>1</v>
      </c>
      <c r="I559" s="44">
        <v>499.75</v>
      </c>
      <c r="J559" s="48"/>
    </row>
    <row r="560" spans="1:10" ht="18.75" customHeight="1" x14ac:dyDescent="0.25">
      <c r="A560" t="s">
        <v>351</v>
      </c>
      <c r="B560" s="40">
        <v>44744</v>
      </c>
      <c r="C560" s="41">
        <v>43206</v>
      </c>
      <c r="D560" s="42" t="s">
        <v>49</v>
      </c>
      <c r="E560" s="43" t="s">
        <v>50</v>
      </c>
      <c r="F560" s="41">
        <v>40017392</v>
      </c>
      <c r="G560" s="43" t="s">
        <v>356</v>
      </c>
      <c r="H560" s="42">
        <v>1</v>
      </c>
      <c r="I560" s="44">
        <v>199.75</v>
      </c>
      <c r="J560" s="48"/>
    </row>
    <row r="561" spans="1:10" ht="18.75" customHeight="1" x14ac:dyDescent="0.25">
      <c r="A561" t="s">
        <v>351</v>
      </c>
      <c r="B561" s="40">
        <v>44745</v>
      </c>
      <c r="C561" s="41">
        <v>51106</v>
      </c>
      <c r="D561" s="42" t="s">
        <v>49</v>
      </c>
      <c r="E561" s="43" t="s">
        <v>50</v>
      </c>
      <c r="F561" s="41">
        <v>40020457</v>
      </c>
      <c r="G561" s="43" t="s">
        <v>185</v>
      </c>
      <c r="H561" s="42">
        <v>4</v>
      </c>
      <c r="I561" s="44">
        <v>1799</v>
      </c>
      <c r="J561" s="48"/>
    </row>
    <row r="562" spans="1:10" ht="18.75" customHeight="1" x14ac:dyDescent="0.25">
      <c r="A562" t="s">
        <v>351</v>
      </c>
      <c r="B562" s="40">
        <v>44745</v>
      </c>
      <c r="C562" s="41">
        <v>51106</v>
      </c>
      <c r="D562" s="42" t="s">
        <v>49</v>
      </c>
      <c r="E562" s="43" t="s">
        <v>50</v>
      </c>
      <c r="F562" s="41">
        <v>40020461</v>
      </c>
      <c r="G562" s="43" t="s">
        <v>76</v>
      </c>
      <c r="H562" s="42">
        <v>3</v>
      </c>
      <c r="I562" s="44">
        <v>1349.25</v>
      </c>
      <c r="J562" s="48"/>
    </row>
    <row r="563" spans="1:10" ht="18.75" customHeight="1" x14ac:dyDescent="0.25">
      <c r="A563" t="s">
        <v>351</v>
      </c>
      <c r="B563" s="40">
        <v>44745</v>
      </c>
      <c r="C563" s="41">
        <v>51100</v>
      </c>
      <c r="D563" s="42" t="s">
        <v>49</v>
      </c>
      <c r="E563" s="43" t="s">
        <v>50</v>
      </c>
      <c r="F563" s="41">
        <v>40014663</v>
      </c>
      <c r="G563" s="43" t="s">
        <v>271</v>
      </c>
      <c r="H563" s="42">
        <v>1</v>
      </c>
      <c r="I563" s="44">
        <v>499.75</v>
      </c>
      <c r="J563" s="48"/>
    </row>
    <row r="564" spans="1:10" ht="18.75" customHeight="1" x14ac:dyDescent="0.25">
      <c r="A564" t="s">
        <v>351</v>
      </c>
      <c r="B564" s="40">
        <v>44745</v>
      </c>
      <c r="C564" s="41">
        <v>33147</v>
      </c>
      <c r="D564" s="42" t="s">
        <v>49</v>
      </c>
      <c r="E564" s="43" t="s">
        <v>50</v>
      </c>
      <c r="F564" s="41">
        <v>40014667</v>
      </c>
      <c r="G564" s="43" t="s">
        <v>68</v>
      </c>
      <c r="H564" s="42">
        <v>1</v>
      </c>
      <c r="I564" s="44">
        <v>499.75</v>
      </c>
      <c r="J564" s="48"/>
    </row>
    <row r="565" spans="1:10" ht="18.75" customHeight="1" x14ac:dyDescent="0.25">
      <c r="A565" t="s">
        <v>351</v>
      </c>
      <c r="B565" s="40">
        <v>44745</v>
      </c>
      <c r="C565" s="41">
        <v>43222</v>
      </c>
      <c r="D565" s="42" t="s">
        <v>49</v>
      </c>
      <c r="E565" s="43" t="s">
        <v>50</v>
      </c>
      <c r="F565" s="41">
        <v>40015614</v>
      </c>
      <c r="G565" s="43" t="s">
        <v>160</v>
      </c>
      <c r="H565" s="42">
        <v>1</v>
      </c>
      <c r="I565" s="44">
        <v>449.75</v>
      </c>
      <c r="J565" s="48"/>
    </row>
    <row r="566" spans="1:10" ht="18.75" customHeight="1" x14ac:dyDescent="0.25">
      <c r="A566" t="s">
        <v>351</v>
      </c>
      <c r="B566" s="40">
        <v>44745</v>
      </c>
      <c r="C566" s="41">
        <v>33120</v>
      </c>
      <c r="D566" s="42" t="s">
        <v>49</v>
      </c>
      <c r="E566" s="43" t="s">
        <v>50</v>
      </c>
      <c r="F566" s="41">
        <v>40017549</v>
      </c>
      <c r="G566" s="43" t="s">
        <v>357</v>
      </c>
      <c r="H566" s="42">
        <v>1</v>
      </c>
      <c r="I566" s="44">
        <v>225</v>
      </c>
      <c r="J566" s="48"/>
    </row>
    <row r="567" spans="1:10" ht="18.75" customHeight="1" x14ac:dyDescent="0.25">
      <c r="A567" t="s">
        <v>351</v>
      </c>
      <c r="B567" s="40">
        <v>44746</v>
      </c>
      <c r="C567" s="41">
        <v>51144</v>
      </c>
      <c r="D567" s="42" t="s">
        <v>49</v>
      </c>
      <c r="E567" s="43" t="s">
        <v>50</v>
      </c>
      <c r="F567" s="41">
        <v>40014515</v>
      </c>
      <c r="G567" s="43" t="s">
        <v>358</v>
      </c>
      <c r="H567" s="42">
        <v>2</v>
      </c>
      <c r="I567" s="44">
        <v>259.5</v>
      </c>
      <c r="J567" s="48"/>
    </row>
    <row r="568" spans="1:10" ht="18.75" customHeight="1" x14ac:dyDescent="0.25">
      <c r="A568" t="s">
        <v>351</v>
      </c>
      <c r="B568" s="40">
        <v>44746</v>
      </c>
      <c r="C568" s="41">
        <v>51144</v>
      </c>
      <c r="D568" s="42" t="s">
        <v>49</v>
      </c>
      <c r="E568" s="43" t="s">
        <v>50</v>
      </c>
      <c r="F568" s="41">
        <v>40014514</v>
      </c>
      <c r="G568" s="43" t="s">
        <v>359</v>
      </c>
      <c r="H568" s="42">
        <v>3</v>
      </c>
      <c r="I568" s="44">
        <v>599.25</v>
      </c>
      <c r="J568" s="48"/>
    </row>
    <row r="569" spans="1:10" ht="18.75" customHeight="1" x14ac:dyDescent="0.25">
      <c r="A569" t="s">
        <v>351</v>
      </c>
      <c r="B569" s="40">
        <v>44747</v>
      </c>
      <c r="C569" s="41">
        <v>51178</v>
      </c>
      <c r="D569" s="42" t="s">
        <v>49</v>
      </c>
      <c r="E569" s="43" t="s">
        <v>50</v>
      </c>
      <c r="F569" s="41">
        <v>40013874</v>
      </c>
      <c r="G569" s="43" t="s">
        <v>51</v>
      </c>
      <c r="H569" s="42">
        <v>1</v>
      </c>
      <c r="I569" s="44">
        <v>99.75</v>
      </c>
      <c r="J569" s="48"/>
    </row>
    <row r="570" spans="1:10" ht="18.75" customHeight="1" x14ac:dyDescent="0.25">
      <c r="A570" t="s">
        <v>351</v>
      </c>
      <c r="B570" s="40">
        <v>44747</v>
      </c>
      <c r="C570" s="41">
        <v>51178</v>
      </c>
      <c r="D570" s="42" t="s">
        <v>49</v>
      </c>
      <c r="E570" s="43" t="s">
        <v>50</v>
      </c>
      <c r="F570" s="41">
        <v>40013871</v>
      </c>
      <c r="G570" s="43" t="s">
        <v>254</v>
      </c>
      <c r="H570" s="42">
        <v>1</v>
      </c>
      <c r="I570" s="44">
        <v>99.75</v>
      </c>
      <c r="J570" s="48"/>
    </row>
    <row r="571" spans="1:10" ht="18.75" customHeight="1" x14ac:dyDescent="0.25">
      <c r="A571" t="s">
        <v>351</v>
      </c>
      <c r="B571" s="40">
        <v>44747</v>
      </c>
      <c r="C571" s="41">
        <v>51184</v>
      </c>
      <c r="D571" s="42" t="s">
        <v>49</v>
      </c>
      <c r="E571" s="43" t="s">
        <v>50</v>
      </c>
      <c r="F571" s="41">
        <v>40019150</v>
      </c>
      <c r="G571" s="43" t="s">
        <v>139</v>
      </c>
      <c r="H571" s="42">
        <v>1</v>
      </c>
      <c r="I571" s="44">
        <v>399.75</v>
      </c>
      <c r="J571" s="48"/>
    </row>
    <row r="572" spans="1:10" ht="18.75" customHeight="1" x14ac:dyDescent="0.25">
      <c r="A572" t="s">
        <v>351</v>
      </c>
      <c r="B572" s="40">
        <v>44748</v>
      </c>
      <c r="C572" s="41">
        <v>71185</v>
      </c>
      <c r="D572" s="42" t="s">
        <v>49</v>
      </c>
      <c r="E572" s="43" t="s">
        <v>50</v>
      </c>
      <c r="F572" s="41">
        <v>40019264</v>
      </c>
      <c r="G572" s="43" t="s">
        <v>360</v>
      </c>
      <c r="H572" s="42">
        <v>1</v>
      </c>
      <c r="I572" s="44">
        <v>499.75</v>
      </c>
      <c r="J572" s="48"/>
    </row>
    <row r="573" spans="1:10" ht="18.75" customHeight="1" x14ac:dyDescent="0.25">
      <c r="A573" t="s">
        <v>351</v>
      </c>
      <c r="B573" s="40">
        <v>44749</v>
      </c>
      <c r="C573" s="41">
        <v>43346</v>
      </c>
      <c r="D573" s="42" t="s">
        <v>49</v>
      </c>
      <c r="E573" s="43" t="s">
        <v>50</v>
      </c>
      <c r="F573" s="41">
        <v>40019362</v>
      </c>
      <c r="G573" s="43" t="s">
        <v>361</v>
      </c>
      <c r="H573" s="42">
        <v>1</v>
      </c>
      <c r="I573" s="44">
        <v>599.75</v>
      </c>
      <c r="J573" s="48"/>
    </row>
    <row r="574" spans="1:10" ht="18.75" customHeight="1" x14ac:dyDescent="0.25">
      <c r="A574" t="s">
        <v>351</v>
      </c>
      <c r="B574" s="40">
        <v>44749</v>
      </c>
      <c r="C574" s="41">
        <v>43355</v>
      </c>
      <c r="D574" s="42" t="s">
        <v>49</v>
      </c>
      <c r="E574" s="43" t="s">
        <v>50</v>
      </c>
      <c r="F574" s="41">
        <v>40013808</v>
      </c>
      <c r="G574" s="43" t="s">
        <v>362</v>
      </c>
      <c r="H574" s="42">
        <v>1</v>
      </c>
      <c r="I574" s="44">
        <v>49.75</v>
      </c>
      <c r="J574" s="48"/>
    </row>
    <row r="575" spans="1:10" ht="18.75" customHeight="1" x14ac:dyDescent="0.25">
      <c r="A575" t="s">
        <v>351</v>
      </c>
      <c r="B575" s="40">
        <v>44749</v>
      </c>
      <c r="C575" s="41">
        <v>71228</v>
      </c>
      <c r="D575" s="42" t="s">
        <v>49</v>
      </c>
      <c r="E575" s="43" t="s">
        <v>50</v>
      </c>
      <c r="F575" s="41">
        <v>40013808</v>
      </c>
      <c r="G575" s="43" t="s">
        <v>362</v>
      </c>
      <c r="H575" s="42">
        <v>1</v>
      </c>
      <c r="I575" s="44">
        <v>49.75</v>
      </c>
      <c r="J575" s="48"/>
    </row>
    <row r="576" spans="1:10" ht="18.75" customHeight="1" x14ac:dyDescent="0.25">
      <c r="A576" t="s">
        <v>351</v>
      </c>
      <c r="B576" s="40">
        <v>44749</v>
      </c>
      <c r="C576" s="41">
        <v>71226</v>
      </c>
      <c r="D576" s="42" t="s">
        <v>49</v>
      </c>
      <c r="E576" s="43" t="s">
        <v>50</v>
      </c>
      <c r="F576" s="41">
        <v>40013811</v>
      </c>
      <c r="G576" s="43" t="s">
        <v>363</v>
      </c>
      <c r="H576" s="42">
        <v>1</v>
      </c>
      <c r="I576" s="44">
        <v>99.75</v>
      </c>
      <c r="J576" s="48"/>
    </row>
    <row r="577" spans="1:10" ht="18.75" customHeight="1" x14ac:dyDescent="0.25">
      <c r="A577" t="s">
        <v>351</v>
      </c>
      <c r="B577" s="40">
        <v>44749</v>
      </c>
      <c r="C577" s="41">
        <v>43353</v>
      </c>
      <c r="D577" s="42" t="s">
        <v>49</v>
      </c>
      <c r="E577" s="43" t="s">
        <v>50</v>
      </c>
      <c r="F577" s="41">
        <v>40013850</v>
      </c>
      <c r="G577" s="43" t="s">
        <v>212</v>
      </c>
      <c r="H577" s="42">
        <v>1</v>
      </c>
      <c r="I577" s="44">
        <v>129.75</v>
      </c>
      <c r="J577" s="48"/>
    </row>
    <row r="578" spans="1:10" ht="18.75" customHeight="1" x14ac:dyDescent="0.25">
      <c r="A578" t="s">
        <v>351</v>
      </c>
      <c r="B578" s="40">
        <v>44749</v>
      </c>
      <c r="C578" s="41">
        <v>43353</v>
      </c>
      <c r="D578" s="42" t="s">
        <v>49</v>
      </c>
      <c r="E578" s="43" t="s">
        <v>50</v>
      </c>
      <c r="F578" s="41">
        <v>40021264</v>
      </c>
      <c r="G578" s="43" t="s">
        <v>364</v>
      </c>
      <c r="H578" s="42">
        <v>1</v>
      </c>
      <c r="I578" s="44">
        <v>129.75</v>
      </c>
      <c r="J578" s="48"/>
    </row>
    <row r="579" spans="1:10" ht="18.75" customHeight="1" x14ac:dyDescent="0.25">
      <c r="A579" t="s">
        <v>351</v>
      </c>
      <c r="B579" s="40">
        <v>44749</v>
      </c>
      <c r="C579" s="41">
        <v>43353</v>
      </c>
      <c r="D579" s="42" t="s">
        <v>49</v>
      </c>
      <c r="E579" s="43" t="s">
        <v>50</v>
      </c>
      <c r="F579" s="41">
        <v>40021271</v>
      </c>
      <c r="G579" s="43" t="s">
        <v>365</v>
      </c>
      <c r="H579" s="42">
        <v>1</v>
      </c>
      <c r="I579" s="44">
        <v>129.75</v>
      </c>
      <c r="J579" s="48"/>
    </row>
    <row r="580" spans="1:10" ht="18.75" customHeight="1" x14ac:dyDescent="0.25">
      <c r="A580" t="s">
        <v>351</v>
      </c>
      <c r="B580" s="40">
        <v>44749</v>
      </c>
      <c r="C580" s="41">
        <v>71228</v>
      </c>
      <c r="D580" s="42" t="s">
        <v>49</v>
      </c>
      <c r="E580" s="43" t="s">
        <v>50</v>
      </c>
      <c r="F580" s="41">
        <v>40013874</v>
      </c>
      <c r="G580" s="43" t="s">
        <v>51</v>
      </c>
      <c r="H580" s="42">
        <v>1</v>
      </c>
      <c r="I580" s="44">
        <v>99.75</v>
      </c>
      <c r="J580" s="48"/>
    </row>
    <row r="581" spans="1:10" ht="18.75" customHeight="1" x14ac:dyDescent="0.25">
      <c r="A581" t="s">
        <v>351</v>
      </c>
      <c r="B581" s="40">
        <v>44749</v>
      </c>
      <c r="C581" s="41">
        <v>71219</v>
      </c>
      <c r="D581" s="42" t="s">
        <v>49</v>
      </c>
      <c r="E581" s="43" t="s">
        <v>50</v>
      </c>
      <c r="F581" s="41">
        <v>40020458</v>
      </c>
      <c r="G581" s="43" t="s">
        <v>346</v>
      </c>
      <c r="H581" s="42">
        <v>1</v>
      </c>
      <c r="I581" s="44">
        <v>399.75</v>
      </c>
      <c r="J581" s="48"/>
    </row>
    <row r="582" spans="1:10" ht="18.75" customHeight="1" x14ac:dyDescent="0.25">
      <c r="A582" t="s">
        <v>351</v>
      </c>
      <c r="B582" s="40">
        <v>44749</v>
      </c>
      <c r="C582" s="41">
        <v>71219</v>
      </c>
      <c r="D582" s="42" t="s">
        <v>49</v>
      </c>
      <c r="E582" s="43" t="s">
        <v>50</v>
      </c>
      <c r="F582" s="41">
        <v>40014663</v>
      </c>
      <c r="G582" s="43" t="s">
        <v>271</v>
      </c>
      <c r="H582" s="42">
        <v>1</v>
      </c>
      <c r="I582" s="44">
        <v>499.75</v>
      </c>
      <c r="J582" s="48"/>
    </row>
    <row r="583" spans="1:10" ht="18.75" customHeight="1" x14ac:dyDescent="0.25">
      <c r="A583" t="s">
        <v>351</v>
      </c>
      <c r="B583" s="40">
        <v>44749</v>
      </c>
      <c r="C583" s="41">
        <v>71219</v>
      </c>
      <c r="D583" s="42" t="s">
        <v>49</v>
      </c>
      <c r="E583" s="43" t="s">
        <v>50</v>
      </c>
      <c r="F583" s="41">
        <v>40014667</v>
      </c>
      <c r="G583" s="43" t="s">
        <v>68</v>
      </c>
      <c r="H583" s="42">
        <v>1</v>
      </c>
      <c r="I583" s="44">
        <v>499.75</v>
      </c>
      <c r="J583" s="48"/>
    </row>
    <row r="584" spans="1:10" ht="18.75" customHeight="1" x14ac:dyDescent="0.25">
      <c r="A584" t="s">
        <v>351</v>
      </c>
      <c r="B584" s="40">
        <v>44749</v>
      </c>
      <c r="C584" s="41">
        <v>71228</v>
      </c>
      <c r="D584" s="42" t="s">
        <v>49</v>
      </c>
      <c r="E584" s="43" t="s">
        <v>50</v>
      </c>
      <c r="F584" s="41">
        <v>40013806</v>
      </c>
      <c r="G584" s="43" t="s">
        <v>67</v>
      </c>
      <c r="H584" s="42">
        <v>2</v>
      </c>
      <c r="I584" s="44">
        <v>99.5</v>
      </c>
      <c r="J584" s="48"/>
    </row>
    <row r="585" spans="1:10" ht="18.75" customHeight="1" x14ac:dyDescent="0.25">
      <c r="A585" t="s">
        <v>351</v>
      </c>
      <c r="B585" s="40">
        <v>44749</v>
      </c>
      <c r="C585" s="41">
        <v>43355</v>
      </c>
      <c r="D585" s="42" t="s">
        <v>49</v>
      </c>
      <c r="E585" s="43" t="s">
        <v>50</v>
      </c>
      <c r="F585" s="41">
        <v>40013804</v>
      </c>
      <c r="G585" s="43" t="s">
        <v>300</v>
      </c>
      <c r="H585" s="42">
        <v>1</v>
      </c>
      <c r="I585" s="44">
        <v>49.75</v>
      </c>
      <c r="J585" s="48"/>
    </row>
    <row r="586" spans="1:10" ht="18.75" customHeight="1" x14ac:dyDescent="0.25">
      <c r="A586" t="s">
        <v>351</v>
      </c>
      <c r="B586" s="40">
        <v>44749</v>
      </c>
      <c r="C586" s="41">
        <v>71228</v>
      </c>
      <c r="D586" s="42" t="s">
        <v>49</v>
      </c>
      <c r="E586" s="43" t="s">
        <v>50</v>
      </c>
      <c r="F586" s="41">
        <v>40013804</v>
      </c>
      <c r="G586" s="43" t="s">
        <v>300</v>
      </c>
      <c r="H586" s="42">
        <v>1</v>
      </c>
      <c r="I586" s="44">
        <v>49.75</v>
      </c>
      <c r="J586" s="48"/>
    </row>
    <row r="587" spans="1:10" ht="18.75" customHeight="1" x14ac:dyDescent="0.25">
      <c r="A587" t="s">
        <v>351</v>
      </c>
      <c r="B587" s="40">
        <v>44749</v>
      </c>
      <c r="C587" s="41">
        <v>51233</v>
      </c>
      <c r="D587" s="42" t="s">
        <v>49</v>
      </c>
      <c r="E587" s="43" t="s">
        <v>50</v>
      </c>
      <c r="F587" s="41">
        <v>40017373</v>
      </c>
      <c r="G587" s="43" t="s">
        <v>366</v>
      </c>
      <c r="H587" s="42">
        <v>1</v>
      </c>
      <c r="I587" s="44">
        <v>249.75</v>
      </c>
      <c r="J587" s="48"/>
    </row>
    <row r="588" spans="1:10" ht="18.75" customHeight="1" x14ac:dyDescent="0.25">
      <c r="A588" t="s">
        <v>351</v>
      </c>
      <c r="B588" s="40">
        <v>44749</v>
      </c>
      <c r="C588" s="41">
        <v>51233</v>
      </c>
      <c r="D588" s="42" t="s">
        <v>49</v>
      </c>
      <c r="E588" s="43" t="s">
        <v>50</v>
      </c>
      <c r="F588" s="41">
        <v>40017401</v>
      </c>
      <c r="G588" s="43" t="s">
        <v>109</v>
      </c>
      <c r="H588" s="42">
        <v>1</v>
      </c>
      <c r="I588" s="44">
        <v>349.75</v>
      </c>
      <c r="J588" s="48"/>
    </row>
    <row r="589" spans="1:10" ht="18.75" customHeight="1" x14ac:dyDescent="0.25">
      <c r="A589" t="s">
        <v>351</v>
      </c>
      <c r="B589" s="40">
        <v>44749</v>
      </c>
      <c r="C589" s="41">
        <v>51233</v>
      </c>
      <c r="D589" s="42" t="s">
        <v>49</v>
      </c>
      <c r="E589" s="43" t="s">
        <v>50</v>
      </c>
      <c r="F589" s="41">
        <v>40017399</v>
      </c>
      <c r="G589" s="43" t="s">
        <v>367</v>
      </c>
      <c r="H589" s="42">
        <v>1</v>
      </c>
      <c r="I589" s="44">
        <v>349.75</v>
      </c>
      <c r="J589" s="48"/>
    </row>
    <row r="590" spans="1:10" ht="18.75" customHeight="1" x14ac:dyDescent="0.25">
      <c r="A590" t="s">
        <v>351</v>
      </c>
      <c r="B590" s="40">
        <v>44749</v>
      </c>
      <c r="C590" s="41">
        <v>71219</v>
      </c>
      <c r="D590" s="42" t="s">
        <v>49</v>
      </c>
      <c r="E590" s="43" t="s">
        <v>50</v>
      </c>
      <c r="F590" s="41">
        <v>40019386</v>
      </c>
      <c r="G590" s="43" t="s">
        <v>368</v>
      </c>
      <c r="H590" s="42">
        <v>2</v>
      </c>
      <c r="I590" s="44">
        <v>1499.5</v>
      </c>
      <c r="J590" s="48"/>
    </row>
    <row r="591" spans="1:10" ht="18.75" customHeight="1" x14ac:dyDescent="0.25">
      <c r="A591" t="s">
        <v>351</v>
      </c>
      <c r="B591" s="40">
        <v>44750</v>
      </c>
      <c r="C591" s="41">
        <v>43389</v>
      </c>
      <c r="D591" s="42" t="s">
        <v>49</v>
      </c>
      <c r="E591" s="43" t="s">
        <v>50</v>
      </c>
      <c r="F591" s="41">
        <v>40018255</v>
      </c>
      <c r="G591" s="43" t="s">
        <v>96</v>
      </c>
      <c r="H591" s="42">
        <v>1</v>
      </c>
      <c r="I591" s="44">
        <v>749.75</v>
      </c>
      <c r="J591" s="48"/>
    </row>
    <row r="592" spans="1:10" ht="18.75" customHeight="1" x14ac:dyDescent="0.25">
      <c r="A592" t="s">
        <v>351</v>
      </c>
      <c r="B592" s="40">
        <v>44750</v>
      </c>
      <c r="C592" s="41">
        <v>71261</v>
      </c>
      <c r="D592" s="42" t="s">
        <v>49</v>
      </c>
      <c r="E592" s="43" t="s">
        <v>50</v>
      </c>
      <c r="F592" s="41">
        <v>40018361</v>
      </c>
      <c r="G592" s="43" t="s">
        <v>369</v>
      </c>
      <c r="H592" s="42">
        <v>1</v>
      </c>
      <c r="I592" s="44">
        <v>199.75</v>
      </c>
      <c r="J592" s="48"/>
    </row>
    <row r="593" spans="1:10" ht="18.75" customHeight="1" x14ac:dyDescent="0.25">
      <c r="A593" t="s">
        <v>351</v>
      </c>
      <c r="B593" s="40">
        <v>44750</v>
      </c>
      <c r="C593" s="41">
        <v>33209</v>
      </c>
      <c r="D593" s="42" t="s">
        <v>49</v>
      </c>
      <c r="E593" s="43" t="s">
        <v>50</v>
      </c>
      <c r="F593" s="41">
        <v>40019149</v>
      </c>
      <c r="G593" s="43" t="s">
        <v>370</v>
      </c>
      <c r="H593" s="42">
        <v>1</v>
      </c>
      <c r="I593" s="44">
        <v>399.75</v>
      </c>
      <c r="J593" s="48"/>
    </row>
    <row r="594" spans="1:10" ht="18.75" customHeight="1" x14ac:dyDescent="0.25">
      <c r="A594" t="s">
        <v>351</v>
      </c>
      <c r="B594" s="40">
        <v>44751</v>
      </c>
      <c r="C594" s="41">
        <v>43425</v>
      </c>
      <c r="D594" s="42" t="s">
        <v>49</v>
      </c>
      <c r="E594" s="43" t="s">
        <v>50</v>
      </c>
      <c r="F594" s="41">
        <v>40013809</v>
      </c>
      <c r="G594" s="43" t="s">
        <v>371</v>
      </c>
      <c r="H594" s="42">
        <v>1</v>
      </c>
      <c r="I594" s="44">
        <v>99.75</v>
      </c>
      <c r="J594" s="48"/>
    </row>
    <row r="595" spans="1:10" ht="18.75" customHeight="1" x14ac:dyDescent="0.25">
      <c r="A595" t="s">
        <v>351</v>
      </c>
      <c r="B595" s="40">
        <v>44751</v>
      </c>
      <c r="C595" s="41">
        <v>43425</v>
      </c>
      <c r="D595" s="42" t="s">
        <v>49</v>
      </c>
      <c r="E595" s="43" t="s">
        <v>50</v>
      </c>
      <c r="F595" s="41">
        <v>40013818</v>
      </c>
      <c r="G595" s="43" t="s">
        <v>372</v>
      </c>
      <c r="H595" s="42">
        <v>1</v>
      </c>
      <c r="I595" s="44">
        <v>299.75</v>
      </c>
      <c r="J595" s="48"/>
    </row>
    <row r="596" spans="1:10" ht="18.75" customHeight="1" x14ac:dyDescent="0.25">
      <c r="A596" t="s">
        <v>351</v>
      </c>
      <c r="B596" s="40">
        <v>44751</v>
      </c>
      <c r="C596" s="41">
        <v>51330</v>
      </c>
      <c r="D596" s="42" t="s">
        <v>49</v>
      </c>
      <c r="E596" s="43" t="s">
        <v>50</v>
      </c>
      <c r="F596" s="41">
        <v>40018827</v>
      </c>
      <c r="G596" s="43" t="s">
        <v>373</v>
      </c>
      <c r="H596" s="42">
        <v>1</v>
      </c>
      <c r="I596" s="44">
        <v>499.75</v>
      </c>
      <c r="J596" s="48"/>
    </row>
    <row r="597" spans="1:10" ht="18.75" customHeight="1" x14ac:dyDescent="0.25">
      <c r="A597" t="s">
        <v>351</v>
      </c>
      <c r="B597" s="40">
        <v>44751</v>
      </c>
      <c r="C597" s="41">
        <v>43425</v>
      </c>
      <c r="D597" s="42" t="s">
        <v>49</v>
      </c>
      <c r="E597" s="43" t="s">
        <v>50</v>
      </c>
      <c r="F597" s="41">
        <v>40017622</v>
      </c>
      <c r="G597" s="43" t="s">
        <v>374</v>
      </c>
      <c r="H597" s="42">
        <v>1</v>
      </c>
      <c r="I597" s="44">
        <v>150</v>
      </c>
      <c r="J597" s="48"/>
    </row>
    <row r="598" spans="1:10" ht="18.75" customHeight="1" x14ac:dyDescent="0.25">
      <c r="A598" t="s">
        <v>351</v>
      </c>
      <c r="B598" s="40">
        <v>44751</v>
      </c>
      <c r="C598" s="41">
        <v>33231</v>
      </c>
      <c r="D598" s="42" t="s">
        <v>49</v>
      </c>
      <c r="E598" s="43" t="s">
        <v>50</v>
      </c>
      <c r="F598" s="41">
        <v>40017618</v>
      </c>
      <c r="G598" s="43" t="s">
        <v>375</v>
      </c>
      <c r="H598" s="42">
        <v>1</v>
      </c>
      <c r="I598" s="44">
        <v>129.75</v>
      </c>
      <c r="J598" s="48"/>
    </row>
    <row r="599" spans="1:10" ht="18.75" customHeight="1" x14ac:dyDescent="0.25">
      <c r="A599" t="s">
        <v>351</v>
      </c>
      <c r="B599" s="40">
        <v>44752</v>
      </c>
      <c r="C599" s="41">
        <v>43451</v>
      </c>
      <c r="D599" s="42" t="s">
        <v>49</v>
      </c>
      <c r="E599" s="43" t="s">
        <v>50</v>
      </c>
      <c r="F599" s="41">
        <v>40017356</v>
      </c>
      <c r="G599" s="43" t="s">
        <v>101</v>
      </c>
      <c r="H599" s="42">
        <v>1</v>
      </c>
      <c r="I599" s="44">
        <v>269.75</v>
      </c>
      <c r="J599" s="48"/>
    </row>
    <row r="600" spans="1:10" ht="18.75" customHeight="1" x14ac:dyDescent="0.25">
      <c r="A600" t="s">
        <v>351</v>
      </c>
      <c r="B600" s="40">
        <v>44752</v>
      </c>
      <c r="C600" s="41">
        <v>43451</v>
      </c>
      <c r="D600" s="42" t="s">
        <v>49</v>
      </c>
      <c r="E600" s="43" t="s">
        <v>50</v>
      </c>
      <c r="F600" s="41">
        <v>40014712</v>
      </c>
      <c r="G600" s="43" t="s">
        <v>353</v>
      </c>
      <c r="H600" s="42">
        <v>1</v>
      </c>
      <c r="I600" s="44">
        <v>169.75</v>
      </c>
      <c r="J600" s="48"/>
    </row>
    <row r="601" spans="1:10" ht="18.75" customHeight="1" x14ac:dyDescent="0.25">
      <c r="A601" t="s">
        <v>351</v>
      </c>
      <c r="B601" s="40">
        <v>44752</v>
      </c>
      <c r="C601" s="41">
        <v>51372</v>
      </c>
      <c r="D601" s="42" t="s">
        <v>49</v>
      </c>
      <c r="E601" s="43" t="s">
        <v>50</v>
      </c>
      <c r="F601" s="41">
        <v>40014713</v>
      </c>
      <c r="G601" s="43" t="s">
        <v>353</v>
      </c>
      <c r="H601" s="42">
        <v>1</v>
      </c>
      <c r="I601" s="44">
        <v>229.75</v>
      </c>
      <c r="J601" s="48"/>
    </row>
    <row r="602" spans="1:10" ht="18.75" customHeight="1" x14ac:dyDescent="0.25">
      <c r="A602" t="s">
        <v>351</v>
      </c>
      <c r="B602" s="40">
        <v>44752</v>
      </c>
      <c r="C602" s="41">
        <v>43466</v>
      </c>
      <c r="D602" s="42" t="s">
        <v>49</v>
      </c>
      <c r="E602" s="43" t="s">
        <v>50</v>
      </c>
      <c r="F602" s="41">
        <v>40016863</v>
      </c>
      <c r="G602" s="43" t="s">
        <v>134</v>
      </c>
      <c r="H602" s="42">
        <v>1</v>
      </c>
      <c r="I602" s="44">
        <v>249.75</v>
      </c>
      <c r="J602" s="48"/>
    </row>
    <row r="603" spans="1:10" ht="18.75" customHeight="1" x14ac:dyDescent="0.25">
      <c r="A603" t="s">
        <v>351</v>
      </c>
      <c r="B603" s="40">
        <v>44752</v>
      </c>
      <c r="C603" s="41">
        <v>43466</v>
      </c>
      <c r="D603" s="42" t="s">
        <v>49</v>
      </c>
      <c r="E603" s="43" t="s">
        <v>50</v>
      </c>
      <c r="F603" s="41">
        <v>40016728</v>
      </c>
      <c r="G603" s="43" t="s">
        <v>182</v>
      </c>
      <c r="H603" s="42">
        <v>1</v>
      </c>
      <c r="I603" s="44">
        <v>249.75</v>
      </c>
      <c r="J603" s="48"/>
    </row>
    <row r="604" spans="1:10" ht="18.75" customHeight="1" x14ac:dyDescent="0.25">
      <c r="A604" t="s">
        <v>351</v>
      </c>
      <c r="B604" s="40">
        <v>44752</v>
      </c>
      <c r="C604" s="41">
        <v>43466</v>
      </c>
      <c r="D604" s="42" t="s">
        <v>49</v>
      </c>
      <c r="E604" s="43" t="s">
        <v>50</v>
      </c>
      <c r="F604" s="41">
        <v>40017625</v>
      </c>
      <c r="G604" s="43" t="s">
        <v>376</v>
      </c>
      <c r="H604" s="42">
        <v>1</v>
      </c>
      <c r="I604" s="44">
        <v>99.75</v>
      </c>
      <c r="J604" s="48"/>
    </row>
    <row r="605" spans="1:10" ht="18.75" customHeight="1" x14ac:dyDescent="0.25">
      <c r="A605" t="s">
        <v>351</v>
      </c>
      <c r="B605" s="40">
        <v>44752</v>
      </c>
      <c r="C605" s="41">
        <v>51377</v>
      </c>
      <c r="D605" s="42" t="s">
        <v>49</v>
      </c>
      <c r="E605" s="43" t="s">
        <v>50</v>
      </c>
      <c r="F605" s="41">
        <v>40021266</v>
      </c>
      <c r="G605" s="43" t="s">
        <v>70</v>
      </c>
      <c r="H605" s="42">
        <v>1</v>
      </c>
      <c r="I605" s="44">
        <v>129.75</v>
      </c>
      <c r="J605" s="48"/>
    </row>
    <row r="606" spans="1:10" ht="18.75" customHeight="1" x14ac:dyDescent="0.25">
      <c r="A606" t="s">
        <v>351</v>
      </c>
      <c r="B606" s="40">
        <v>44752</v>
      </c>
      <c r="C606" s="41">
        <v>43472</v>
      </c>
      <c r="D606" s="42" t="s">
        <v>49</v>
      </c>
      <c r="E606" s="43" t="s">
        <v>50</v>
      </c>
      <c r="F606" s="41">
        <v>40013868</v>
      </c>
      <c r="G606" s="43" t="s">
        <v>235</v>
      </c>
      <c r="H606" s="42">
        <v>1</v>
      </c>
      <c r="I606" s="44">
        <v>99.75</v>
      </c>
      <c r="J606" s="48"/>
    </row>
    <row r="607" spans="1:10" ht="18.75" customHeight="1" x14ac:dyDescent="0.25">
      <c r="A607" t="s">
        <v>351</v>
      </c>
      <c r="B607" s="40">
        <v>44752</v>
      </c>
      <c r="C607" s="41">
        <v>43466</v>
      </c>
      <c r="D607" s="42" t="s">
        <v>49</v>
      </c>
      <c r="E607" s="43" t="s">
        <v>50</v>
      </c>
      <c r="F607" s="41">
        <v>40013876</v>
      </c>
      <c r="G607" s="43" t="s">
        <v>377</v>
      </c>
      <c r="H607" s="42">
        <v>1</v>
      </c>
      <c r="I607" s="44">
        <v>99.75</v>
      </c>
      <c r="J607" s="48"/>
    </row>
    <row r="608" spans="1:10" ht="18.75" customHeight="1" x14ac:dyDescent="0.25">
      <c r="A608" t="s">
        <v>351</v>
      </c>
      <c r="B608" s="40">
        <v>44752</v>
      </c>
      <c r="C608" s="41">
        <v>51377</v>
      </c>
      <c r="D608" s="42" t="s">
        <v>49</v>
      </c>
      <c r="E608" s="43" t="s">
        <v>50</v>
      </c>
      <c r="F608" s="41">
        <v>40013874</v>
      </c>
      <c r="G608" s="43" t="s">
        <v>51</v>
      </c>
      <c r="H608" s="42">
        <v>1</v>
      </c>
      <c r="I608" s="44">
        <v>99.75</v>
      </c>
      <c r="J608" s="48"/>
    </row>
    <row r="609" spans="1:10" ht="18.75" customHeight="1" x14ac:dyDescent="0.25">
      <c r="A609" t="s">
        <v>351</v>
      </c>
      <c r="B609" s="40">
        <v>44752</v>
      </c>
      <c r="C609" s="41">
        <v>43472</v>
      </c>
      <c r="D609" s="42" t="s">
        <v>49</v>
      </c>
      <c r="E609" s="43" t="s">
        <v>50</v>
      </c>
      <c r="F609" s="41">
        <v>40013867</v>
      </c>
      <c r="G609" s="43" t="s">
        <v>236</v>
      </c>
      <c r="H609" s="42">
        <v>1</v>
      </c>
      <c r="I609" s="44">
        <v>99.75</v>
      </c>
      <c r="J609" s="48"/>
    </row>
    <row r="610" spans="1:10" ht="18.75" customHeight="1" x14ac:dyDescent="0.25">
      <c r="A610" t="s">
        <v>351</v>
      </c>
      <c r="B610" s="40">
        <v>44752</v>
      </c>
      <c r="C610" s="41">
        <v>51394</v>
      </c>
      <c r="D610" s="42" t="s">
        <v>49</v>
      </c>
      <c r="E610" s="43" t="s">
        <v>50</v>
      </c>
      <c r="F610" s="41">
        <v>40014656</v>
      </c>
      <c r="G610" s="43" t="s">
        <v>378</v>
      </c>
      <c r="H610" s="42">
        <v>1</v>
      </c>
      <c r="I610" s="44">
        <v>799.75</v>
      </c>
      <c r="J610" s="48"/>
    </row>
    <row r="611" spans="1:10" ht="18.75" customHeight="1" x14ac:dyDescent="0.25">
      <c r="A611" t="s">
        <v>351</v>
      </c>
      <c r="B611" s="40">
        <v>44752</v>
      </c>
      <c r="C611" s="41">
        <v>33297</v>
      </c>
      <c r="D611" s="42" t="s">
        <v>49</v>
      </c>
      <c r="E611" s="43" t="s">
        <v>50</v>
      </c>
      <c r="F611" s="41">
        <v>40020458</v>
      </c>
      <c r="G611" s="43" t="s">
        <v>346</v>
      </c>
      <c r="H611" s="42">
        <v>1</v>
      </c>
      <c r="I611" s="44">
        <v>399.75</v>
      </c>
      <c r="J611" s="48"/>
    </row>
    <row r="612" spans="1:10" ht="18.75" customHeight="1" x14ac:dyDescent="0.25">
      <c r="A612" t="s">
        <v>351</v>
      </c>
      <c r="B612" s="40">
        <v>44753</v>
      </c>
      <c r="C612" s="41">
        <v>51412</v>
      </c>
      <c r="D612" s="42" t="s">
        <v>49</v>
      </c>
      <c r="E612" s="43" t="s">
        <v>50</v>
      </c>
      <c r="F612" s="41">
        <v>40017634</v>
      </c>
      <c r="G612" s="43" t="s">
        <v>100</v>
      </c>
      <c r="H612" s="42">
        <v>1</v>
      </c>
      <c r="I612" s="44">
        <v>299.75</v>
      </c>
      <c r="J612" s="48"/>
    </row>
    <row r="613" spans="1:10" ht="18.75" customHeight="1" x14ac:dyDescent="0.25">
      <c r="A613" t="s">
        <v>351</v>
      </c>
      <c r="B613" s="40">
        <v>44753</v>
      </c>
      <c r="C613" s="41">
        <v>51420</v>
      </c>
      <c r="D613" s="42" t="s">
        <v>49</v>
      </c>
      <c r="E613" s="43" t="s">
        <v>50</v>
      </c>
      <c r="F613" s="41">
        <v>40019142</v>
      </c>
      <c r="G613" s="43" t="s">
        <v>284</v>
      </c>
      <c r="H613" s="42">
        <v>1</v>
      </c>
      <c r="I613" s="44">
        <v>499.75</v>
      </c>
      <c r="J613" s="48"/>
    </row>
    <row r="614" spans="1:10" ht="18.75" customHeight="1" x14ac:dyDescent="0.25">
      <c r="A614" t="s">
        <v>351</v>
      </c>
      <c r="B614" s="40">
        <v>44754</v>
      </c>
      <c r="C614" s="41">
        <v>71410</v>
      </c>
      <c r="D614" s="42" t="s">
        <v>49</v>
      </c>
      <c r="E614" s="43" t="s">
        <v>50</v>
      </c>
      <c r="F614" s="41">
        <v>40013817</v>
      </c>
      <c r="G614" s="43" t="s">
        <v>125</v>
      </c>
      <c r="H614" s="42">
        <v>1</v>
      </c>
      <c r="I614" s="44">
        <v>299.75</v>
      </c>
      <c r="J614" s="48"/>
    </row>
    <row r="615" spans="1:10" ht="18.75" customHeight="1" x14ac:dyDescent="0.25">
      <c r="A615" t="s">
        <v>351</v>
      </c>
      <c r="B615" s="40">
        <v>44754</v>
      </c>
      <c r="C615" s="41">
        <v>71410</v>
      </c>
      <c r="D615" s="42" t="s">
        <v>49</v>
      </c>
      <c r="E615" s="43" t="s">
        <v>50</v>
      </c>
      <c r="F615" s="41">
        <v>40013850</v>
      </c>
      <c r="G615" s="43" t="s">
        <v>212</v>
      </c>
      <c r="H615" s="42">
        <v>2</v>
      </c>
      <c r="I615" s="44">
        <v>259.5</v>
      </c>
      <c r="J615" s="48"/>
    </row>
    <row r="616" spans="1:10" ht="18.75" customHeight="1" x14ac:dyDescent="0.25">
      <c r="A616" t="s">
        <v>351</v>
      </c>
      <c r="B616" s="40">
        <v>44754</v>
      </c>
      <c r="C616" s="41">
        <v>43497</v>
      </c>
      <c r="D616" s="42" t="s">
        <v>49</v>
      </c>
      <c r="E616" s="43" t="s">
        <v>50</v>
      </c>
      <c r="F616" s="41">
        <v>40021969</v>
      </c>
      <c r="G616" s="43" t="s">
        <v>71</v>
      </c>
      <c r="H616" s="42">
        <v>1</v>
      </c>
      <c r="I616" s="44">
        <v>229.75</v>
      </c>
      <c r="J616" s="48"/>
    </row>
    <row r="617" spans="1:10" ht="18.75" customHeight="1" x14ac:dyDescent="0.25">
      <c r="A617" t="s">
        <v>351</v>
      </c>
      <c r="B617" s="40">
        <v>44754</v>
      </c>
      <c r="C617" s="41">
        <v>33368</v>
      </c>
      <c r="D617" s="42" t="s">
        <v>49</v>
      </c>
      <c r="E617" s="43" t="s">
        <v>50</v>
      </c>
      <c r="F617" s="41">
        <v>40012990</v>
      </c>
      <c r="G617" s="43" t="s">
        <v>147</v>
      </c>
      <c r="H617" s="42">
        <v>1</v>
      </c>
      <c r="I617" s="44">
        <v>199.75</v>
      </c>
      <c r="J617" s="48"/>
    </row>
    <row r="618" spans="1:10" ht="18.75" customHeight="1" x14ac:dyDescent="0.25">
      <c r="A618" t="s">
        <v>351</v>
      </c>
      <c r="B618" s="40">
        <v>44754</v>
      </c>
      <c r="C618" s="41">
        <v>33368</v>
      </c>
      <c r="D618" s="42" t="s">
        <v>49</v>
      </c>
      <c r="E618" s="43" t="s">
        <v>50</v>
      </c>
      <c r="F618" s="41">
        <v>40012991</v>
      </c>
      <c r="G618" s="43" t="s">
        <v>178</v>
      </c>
      <c r="H618" s="42">
        <v>1</v>
      </c>
      <c r="I618" s="44">
        <v>199.75</v>
      </c>
      <c r="J618" s="48"/>
    </row>
    <row r="619" spans="1:10" ht="18.75" customHeight="1" x14ac:dyDescent="0.25">
      <c r="A619" t="s">
        <v>351</v>
      </c>
      <c r="B619" s="40">
        <v>44754</v>
      </c>
      <c r="C619" s="41">
        <v>33369</v>
      </c>
      <c r="D619" s="42" t="s">
        <v>49</v>
      </c>
      <c r="E619" s="43" t="s">
        <v>50</v>
      </c>
      <c r="F619" s="41">
        <v>40019273</v>
      </c>
      <c r="G619" s="43" t="s">
        <v>379</v>
      </c>
      <c r="H619" s="42">
        <v>1</v>
      </c>
      <c r="I619" s="44">
        <v>649.75</v>
      </c>
      <c r="J619" s="48"/>
    </row>
    <row r="620" spans="1:10" ht="18.75" customHeight="1" x14ac:dyDescent="0.25">
      <c r="A620" t="s">
        <v>351</v>
      </c>
      <c r="B620" s="40">
        <v>44754</v>
      </c>
      <c r="C620" s="41">
        <v>51429</v>
      </c>
      <c r="D620" s="42" t="s">
        <v>49</v>
      </c>
      <c r="E620" s="43" t="s">
        <v>50</v>
      </c>
      <c r="F620" s="41">
        <v>40016863</v>
      </c>
      <c r="G620" s="43" t="s">
        <v>134</v>
      </c>
      <c r="H620" s="42">
        <v>1</v>
      </c>
      <c r="I620" s="44">
        <v>249.75</v>
      </c>
      <c r="J620" s="48"/>
    </row>
    <row r="621" spans="1:10" ht="18.75" customHeight="1" x14ac:dyDescent="0.25">
      <c r="A621" t="s">
        <v>351</v>
      </c>
      <c r="B621" s="40">
        <v>44754</v>
      </c>
      <c r="C621" s="41">
        <v>33368</v>
      </c>
      <c r="D621" s="42" t="s">
        <v>49</v>
      </c>
      <c r="E621" s="43" t="s">
        <v>50</v>
      </c>
      <c r="F621" s="41">
        <v>40017851</v>
      </c>
      <c r="G621" s="43" t="s">
        <v>380</v>
      </c>
      <c r="H621" s="42">
        <v>1</v>
      </c>
      <c r="I621" s="44">
        <v>199.75</v>
      </c>
      <c r="J621" s="48"/>
    </row>
    <row r="622" spans="1:10" ht="18.75" customHeight="1" x14ac:dyDescent="0.25">
      <c r="A622" t="s">
        <v>351</v>
      </c>
      <c r="B622" s="40">
        <v>44754</v>
      </c>
      <c r="C622" s="41">
        <v>33368</v>
      </c>
      <c r="D622" s="42" t="s">
        <v>49</v>
      </c>
      <c r="E622" s="43" t="s">
        <v>50</v>
      </c>
      <c r="F622" s="41">
        <v>40017844</v>
      </c>
      <c r="G622" s="43" t="s">
        <v>151</v>
      </c>
      <c r="H622" s="42">
        <v>1</v>
      </c>
      <c r="I622" s="44">
        <v>199.75</v>
      </c>
      <c r="J622" s="48"/>
    </row>
    <row r="623" spans="1:10" ht="18.75" customHeight="1" x14ac:dyDescent="0.25">
      <c r="A623" t="s">
        <v>351</v>
      </c>
      <c r="B623" s="40">
        <v>44754</v>
      </c>
      <c r="C623" s="41">
        <v>33368</v>
      </c>
      <c r="D623" s="42" t="s">
        <v>49</v>
      </c>
      <c r="E623" s="43" t="s">
        <v>50</v>
      </c>
      <c r="F623" s="41">
        <v>40017860</v>
      </c>
      <c r="G623" s="43" t="s">
        <v>381</v>
      </c>
      <c r="H623" s="42">
        <v>4</v>
      </c>
      <c r="I623" s="44">
        <v>799</v>
      </c>
      <c r="J623" s="48"/>
    </row>
    <row r="624" spans="1:10" ht="18.75" customHeight="1" x14ac:dyDescent="0.25">
      <c r="A624" t="s">
        <v>351</v>
      </c>
      <c r="B624" s="40">
        <v>44754</v>
      </c>
      <c r="C624" s="41">
        <v>33368</v>
      </c>
      <c r="D624" s="42" t="s">
        <v>49</v>
      </c>
      <c r="E624" s="43" t="s">
        <v>50</v>
      </c>
      <c r="F624" s="41">
        <v>40017855</v>
      </c>
      <c r="G624" s="43" t="s">
        <v>382</v>
      </c>
      <c r="H624" s="42">
        <v>1</v>
      </c>
      <c r="I624" s="44">
        <v>199.75</v>
      </c>
      <c r="J624" s="48"/>
    </row>
    <row r="625" spans="1:10" ht="18.75" customHeight="1" x14ac:dyDescent="0.25">
      <c r="A625" t="s">
        <v>351</v>
      </c>
      <c r="B625" s="40">
        <v>44754</v>
      </c>
      <c r="C625" s="41">
        <v>33368</v>
      </c>
      <c r="D625" s="42" t="s">
        <v>49</v>
      </c>
      <c r="E625" s="43" t="s">
        <v>50</v>
      </c>
      <c r="F625" s="41">
        <v>40017859</v>
      </c>
      <c r="G625" s="43" t="s">
        <v>383</v>
      </c>
      <c r="H625" s="42">
        <v>1</v>
      </c>
      <c r="I625" s="44">
        <v>199.75</v>
      </c>
      <c r="J625" s="48"/>
    </row>
    <row r="626" spans="1:10" ht="18.75" customHeight="1" x14ac:dyDescent="0.25">
      <c r="A626" t="s">
        <v>351</v>
      </c>
      <c r="B626" s="40">
        <v>44754</v>
      </c>
      <c r="C626" s="41">
        <v>33368</v>
      </c>
      <c r="D626" s="42" t="s">
        <v>49</v>
      </c>
      <c r="E626" s="43" t="s">
        <v>50</v>
      </c>
      <c r="F626" s="41">
        <v>40017853</v>
      </c>
      <c r="G626" s="43" t="s">
        <v>384</v>
      </c>
      <c r="H626" s="42">
        <v>1</v>
      </c>
      <c r="I626" s="44">
        <v>249.75</v>
      </c>
      <c r="J626" s="48"/>
    </row>
    <row r="627" spans="1:10" ht="18.75" customHeight="1" x14ac:dyDescent="0.25">
      <c r="A627" t="s">
        <v>351</v>
      </c>
      <c r="B627" s="40">
        <v>44754</v>
      </c>
      <c r="C627" s="41">
        <v>71410</v>
      </c>
      <c r="D627" s="42" t="s">
        <v>49</v>
      </c>
      <c r="E627" s="43" t="s">
        <v>50</v>
      </c>
      <c r="F627" s="41">
        <v>40021266</v>
      </c>
      <c r="G627" s="43" t="s">
        <v>70</v>
      </c>
      <c r="H627" s="42">
        <v>1</v>
      </c>
      <c r="I627" s="44">
        <v>129.75</v>
      </c>
      <c r="J627" s="48"/>
    </row>
    <row r="628" spans="1:10" ht="18.75" customHeight="1" x14ac:dyDescent="0.25">
      <c r="A628" t="s">
        <v>351</v>
      </c>
      <c r="B628" s="40">
        <v>44754</v>
      </c>
      <c r="C628" s="41">
        <v>71410</v>
      </c>
      <c r="D628" s="42" t="s">
        <v>49</v>
      </c>
      <c r="E628" s="43" t="s">
        <v>50</v>
      </c>
      <c r="F628" s="41">
        <v>40021265</v>
      </c>
      <c r="G628" s="43" t="s">
        <v>217</v>
      </c>
      <c r="H628" s="42">
        <v>1</v>
      </c>
      <c r="I628" s="44">
        <v>129.75</v>
      </c>
      <c r="J628" s="48"/>
    </row>
    <row r="629" spans="1:10" ht="18.75" customHeight="1" x14ac:dyDescent="0.25">
      <c r="A629" t="s">
        <v>351</v>
      </c>
      <c r="B629" s="40">
        <v>44754</v>
      </c>
      <c r="C629" s="41">
        <v>71410</v>
      </c>
      <c r="D629" s="42" t="s">
        <v>49</v>
      </c>
      <c r="E629" s="43" t="s">
        <v>50</v>
      </c>
      <c r="F629" s="41">
        <v>40017634</v>
      </c>
      <c r="G629" s="43" t="s">
        <v>100</v>
      </c>
      <c r="H629" s="42">
        <v>1</v>
      </c>
      <c r="I629" s="44">
        <v>299.75</v>
      </c>
      <c r="J629" s="48"/>
    </row>
    <row r="630" spans="1:10" ht="18.75" customHeight="1" x14ac:dyDescent="0.25">
      <c r="A630" t="s">
        <v>351</v>
      </c>
      <c r="B630" s="40">
        <v>44754</v>
      </c>
      <c r="C630" s="41">
        <v>33369</v>
      </c>
      <c r="D630" s="42" t="s">
        <v>49</v>
      </c>
      <c r="E630" s="43" t="s">
        <v>50</v>
      </c>
      <c r="F630" s="41">
        <v>40018034</v>
      </c>
      <c r="G630" s="43" t="s">
        <v>74</v>
      </c>
      <c r="H630" s="42">
        <v>1</v>
      </c>
      <c r="I630" s="44">
        <v>199.75</v>
      </c>
      <c r="J630" s="48"/>
    </row>
    <row r="631" spans="1:10" ht="18.75" customHeight="1" x14ac:dyDescent="0.25">
      <c r="A631" t="s">
        <v>351</v>
      </c>
      <c r="B631" s="40">
        <v>44754</v>
      </c>
      <c r="C631" s="41">
        <v>33369</v>
      </c>
      <c r="D631" s="42" t="s">
        <v>49</v>
      </c>
      <c r="E631" s="43" t="s">
        <v>50</v>
      </c>
      <c r="F631" s="41">
        <v>40018021</v>
      </c>
      <c r="G631" s="43" t="s">
        <v>281</v>
      </c>
      <c r="H631" s="42">
        <v>1</v>
      </c>
      <c r="I631" s="44">
        <v>199.75</v>
      </c>
      <c r="J631" s="48"/>
    </row>
    <row r="632" spans="1:10" ht="18.75" customHeight="1" x14ac:dyDescent="0.25">
      <c r="A632" t="s">
        <v>351</v>
      </c>
      <c r="B632" s="40">
        <v>44754</v>
      </c>
      <c r="C632" s="41">
        <v>33369</v>
      </c>
      <c r="D632" s="42" t="s">
        <v>49</v>
      </c>
      <c r="E632" s="43" t="s">
        <v>50</v>
      </c>
      <c r="F632" s="41">
        <v>40018023</v>
      </c>
      <c r="G632" s="43" t="s">
        <v>213</v>
      </c>
      <c r="H632" s="42">
        <v>1</v>
      </c>
      <c r="I632" s="44">
        <v>199.75</v>
      </c>
      <c r="J632" s="48"/>
    </row>
    <row r="633" spans="1:10" ht="18.75" customHeight="1" x14ac:dyDescent="0.25">
      <c r="A633" t="s">
        <v>351</v>
      </c>
      <c r="B633" s="40">
        <v>44754</v>
      </c>
      <c r="C633" s="41">
        <v>33369</v>
      </c>
      <c r="D633" s="42" t="s">
        <v>49</v>
      </c>
      <c r="E633" s="43" t="s">
        <v>50</v>
      </c>
      <c r="F633" s="41">
        <v>40018028</v>
      </c>
      <c r="G633" s="43" t="s">
        <v>227</v>
      </c>
      <c r="H633" s="42">
        <v>1</v>
      </c>
      <c r="I633" s="44">
        <v>199.75</v>
      </c>
      <c r="J633" s="48"/>
    </row>
    <row r="634" spans="1:10" ht="18.75" customHeight="1" x14ac:dyDescent="0.25">
      <c r="A634" t="s">
        <v>351</v>
      </c>
      <c r="B634" s="40">
        <v>44754</v>
      </c>
      <c r="C634" s="41">
        <v>33369</v>
      </c>
      <c r="D634" s="42" t="s">
        <v>49</v>
      </c>
      <c r="E634" s="43" t="s">
        <v>50</v>
      </c>
      <c r="F634" s="41">
        <v>40014611</v>
      </c>
      <c r="G634" s="43" t="s">
        <v>385</v>
      </c>
      <c r="H634" s="42">
        <v>1</v>
      </c>
      <c r="I634" s="44">
        <v>175</v>
      </c>
      <c r="J634" s="48"/>
    </row>
    <row r="635" spans="1:10" ht="18.75" customHeight="1" x14ac:dyDescent="0.25">
      <c r="A635" t="s">
        <v>351</v>
      </c>
      <c r="B635" s="40">
        <v>44754</v>
      </c>
      <c r="C635" s="41">
        <v>33369</v>
      </c>
      <c r="D635" s="42" t="s">
        <v>49</v>
      </c>
      <c r="E635" s="43" t="s">
        <v>50</v>
      </c>
      <c r="F635" s="41">
        <v>40014606</v>
      </c>
      <c r="G635" s="43" t="s">
        <v>386</v>
      </c>
      <c r="H635" s="42">
        <v>1</v>
      </c>
      <c r="I635" s="44">
        <v>150</v>
      </c>
      <c r="J635" s="48"/>
    </row>
    <row r="636" spans="1:10" ht="18.75" customHeight="1" x14ac:dyDescent="0.25">
      <c r="A636" t="s">
        <v>351</v>
      </c>
      <c r="B636" s="40">
        <v>44754</v>
      </c>
      <c r="C636" s="41">
        <v>51436</v>
      </c>
      <c r="D636" s="42" t="s">
        <v>49</v>
      </c>
      <c r="E636" s="43" t="s">
        <v>50</v>
      </c>
      <c r="F636" s="41">
        <v>40014550</v>
      </c>
      <c r="G636" s="43" t="s">
        <v>387</v>
      </c>
      <c r="H636" s="42">
        <v>1</v>
      </c>
      <c r="I636" s="44">
        <v>150</v>
      </c>
      <c r="J636" s="48"/>
    </row>
    <row r="637" spans="1:10" ht="18.75" customHeight="1" x14ac:dyDescent="0.25">
      <c r="A637" t="s">
        <v>351</v>
      </c>
      <c r="B637" s="40">
        <v>44754</v>
      </c>
      <c r="C637" s="41">
        <v>71428</v>
      </c>
      <c r="D637" s="42" t="s">
        <v>49</v>
      </c>
      <c r="E637" s="43" t="s">
        <v>50</v>
      </c>
      <c r="F637" s="41">
        <v>40014623</v>
      </c>
      <c r="G637" s="43" t="s">
        <v>388</v>
      </c>
      <c r="H637" s="42">
        <v>1</v>
      </c>
      <c r="I637" s="44">
        <v>100</v>
      </c>
      <c r="J637" s="48"/>
    </row>
    <row r="638" spans="1:10" ht="18.75" customHeight="1" x14ac:dyDescent="0.25">
      <c r="A638" t="s">
        <v>351</v>
      </c>
      <c r="B638" s="40">
        <v>44754</v>
      </c>
      <c r="C638" s="41">
        <v>33368</v>
      </c>
      <c r="D638" s="42" t="s">
        <v>49</v>
      </c>
      <c r="E638" s="43" t="s">
        <v>50</v>
      </c>
      <c r="F638" s="41">
        <v>40015699</v>
      </c>
      <c r="G638" s="43" t="s">
        <v>389</v>
      </c>
      <c r="H638" s="42">
        <v>1</v>
      </c>
      <c r="I638" s="44">
        <v>199.75</v>
      </c>
      <c r="J638" s="48"/>
    </row>
    <row r="639" spans="1:10" ht="18.75" customHeight="1" x14ac:dyDescent="0.25">
      <c r="A639" t="s">
        <v>351</v>
      </c>
      <c r="B639" s="40">
        <v>44754</v>
      </c>
      <c r="C639" s="41">
        <v>33368</v>
      </c>
      <c r="D639" s="42" t="s">
        <v>49</v>
      </c>
      <c r="E639" s="43" t="s">
        <v>50</v>
      </c>
      <c r="F639" s="41">
        <v>40015695</v>
      </c>
      <c r="G639" s="43" t="s">
        <v>390</v>
      </c>
      <c r="H639" s="42">
        <v>3</v>
      </c>
      <c r="I639" s="44">
        <v>599.25</v>
      </c>
      <c r="J639" s="48"/>
    </row>
    <row r="640" spans="1:10" ht="18.75" customHeight="1" x14ac:dyDescent="0.25">
      <c r="A640" t="s">
        <v>351</v>
      </c>
      <c r="B640" s="40">
        <v>44754</v>
      </c>
      <c r="C640" s="41">
        <v>33368</v>
      </c>
      <c r="D640" s="42" t="s">
        <v>49</v>
      </c>
      <c r="E640" s="43" t="s">
        <v>50</v>
      </c>
      <c r="F640" s="41">
        <v>40015695</v>
      </c>
      <c r="G640" s="43" t="s">
        <v>390</v>
      </c>
      <c r="H640" s="42">
        <v>1</v>
      </c>
      <c r="I640" s="44">
        <v>199.75</v>
      </c>
      <c r="J640" s="48"/>
    </row>
    <row r="641" spans="1:10" ht="18.75" customHeight="1" x14ac:dyDescent="0.25">
      <c r="A641" t="s">
        <v>351</v>
      </c>
      <c r="B641" s="40">
        <v>44754</v>
      </c>
      <c r="C641" s="41">
        <v>33368</v>
      </c>
      <c r="D641" s="42" t="s">
        <v>49</v>
      </c>
      <c r="E641" s="43" t="s">
        <v>50</v>
      </c>
      <c r="F641" s="41">
        <v>40014679</v>
      </c>
      <c r="G641" s="43" t="s">
        <v>179</v>
      </c>
      <c r="H641" s="42">
        <v>1</v>
      </c>
      <c r="I641" s="44">
        <v>199.75</v>
      </c>
      <c r="J641" s="48"/>
    </row>
    <row r="642" spans="1:10" ht="18.75" customHeight="1" x14ac:dyDescent="0.25">
      <c r="A642" t="s">
        <v>351</v>
      </c>
      <c r="B642" s="40">
        <v>44754</v>
      </c>
      <c r="C642" s="41">
        <v>33368</v>
      </c>
      <c r="D642" s="42" t="s">
        <v>49</v>
      </c>
      <c r="E642" s="43" t="s">
        <v>50</v>
      </c>
      <c r="F642" s="41">
        <v>40014681</v>
      </c>
      <c r="G642" s="43" t="s">
        <v>391</v>
      </c>
      <c r="H642" s="42">
        <v>1</v>
      </c>
      <c r="I642" s="44">
        <v>199.75</v>
      </c>
      <c r="J642" s="48"/>
    </row>
    <row r="643" spans="1:10" ht="18.75" customHeight="1" x14ac:dyDescent="0.25">
      <c r="A643" t="s">
        <v>351</v>
      </c>
      <c r="B643" s="40">
        <v>44754</v>
      </c>
      <c r="C643" s="41">
        <v>33368</v>
      </c>
      <c r="D643" s="42" t="s">
        <v>49</v>
      </c>
      <c r="E643" s="43" t="s">
        <v>50</v>
      </c>
      <c r="F643" s="41">
        <v>40014686</v>
      </c>
      <c r="G643" s="43" t="s">
        <v>392</v>
      </c>
      <c r="H643" s="42">
        <v>1</v>
      </c>
      <c r="I643" s="44">
        <v>199.75</v>
      </c>
      <c r="J643" s="48"/>
    </row>
    <row r="644" spans="1:10" ht="18.75" customHeight="1" x14ac:dyDescent="0.25">
      <c r="A644" t="s">
        <v>351</v>
      </c>
      <c r="B644" s="40">
        <v>44754</v>
      </c>
      <c r="C644" s="41">
        <v>33369</v>
      </c>
      <c r="D644" s="42" t="s">
        <v>49</v>
      </c>
      <c r="E644" s="43" t="s">
        <v>50</v>
      </c>
      <c r="F644" s="41">
        <v>40019264</v>
      </c>
      <c r="G644" s="43" t="s">
        <v>360</v>
      </c>
      <c r="H644" s="42">
        <v>1</v>
      </c>
      <c r="I644" s="44">
        <v>499.75</v>
      </c>
      <c r="J644" s="48"/>
    </row>
    <row r="645" spans="1:10" ht="18.75" customHeight="1" x14ac:dyDescent="0.25">
      <c r="A645" t="s">
        <v>351</v>
      </c>
      <c r="B645" s="40">
        <v>44754</v>
      </c>
      <c r="C645" s="41">
        <v>33369</v>
      </c>
      <c r="D645" s="42" t="s">
        <v>49</v>
      </c>
      <c r="E645" s="43" t="s">
        <v>50</v>
      </c>
      <c r="F645" s="41">
        <v>40019266</v>
      </c>
      <c r="G645" s="43" t="s">
        <v>393</v>
      </c>
      <c r="H645" s="42">
        <v>1</v>
      </c>
      <c r="I645" s="44">
        <v>499.75</v>
      </c>
      <c r="J645" s="48"/>
    </row>
    <row r="646" spans="1:10" ht="18.75" customHeight="1" x14ac:dyDescent="0.25">
      <c r="A646" t="s">
        <v>351</v>
      </c>
      <c r="B646" s="40">
        <v>44754</v>
      </c>
      <c r="C646" s="41">
        <v>33369</v>
      </c>
      <c r="D646" s="42" t="s">
        <v>49</v>
      </c>
      <c r="E646" s="43" t="s">
        <v>50</v>
      </c>
      <c r="F646" s="41">
        <v>40019260</v>
      </c>
      <c r="G646" s="43" t="s">
        <v>394</v>
      </c>
      <c r="H646" s="42">
        <v>1</v>
      </c>
      <c r="I646" s="44">
        <v>349.75</v>
      </c>
      <c r="J646" s="48"/>
    </row>
    <row r="647" spans="1:10" ht="18.75" customHeight="1" x14ac:dyDescent="0.25">
      <c r="A647" t="s">
        <v>351</v>
      </c>
      <c r="B647" s="40">
        <v>44754</v>
      </c>
      <c r="C647" s="41">
        <v>33369</v>
      </c>
      <c r="D647" s="42" t="s">
        <v>49</v>
      </c>
      <c r="E647" s="43" t="s">
        <v>50</v>
      </c>
      <c r="F647" s="41">
        <v>40019262</v>
      </c>
      <c r="G647" s="43" t="s">
        <v>395</v>
      </c>
      <c r="H647" s="42">
        <v>1</v>
      </c>
      <c r="I647" s="44">
        <v>349.75</v>
      </c>
      <c r="J647" s="48"/>
    </row>
    <row r="648" spans="1:10" ht="18.75" customHeight="1" x14ac:dyDescent="0.25">
      <c r="A648" t="s">
        <v>351</v>
      </c>
      <c r="B648" s="40">
        <v>44754</v>
      </c>
      <c r="C648" s="41">
        <v>51436</v>
      </c>
      <c r="D648" s="42" t="s">
        <v>49</v>
      </c>
      <c r="E648" s="43" t="s">
        <v>50</v>
      </c>
      <c r="F648" s="41">
        <v>40017546</v>
      </c>
      <c r="G648" s="43" t="s">
        <v>396</v>
      </c>
      <c r="H648" s="42">
        <v>1</v>
      </c>
      <c r="I648" s="44">
        <v>150</v>
      </c>
      <c r="J648" s="48"/>
    </row>
    <row r="649" spans="1:10" ht="18.75" customHeight="1" x14ac:dyDescent="0.25">
      <c r="A649" t="s">
        <v>351</v>
      </c>
      <c r="B649" s="40">
        <v>44754</v>
      </c>
      <c r="C649" s="41">
        <v>33369</v>
      </c>
      <c r="D649" s="42" t="s">
        <v>49</v>
      </c>
      <c r="E649" s="43" t="s">
        <v>50</v>
      </c>
      <c r="F649" s="41">
        <v>40018818</v>
      </c>
      <c r="G649" s="43" t="s">
        <v>397</v>
      </c>
      <c r="H649" s="42">
        <v>1</v>
      </c>
      <c r="I649" s="44">
        <v>399.75</v>
      </c>
      <c r="J649" s="48"/>
    </row>
    <row r="650" spans="1:10" ht="18.75" customHeight="1" x14ac:dyDescent="0.25">
      <c r="A650" t="s">
        <v>351</v>
      </c>
      <c r="B650" s="40">
        <v>44755</v>
      </c>
      <c r="C650" s="41">
        <v>43514</v>
      </c>
      <c r="D650" s="42" t="s">
        <v>49</v>
      </c>
      <c r="E650" s="43" t="s">
        <v>50</v>
      </c>
      <c r="F650" s="41">
        <v>40013814</v>
      </c>
      <c r="G650" s="43" t="s">
        <v>398</v>
      </c>
      <c r="H650" s="42">
        <v>1</v>
      </c>
      <c r="I650" s="44">
        <v>99.75</v>
      </c>
      <c r="J650" s="48"/>
    </row>
    <row r="651" spans="1:10" ht="18.75" customHeight="1" x14ac:dyDescent="0.25">
      <c r="A651" t="s">
        <v>351</v>
      </c>
      <c r="B651" s="40">
        <v>44755</v>
      </c>
      <c r="C651" s="41">
        <v>43514</v>
      </c>
      <c r="D651" s="42" t="s">
        <v>49</v>
      </c>
      <c r="E651" s="43" t="s">
        <v>50</v>
      </c>
      <c r="F651" s="41">
        <v>40013820</v>
      </c>
      <c r="G651" s="43" t="s">
        <v>355</v>
      </c>
      <c r="H651" s="42">
        <v>1</v>
      </c>
      <c r="I651" s="44">
        <v>299.75</v>
      </c>
      <c r="J651" s="48"/>
    </row>
    <row r="652" spans="1:10" ht="18.75" customHeight="1" x14ac:dyDescent="0.25">
      <c r="A652" t="s">
        <v>351</v>
      </c>
      <c r="B652" s="40">
        <v>44755</v>
      </c>
      <c r="C652" s="41">
        <v>71475</v>
      </c>
      <c r="D652" s="42" t="s">
        <v>49</v>
      </c>
      <c r="E652" s="43" t="s">
        <v>50</v>
      </c>
      <c r="F652" s="41">
        <v>40021974</v>
      </c>
      <c r="G652" s="43" t="s">
        <v>78</v>
      </c>
      <c r="H652" s="42">
        <v>1</v>
      </c>
      <c r="I652" s="44">
        <v>229.75</v>
      </c>
      <c r="J652" s="48"/>
    </row>
    <row r="653" spans="1:10" ht="18.75" customHeight="1" x14ac:dyDescent="0.25">
      <c r="A653" t="s">
        <v>351</v>
      </c>
      <c r="B653" s="40">
        <v>44755</v>
      </c>
      <c r="C653" s="41">
        <v>33400</v>
      </c>
      <c r="D653" s="42" t="s">
        <v>49</v>
      </c>
      <c r="E653" s="43" t="s">
        <v>50</v>
      </c>
      <c r="F653" s="41">
        <v>40019151</v>
      </c>
      <c r="G653" s="43" t="s">
        <v>399</v>
      </c>
      <c r="H653" s="42">
        <v>1</v>
      </c>
      <c r="I653" s="44">
        <v>399.75</v>
      </c>
      <c r="J653" s="48"/>
    </row>
    <row r="654" spans="1:10" ht="18.75" customHeight="1" x14ac:dyDescent="0.25">
      <c r="A654" t="s">
        <v>351</v>
      </c>
      <c r="B654" s="40">
        <v>44755</v>
      </c>
      <c r="C654" s="41">
        <v>33397</v>
      </c>
      <c r="D654" s="42" t="s">
        <v>49</v>
      </c>
      <c r="E654" s="43" t="s">
        <v>50</v>
      </c>
      <c r="F654" s="41">
        <v>40019141</v>
      </c>
      <c r="G654" s="43" t="s">
        <v>272</v>
      </c>
      <c r="H654" s="42">
        <v>1</v>
      </c>
      <c r="I654" s="44">
        <v>499.75</v>
      </c>
      <c r="J654" s="48"/>
    </row>
    <row r="655" spans="1:10" ht="18.75" customHeight="1" x14ac:dyDescent="0.25">
      <c r="A655" t="s">
        <v>351</v>
      </c>
      <c r="B655" s="40">
        <v>44755</v>
      </c>
      <c r="C655" s="41">
        <v>71475</v>
      </c>
      <c r="D655" s="42" t="s">
        <v>49</v>
      </c>
      <c r="E655" s="43" t="s">
        <v>50</v>
      </c>
      <c r="F655" s="41">
        <v>40017398</v>
      </c>
      <c r="G655" s="43" t="s">
        <v>400</v>
      </c>
      <c r="H655" s="42">
        <v>2</v>
      </c>
      <c r="I655" s="44">
        <v>399.5</v>
      </c>
      <c r="J655" s="48"/>
    </row>
    <row r="656" spans="1:10" ht="18.75" customHeight="1" x14ac:dyDescent="0.25">
      <c r="A656" t="s">
        <v>351</v>
      </c>
      <c r="B656" s="40">
        <v>44755</v>
      </c>
      <c r="C656" s="41">
        <v>33419</v>
      </c>
      <c r="D656" s="42" t="s">
        <v>49</v>
      </c>
      <c r="E656" s="43" t="s">
        <v>50</v>
      </c>
      <c r="F656" s="41">
        <v>40018812</v>
      </c>
      <c r="G656" s="43" t="s">
        <v>225</v>
      </c>
      <c r="H656" s="42">
        <v>1</v>
      </c>
      <c r="I656" s="44">
        <v>199.75</v>
      </c>
      <c r="J656" s="48"/>
    </row>
    <row r="657" spans="1:10" ht="18.75" customHeight="1" x14ac:dyDescent="0.25">
      <c r="A657" t="s">
        <v>351</v>
      </c>
      <c r="B657" s="40">
        <v>44756</v>
      </c>
      <c r="C657" s="41">
        <v>43559</v>
      </c>
      <c r="D657" s="42" t="s">
        <v>49</v>
      </c>
      <c r="E657" s="43" t="s">
        <v>50</v>
      </c>
      <c r="F657" s="41">
        <v>40013812</v>
      </c>
      <c r="G657" s="43" t="s">
        <v>401</v>
      </c>
      <c r="H657" s="42">
        <v>1</v>
      </c>
      <c r="I657" s="44">
        <v>99.75</v>
      </c>
      <c r="J657" s="48"/>
    </row>
    <row r="658" spans="1:10" ht="18.75" customHeight="1" x14ac:dyDescent="0.25">
      <c r="A658" t="s">
        <v>351</v>
      </c>
      <c r="B658" s="40">
        <v>44756</v>
      </c>
      <c r="C658" s="41">
        <v>51484</v>
      </c>
      <c r="D658" s="42" t="s">
        <v>49</v>
      </c>
      <c r="E658" s="43" t="s">
        <v>50</v>
      </c>
      <c r="F658" s="41">
        <v>40013731</v>
      </c>
      <c r="G658" s="43" t="s">
        <v>172</v>
      </c>
      <c r="H658" s="42">
        <v>1</v>
      </c>
      <c r="I658" s="44">
        <v>399.75</v>
      </c>
      <c r="J658" s="48"/>
    </row>
    <row r="659" spans="1:10" ht="18.75" customHeight="1" x14ac:dyDescent="0.25">
      <c r="A659" t="s">
        <v>351</v>
      </c>
      <c r="B659" s="40">
        <v>44756</v>
      </c>
      <c r="C659" s="41">
        <v>51496</v>
      </c>
      <c r="D659" s="42" t="s">
        <v>49</v>
      </c>
      <c r="E659" s="43" t="s">
        <v>50</v>
      </c>
      <c r="F659" s="41">
        <v>40019141</v>
      </c>
      <c r="G659" s="43" t="s">
        <v>272</v>
      </c>
      <c r="H659" s="42">
        <v>1</v>
      </c>
      <c r="I659" s="44">
        <v>499.75</v>
      </c>
      <c r="J659" s="48"/>
    </row>
    <row r="660" spans="1:10" ht="18.75" customHeight="1" x14ac:dyDescent="0.25">
      <c r="A660" t="s">
        <v>351</v>
      </c>
      <c r="B660" s="40">
        <v>44756</v>
      </c>
      <c r="C660" s="41">
        <v>51496</v>
      </c>
      <c r="D660" s="42" t="s">
        <v>49</v>
      </c>
      <c r="E660" s="43" t="s">
        <v>50</v>
      </c>
      <c r="F660" s="41">
        <v>40019140</v>
      </c>
      <c r="G660" s="43" t="s">
        <v>285</v>
      </c>
      <c r="H660" s="42">
        <v>1</v>
      </c>
      <c r="I660" s="44">
        <v>499.75</v>
      </c>
      <c r="J660" s="48"/>
    </row>
    <row r="661" spans="1:10" ht="18.75" customHeight="1" x14ac:dyDescent="0.25">
      <c r="A661" t="s">
        <v>351</v>
      </c>
      <c r="B661" s="40">
        <v>44756</v>
      </c>
      <c r="C661" s="41">
        <v>43567</v>
      </c>
      <c r="D661" s="42" t="s">
        <v>49</v>
      </c>
      <c r="E661" s="43" t="s">
        <v>50</v>
      </c>
      <c r="F661" s="41">
        <v>40014543</v>
      </c>
      <c r="G661" s="43" t="s">
        <v>402</v>
      </c>
      <c r="H661" s="42">
        <v>1</v>
      </c>
      <c r="I661" s="44">
        <v>100</v>
      </c>
      <c r="J661" s="48"/>
    </row>
    <row r="662" spans="1:10" ht="18.75" customHeight="1" x14ac:dyDescent="0.25">
      <c r="A662" t="s">
        <v>351</v>
      </c>
      <c r="B662" s="40">
        <v>44757</v>
      </c>
      <c r="C662" s="41">
        <v>33477</v>
      </c>
      <c r="D662" s="42" t="s">
        <v>49</v>
      </c>
      <c r="E662" s="43" t="s">
        <v>50</v>
      </c>
      <c r="F662" s="41">
        <v>40018034</v>
      </c>
      <c r="G662" s="43" t="s">
        <v>74</v>
      </c>
      <c r="H662" s="42">
        <v>1</v>
      </c>
      <c r="I662" s="44">
        <v>199.75</v>
      </c>
      <c r="J662" s="48"/>
    </row>
    <row r="663" spans="1:10" ht="18.75" customHeight="1" x14ac:dyDescent="0.25">
      <c r="A663" t="s">
        <v>351</v>
      </c>
      <c r="B663" s="40">
        <v>44757</v>
      </c>
      <c r="C663" s="41">
        <v>33477</v>
      </c>
      <c r="D663" s="42" t="s">
        <v>49</v>
      </c>
      <c r="E663" s="43" t="s">
        <v>50</v>
      </c>
      <c r="F663" s="41">
        <v>40018021</v>
      </c>
      <c r="G663" s="43" t="s">
        <v>281</v>
      </c>
      <c r="H663" s="42">
        <v>1</v>
      </c>
      <c r="I663" s="44">
        <v>199.75</v>
      </c>
      <c r="J663" s="48"/>
    </row>
    <row r="664" spans="1:10" ht="18.75" customHeight="1" x14ac:dyDescent="0.25">
      <c r="A664" t="s">
        <v>351</v>
      </c>
      <c r="B664" s="40">
        <v>44757</v>
      </c>
      <c r="C664" s="41">
        <v>43622</v>
      </c>
      <c r="D664" s="42" t="s">
        <v>49</v>
      </c>
      <c r="E664" s="43" t="s">
        <v>50</v>
      </c>
      <c r="F664" s="41">
        <v>40018023</v>
      </c>
      <c r="G664" s="43" t="s">
        <v>213</v>
      </c>
      <c r="H664" s="42">
        <v>1</v>
      </c>
      <c r="I664" s="44">
        <v>199.75</v>
      </c>
      <c r="J664" s="48"/>
    </row>
    <row r="665" spans="1:10" ht="18.75" customHeight="1" x14ac:dyDescent="0.25">
      <c r="A665" t="s">
        <v>351</v>
      </c>
      <c r="B665" s="40">
        <v>44757</v>
      </c>
      <c r="C665" s="41">
        <v>43582</v>
      </c>
      <c r="D665" s="42" t="s">
        <v>49</v>
      </c>
      <c r="E665" s="43" t="s">
        <v>50</v>
      </c>
      <c r="F665" s="41">
        <v>40018572</v>
      </c>
      <c r="G665" s="43" t="s">
        <v>341</v>
      </c>
      <c r="H665" s="42">
        <v>1</v>
      </c>
      <c r="I665" s="44">
        <v>999.75</v>
      </c>
      <c r="J665" s="48"/>
    </row>
    <row r="666" spans="1:10" ht="18.75" customHeight="1" x14ac:dyDescent="0.25">
      <c r="A666" t="s">
        <v>351</v>
      </c>
      <c r="B666" s="40">
        <v>44757</v>
      </c>
      <c r="C666" s="41">
        <v>71593</v>
      </c>
      <c r="D666" s="42" t="s">
        <v>49</v>
      </c>
      <c r="E666" s="43" t="s">
        <v>50</v>
      </c>
      <c r="F666" s="41">
        <v>40020460</v>
      </c>
      <c r="G666" s="43" t="s">
        <v>261</v>
      </c>
      <c r="H666" s="42">
        <v>1</v>
      </c>
      <c r="I666" s="44">
        <v>399.75</v>
      </c>
      <c r="J666" s="48"/>
    </row>
    <row r="667" spans="1:10" ht="18.75" customHeight="1" x14ac:dyDescent="0.25">
      <c r="A667" t="s">
        <v>351</v>
      </c>
      <c r="B667" s="40">
        <v>44757</v>
      </c>
      <c r="C667" s="41">
        <v>71593</v>
      </c>
      <c r="D667" s="42" t="s">
        <v>49</v>
      </c>
      <c r="E667" s="43" t="s">
        <v>50</v>
      </c>
      <c r="F667" s="41">
        <v>40020458</v>
      </c>
      <c r="G667" s="43" t="s">
        <v>346</v>
      </c>
      <c r="H667" s="42">
        <v>1</v>
      </c>
      <c r="I667" s="44">
        <v>399.75</v>
      </c>
      <c r="J667" s="48"/>
    </row>
    <row r="668" spans="1:10" ht="18.75" customHeight="1" x14ac:dyDescent="0.25">
      <c r="A668" t="s">
        <v>351</v>
      </c>
      <c r="B668" s="40">
        <v>44757</v>
      </c>
      <c r="C668" s="41">
        <v>51523</v>
      </c>
      <c r="D668" s="42" t="s">
        <v>49</v>
      </c>
      <c r="E668" s="43" t="s">
        <v>50</v>
      </c>
      <c r="F668" s="41">
        <v>40014663</v>
      </c>
      <c r="G668" s="43" t="s">
        <v>271</v>
      </c>
      <c r="H668" s="42">
        <v>1</v>
      </c>
      <c r="I668" s="44">
        <v>499.75</v>
      </c>
      <c r="J668" s="48"/>
    </row>
    <row r="669" spans="1:10" ht="18.75" customHeight="1" x14ac:dyDescent="0.25">
      <c r="A669" t="s">
        <v>351</v>
      </c>
      <c r="B669" s="40">
        <v>44757</v>
      </c>
      <c r="C669" s="41">
        <v>33477</v>
      </c>
      <c r="D669" s="42" t="s">
        <v>49</v>
      </c>
      <c r="E669" s="43" t="s">
        <v>50</v>
      </c>
      <c r="F669" s="41">
        <v>40014610</v>
      </c>
      <c r="G669" s="43" t="s">
        <v>385</v>
      </c>
      <c r="H669" s="42">
        <v>1</v>
      </c>
      <c r="I669" s="44">
        <v>175</v>
      </c>
      <c r="J669" s="48"/>
    </row>
    <row r="670" spans="1:10" ht="18.75" customHeight="1" x14ac:dyDescent="0.25">
      <c r="A670" t="s">
        <v>351</v>
      </c>
      <c r="B670" s="40">
        <v>44757</v>
      </c>
      <c r="C670" s="41">
        <v>33477</v>
      </c>
      <c r="D670" s="42" t="s">
        <v>49</v>
      </c>
      <c r="E670" s="43" t="s">
        <v>50</v>
      </c>
      <c r="F670" s="41">
        <v>40014607</v>
      </c>
      <c r="G670" s="43" t="s">
        <v>267</v>
      </c>
      <c r="H670" s="42">
        <v>1</v>
      </c>
      <c r="I670" s="44">
        <v>150</v>
      </c>
      <c r="J670" s="48"/>
    </row>
    <row r="671" spans="1:10" ht="18.75" customHeight="1" x14ac:dyDescent="0.25">
      <c r="A671" t="s">
        <v>351</v>
      </c>
      <c r="B671" s="40">
        <v>44757</v>
      </c>
      <c r="C671" s="41">
        <v>33477</v>
      </c>
      <c r="D671" s="42" t="s">
        <v>49</v>
      </c>
      <c r="E671" s="43" t="s">
        <v>50</v>
      </c>
      <c r="F671" s="41">
        <v>40015613</v>
      </c>
      <c r="G671" s="43" t="s">
        <v>403</v>
      </c>
      <c r="H671" s="42">
        <v>1</v>
      </c>
      <c r="I671" s="44">
        <v>449.75</v>
      </c>
      <c r="J671" s="48"/>
    </row>
    <row r="672" spans="1:10" ht="18.75" customHeight="1" x14ac:dyDescent="0.25">
      <c r="A672" t="s">
        <v>351</v>
      </c>
      <c r="B672" s="40">
        <v>44757</v>
      </c>
      <c r="C672" s="41">
        <v>71593</v>
      </c>
      <c r="D672" s="42" t="s">
        <v>49</v>
      </c>
      <c r="E672" s="43" t="s">
        <v>50</v>
      </c>
      <c r="F672" s="41">
        <v>40015613</v>
      </c>
      <c r="G672" s="43" t="s">
        <v>403</v>
      </c>
      <c r="H672" s="42">
        <v>1</v>
      </c>
      <c r="I672" s="44">
        <v>449.75</v>
      </c>
      <c r="J672" s="48"/>
    </row>
    <row r="673" spans="1:10" ht="18.75" customHeight="1" x14ac:dyDescent="0.25">
      <c r="A673" t="s">
        <v>351</v>
      </c>
      <c r="B673" s="40">
        <v>44757</v>
      </c>
      <c r="C673" s="41">
        <v>33477</v>
      </c>
      <c r="D673" s="42" t="s">
        <v>49</v>
      </c>
      <c r="E673" s="43" t="s">
        <v>50</v>
      </c>
      <c r="F673" s="41">
        <v>40017577</v>
      </c>
      <c r="G673" s="43" t="s">
        <v>404</v>
      </c>
      <c r="H673" s="42">
        <v>1</v>
      </c>
      <c r="I673" s="44">
        <v>399.75</v>
      </c>
      <c r="J673" s="48"/>
    </row>
    <row r="674" spans="1:10" ht="18.75" customHeight="1" x14ac:dyDescent="0.25">
      <c r="A674" t="s">
        <v>351</v>
      </c>
      <c r="B674" s="40">
        <v>44758</v>
      </c>
      <c r="C674" s="41">
        <v>51638</v>
      </c>
      <c r="D674" s="42" t="s">
        <v>49</v>
      </c>
      <c r="E674" s="43" t="s">
        <v>50</v>
      </c>
      <c r="F674" s="41">
        <v>40013852</v>
      </c>
      <c r="G674" s="43" t="s">
        <v>212</v>
      </c>
      <c r="H674" s="42">
        <v>1</v>
      </c>
      <c r="I674" s="44">
        <v>129.75</v>
      </c>
      <c r="J674" s="48"/>
    </row>
    <row r="675" spans="1:10" ht="18.75" customHeight="1" x14ac:dyDescent="0.25">
      <c r="A675" t="s">
        <v>351</v>
      </c>
      <c r="B675" s="40">
        <v>44758</v>
      </c>
      <c r="C675" s="41">
        <v>33551</v>
      </c>
      <c r="D675" s="42" t="s">
        <v>49</v>
      </c>
      <c r="E675" s="43" t="s">
        <v>50</v>
      </c>
      <c r="F675" s="41">
        <v>40014509</v>
      </c>
      <c r="G675" s="43" t="s">
        <v>405</v>
      </c>
      <c r="H675" s="42">
        <v>1</v>
      </c>
      <c r="I675" s="44">
        <v>100</v>
      </c>
      <c r="J675" s="48"/>
    </row>
    <row r="676" spans="1:10" ht="18.75" customHeight="1" x14ac:dyDescent="0.25">
      <c r="A676" t="s">
        <v>351</v>
      </c>
      <c r="B676" s="40">
        <v>44758</v>
      </c>
      <c r="C676" s="41">
        <v>33551</v>
      </c>
      <c r="D676" s="42" t="s">
        <v>49</v>
      </c>
      <c r="E676" s="43" t="s">
        <v>50</v>
      </c>
      <c r="F676" s="41">
        <v>40014506</v>
      </c>
      <c r="G676" s="43" t="s">
        <v>406</v>
      </c>
      <c r="H676" s="42">
        <v>1</v>
      </c>
      <c r="I676" s="44">
        <v>100</v>
      </c>
      <c r="J676" s="48"/>
    </row>
    <row r="677" spans="1:10" ht="18.75" customHeight="1" x14ac:dyDescent="0.25">
      <c r="A677" t="s">
        <v>351</v>
      </c>
      <c r="B677" s="40">
        <v>44758</v>
      </c>
      <c r="C677" s="41">
        <v>51638</v>
      </c>
      <c r="D677" s="42" t="s">
        <v>49</v>
      </c>
      <c r="E677" s="43" t="s">
        <v>50</v>
      </c>
      <c r="F677" s="41">
        <v>40021268</v>
      </c>
      <c r="G677" s="43" t="s">
        <v>170</v>
      </c>
      <c r="H677" s="42">
        <v>2</v>
      </c>
      <c r="I677" s="44">
        <v>259.5</v>
      </c>
      <c r="J677" s="48"/>
    </row>
    <row r="678" spans="1:10" ht="18.75" customHeight="1" x14ac:dyDescent="0.25">
      <c r="A678" t="s">
        <v>351</v>
      </c>
      <c r="B678" s="40">
        <v>44758</v>
      </c>
      <c r="C678" s="41">
        <v>51633</v>
      </c>
      <c r="D678" s="42" t="s">
        <v>49</v>
      </c>
      <c r="E678" s="43" t="s">
        <v>50</v>
      </c>
      <c r="F678" s="41">
        <v>40018573</v>
      </c>
      <c r="G678" s="43" t="s">
        <v>341</v>
      </c>
      <c r="H678" s="42">
        <v>1</v>
      </c>
      <c r="I678" s="44">
        <v>999.75</v>
      </c>
      <c r="J678" s="48"/>
    </row>
    <row r="679" spans="1:10" ht="18.75" customHeight="1" x14ac:dyDescent="0.25">
      <c r="A679" t="s">
        <v>351</v>
      </c>
      <c r="B679" s="40">
        <v>44758</v>
      </c>
      <c r="C679" s="41">
        <v>51633</v>
      </c>
      <c r="D679" s="42" t="s">
        <v>49</v>
      </c>
      <c r="E679" s="43" t="s">
        <v>50</v>
      </c>
      <c r="F679" s="41">
        <v>40019150</v>
      </c>
      <c r="G679" s="43" t="s">
        <v>139</v>
      </c>
      <c r="H679" s="42">
        <v>1</v>
      </c>
      <c r="I679" s="44">
        <v>399.75</v>
      </c>
      <c r="J679" s="48"/>
    </row>
    <row r="680" spans="1:10" ht="18.75" customHeight="1" x14ac:dyDescent="0.25">
      <c r="A680" t="s">
        <v>351</v>
      </c>
      <c r="B680" s="40">
        <v>44758</v>
      </c>
      <c r="C680" s="41">
        <v>33551</v>
      </c>
      <c r="D680" s="42" t="s">
        <v>49</v>
      </c>
      <c r="E680" s="43" t="s">
        <v>50</v>
      </c>
      <c r="F680" s="41">
        <v>40014525</v>
      </c>
      <c r="G680" s="43" t="s">
        <v>407</v>
      </c>
      <c r="H680" s="42">
        <v>1</v>
      </c>
      <c r="I680" s="44">
        <v>85</v>
      </c>
      <c r="J680" s="48"/>
    </row>
    <row r="681" spans="1:10" ht="18.75" customHeight="1" x14ac:dyDescent="0.25">
      <c r="A681" t="s">
        <v>351</v>
      </c>
      <c r="B681" s="40">
        <v>44758</v>
      </c>
      <c r="C681" s="41">
        <v>33551</v>
      </c>
      <c r="D681" s="42" t="s">
        <v>49</v>
      </c>
      <c r="E681" s="43" t="s">
        <v>50</v>
      </c>
      <c r="F681" s="41">
        <v>40014528</v>
      </c>
      <c r="G681" s="43" t="s">
        <v>197</v>
      </c>
      <c r="H681" s="42">
        <v>1</v>
      </c>
      <c r="I681" s="44">
        <v>85</v>
      </c>
      <c r="J681" s="48"/>
    </row>
    <row r="682" spans="1:10" ht="18.75" customHeight="1" x14ac:dyDescent="0.25">
      <c r="A682" t="s">
        <v>351</v>
      </c>
      <c r="B682" s="40">
        <v>44758</v>
      </c>
      <c r="C682" s="41">
        <v>33566</v>
      </c>
      <c r="D682" s="42" t="s">
        <v>49</v>
      </c>
      <c r="E682" s="43" t="s">
        <v>50</v>
      </c>
      <c r="F682" s="41">
        <v>40013301</v>
      </c>
      <c r="G682" s="43" t="s">
        <v>174</v>
      </c>
      <c r="H682" s="42">
        <v>1</v>
      </c>
      <c r="I682" s="44">
        <v>129.75</v>
      </c>
      <c r="J682" s="48"/>
    </row>
    <row r="683" spans="1:10" ht="18.75" customHeight="1" x14ac:dyDescent="0.25">
      <c r="A683" t="s">
        <v>351</v>
      </c>
      <c r="B683" s="40">
        <v>44759</v>
      </c>
      <c r="C683" s="41">
        <v>43712</v>
      </c>
      <c r="D683" s="42" t="s">
        <v>49</v>
      </c>
      <c r="E683" s="43" t="s">
        <v>50</v>
      </c>
      <c r="F683" s="41">
        <v>40013999</v>
      </c>
      <c r="G683" s="43" t="s">
        <v>408</v>
      </c>
      <c r="H683" s="42">
        <v>1</v>
      </c>
      <c r="I683" s="44">
        <v>224.77500000000001</v>
      </c>
      <c r="J683" s="48"/>
    </row>
    <row r="684" spans="1:10" ht="18.75" customHeight="1" x14ac:dyDescent="0.25">
      <c r="A684" t="s">
        <v>351</v>
      </c>
      <c r="B684" s="40">
        <v>44759</v>
      </c>
      <c r="C684" s="41">
        <v>43712</v>
      </c>
      <c r="D684" s="42" t="s">
        <v>49</v>
      </c>
      <c r="E684" s="43" t="s">
        <v>50</v>
      </c>
      <c r="F684" s="41">
        <v>40013878</v>
      </c>
      <c r="G684" s="43" t="s">
        <v>114</v>
      </c>
      <c r="H684" s="42">
        <v>1</v>
      </c>
      <c r="I684" s="44">
        <v>99.75</v>
      </c>
      <c r="J684" s="48"/>
    </row>
    <row r="685" spans="1:10" ht="18.75" customHeight="1" x14ac:dyDescent="0.25">
      <c r="A685" t="s">
        <v>351</v>
      </c>
      <c r="B685" s="40">
        <v>44759</v>
      </c>
      <c r="C685" s="41">
        <v>51678</v>
      </c>
      <c r="D685" s="42" t="s">
        <v>49</v>
      </c>
      <c r="E685" s="43" t="s">
        <v>50</v>
      </c>
      <c r="F685" s="41">
        <v>40013872</v>
      </c>
      <c r="G685" s="43" t="s">
        <v>57</v>
      </c>
      <c r="H685" s="42">
        <v>1</v>
      </c>
      <c r="I685" s="44">
        <v>99.75</v>
      </c>
      <c r="J685" s="48"/>
    </row>
    <row r="686" spans="1:10" ht="18.75" customHeight="1" x14ac:dyDescent="0.25">
      <c r="A686" t="s">
        <v>351</v>
      </c>
      <c r="B686" s="40">
        <v>44759</v>
      </c>
      <c r="C686" s="41">
        <v>71683</v>
      </c>
      <c r="D686" s="42" t="s">
        <v>49</v>
      </c>
      <c r="E686" s="43" t="s">
        <v>50</v>
      </c>
      <c r="F686" s="41">
        <v>40019141</v>
      </c>
      <c r="G686" s="43" t="s">
        <v>272</v>
      </c>
      <c r="H686" s="42">
        <v>1</v>
      </c>
      <c r="I686" s="44">
        <v>499.75</v>
      </c>
      <c r="J686" s="48"/>
    </row>
    <row r="687" spans="1:10" ht="18.75" customHeight="1" x14ac:dyDescent="0.25">
      <c r="A687" t="s">
        <v>351</v>
      </c>
      <c r="B687" s="40">
        <v>44760</v>
      </c>
      <c r="C687" s="41">
        <v>33627</v>
      </c>
      <c r="D687" s="42" t="s">
        <v>49</v>
      </c>
      <c r="E687" s="43" t="s">
        <v>50</v>
      </c>
      <c r="F687" s="41">
        <v>40014008</v>
      </c>
      <c r="G687" s="43" t="s">
        <v>409</v>
      </c>
      <c r="H687" s="42">
        <v>1</v>
      </c>
      <c r="I687" s="44">
        <v>2999.75</v>
      </c>
      <c r="J687" s="48"/>
    </row>
    <row r="688" spans="1:10" ht="18.75" customHeight="1" x14ac:dyDescent="0.25">
      <c r="A688" t="s">
        <v>351</v>
      </c>
      <c r="B688" s="40">
        <v>44760</v>
      </c>
      <c r="C688" s="41">
        <v>33629</v>
      </c>
      <c r="D688" s="42" t="s">
        <v>49</v>
      </c>
      <c r="E688" s="43" t="s">
        <v>50</v>
      </c>
      <c r="F688" s="41">
        <v>40018305</v>
      </c>
      <c r="G688" s="43" t="s">
        <v>410</v>
      </c>
      <c r="H688" s="42">
        <v>1</v>
      </c>
      <c r="I688" s="44">
        <v>749.75</v>
      </c>
      <c r="J688" s="48"/>
    </row>
    <row r="689" spans="1:10" ht="18.75" customHeight="1" x14ac:dyDescent="0.25">
      <c r="A689" t="s">
        <v>351</v>
      </c>
      <c r="B689" s="40">
        <v>44760</v>
      </c>
      <c r="C689" s="41">
        <v>33625</v>
      </c>
      <c r="D689" s="42" t="s">
        <v>49</v>
      </c>
      <c r="E689" s="43" t="s">
        <v>50</v>
      </c>
      <c r="F689" s="41">
        <v>40019148</v>
      </c>
      <c r="G689" s="43" t="s">
        <v>59</v>
      </c>
      <c r="H689" s="42">
        <v>1</v>
      </c>
      <c r="I689" s="44">
        <v>399.75</v>
      </c>
      <c r="J689" s="48"/>
    </row>
    <row r="690" spans="1:10" ht="18.75" customHeight="1" x14ac:dyDescent="0.25">
      <c r="A690" t="s">
        <v>351</v>
      </c>
      <c r="B690" s="40">
        <v>44760</v>
      </c>
      <c r="C690" s="41">
        <v>71714</v>
      </c>
      <c r="D690" s="42" t="s">
        <v>49</v>
      </c>
      <c r="E690" s="43" t="s">
        <v>50</v>
      </c>
      <c r="F690" s="41">
        <v>40013806</v>
      </c>
      <c r="G690" s="43" t="s">
        <v>67</v>
      </c>
      <c r="H690" s="42">
        <v>2</v>
      </c>
      <c r="I690" s="44">
        <v>99.5</v>
      </c>
      <c r="J690" s="48"/>
    </row>
    <row r="691" spans="1:10" ht="18.75" customHeight="1" x14ac:dyDescent="0.25">
      <c r="A691" t="s">
        <v>351</v>
      </c>
      <c r="B691" s="40">
        <v>44761</v>
      </c>
      <c r="C691" s="41">
        <v>71808</v>
      </c>
      <c r="D691" s="42" t="s">
        <v>49</v>
      </c>
      <c r="E691" s="43" t="s">
        <v>50</v>
      </c>
      <c r="F691" s="41">
        <v>40014007</v>
      </c>
      <c r="G691" s="43" t="s">
        <v>411</v>
      </c>
      <c r="H691" s="42">
        <v>1</v>
      </c>
      <c r="I691" s="44">
        <v>2499.75</v>
      </c>
      <c r="J691" s="48"/>
    </row>
    <row r="692" spans="1:10" ht="18.75" customHeight="1" x14ac:dyDescent="0.25">
      <c r="A692" t="s">
        <v>351</v>
      </c>
      <c r="B692" s="40">
        <v>44761</v>
      </c>
      <c r="C692" s="41">
        <v>33708</v>
      </c>
      <c r="D692" s="42" t="s">
        <v>49</v>
      </c>
      <c r="E692" s="43" t="s">
        <v>50</v>
      </c>
      <c r="F692" s="41">
        <v>40021268</v>
      </c>
      <c r="G692" s="43" t="s">
        <v>170</v>
      </c>
      <c r="H692" s="42">
        <v>1</v>
      </c>
      <c r="I692" s="44">
        <v>129.75</v>
      </c>
      <c r="J692" s="48"/>
    </row>
    <row r="693" spans="1:10" ht="18.75" customHeight="1" x14ac:dyDescent="0.25">
      <c r="A693" t="s">
        <v>351</v>
      </c>
      <c r="B693" s="40">
        <v>44762</v>
      </c>
      <c r="C693" s="41">
        <v>71813</v>
      </c>
      <c r="D693" s="42" t="s">
        <v>49</v>
      </c>
      <c r="E693" s="43" t="s">
        <v>50</v>
      </c>
      <c r="F693" s="41">
        <v>40013999</v>
      </c>
      <c r="G693" s="43" t="s">
        <v>408</v>
      </c>
      <c r="H693" s="42">
        <v>1</v>
      </c>
      <c r="I693" s="44">
        <v>249.75</v>
      </c>
      <c r="J693" s="48"/>
    </row>
    <row r="694" spans="1:10" ht="18.75" customHeight="1" x14ac:dyDescent="0.25">
      <c r="A694" t="s">
        <v>351</v>
      </c>
      <c r="B694" s="40">
        <v>44762</v>
      </c>
      <c r="C694" s="41">
        <v>71816</v>
      </c>
      <c r="D694" s="42" t="s">
        <v>49</v>
      </c>
      <c r="E694" s="43" t="s">
        <v>50</v>
      </c>
      <c r="F694" s="41">
        <v>40015615</v>
      </c>
      <c r="G694" s="43" t="s">
        <v>140</v>
      </c>
      <c r="H694" s="42">
        <v>1</v>
      </c>
      <c r="I694" s="44">
        <v>449.75</v>
      </c>
      <c r="J694" s="48"/>
    </row>
    <row r="695" spans="1:10" ht="18.75" customHeight="1" x14ac:dyDescent="0.25">
      <c r="A695" t="s">
        <v>351</v>
      </c>
      <c r="B695" s="40">
        <v>44763</v>
      </c>
      <c r="C695" s="41">
        <v>71934</v>
      </c>
      <c r="D695" s="42" t="s">
        <v>49</v>
      </c>
      <c r="E695" s="43" t="s">
        <v>50</v>
      </c>
      <c r="F695" s="41">
        <v>40013814</v>
      </c>
      <c r="G695" s="43" t="s">
        <v>398</v>
      </c>
      <c r="H695" s="42">
        <v>1</v>
      </c>
      <c r="I695" s="44">
        <v>99.75</v>
      </c>
      <c r="J695" s="48"/>
    </row>
    <row r="696" spans="1:10" ht="18.75" customHeight="1" x14ac:dyDescent="0.25">
      <c r="A696" t="s">
        <v>351</v>
      </c>
      <c r="B696" s="40">
        <v>44764</v>
      </c>
      <c r="C696" s="41">
        <v>51831</v>
      </c>
      <c r="D696" s="42" t="s">
        <v>49</v>
      </c>
      <c r="E696" s="43" t="s">
        <v>50</v>
      </c>
      <c r="F696" s="41">
        <v>40016725</v>
      </c>
      <c r="G696" s="43" t="s">
        <v>54</v>
      </c>
      <c r="H696" s="42">
        <v>1</v>
      </c>
      <c r="I696" s="44">
        <v>399.75</v>
      </c>
      <c r="J696" s="48"/>
    </row>
    <row r="697" spans="1:10" ht="18.75" customHeight="1" x14ac:dyDescent="0.25">
      <c r="A697" t="s">
        <v>351</v>
      </c>
      <c r="B697" s="40">
        <v>44764</v>
      </c>
      <c r="C697" s="41">
        <v>51831</v>
      </c>
      <c r="D697" s="42" t="s">
        <v>49</v>
      </c>
      <c r="E697" s="43" t="s">
        <v>50</v>
      </c>
      <c r="F697" s="41">
        <v>40019118</v>
      </c>
      <c r="G697" s="43" t="s">
        <v>412</v>
      </c>
      <c r="H697" s="42">
        <v>1</v>
      </c>
      <c r="I697" s="44">
        <v>599.75</v>
      </c>
      <c r="J697" s="48"/>
    </row>
    <row r="698" spans="1:10" ht="18.75" customHeight="1" x14ac:dyDescent="0.25">
      <c r="A698" t="s">
        <v>351</v>
      </c>
      <c r="B698" s="40">
        <v>44764</v>
      </c>
      <c r="C698" s="41">
        <v>51831</v>
      </c>
      <c r="D698" s="42" t="s">
        <v>49</v>
      </c>
      <c r="E698" s="43" t="s">
        <v>50</v>
      </c>
      <c r="F698" s="41">
        <v>40014664</v>
      </c>
      <c r="G698" s="43" t="s">
        <v>271</v>
      </c>
      <c r="H698" s="42">
        <v>1</v>
      </c>
      <c r="I698" s="44">
        <v>499.75</v>
      </c>
      <c r="J698" s="48"/>
    </row>
    <row r="699" spans="1:10" ht="18.75" customHeight="1" x14ac:dyDescent="0.25">
      <c r="A699" t="s">
        <v>351</v>
      </c>
      <c r="B699" s="40">
        <v>44764</v>
      </c>
      <c r="C699" s="41">
        <v>33789</v>
      </c>
      <c r="D699" s="42" t="s">
        <v>49</v>
      </c>
      <c r="E699" s="43" t="s">
        <v>50</v>
      </c>
      <c r="F699" s="41">
        <v>40013806</v>
      </c>
      <c r="G699" s="43" t="s">
        <v>67</v>
      </c>
      <c r="H699" s="42">
        <v>2</v>
      </c>
      <c r="I699" s="44">
        <v>99.5</v>
      </c>
      <c r="J699" s="48"/>
    </row>
    <row r="700" spans="1:10" ht="18.75" customHeight="1" x14ac:dyDescent="0.25">
      <c r="A700" t="s">
        <v>351</v>
      </c>
      <c r="B700" s="40">
        <v>44765</v>
      </c>
      <c r="C700" s="41">
        <v>33832</v>
      </c>
      <c r="D700" s="42" t="s">
        <v>49</v>
      </c>
      <c r="E700" s="43" t="s">
        <v>50</v>
      </c>
      <c r="F700" s="41">
        <v>40013206</v>
      </c>
      <c r="G700" s="43" t="s">
        <v>413</v>
      </c>
      <c r="H700" s="42">
        <v>2</v>
      </c>
      <c r="I700" s="44">
        <v>499.5</v>
      </c>
      <c r="J700" s="48"/>
    </row>
    <row r="701" spans="1:10" ht="18.75" customHeight="1" x14ac:dyDescent="0.25">
      <c r="A701" t="s">
        <v>351</v>
      </c>
      <c r="B701" s="40">
        <v>44765</v>
      </c>
      <c r="C701" s="41">
        <v>33832</v>
      </c>
      <c r="D701" s="42" t="s">
        <v>49</v>
      </c>
      <c r="E701" s="43" t="s">
        <v>50</v>
      </c>
      <c r="F701" s="41">
        <v>40013205</v>
      </c>
      <c r="G701" s="43" t="s">
        <v>414</v>
      </c>
      <c r="H701" s="42">
        <v>1</v>
      </c>
      <c r="I701" s="44">
        <v>199.75</v>
      </c>
      <c r="J701" s="48"/>
    </row>
    <row r="702" spans="1:10" ht="18.75" customHeight="1" x14ac:dyDescent="0.25">
      <c r="A702" t="s">
        <v>351</v>
      </c>
      <c r="B702" s="40">
        <v>44765</v>
      </c>
      <c r="C702" s="41">
        <v>51861</v>
      </c>
      <c r="D702" s="42" t="s">
        <v>49</v>
      </c>
      <c r="E702" s="43" t="s">
        <v>50</v>
      </c>
      <c r="F702" s="41">
        <v>40013817</v>
      </c>
      <c r="G702" s="43" t="s">
        <v>125</v>
      </c>
      <c r="H702" s="42">
        <v>1</v>
      </c>
      <c r="I702" s="44">
        <v>299.75</v>
      </c>
      <c r="J702" s="48"/>
    </row>
    <row r="703" spans="1:10" ht="18.75" customHeight="1" x14ac:dyDescent="0.25">
      <c r="A703" t="s">
        <v>351</v>
      </c>
      <c r="B703" s="40">
        <v>44765</v>
      </c>
      <c r="C703" s="41">
        <v>51861</v>
      </c>
      <c r="D703" s="42" t="s">
        <v>49</v>
      </c>
      <c r="E703" s="43" t="s">
        <v>50</v>
      </c>
      <c r="F703" s="41">
        <v>40018701</v>
      </c>
      <c r="G703" s="43" t="s">
        <v>415</v>
      </c>
      <c r="H703" s="42">
        <v>1</v>
      </c>
      <c r="I703" s="44">
        <v>599.75</v>
      </c>
      <c r="J703" s="48"/>
    </row>
    <row r="704" spans="1:10" ht="18.75" customHeight="1" x14ac:dyDescent="0.25">
      <c r="A704" t="s">
        <v>351</v>
      </c>
      <c r="B704" s="40">
        <v>44765</v>
      </c>
      <c r="C704" s="41">
        <v>43870</v>
      </c>
      <c r="D704" s="42" t="s">
        <v>49</v>
      </c>
      <c r="E704" s="43" t="s">
        <v>50</v>
      </c>
      <c r="F704" s="41">
        <v>40017613</v>
      </c>
      <c r="G704" s="43" t="s">
        <v>416</v>
      </c>
      <c r="H704" s="42">
        <v>1</v>
      </c>
      <c r="I704" s="44">
        <v>89.75</v>
      </c>
      <c r="J704" s="48"/>
    </row>
    <row r="705" spans="1:10" ht="18.75" customHeight="1" x14ac:dyDescent="0.25">
      <c r="A705" t="s">
        <v>351</v>
      </c>
      <c r="B705" s="40">
        <v>44765</v>
      </c>
      <c r="C705" s="41">
        <v>51861</v>
      </c>
      <c r="D705" s="42" t="s">
        <v>49</v>
      </c>
      <c r="E705" s="43" t="s">
        <v>50</v>
      </c>
      <c r="F705" s="41">
        <v>40018029</v>
      </c>
      <c r="G705" s="43" t="s">
        <v>75</v>
      </c>
      <c r="H705" s="42">
        <v>1</v>
      </c>
      <c r="I705" s="44">
        <v>199.75</v>
      </c>
      <c r="J705" s="48"/>
    </row>
    <row r="706" spans="1:10" ht="18.75" customHeight="1" x14ac:dyDescent="0.25">
      <c r="A706" t="s">
        <v>351</v>
      </c>
      <c r="B706" s="40">
        <v>44765</v>
      </c>
      <c r="C706" s="41">
        <v>72032</v>
      </c>
      <c r="D706" s="42" t="s">
        <v>49</v>
      </c>
      <c r="E706" s="43" t="s">
        <v>50</v>
      </c>
      <c r="F706" s="41">
        <v>40013877</v>
      </c>
      <c r="G706" s="43" t="s">
        <v>332</v>
      </c>
      <c r="H706" s="42">
        <v>1</v>
      </c>
      <c r="I706" s="44">
        <v>99.75</v>
      </c>
      <c r="J706" s="48"/>
    </row>
    <row r="707" spans="1:10" ht="18.75" customHeight="1" x14ac:dyDescent="0.25">
      <c r="A707" t="s">
        <v>351</v>
      </c>
      <c r="B707" s="40">
        <v>44765</v>
      </c>
      <c r="C707" s="41">
        <v>72036</v>
      </c>
      <c r="D707" s="42" t="s">
        <v>49</v>
      </c>
      <c r="E707" s="43" t="s">
        <v>50</v>
      </c>
      <c r="F707" s="41">
        <v>40019146</v>
      </c>
      <c r="G707" s="43" t="s">
        <v>169</v>
      </c>
      <c r="H707" s="42">
        <v>1</v>
      </c>
      <c r="I707" s="44">
        <v>399.75</v>
      </c>
      <c r="J707" s="48"/>
    </row>
    <row r="708" spans="1:10" ht="18.75" customHeight="1" x14ac:dyDescent="0.25">
      <c r="A708" t="s">
        <v>351</v>
      </c>
      <c r="B708" s="40">
        <v>44765</v>
      </c>
      <c r="C708" s="41">
        <v>43894</v>
      </c>
      <c r="D708" s="42" t="s">
        <v>49</v>
      </c>
      <c r="E708" s="43" t="s">
        <v>50</v>
      </c>
      <c r="F708" s="41">
        <v>40017390</v>
      </c>
      <c r="G708" s="43" t="s">
        <v>417</v>
      </c>
      <c r="H708" s="42">
        <v>1</v>
      </c>
      <c r="I708" s="44">
        <v>99.75</v>
      </c>
      <c r="J708" s="48"/>
    </row>
    <row r="709" spans="1:10" ht="18.75" customHeight="1" x14ac:dyDescent="0.25">
      <c r="A709" t="s">
        <v>351</v>
      </c>
      <c r="B709" s="40">
        <v>44766</v>
      </c>
      <c r="C709" s="41">
        <v>33873</v>
      </c>
      <c r="D709" s="42" t="s">
        <v>49</v>
      </c>
      <c r="E709" s="43" t="s">
        <v>50</v>
      </c>
      <c r="F709" s="41">
        <v>40013814</v>
      </c>
      <c r="G709" s="43" t="s">
        <v>398</v>
      </c>
      <c r="H709" s="42">
        <v>1</v>
      </c>
      <c r="I709" s="44">
        <v>99.75</v>
      </c>
      <c r="J709" s="48"/>
    </row>
    <row r="710" spans="1:10" ht="18.75" customHeight="1" x14ac:dyDescent="0.25">
      <c r="A710" t="s">
        <v>351</v>
      </c>
      <c r="B710" s="40">
        <v>44766</v>
      </c>
      <c r="C710" s="41">
        <v>43899</v>
      </c>
      <c r="D710" s="42" t="s">
        <v>49</v>
      </c>
      <c r="E710" s="43" t="s">
        <v>50</v>
      </c>
      <c r="F710" s="41">
        <v>40016862</v>
      </c>
      <c r="G710" s="43" t="s">
        <v>418</v>
      </c>
      <c r="H710" s="42">
        <v>1</v>
      </c>
      <c r="I710" s="44">
        <v>249.75</v>
      </c>
      <c r="J710" s="48"/>
    </row>
    <row r="711" spans="1:10" ht="18.75" customHeight="1" x14ac:dyDescent="0.25">
      <c r="A711" t="s">
        <v>351</v>
      </c>
      <c r="B711" s="40">
        <v>44766</v>
      </c>
      <c r="C711" s="41">
        <v>51884</v>
      </c>
      <c r="D711" s="42" t="s">
        <v>49</v>
      </c>
      <c r="E711" s="43" t="s">
        <v>50</v>
      </c>
      <c r="F711" s="41">
        <v>40019274</v>
      </c>
      <c r="G711" s="43" t="s">
        <v>419</v>
      </c>
      <c r="H711" s="42">
        <v>1</v>
      </c>
      <c r="I711" s="44">
        <v>349.75</v>
      </c>
      <c r="J711" s="48"/>
    </row>
    <row r="712" spans="1:10" ht="18.75" customHeight="1" x14ac:dyDescent="0.25">
      <c r="A712" t="s">
        <v>351</v>
      </c>
      <c r="B712" s="40">
        <v>44766</v>
      </c>
      <c r="C712" s="41">
        <v>33911</v>
      </c>
      <c r="D712" s="42" t="s">
        <v>49</v>
      </c>
      <c r="E712" s="43" t="s">
        <v>50</v>
      </c>
      <c r="F712" s="41">
        <v>40013878</v>
      </c>
      <c r="G712" s="43" t="s">
        <v>114</v>
      </c>
      <c r="H712" s="42">
        <v>1</v>
      </c>
      <c r="I712" s="44">
        <v>99.75</v>
      </c>
      <c r="J712" s="48"/>
    </row>
    <row r="713" spans="1:10" ht="18.75" customHeight="1" x14ac:dyDescent="0.25">
      <c r="A713" t="s">
        <v>351</v>
      </c>
      <c r="B713" s="40">
        <v>44766</v>
      </c>
      <c r="C713" s="41">
        <v>33911</v>
      </c>
      <c r="D713" s="42" t="s">
        <v>49</v>
      </c>
      <c r="E713" s="43" t="s">
        <v>50</v>
      </c>
      <c r="F713" s="41">
        <v>40013867</v>
      </c>
      <c r="G713" s="43" t="s">
        <v>236</v>
      </c>
      <c r="H713" s="42">
        <v>1</v>
      </c>
      <c r="I713" s="44">
        <v>99.75</v>
      </c>
      <c r="J713" s="48"/>
    </row>
    <row r="714" spans="1:10" ht="18.75" customHeight="1" x14ac:dyDescent="0.25">
      <c r="A714" t="s">
        <v>351</v>
      </c>
      <c r="B714" s="40">
        <v>44766</v>
      </c>
      <c r="C714" s="41">
        <v>33876</v>
      </c>
      <c r="D714" s="42" t="s">
        <v>49</v>
      </c>
      <c r="E714" s="43" t="s">
        <v>50</v>
      </c>
      <c r="F714" s="41">
        <v>40019140</v>
      </c>
      <c r="G714" s="43" t="s">
        <v>285</v>
      </c>
      <c r="H714" s="42">
        <v>1</v>
      </c>
      <c r="I714" s="44">
        <v>499.75</v>
      </c>
      <c r="J714" s="48"/>
    </row>
    <row r="715" spans="1:10" ht="18.75" customHeight="1" x14ac:dyDescent="0.25">
      <c r="A715" t="s">
        <v>351</v>
      </c>
      <c r="B715" s="40">
        <v>44766</v>
      </c>
      <c r="C715" s="41">
        <v>33893</v>
      </c>
      <c r="D715" s="42" t="s">
        <v>49</v>
      </c>
      <c r="E715" s="43" t="s">
        <v>50</v>
      </c>
      <c r="F715" s="41">
        <v>40013301</v>
      </c>
      <c r="G715" s="43" t="s">
        <v>174</v>
      </c>
      <c r="H715" s="42">
        <v>2</v>
      </c>
      <c r="I715" s="44">
        <v>259.5</v>
      </c>
      <c r="J715" s="48"/>
    </row>
    <row r="716" spans="1:10" ht="18.75" customHeight="1" x14ac:dyDescent="0.25">
      <c r="A716" t="s">
        <v>351</v>
      </c>
      <c r="B716" s="40">
        <v>44766</v>
      </c>
      <c r="C716" s="41">
        <v>33893</v>
      </c>
      <c r="D716" s="42" t="s">
        <v>49</v>
      </c>
      <c r="E716" s="43" t="s">
        <v>50</v>
      </c>
      <c r="F716" s="41">
        <v>40019104</v>
      </c>
      <c r="G716" s="43" t="s">
        <v>420</v>
      </c>
      <c r="H716" s="42">
        <v>1</v>
      </c>
      <c r="I716" s="44">
        <v>1299.75</v>
      </c>
      <c r="J716" s="48"/>
    </row>
    <row r="717" spans="1:10" ht="18.75" customHeight="1" x14ac:dyDescent="0.25">
      <c r="A717" t="s">
        <v>351</v>
      </c>
      <c r="B717" s="40">
        <v>44767</v>
      </c>
      <c r="C717" s="41">
        <v>33934</v>
      </c>
      <c r="D717" s="42" t="s">
        <v>49</v>
      </c>
      <c r="E717" s="43" t="s">
        <v>50</v>
      </c>
      <c r="F717" s="41">
        <v>40017462</v>
      </c>
      <c r="G717" s="43" t="s">
        <v>137</v>
      </c>
      <c r="H717" s="42">
        <v>1</v>
      </c>
      <c r="I717" s="44">
        <v>799.75</v>
      </c>
      <c r="J717" s="48"/>
    </row>
    <row r="718" spans="1:10" ht="18.75" customHeight="1" x14ac:dyDescent="0.25">
      <c r="A718" t="s">
        <v>351</v>
      </c>
      <c r="B718" s="40">
        <v>44767</v>
      </c>
      <c r="C718" s="41">
        <v>33934</v>
      </c>
      <c r="D718" s="42" t="s">
        <v>49</v>
      </c>
      <c r="E718" s="43" t="s">
        <v>50</v>
      </c>
      <c r="F718" s="41">
        <v>40017461</v>
      </c>
      <c r="G718" s="43" t="s">
        <v>222</v>
      </c>
      <c r="H718" s="42">
        <v>1</v>
      </c>
      <c r="I718" s="44">
        <v>799.75</v>
      </c>
      <c r="J718" s="48"/>
    </row>
    <row r="719" spans="1:10" ht="18.75" customHeight="1" x14ac:dyDescent="0.25">
      <c r="A719" t="s">
        <v>351</v>
      </c>
      <c r="B719" s="40">
        <v>44767</v>
      </c>
      <c r="C719" s="41">
        <v>51937</v>
      </c>
      <c r="D719" s="42" t="s">
        <v>49</v>
      </c>
      <c r="E719" s="43" t="s">
        <v>50</v>
      </c>
      <c r="F719" s="41">
        <v>40013872</v>
      </c>
      <c r="G719" s="43" t="s">
        <v>57</v>
      </c>
      <c r="H719" s="42">
        <v>1</v>
      </c>
      <c r="I719" s="44">
        <v>99.75</v>
      </c>
      <c r="J719" s="48"/>
    </row>
    <row r="720" spans="1:10" ht="18.75" customHeight="1" x14ac:dyDescent="0.25">
      <c r="A720" t="s">
        <v>351</v>
      </c>
      <c r="B720" s="40">
        <v>44767</v>
      </c>
      <c r="C720" s="41">
        <v>51937</v>
      </c>
      <c r="D720" s="42" t="s">
        <v>49</v>
      </c>
      <c r="E720" s="43" t="s">
        <v>50</v>
      </c>
      <c r="F720" s="41">
        <v>40013876</v>
      </c>
      <c r="G720" s="43" t="s">
        <v>377</v>
      </c>
      <c r="H720" s="42">
        <v>1</v>
      </c>
      <c r="I720" s="44">
        <v>99.75</v>
      </c>
      <c r="J720" s="48"/>
    </row>
    <row r="721" spans="1:10" ht="18.75" customHeight="1" x14ac:dyDescent="0.25">
      <c r="A721" t="s">
        <v>351</v>
      </c>
      <c r="B721" s="40">
        <v>44767</v>
      </c>
      <c r="C721" s="41">
        <v>51937</v>
      </c>
      <c r="D721" s="42" t="s">
        <v>49</v>
      </c>
      <c r="E721" s="43" t="s">
        <v>50</v>
      </c>
      <c r="F721" s="41">
        <v>40013871</v>
      </c>
      <c r="G721" s="43" t="s">
        <v>254</v>
      </c>
      <c r="H721" s="42">
        <v>1</v>
      </c>
      <c r="I721" s="44">
        <v>99.75</v>
      </c>
      <c r="J721" s="48"/>
    </row>
    <row r="722" spans="1:10" ht="18.75" customHeight="1" x14ac:dyDescent="0.25">
      <c r="A722" t="s">
        <v>351</v>
      </c>
      <c r="B722" s="40">
        <v>44767</v>
      </c>
      <c r="C722" s="41">
        <v>72042</v>
      </c>
      <c r="D722" s="42" t="s">
        <v>49</v>
      </c>
      <c r="E722" s="43" t="s">
        <v>50</v>
      </c>
      <c r="F722" s="41">
        <v>40019142</v>
      </c>
      <c r="G722" s="43" t="s">
        <v>284</v>
      </c>
      <c r="H722" s="42">
        <v>1</v>
      </c>
      <c r="I722" s="44">
        <v>499.75</v>
      </c>
      <c r="J722" s="48"/>
    </row>
    <row r="723" spans="1:10" ht="18.75" customHeight="1" x14ac:dyDescent="0.25">
      <c r="A723" t="s">
        <v>351</v>
      </c>
      <c r="B723" s="40">
        <v>44767</v>
      </c>
      <c r="C723" s="41">
        <v>51948</v>
      </c>
      <c r="D723" s="42" t="s">
        <v>49</v>
      </c>
      <c r="E723" s="43" t="s">
        <v>50</v>
      </c>
      <c r="F723" s="41">
        <v>40016537</v>
      </c>
      <c r="G723" s="43" t="s">
        <v>421</v>
      </c>
      <c r="H723" s="42">
        <v>1</v>
      </c>
      <c r="I723" s="44">
        <v>175</v>
      </c>
      <c r="J723" s="48"/>
    </row>
    <row r="724" spans="1:10" ht="18.75" customHeight="1" x14ac:dyDescent="0.25">
      <c r="A724" t="s">
        <v>351</v>
      </c>
      <c r="B724" s="40">
        <v>44767</v>
      </c>
      <c r="C724" s="41">
        <v>51937</v>
      </c>
      <c r="D724" s="42" t="s">
        <v>49</v>
      </c>
      <c r="E724" s="43" t="s">
        <v>50</v>
      </c>
      <c r="F724" s="41">
        <v>40017621</v>
      </c>
      <c r="G724" s="43" t="s">
        <v>374</v>
      </c>
      <c r="H724" s="42">
        <v>1</v>
      </c>
      <c r="I724" s="44">
        <v>150</v>
      </c>
      <c r="J724" s="48"/>
    </row>
    <row r="725" spans="1:10" ht="18.75" customHeight="1" x14ac:dyDescent="0.25">
      <c r="A725" t="s">
        <v>351</v>
      </c>
      <c r="B725" s="40">
        <v>44767</v>
      </c>
      <c r="C725" s="41">
        <v>51950</v>
      </c>
      <c r="D725" s="42" t="s">
        <v>49</v>
      </c>
      <c r="E725" s="43" t="s">
        <v>50</v>
      </c>
      <c r="F725" s="41">
        <v>40013385</v>
      </c>
      <c r="G725" s="43" t="s">
        <v>422</v>
      </c>
      <c r="H725" s="42">
        <v>1</v>
      </c>
      <c r="I725" s="44">
        <v>399.75</v>
      </c>
      <c r="J725" s="48"/>
    </row>
    <row r="726" spans="1:10" ht="18.75" customHeight="1" x14ac:dyDescent="0.25">
      <c r="A726" t="s">
        <v>351</v>
      </c>
      <c r="B726" s="40">
        <v>44767</v>
      </c>
      <c r="C726" s="41">
        <v>51950</v>
      </c>
      <c r="D726" s="42" t="s">
        <v>49</v>
      </c>
      <c r="E726" s="43" t="s">
        <v>50</v>
      </c>
      <c r="F726" s="41">
        <v>40013382</v>
      </c>
      <c r="G726" s="43" t="s">
        <v>423</v>
      </c>
      <c r="H726" s="42">
        <v>1</v>
      </c>
      <c r="I726" s="44">
        <v>199.75</v>
      </c>
      <c r="J726" s="48"/>
    </row>
    <row r="727" spans="1:10" ht="18.75" customHeight="1" x14ac:dyDescent="0.25">
      <c r="A727" t="s">
        <v>351</v>
      </c>
      <c r="B727" s="40">
        <v>44767</v>
      </c>
      <c r="C727" s="41">
        <v>51950</v>
      </c>
      <c r="D727" s="42" t="s">
        <v>49</v>
      </c>
      <c r="E727" s="43" t="s">
        <v>50</v>
      </c>
      <c r="F727" s="41">
        <v>40013383</v>
      </c>
      <c r="G727" s="43" t="s">
        <v>424</v>
      </c>
      <c r="H727" s="42">
        <v>1</v>
      </c>
      <c r="I727" s="44">
        <v>249.75</v>
      </c>
      <c r="J727" s="48"/>
    </row>
    <row r="728" spans="1:10" ht="18.75" customHeight="1" x14ac:dyDescent="0.25">
      <c r="A728" t="s">
        <v>351</v>
      </c>
      <c r="B728" s="40">
        <v>44768</v>
      </c>
      <c r="C728" s="41">
        <v>33987</v>
      </c>
      <c r="D728" s="42" t="s">
        <v>49</v>
      </c>
      <c r="E728" s="43" t="s">
        <v>50</v>
      </c>
      <c r="F728" s="41">
        <v>40013817</v>
      </c>
      <c r="G728" s="43" t="s">
        <v>125</v>
      </c>
      <c r="H728" s="42">
        <v>1</v>
      </c>
      <c r="I728" s="44">
        <v>299.75</v>
      </c>
      <c r="J728" s="48"/>
    </row>
    <row r="729" spans="1:10" ht="18.75" customHeight="1" x14ac:dyDescent="0.25">
      <c r="A729" t="s">
        <v>351</v>
      </c>
      <c r="B729" s="40">
        <v>44768</v>
      </c>
      <c r="C729" s="41">
        <v>33995</v>
      </c>
      <c r="D729" s="42" t="s">
        <v>49</v>
      </c>
      <c r="E729" s="43" t="s">
        <v>50</v>
      </c>
      <c r="F729" s="41">
        <v>40019142</v>
      </c>
      <c r="G729" s="43" t="s">
        <v>284</v>
      </c>
      <c r="H729" s="42">
        <v>1</v>
      </c>
      <c r="I729" s="44">
        <v>499.75</v>
      </c>
      <c r="J729" s="48"/>
    </row>
    <row r="730" spans="1:10" ht="18.75" customHeight="1" x14ac:dyDescent="0.25">
      <c r="A730" t="s">
        <v>351</v>
      </c>
      <c r="B730" s="40">
        <v>44768</v>
      </c>
      <c r="C730" s="41">
        <v>43942</v>
      </c>
      <c r="D730" s="42" t="s">
        <v>49</v>
      </c>
      <c r="E730" s="43" t="s">
        <v>50</v>
      </c>
      <c r="F730" s="41">
        <v>40015615</v>
      </c>
      <c r="G730" s="43" t="s">
        <v>140</v>
      </c>
      <c r="H730" s="42">
        <v>1</v>
      </c>
      <c r="I730" s="44">
        <v>449.75</v>
      </c>
      <c r="J730" s="48"/>
    </row>
    <row r="731" spans="1:10" ht="18.75" customHeight="1" x14ac:dyDescent="0.25">
      <c r="A731" t="s">
        <v>351</v>
      </c>
      <c r="B731" s="40">
        <v>44769</v>
      </c>
      <c r="C731" s="41">
        <v>34013</v>
      </c>
      <c r="D731" s="42" t="s">
        <v>49</v>
      </c>
      <c r="E731" s="43" t="s">
        <v>50</v>
      </c>
      <c r="F731" s="41">
        <v>40014006</v>
      </c>
      <c r="G731" s="43" t="s">
        <v>425</v>
      </c>
      <c r="H731" s="42">
        <v>1</v>
      </c>
      <c r="I731" s="44">
        <v>2499.75</v>
      </c>
      <c r="J731" s="48"/>
    </row>
    <row r="732" spans="1:10" ht="18.75" customHeight="1" x14ac:dyDescent="0.25">
      <c r="A732" t="s">
        <v>351</v>
      </c>
      <c r="B732" s="40">
        <v>44769</v>
      </c>
      <c r="C732" s="41">
        <v>72146</v>
      </c>
      <c r="D732" s="42" t="s">
        <v>49</v>
      </c>
      <c r="E732" s="43" t="s">
        <v>50</v>
      </c>
      <c r="F732" s="41">
        <v>40013814</v>
      </c>
      <c r="G732" s="43" t="s">
        <v>398</v>
      </c>
      <c r="H732" s="42">
        <v>1</v>
      </c>
      <c r="I732" s="44">
        <v>99.75</v>
      </c>
      <c r="J732" s="48"/>
    </row>
    <row r="733" spans="1:10" ht="18.75" customHeight="1" x14ac:dyDescent="0.25">
      <c r="A733" t="s">
        <v>351</v>
      </c>
      <c r="B733" s="40">
        <v>44769</v>
      </c>
      <c r="C733" s="41">
        <v>72146</v>
      </c>
      <c r="D733" s="42" t="s">
        <v>49</v>
      </c>
      <c r="E733" s="43" t="s">
        <v>50</v>
      </c>
      <c r="F733" s="41">
        <v>40013810</v>
      </c>
      <c r="G733" s="43" t="s">
        <v>426</v>
      </c>
      <c r="H733" s="42">
        <v>1</v>
      </c>
      <c r="I733" s="44">
        <v>99.75</v>
      </c>
      <c r="J733" s="48"/>
    </row>
    <row r="734" spans="1:10" ht="18.75" customHeight="1" x14ac:dyDescent="0.25">
      <c r="A734" t="s">
        <v>351</v>
      </c>
      <c r="B734" s="40">
        <v>44769</v>
      </c>
      <c r="C734" s="41">
        <v>72147</v>
      </c>
      <c r="D734" s="42" t="s">
        <v>49</v>
      </c>
      <c r="E734" s="43" t="s">
        <v>50</v>
      </c>
      <c r="F734" s="41">
        <v>40019118</v>
      </c>
      <c r="G734" s="43" t="s">
        <v>412</v>
      </c>
      <c r="H734" s="42">
        <v>1</v>
      </c>
      <c r="I734" s="44">
        <v>599.75</v>
      </c>
      <c r="J734" s="48"/>
    </row>
    <row r="735" spans="1:10" ht="18.75" customHeight="1" x14ac:dyDescent="0.25">
      <c r="A735" t="s">
        <v>351</v>
      </c>
      <c r="B735" s="40">
        <v>44769</v>
      </c>
      <c r="C735" s="41">
        <v>34013</v>
      </c>
      <c r="D735" s="42" t="s">
        <v>49</v>
      </c>
      <c r="E735" s="43" t="s">
        <v>50</v>
      </c>
      <c r="F735" s="41">
        <v>40015615</v>
      </c>
      <c r="G735" s="43" t="s">
        <v>140</v>
      </c>
      <c r="H735" s="42">
        <v>1</v>
      </c>
      <c r="I735" s="44">
        <v>449.75</v>
      </c>
      <c r="J735" s="48"/>
    </row>
    <row r="736" spans="1:10" ht="18.75" customHeight="1" x14ac:dyDescent="0.25">
      <c r="A736" t="s">
        <v>351</v>
      </c>
      <c r="B736" s="40">
        <v>44769</v>
      </c>
      <c r="C736" s="41">
        <v>34013</v>
      </c>
      <c r="D736" s="42" t="s">
        <v>49</v>
      </c>
      <c r="E736" s="43" t="s">
        <v>50</v>
      </c>
      <c r="F736" s="41">
        <v>40018818</v>
      </c>
      <c r="G736" s="43" t="s">
        <v>397</v>
      </c>
      <c r="H736" s="42">
        <v>2</v>
      </c>
      <c r="I736" s="44">
        <v>799.5</v>
      </c>
      <c r="J736" s="48"/>
    </row>
    <row r="737" spans="1:10" ht="18.75" customHeight="1" x14ac:dyDescent="0.25">
      <c r="A737" t="s">
        <v>351</v>
      </c>
      <c r="B737" s="40">
        <v>44770</v>
      </c>
      <c r="C737" s="41">
        <v>52009</v>
      </c>
      <c r="D737" s="42" t="s">
        <v>49</v>
      </c>
      <c r="E737" s="43" t="s">
        <v>50</v>
      </c>
      <c r="F737" s="41">
        <v>40021267</v>
      </c>
      <c r="G737" s="43" t="s">
        <v>314</v>
      </c>
      <c r="H737" s="42">
        <v>2</v>
      </c>
      <c r="I737" s="44">
        <v>259.5</v>
      </c>
      <c r="J737" s="48"/>
    </row>
    <row r="738" spans="1:10" ht="18.75" customHeight="1" x14ac:dyDescent="0.25">
      <c r="A738" t="s">
        <v>351</v>
      </c>
      <c r="B738" s="40">
        <v>44770</v>
      </c>
      <c r="C738" s="41">
        <v>44024</v>
      </c>
      <c r="D738" s="42" t="s">
        <v>49</v>
      </c>
      <c r="E738" s="43" t="s">
        <v>50</v>
      </c>
      <c r="F738" s="41">
        <v>40014667</v>
      </c>
      <c r="G738" s="43" t="s">
        <v>68</v>
      </c>
      <c r="H738" s="42">
        <v>1</v>
      </c>
      <c r="I738" s="44">
        <v>499.75</v>
      </c>
      <c r="J738" s="48"/>
    </row>
    <row r="739" spans="1:10" ht="18.75" customHeight="1" x14ac:dyDescent="0.25">
      <c r="A739" t="s">
        <v>351</v>
      </c>
      <c r="B739" s="40">
        <v>44770</v>
      </c>
      <c r="C739" s="41">
        <v>52037</v>
      </c>
      <c r="D739" s="42" t="s">
        <v>49</v>
      </c>
      <c r="E739" s="43" t="s">
        <v>50</v>
      </c>
      <c r="F739" s="41">
        <v>40018819</v>
      </c>
      <c r="G739" s="43" t="s">
        <v>427</v>
      </c>
      <c r="H739" s="42">
        <v>1</v>
      </c>
      <c r="I739" s="44">
        <v>399.75</v>
      </c>
      <c r="J739" s="48"/>
    </row>
    <row r="740" spans="1:10" ht="18.75" customHeight="1" x14ac:dyDescent="0.25">
      <c r="A740" t="s">
        <v>351</v>
      </c>
      <c r="B740" s="40">
        <v>44771</v>
      </c>
      <c r="C740" s="41">
        <v>52047</v>
      </c>
      <c r="D740" s="42" t="s">
        <v>49</v>
      </c>
      <c r="E740" s="43" t="s">
        <v>50</v>
      </c>
      <c r="F740" s="41">
        <v>40013730</v>
      </c>
      <c r="G740" s="43" t="s">
        <v>172</v>
      </c>
      <c r="H740" s="42">
        <v>1</v>
      </c>
      <c r="I740" s="44">
        <v>399.75</v>
      </c>
      <c r="J740" s="48"/>
    </row>
    <row r="741" spans="1:10" ht="18.75" customHeight="1" x14ac:dyDescent="0.25">
      <c r="A741" t="s">
        <v>351</v>
      </c>
      <c r="B741" s="40">
        <v>44771</v>
      </c>
      <c r="C741" s="41">
        <v>34061</v>
      </c>
      <c r="D741" s="42" t="s">
        <v>49</v>
      </c>
      <c r="E741" s="43" t="s">
        <v>50</v>
      </c>
      <c r="F741" s="41">
        <v>40021976</v>
      </c>
      <c r="G741" s="43" t="s">
        <v>186</v>
      </c>
      <c r="H741" s="42">
        <v>2</v>
      </c>
      <c r="I741" s="44">
        <v>259.5</v>
      </c>
      <c r="J741" s="48"/>
    </row>
    <row r="742" spans="1:10" ht="18.75" customHeight="1" x14ac:dyDescent="0.25">
      <c r="A742" t="s">
        <v>351</v>
      </c>
      <c r="B742" s="40">
        <v>44771</v>
      </c>
      <c r="C742" s="41">
        <v>52070</v>
      </c>
      <c r="D742" s="42" t="s">
        <v>49</v>
      </c>
      <c r="E742" s="43" t="s">
        <v>50</v>
      </c>
      <c r="F742" s="41">
        <v>40017635</v>
      </c>
      <c r="G742" s="43" t="s">
        <v>99</v>
      </c>
      <c r="H742" s="42">
        <v>1</v>
      </c>
      <c r="I742" s="44">
        <v>299.75</v>
      </c>
      <c r="J742" s="48"/>
    </row>
    <row r="743" spans="1:10" ht="18.75" customHeight="1" x14ac:dyDescent="0.25">
      <c r="A743" t="s">
        <v>351</v>
      </c>
      <c r="B743" s="40">
        <v>44771</v>
      </c>
      <c r="C743" s="41">
        <v>34061</v>
      </c>
      <c r="D743" s="42" t="s">
        <v>49</v>
      </c>
      <c r="E743" s="43" t="s">
        <v>50</v>
      </c>
      <c r="F743" s="41">
        <v>40017637</v>
      </c>
      <c r="G743" s="43" t="s">
        <v>428</v>
      </c>
      <c r="H743" s="42">
        <v>1</v>
      </c>
      <c r="I743" s="44">
        <v>299.75</v>
      </c>
      <c r="J743" s="48"/>
    </row>
    <row r="744" spans="1:10" ht="18.75" customHeight="1" x14ac:dyDescent="0.25">
      <c r="A744" t="s">
        <v>351</v>
      </c>
      <c r="B744" s="40">
        <v>44771</v>
      </c>
      <c r="C744" s="41">
        <v>72309</v>
      </c>
      <c r="D744" s="42" t="s">
        <v>49</v>
      </c>
      <c r="E744" s="43" t="s">
        <v>50</v>
      </c>
      <c r="F744" s="41">
        <v>40020461</v>
      </c>
      <c r="G744" s="43" t="s">
        <v>76</v>
      </c>
      <c r="H744" s="42">
        <v>1</v>
      </c>
      <c r="I744" s="44">
        <v>449.75</v>
      </c>
      <c r="J744" s="48"/>
    </row>
    <row r="745" spans="1:10" ht="18.75" customHeight="1" x14ac:dyDescent="0.25">
      <c r="A745" t="s">
        <v>351</v>
      </c>
      <c r="B745" s="40">
        <v>44771</v>
      </c>
      <c r="C745" s="41">
        <v>72265</v>
      </c>
      <c r="D745" s="42" t="s">
        <v>49</v>
      </c>
      <c r="E745" s="43" t="s">
        <v>50</v>
      </c>
      <c r="F745" s="41">
        <v>40014050</v>
      </c>
      <c r="G745" s="43" t="s">
        <v>429</v>
      </c>
      <c r="H745" s="42">
        <v>1</v>
      </c>
      <c r="I745" s="44">
        <v>125</v>
      </c>
      <c r="J745" s="48"/>
    </row>
    <row r="746" spans="1:10" ht="18.75" customHeight="1" x14ac:dyDescent="0.25">
      <c r="A746" t="s">
        <v>351</v>
      </c>
      <c r="B746" s="40">
        <v>44771</v>
      </c>
      <c r="C746" s="41">
        <v>72265</v>
      </c>
      <c r="D746" s="42" t="s">
        <v>49</v>
      </c>
      <c r="E746" s="43" t="s">
        <v>50</v>
      </c>
      <c r="F746" s="41">
        <v>40018813</v>
      </c>
      <c r="G746" s="43" t="s">
        <v>287</v>
      </c>
      <c r="H746" s="42">
        <v>1</v>
      </c>
      <c r="I746" s="44">
        <v>199.75</v>
      </c>
      <c r="J746" s="48"/>
    </row>
    <row r="747" spans="1:10" ht="18.75" customHeight="1" x14ac:dyDescent="0.25">
      <c r="A747" t="s">
        <v>351</v>
      </c>
      <c r="B747" s="40">
        <v>44772</v>
      </c>
      <c r="C747" s="41">
        <v>34136</v>
      </c>
      <c r="D747" s="42" t="s">
        <v>49</v>
      </c>
      <c r="E747" s="43" t="s">
        <v>50</v>
      </c>
      <c r="F747" s="41">
        <v>40016535</v>
      </c>
      <c r="G747" s="43" t="s">
        <v>430</v>
      </c>
      <c r="H747" s="42">
        <v>1</v>
      </c>
      <c r="I747" s="44">
        <v>349.75</v>
      </c>
      <c r="J747" s="48"/>
    </row>
    <row r="748" spans="1:10" ht="18.75" customHeight="1" x14ac:dyDescent="0.25">
      <c r="A748" t="s">
        <v>351</v>
      </c>
      <c r="B748" s="40">
        <v>44772</v>
      </c>
      <c r="C748" s="41">
        <v>34126</v>
      </c>
      <c r="D748" s="42" t="s">
        <v>49</v>
      </c>
      <c r="E748" s="43" t="s">
        <v>50</v>
      </c>
      <c r="F748" s="41">
        <v>40013876</v>
      </c>
      <c r="G748" s="43" t="s">
        <v>377</v>
      </c>
      <c r="H748" s="42">
        <v>1</v>
      </c>
      <c r="I748" s="44">
        <v>99.75</v>
      </c>
      <c r="J748" s="48"/>
    </row>
    <row r="749" spans="1:10" ht="18.75" customHeight="1" x14ac:dyDescent="0.25">
      <c r="A749" t="s">
        <v>351</v>
      </c>
      <c r="B749" s="40">
        <v>44772</v>
      </c>
      <c r="C749" s="41">
        <v>34126</v>
      </c>
      <c r="D749" s="42" t="s">
        <v>49</v>
      </c>
      <c r="E749" s="43" t="s">
        <v>50</v>
      </c>
      <c r="F749" s="41">
        <v>40013867</v>
      </c>
      <c r="G749" s="43" t="s">
        <v>236</v>
      </c>
      <c r="H749" s="42">
        <v>1</v>
      </c>
      <c r="I749" s="44">
        <v>99.75</v>
      </c>
      <c r="J749" s="48"/>
    </row>
    <row r="750" spans="1:10" ht="18.75" customHeight="1" x14ac:dyDescent="0.25">
      <c r="A750" t="s">
        <v>351</v>
      </c>
      <c r="B750" s="40">
        <v>44772</v>
      </c>
      <c r="C750" s="41">
        <v>52156</v>
      </c>
      <c r="D750" s="42" t="s">
        <v>49</v>
      </c>
      <c r="E750" s="43" t="s">
        <v>50</v>
      </c>
      <c r="F750" s="41">
        <v>40018301</v>
      </c>
      <c r="G750" s="43" t="s">
        <v>431</v>
      </c>
      <c r="H750" s="42">
        <v>2</v>
      </c>
      <c r="I750" s="44">
        <v>499.5</v>
      </c>
      <c r="J750" s="48"/>
    </row>
    <row r="751" spans="1:10" ht="18.75" customHeight="1" x14ac:dyDescent="0.25">
      <c r="A751" t="s">
        <v>351</v>
      </c>
      <c r="B751" s="40">
        <v>44772</v>
      </c>
      <c r="C751" s="41">
        <v>52156</v>
      </c>
      <c r="D751" s="42" t="s">
        <v>49</v>
      </c>
      <c r="E751" s="43" t="s">
        <v>50</v>
      </c>
      <c r="F751" s="41">
        <v>40018295</v>
      </c>
      <c r="G751" s="43" t="s">
        <v>432</v>
      </c>
      <c r="H751" s="42">
        <v>2</v>
      </c>
      <c r="I751" s="44">
        <v>459.5</v>
      </c>
      <c r="J751" s="48"/>
    </row>
    <row r="752" spans="1:10" ht="18.75" customHeight="1" x14ac:dyDescent="0.25">
      <c r="A752" t="s">
        <v>351</v>
      </c>
      <c r="B752" s="40">
        <v>44772</v>
      </c>
      <c r="C752" s="41">
        <v>52136</v>
      </c>
      <c r="D752" s="42" t="s">
        <v>49</v>
      </c>
      <c r="E752" s="43" t="s">
        <v>50</v>
      </c>
      <c r="F752" s="41">
        <v>40018817</v>
      </c>
      <c r="G752" s="43" t="s">
        <v>188</v>
      </c>
      <c r="H752" s="42">
        <v>1</v>
      </c>
      <c r="I752" s="44">
        <v>399.75</v>
      </c>
      <c r="J752" s="48"/>
    </row>
    <row r="753" spans="1:10" ht="18.75" customHeight="1" x14ac:dyDescent="0.25">
      <c r="A753" t="s">
        <v>351</v>
      </c>
      <c r="B753" s="40">
        <v>44772</v>
      </c>
      <c r="C753" s="41">
        <v>52136</v>
      </c>
      <c r="D753" s="42" t="s">
        <v>49</v>
      </c>
      <c r="E753" s="43" t="s">
        <v>50</v>
      </c>
      <c r="F753" s="41">
        <v>40018819</v>
      </c>
      <c r="G753" s="43" t="s">
        <v>427</v>
      </c>
      <c r="H753" s="42">
        <v>1</v>
      </c>
      <c r="I753" s="44">
        <v>399.75</v>
      </c>
      <c r="J753" s="48"/>
    </row>
    <row r="754" spans="1:10" ht="18.75" customHeight="1" x14ac:dyDescent="0.25">
      <c r="A754" t="s">
        <v>351</v>
      </c>
      <c r="B754" s="40">
        <v>44773</v>
      </c>
      <c r="C754" s="41">
        <v>72392</v>
      </c>
      <c r="D754" s="42" t="s">
        <v>49</v>
      </c>
      <c r="E754" s="43" t="s">
        <v>50</v>
      </c>
      <c r="F754" s="41">
        <v>40013878</v>
      </c>
      <c r="G754" s="43" t="s">
        <v>114</v>
      </c>
      <c r="H754" s="42">
        <v>1</v>
      </c>
      <c r="I754" s="44">
        <v>99.75</v>
      </c>
      <c r="J754" s="48"/>
    </row>
    <row r="755" spans="1:10" ht="18.75" customHeight="1" x14ac:dyDescent="0.25">
      <c r="A755" t="s">
        <v>351</v>
      </c>
      <c r="B755" s="40">
        <v>44773</v>
      </c>
      <c r="C755" s="41">
        <v>72392</v>
      </c>
      <c r="D755" s="42" t="s">
        <v>49</v>
      </c>
      <c r="E755" s="43" t="s">
        <v>50</v>
      </c>
      <c r="F755" s="41">
        <v>40013876</v>
      </c>
      <c r="G755" s="43" t="s">
        <v>377</v>
      </c>
      <c r="H755" s="42">
        <v>1</v>
      </c>
      <c r="I755" s="44">
        <v>99.75</v>
      </c>
      <c r="J755" s="48"/>
    </row>
    <row r="756" spans="1:10" ht="18.75" customHeight="1" x14ac:dyDescent="0.25">
      <c r="A756" t="s">
        <v>351</v>
      </c>
      <c r="B756" s="40">
        <v>44773</v>
      </c>
      <c r="C756" s="41">
        <v>34189</v>
      </c>
      <c r="D756" s="42" t="s">
        <v>49</v>
      </c>
      <c r="E756" s="43" t="s">
        <v>50</v>
      </c>
      <c r="F756" s="41">
        <v>40020459</v>
      </c>
      <c r="G756" s="43" t="s">
        <v>265</v>
      </c>
      <c r="H756" s="42">
        <v>1</v>
      </c>
      <c r="I756" s="44">
        <v>399.75</v>
      </c>
      <c r="J756" s="48"/>
    </row>
    <row r="757" spans="1:10" ht="18.75" customHeight="1" x14ac:dyDescent="0.25">
      <c r="A757" t="s">
        <v>351</v>
      </c>
      <c r="B757" s="40">
        <v>44773</v>
      </c>
      <c r="C757" s="41">
        <v>34205</v>
      </c>
      <c r="D757" s="42" t="s">
        <v>49</v>
      </c>
      <c r="E757" s="43" t="s">
        <v>50</v>
      </c>
      <c r="F757" s="41">
        <v>40020451</v>
      </c>
      <c r="G757" s="43" t="s">
        <v>196</v>
      </c>
      <c r="H757" s="42">
        <v>1</v>
      </c>
      <c r="I757" s="44">
        <v>399.75</v>
      </c>
      <c r="J757" s="48"/>
    </row>
    <row r="758" spans="1:10" ht="18.75" customHeight="1" x14ac:dyDescent="0.25">
      <c r="A758" t="s">
        <v>351</v>
      </c>
      <c r="B758" s="40">
        <v>44773</v>
      </c>
      <c r="C758" s="41">
        <v>52179</v>
      </c>
      <c r="D758" s="42" t="s">
        <v>49</v>
      </c>
      <c r="E758" s="43" t="s">
        <v>50</v>
      </c>
      <c r="F758" s="41">
        <v>40014668</v>
      </c>
      <c r="G758" s="43" t="s">
        <v>68</v>
      </c>
      <c r="H758" s="42">
        <v>1</v>
      </c>
      <c r="I758" s="44">
        <v>499.75</v>
      </c>
      <c r="J758" s="48"/>
    </row>
    <row r="759" spans="1:10" ht="18.75" customHeight="1" x14ac:dyDescent="0.25">
      <c r="A759" t="s">
        <v>351</v>
      </c>
      <c r="B759" s="40">
        <v>44773</v>
      </c>
      <c r="C759" s="41">
        <v>34183</v>
      </c>
      <c r="D759" s="42" t="s">
        <v>49</v>
      </c>
      <c r="E759" s="43" t="s">
        <v>50</v>
      </c>
      <c r="F759" s="41">
        <v>40019140</v>
      </c>
      <c r="G759" s="43" t="s">
        <v>285</v>
      </c>
      <c r="H759" s="42">
        <v>1</v>
      </c>
      <c r="I759" s="44">
        <v>499.75</v>
      </c>
      <c r="J759" s="48"/>
    </row>
    <row r="760" spans="1:10" ht="18.75" customHeight="1" x14ac:dyDescent="0.25">
      <c r="A760" t="s">
        <v>433</v>
      </c>
      <c r="B760" s="40">
        <v>44743</v>
      </c>
      <c r="C760" s="41">
        <v>72943</v>
      </c>
      <c r="D760" s="42" t="s">
        <v>49</v>
      </c>
      <c r="E760" s="43" t="s">
        <v>50</v>
      </c>
      <c r="F760" s="41">
        <v>40013852</v>
      </c>
      <c r="G760" s="43" t="s">
        <v>212</v>
      </c>
      <c r="H760" s="42">
        <v>1</v>
      </c>
      <c r="I760" s="44">
        <v>129.75</v>
      </c>
      <c r="J760" s="48"/>
    </row>
    <row r="761" spans="1:10" ht="18.75" customHeight="1" x14ac:dyDescent="0.25">
      <c r="A761" t="s">
        <v>433</v>
      </c>
      <c r="B761" s="40">
        <v>44743</v>
      </c>
      <c r="C761" s="41">
        <v>72943</v>
      </c>
      <c r="D761" s="42" t="s">
        <v>49</v>
      </c>
      <c r="E761" s="43" t="s">
        <v>50</v>
      </c>
      <c r="F761" s="41">
        <v>40021970</v>
      </c>
      <c r="G761" s="43" t="s">
        <v>338</v>
      </c>
      <c r="H761" s="42">
        <v>1</v>
      </c>
      <c r="I761" s="44">
        <v>129.75</v>
      </c>
      <c r="J761" s="48"/>
    </row>
    <row r="762" spans="1:10" ht="18.75" customHeight="1" x14ac:dyDescent="0.25">
      <c r="A762" t="s">
        <v>433</v>
      </c>
      <c r="B762" s="40">
        <v>44743</v>
      </c>
      <c r="C762" s="41">
        <v>31136</v>
      </c>
      <c r="D762" s="42" t="s">
        <v>49</v>
      </c>
      <c r="E762" s="43" t="s">
        <v>50</v>
      </c>
      <c r="F762" s="41">
        <v>40019148</v>
      </c>
      <c r="G762" s="43" t="s">
        <v>59</v>
      </c>
      <c r="H762" s="42">
        <v>1</v>
      </c>
      <c r="I762" s="44">
        <v>399.75</v>
      </c>
      <c r="J762" s="48"/>
    </row>
    <row r="763" spans="1:10" ht="18.75" customHeight="1" x14ac:dyDescent="0.25">
      <c r="A763" t="s">
        <v>433</v>
      </c>
      <c r="B763" s="40">
        <v>44743</v>
      </c>
      <c r="C763" s="41">
        <v>72972</v>
      </c>
      <c r="D763" s="42" t="s">
        <v>49</v>
      </c>
      <c r="E763" s="43" t="s">
        <v>50</v>
      </c>
      <c r="F763" s="41">
        <v>40020457</v>
      </c>
      <c r="G763" s="43" t="s">
        <v>185</v>
      </c>
      <c r="H763" s="42">
        <v>1</v>
      </c>
      <c r="I763" s="44">
        <v>404.78</v>
      </c>
      <c r="J763" s="48"/>
    </row>
    <row r="764" spans="1:10" ht="18.75" customHeight="1" x14ac:dyDescent="0.25">
      <c r="A764" t="s">
        <v>433</v>
      </c>
      <c r="B764" s="40">
        <v>44743</v>
      </c>
      <c r="C764" s="41">
        <v>65326</v>
      </c>
      <c r="D764" s="42" t="s">
        <v>49</v>
      </c>
      <c r="E764" s="43" t="s">
        <v>50</v>
      </c>
      <c r="F764" s="41">
        <v>40013301</v>
      </c>
      <c r="G764" s="43" t="s">
        <v>174</v>
      </c>
      <c r="H764" s="42">
        <v>1</v>
      </c>
      <c r="I764" s="44">
        <v>129.75</v>
      </c>
      <c r="J764" s="48"/>
    </row>
    <row r="765" spans="1:10" ht="18.75" customHeight="1" x14ac:dyDescent="0.25">
      <c r="A765" t="s">
        <v>433</v>
      </c>
      <c r="B765" s="40">
        <v>44743</v>
      </c>
      <c r="C765" s="41">
        <v>72953</v>
      </c>
      <c r="D765" s="42" t="s">
        <v>49</v>
      </c>
      <c r="E765" s="43" t="s">
        <v>50</v>
      </c>
      <c r="F765" s="41">
        <v>40019096</v>
      </c>
      <c r="G765" s="43" t="s">
        <v>159</v>
      </c>
      <c r="H765" s="42">
        <v>1</v>
      </c>
      <c r="I765" s="44">
        <v>699.75</v>
      </c>
      <c r="J765" s="48"/>
    </row>
    <row r="766" spans="1:10" ht="18.75" customHeight="1" x14ac:dyDescent="0.25">
      <c r="A766" t="s">
        <v>433</v>
      </c>
      <c r="B766" s="40">
        <v>44743</v>
      </c>
      <c r="C766" s="41">
        <v>31145</v>
      </c>
      <c r="D766" s="42" t="s">
        <v>49</v>
      </c>
      <c r="E766" s="43" t="s">
        <v>50</v>
      </c>
      <c r="F766" s="41">
        <v>40018819</v>
      </c>
      <c r="G766" s="43" t="s">
        <v>427</v>
      </c>
      <c r="H766" s="42">
        <v>1</v>
      </c>
      <c r="I766" s="44">
        <v>359.78</v>
      </c>
      <c r="J766" s="48"/>
    </row>
    <row r="767" spans="1:10" ht="18.75" customHeight="1" x14ac:dyDescent="0.25">
      <c r="A767" t="s">
        <v>433</v>
      </c>
      <c r="B767" s="40">
        <v>44744</v>
      </c>
      <c r="C767" s="41">
        <v>31204</v>
      </c>
      <c r="D767" s="42" t="s">
        <v>49</v>
      </c>
      <c r="E767" s="43" t="s">
        <v>50</v>
      </c>
      <c r="F767" s="41">
        <v>40018365</v>
      </c>
      <c r="G767" s="43" t="s">
        <v>434</v>
      </c>
      <c r="H767" s="42">
        <v>2</v>
      </c>
      <c r="I767" s="44">
        <v>539.55000000000007</v>
      </c>
      <c r="J767" s="48"/>
    </row>
    <row r="768" spans="1:10" ht="18.75" customHeight="1" x14ac:dyDescent="0.25">
      <c r="A768" t="s">
        <v>433</v>
      </c>
      <c r="B768" s="40">
        <v>44744</v>
      </c>
      <c r="C768" s="41">
        <v>65341</v>
      </c>
      <c r="D768" s="42" t="s">
        <v>49</v>
      </c>
      <c r="E768" s="43" t="s">
        <v>50</v>
      </c>
      <c r="F768" s="41">
        <v>40013818</v>
      </c>
      <c r="G768" s="43" t="s">
        <v>372</v>
      </c>
      <c r="H768" s="42">
        <v>1</v>
      </c>
      <c r="I768" s="44">
        <v>299.75</v>
      </c>
      <c r="J768" s="48"/>
    </row>
    <row r="769" spans="1:10" ht="18.75" customHeight="1" x14ac:dyDescent="0.25">
      <c r="A769" t="s">
        <v>433</v>
      </c>
      <c r="B769" s="40">
        <v>44744</v>
      </c>
      <c r="C769" s="41">
        <v>65353</v>
      </c>
      <c r="D769" s="42" t="s">
        <v>49</v>
      </c>
      <c r="E769" s="43" t="s">
        <v>50</v>
      </c>
      <c r="F769" s="41">
        <v>40018707</v>
      </c>
      <c r="G769" s="43" t="s">
        <v>89</v>
      </c>
      <c r="H769" s="42">
        <v>1</v>
      </c>
      <c r="I769" s="44">
        <v>599.75</v>
      </c>
      <c r="J769" s="48"/>
    </row>
    <row r="770" spans="1:10" ht="18.75" customHeight="1" x14ac:dyDescent="0.25">
      <c r="A770" t="s">
        <v>433</v>
      </c>
      <c r="B770" s="40">
        <v>44744</v>
      </c>
      <c r="C770" s="41">
        <v>31203</v>
      </c>
      <c r="D770" s="42" t="s">
        <v>49</v>
      </c>
      <c r="E770" s="43" t="s">
        <v>50</v>
      </c>
      <c r="F770" s="41">
        <v>40019150</v>
      </c>
      <c r="G770" s="43" t="s">
        <v>139</v>
      </c>
      <c r="H770" s="42">
        <v>1</v>
      </c>
      <c r="I770" s="44">
        <v>399.75</v>
      </c>
      <c r="J770" s="48"/>
    </row>
    <row r="771" spans="1:10" ht="18.75" customHeight="1" x14ac:dyDescent="0.25">
      <c r="A771" t="s">
        <v>433</v>
      </c>
      <c r="B771" s="40">
        <v>44744</v>
      </c>
      <c r="C771" s="41">
        <v>65335</v>
      </c>
      <c r="D771" s="42" t="s">
        <v>49</v>
      </c>
      <c r="E771" s="43" t="s">
        <v>50</v>
      </c>
      <c r="F771" s="41">
        <v>40019150</v>
      </c>
      <c r="G771" s="43" t="s">
        <v>139</v>
      </c>
      <c r="H771" s="42">
        <v>1</v>
      </c>
      <c r="I771" s="44">
        <v>399.75</v>
      </c>
      <c r="J771" s="48"/>
    </row>
    <row r="772" spans="1:10" ht="18.75" customHeight="1" x14ac:dyDescent="0.25">
      <c r="A772" t="s">
        <v>433</v>
      </c>
      <c r="B772" s="40">
        <v>44744</v>
      </c>
      <c r="C772" s="41">
        <v>65355</v>
      </c>
      <c r="D772" s="42" t="s">
        <v>49</v>
      </c>
      <c r="E772" s="43" t="s">
        <v>50</v>
      </c>
      <c r="F772" s="41">
        <v>40020457</v>
      </c>
      <c r="G772" s="43" t="s">
        <v>185</v>
      </c>
      <c r="H772" s="42">
        <v>1</v>
      </c>
      <c r="I772" s="44">
        <v>449.75</v>
      </c>
      <c r="J772" s="48"/>
    </row>
    <row r="773" spans="1:10" ht="18.75" customHeight="1" x14ac:dyDescent="0.25">
      <c r="A773" t="s">
        <v>433</v>
      </c>
      <c r="B773" s="40">
        <v>44745</v>
      </c>
      <c r="C773" s="41">
        <v>65431</v>
      </c>
      <c r="D773" s="42" t="s">
        <v>49</v>
      </c>
      <c r="E773" s="43" t="s">
        <v>50</v>
      </c>
      <c r="F773" s="41">
        <v>40013873</v>
      </c>
      <c r="G773" s="43" t="s">
        <v>98</v>
      </c>
      <c r="H773" s="42">
        <v>1</v>
      </c>
      <c r="I773" s="44">
        <v>99.75</v>
      </c>
      <c r="J773" s="48"/>
    </row>
    <row r="774" spans="1:10" ht="18.75" customHeight="1" x14ac:dyDescent="0.25">
      <c r="A774" t="s">
        <v>433</v>
      </c>
      <c r="B774" s="40">
        <v>44745</v>
      </c>
      <c r="C774" s="41">
        <v>65402</v>
      </c>
      <c r="D774" s="42" t="s">
        <v>49</v>
      </c>
      <c r="E774" s="43" t="s">
        <v>50</v>
      </c>
      <c r="F774" s="41">
        <v>40020461</v>
      </c>
      <c r="G774" s="43" t="s">
        <v>76</v>
      </c>
      <c r="H774" s="42">
        <v>1</v>
      </c>
      <c r="I774" s="44">
        <v>449.75</v>
      </c>
      <c r="J774" s="48"/>
    </row>
    <row r="775" spans="1:10" ht="18.75" customHeight="1" x14ac:dyDescent="0.25">
      <c r="A775" t="s">
        <v>433</v>
      </c>
      <c r="B775" s="40">
        <v>44746</v>
      </c>
      <c r="C775" s="41">
        <v>31260</v>
      </c>
      <c r="D775" s="42" t="s">
        <v>49</v>
      </c>
      <c r="E775" s="43" t="s">
        <v>50</v>
      </c>
      <c r="F775" s="41">
        <v>40019101</v>
      </c>
      <c r="G775" s="43" t="s">
        <v>150</v>
      </c>
      <c r="H775" s="42">
        <v>2</v>
      </c>
      <c r="I775" s="44">
        <v>2999.5</v>
      </c>
      <c r="J775" s="48"/>
    </row>
    <row r="776" spans="1:10" ht="18.75" customHeight="1" x14ac:dyDescent="0.25">
      <c r="A776" t="s">
        <v>433</v>
      </c>
      <c r="B776" s="40">
        <v>44746</v>
      </c>
      <c r="C776" s="41">
        <v>31244</v>
      </c>
      <c r="D776" s="42" t="s">
        <v>49</v>
      </c>
      <c r="E776" s="43" t="s">
        <v>50</v>
      </c>
      <c r="F776" s="41">
        <v>40019151</v>
      </c>
      <c r="G776" s="43" t="s">
        <v>399</v>
      </c>
      <c r="H776" s="42">
        <v>1</v>
      </c>
      <c r="I776" s="44">
        <v>399.75</v>
      </c>
      <c r="J776" s="48"/>
    </row>
    <row r="777" spans="1:10" ht="18.75" customHeight="1" x14ac:dyDescent="0.25">
      <c r="A777" t="s">
        <v>433</v>
      </c>
      <c r="B777" s="40">
        <v>44746</v>
      </c>
      <c r="C777" s="41">
        <v>31246</v>
      </c>
      <c r="D777" s="42" t="s">
        <v>49</v>
      </c>
      <c r="E777" s="43" t="s">
        <v>50</v>
      </c>
      <c r="F777" s="41">
        <v>40020461</v>
      </c>
      <c r="G777" s="43" t="s">
        <v>76</v>
      </c>
      <c r="H777" s="42">
        <v>1</v>
      </c>
      <c r="I777" s="44">
        <v>449.75</v>
      </c>
      <c r="J777" s="48"/>
    </row>
    <row r="778" spans="1:10" ht="18.75" customHeight="1" x14ac:dyDescent="0.25">
      <c r="A778" t="s">
        <v>433</v>
      </c>
      <c r="B778" s="40">
        <v>44746</v>
      </c>
      <c r="C778" s="41">
        <v>31260</v>
      </c>
      <c r="D778" s="42" t="s">
        <v>49</v>
      </c>
      <c r="E778" s="43" t="s">
        <v>50</v>
      </c>
      <c r="F778" s="41">
        <v>40014664</v>
      </c>
      <c r="G778" s="43" t="s">
        <v>271</v>
      </c>
      <c r="H778" s="42">
        <v>1</v>
      </c>
      <c r="I778" s="44">
        <v>499.75</v>
      </c>
      <c r="J778" s="48"/>
    </row>
    <row r="779" spans="1:10" ht="18.75" customHeight="1" x14ac:dyDescent="0.25">
      <c r="A779" t="s">
        <v>433</v>
      </c>
      <c r="B779" s="40">
        <v>44747</v>
      </c>
      <c r="C779" s="41">
        <v>31312</v>
      </c>
      <c r="D779" s="42" t="s">
        <v>49</v>
      </c>
      <c r="E779" s="43" t="s">
        <v>50</v>
      </c>
      <c r="F779" s="41">
        <v>40014664</v>
      </c>
      <c r="G779" s="43" t="s">
        <v>271</v>
      </c>
      <c r="H779" s="42">
        <v>1</v>
      </c>
      <c r="I779" s="44">
        <v>499.75</v>
      </c>
      <c r="J779" s="48"/>
    </row>
    <row r="780" spans="1:10" ht="18.75" customHeight="1" x14ac:dyDescent="0.25">
      <c r="A780" t="s">
        <v>433</v>
      </c>
      <c r="B780" s="40">
        <v>44747</v>
      </c>
      <c r="C780" s="41">
        <v>73061</v>
      </c>
      <c r="D780" s="42" t="s">
        <v>49</v>
      </c>
      <c r="E780" s="43" t="s">
        <v>50</v>
      </c>
      <c r="F780" s="41">
        <v>40014664</v>
      </c>
      <c r="G780" s="43" t="s">
        <v>271</v>
      </c>
      <c r="H780" s="42">
        <v>1</v>
      </c>
      <c r="I780" s="44">
        <v>499.75</v>
      </c>
      <c r="J780" s="48"/>
    </row>
    <row r="781" spans="1:10" ht="18.75" customHeight="1" x14ac:dyDescent="0.25">
      <c r="A781" t="s">
        <v>433</v>
      </c>
      <c r="B781" s="40">
        <v>44747</v>
      </c>
      <c r="C781" s="41">
        <v>31304</v>
      </c>
      <c r="D781" s="42" t="s">
        <v>49</v>
      </c>
      <c r="E781" s="43" t="s">
        <v>50</v>
      </c>
      <c r="F781" s="41">
        <v>40014556</v>
      </c>
      <c r="G781" s="43" t="s">
        <v>119</v>
      </c>
      <c r="H781" s="42">
        <v>1</v>
      </c>
      <c r="I781" s="44">
        <v>150</v>
      </c>
      <c r="J781" s="48"/>
    </row>
    <row r="782" spans="1:10" ht="18.75" customHeight="1" x14ac:dyDescent="0.25">
      <c r="A782" t="s">
        <v>433</v>
      </c>
      <c r="B782" s="40">
        <v>44747</v>
      </c>
      <c r="C782" s="41">
        <v>31279</v>
      </c>
      <c r="D782" s="42" t="s">
        <v>49</v>
      </c>
      <c r="E782" s="43" t="s">
        <v>50</v>
      </c>
      <c r="F782" s="41">
        <v>40013837</v>
      </c>
      <c r="G782" s="43" t="s">
        <v>435</v>
      </c>
      <c r="H782" s="42">
        <v>1</v>
      </c>
      <c r="I782" s="44">
        <v>599.75</v>
      </c>
      <c r="J782" s="48"/>
    </row>
    <row r="783" spans="1:10" ht="18.75" customHeight="1" x14ac:dyDescent="0.25">
      <c r="A783" t="s">
        <v>433</v>
      </c>
      <c r="B783" s="40">
        <v>44747</v>
      </c>
      <c r="C783" s="41">
        <v>31304</v>
      </c>
      <c r="D783" s="42" t="s">
        <v>49</v>
      </c>
      <c r="E783" s="43" t="s">
        <v>50</v>
      </c>
      <c r="F783" s="41">
        <v>40018820</v>
      </c>
      <c r="G783" s="43" t="s">
        <v>275</v>
      </c>
      <c r="H783" s="42">
        <v>1</v>
      </c>
      <c r="I783" s="44">
        <v>599.75</v>
      </c>
      <c r="J783" s="48"/>
    </row>
    <row r="784" spans="1:10" ht="18.75" customHeight="1" x14ac:dyDescent="0.25">
      <c r="A784" t="s">
        <v>433</v>
      </c>
      <c r="B784" s="40">
        <v>44748</v>
      </c>
      <c r="C784" s="41">
        <v>73093</v>
      </c>
      <c r="D784" s="42" t="s">
        <v>49</v>
      </c>
      <c r="E784" s="43" t="s">
        <v>50</v>
      </c>
      <c r="F784" s="41">
        <v>40019367</v>
      </c>
      <c r="G784" s="43" t="s">
        <v>277</v>
      </c>
      <c r="H784" s="42">
        <v>1</v>
      </c>
      <c r="I784" s="44">
        <v>279.75</v>
      </c>
      <c r="J784" s="48"/>
    </row>
    <row r="785" spans="1:10" ht="18.75" customHeight="1" x14ac:dyDescent="0.25">
      <c r="A785" t="s">
        <v>433</v>
      </c>
      <c r="B785" s="40">
        <v>44748</v>
      </c>
      <c r="C785" s="41">
        <v>73093</v>
      </c>
      <c r="D785" s="42" t="s">
        <v>49</v>
      </c>
      <c r="E785" s="43" t="s">
        <v>50</v>
      </c>
      <c r="F785" s="41">
        <v>40019364</v>
      </c>
      <c r="G785" s="43" t="s">
        <v>436</v>
      </c>
      <c r="H785" s="42">
        <v>1</v>
      </c>
      <c r="I785" s="44">
        <v>279.75</v>
      </c>
      <c r="J785" s="48"/>
    </row>
    <row r="786" spans="1:10" ht="18.75" customHeight="1" x14ac:dyDescent="0.25">
      <c r="A786" t="s">
        <v>433</v>
      </c>
      <c r="B786" s="40">
        <v>44748</v>
      </c>
      <c r="C786" s="41">
        <v>73093</v>
      </c>
      <c r="D786" s="42" t="s">
        <v>49</v>
      </c>
      <c r="E786" s="43" t="s">
        <v>50</v>
      </c>
      <c r="F786" s="41">
        <v>40018372</v>
      </c>
      <c r="G786" s="43" t="s">
        <v>437</v>
      </c>
      <c r="H786" s="42">
        <v>1</v>
      </c>
      <c r="I786" s="44">
        <v>199.75</v>
      </c>
      <c r="J786" s="48"/>
    </row>
    <row r="787" spans="1:10" ht="18.75" customHeight="1" x14ac:dyDescent="0.25">
      <c r="A787" t="s">
        <v>433</v>
      </c>
      <c r="B787" s="40">
        <v>44748</v>
      </c>
      <c r="C787" s="41">
        <v>73089</v>
      </c>
      <c r="D787" s="42" t="s">
        <v>49</v>
      </c>
      <c r="E787" s="43" t="s">
        <v>50</v>
      </c>
      <c r="F787" s="41">
        <v>40014664</v>
      </c>
      <c r="G787" s="43" t="s">
        <v>271</v>
      </c>
      <c r="H787" s="42">
        <v>1</v>
      </c>
      <c r="I787" s="44">
        <v>499.75</v>
      </c>
      <c r="J787" s="48"/>
    </row>
    <row r="788" spans="1:10" ht="18.75" customHeight="1" x14ac:dyDescent="0.25">
      <c r="A788" t="s">
        <v>433</v>
      </c>
      <c r="B788" s="40">
        <v>44749</v>
      </c>
      <c r="C788" s="41">
        <v>65534</v>
      </c>
      <c r="D788" s="42" t="s">
        <v>49</v>
      </c>
      <c r="E788" s="43" t="s">
        <v>50</v>
      </c>
      <c r="F788" s="41">
        <v>40014012</v>
      </c>
      <c r="G788" s="43" t="s">
        <v>438</v>
      </c>
      <c r="H788" s="42">
        <v>1</v>
      </c>
      <c r="I788" s="44">
        <v>299.75</v>
      </c>
      <c r="J788" s="48"/>
    </row>
    <row r="789" spans="1:10" ht="18.75" customHeight="1" x14ac:dyDescent="0.25">
      <c r="A789" t="s">
        <v>433</v>
      </c>
      <c r="B789" s="40">
        <v>44749</v>
      </c>
      <c r="C789" s="41">
        <v>65518</v>
      </c>
      <c r="D789" s="42" t="s">
        <v>49</v>
      </c>
      <c r="E789" s="43" t="s">
        <v>50</v>
      </c>
      <c r="F789" s="41">
        <v>40018708</v>
      </c>
      <c r="G789" s="43" t="s">
        <v>268</v>
      </c>
      <c r="H789" s="42">
        <v>2</v>
      </c>
      <c r="I789" s="44">
        <v>1199.5</v>
      </c>
      <c r="J789" s="48"/>
    </row>
    <row r="790" spans="1:10" ht="18.75" customHeight="1" x14ac:dyDescent="0.25">
      <c r="A790" t="s">
        <v>433</v>
      </c>
      <c r="B790" s="40">
        <v>44749</v>
      </c>
      <c r="C790" s="41">
        <v>65520</v>
      </c>
      <c r="D790" s="42" t="s">
        <v>49</v>
      </c>
      <c r="E790" s="43" t="s">
        <v>50</v>
      </c>
      <c r="F790" s="41">
        <v>40019091</v>
      </c>
      <c r="G790" s="43" t="s">
        <v>439</v>
      </c>
      <c r="H790" s="42">
        <v>1</v>
      </c>
      <c r="I790" s="44">
        <v>1299.75</v>
      </c>
      <c r="J790" s="48"/>
    </row>
    <row r="791" spans="1:10" ht="18.75" customHeight="1" x14ac:dyDescent="0.25">
      <c r="A791" t="s">
        <v>433</v>
      </c>
      <c r="B791" s="40">
        <v>44749</v>
      </c>
      <c r="C791" s="41">
        <v>31421</v>
      </c>
      <c r="D791" s="42" t="s">
        <v>49</v>
      </c>
      <c r="E791" s="43" t="s">
        <v>50</v>
      </c>
      <c r="F791" s="41">
        <v>40020456</v>
      </c>
      <c r="G791" s="43" t="s">
        <v>199</v>
      </c>
      <c r="H791" s="42">
        <v>1</v>
      </c>
      <c r="I791" s="44">
        <v>449.75</v>
      </c>
      <c r="J791" s="48"/>
    </row>
    <row r="792" spans="1:10" ht="18.75" customHeight="1" x14ac:dyDescent="0.25">
      <c r="A792" t="s">
        <v>433</v>
      </c>
      <c r="B792" s="40">
        <v>44749</v>
      </c>
      <c r="C792" s="41">
        <v>65518</v>
      </c>
      <c r="D792" s="42" t="s">
        <v>49</v>
      </c>
      <c r="E792" s="43" t="s">
        <v>50</v>
      </c>
      <c r="F792" s="41">
        <v>40014663</v>
      </c>
      <c r="G792" s="43" t="s">
        <v>271</v>
      </c>
      <c r="H792" s="42">
        <v>1</v>
      </c>
      <c r="I792" s="44">
        <v>499.75</v>
      </c>
      <c r="J792" s="48"/>
    </row>
    <row r="793" spans="1:10" ht="18.75" customHeight="1" x14ac:dyDescent="0.25">
      <c r="A793" t="s">
        <v>433</v>
      </c>
      <c r="B793" s="40">
        <v>44749</v>
      </c>
      <c r="C793" s="41">
        <v>65518</v>
      </c>
      <c r="D793" s="42" t="s">
        <v>49</v>
      </c>
      <c r="E793" s="43" t="s">
        <v>50</v>
      </c>
      <c r="F793" s="41">
        <v>40014664</v>
      </c>
      <c r="G793" s="43" t="s">
        <v>271</v>
      </c>
      <c r="H793" s="42">
        <v>1</v>
      </c>
      <c r="I793" s="44">
        <v>499.75</v>
      </c>
      <c r="J793" s="48"/>
    </row>
    <row r="794" spans="1:10" ht="18.75" customHeight="1" x14ac:dyDescent="0.25">
      <c r="A794" t="s">
        <v>433</v>
      </c>
      <c r="B794" s="40">
        <v>44749</v>
      </c>
      <c r="C794" s="41">
        <v>65556</v>
      </c>
      <c r="D794" s="42" t="s">
        <v>49</v>
      </c>
      <c r="E794" s="43" t="s">
        <v>50</v>
      </c>
      <c r="F794" s="41">
        <v>40016813</v>
      </c>
      <c r="G794" s="43" t="s">
        <v>440</v>
      </c>
      <c r="H794" s="42">
        <v>1</v>
      </c>
      <c r="I794" s="44">
        <v>125.92</v>
      </c>
      <c r="J794" s="48"/>
    </row>
    <row r="795" spans="1:10" ht="18.75" customHeight="1" x14ac:dyDescent="0.25">
      <c r="A795" t="s">
        <v>433</v>
      </c>
      <c r="B795" s="40">
        <v>44749</v>
      </c>
      <c r="C795" s="41">
        <v>65567</v>
      </c>
      <c r="D795" s="42" t="s">
        <v>49</v>
      </c>
      <c r="E795" s="43" t="s">
        <v>50</v>
      </c>
      <c r="F795" s="41">
        <v>40018821</v>
      </c>
      <c r="G795" s="43" t="s">
        <v>276</v>
      </c>
      <c r="H795" s="42">
        <v>1</v>
      </c>
      <c r="I795" s="44">
        <v>599.75</v>
      </c>
      <c r="J795" s="48"/>
    </row>
    <row r="796" spans="1:10" ht="18.75" customHeight="1" x14ac:dyDescent="0.25">
      <c r="A796" t="s">
        <v>433</v>
      </c>
      <c r="B796" s="40">
        <v>44750</v>
      </c>
      <c r="C796" s="41">
        <v>31472</v>
      </c>
      <c r="D796" s="42" t="s">
        <v>49</v>
      </c>
      <c r="E796" s="43" t="s">
        <v>50</v>
      </c>
      <c r="F796" s="41">
        <v>40013817</v>
      </c>
      <c r="G796" s="43" t="s">
        <v>125</v>
      </c>
      <c r="H796" s="42">
        <v>1</v>
      </c>
      <c r="I796" s="44">
        <v>299.75</v>
      </c>
      <c r="J796" s="48"/>
    </row>
    <row r="797" spans="1:10" ht="18.75" customHeight="1" x14ac:dyDescent="0.25">
      <c r="A797" t="s">
        <v>433</v>
      </c>
      <c r="B797" s="40">
        <v>44750</v>
      </c>
      <c r="C797" s="41">
        <v>73160</v>
      </c>
      <c r="D797" s="42" t="s">
        <v>49</v>
      </c>
      <c r="E797" s="43" t="s">
        <v>50</v>
      </c>
      <c r="F797" s="41">
        <v>40017571</v>
      </c>
      <c r="G797" s="43" t="s">
        <v>264</v>
      </c>
      <c r="H797" s="42">
        <v>1</v>
      </c>
      <c r="I797" s="44">
        <v>299.75</v>
      </c>
      <c r="J797" s="48"/>
    </row>
    <row r="798" spans="1:10" ht="18.75" customHeight="1" x14ac:dyDescent="0.25">
      <c r="A798" t="s">
        <v>433</v>
      </c>
      <c r="B798" s="40">
        <v>44750</v>
      </c>
      <c r="C798" s="41">
        <v>31459</v>
      </c>
      <c r="D798" s="42" t="s">
        <v>49</v>
      </c>
      <c r="E798" s="43" t="s">
        <v>50</v>
      </c>
      <c r="F798" s="41">
        <v>40013806</v>
      </c>
      <c r="G798" s="43" t="s">
        <v>67</v>
      </c>
      <c r="H798" s="42">
        <v>1</v>
      </c>
      <c r="I798" s="44">
        <v>49.75</v>
      </c>
      <c r="J798" s="48"/>
    </row>
    <row r="799" spans="1:10" ht="18.75" customHeight="1" x14ac:dyDescent="0.25">
      <c r="A799" t="s">
        <v>433</v>
      </c>
      <c r="B799" s="40">
        <v>44751</v>
      </c>
      <c r="C799" s="41">
        <v>73207</v>
      </c>
      <c r="D799" s="42" t="s">
        <v>49</v>
      </c>
      <c r="E799" s="43" t="s">
        <v>50</v>
      </c>
      <c r="F799" s="41">
        <v>40018304</v>
      </c>
      <c r="G799" s="43" t="s">
        <v>352</v>
      </c>
      <c r="H799" s="42">
        <v>1</v>
      </c>
      <c r="I799" s="44">
        <v>499.75</v>
      </c>
      <c r="J799" s="48"/>
    </row>
    <row r="800" spans="1:10" ht="18.75" customHeight="1" x14ac:dyDescent="0.25">
      <c r="A800" t="s">
        <v>433</v>
      </c>
      <c r="B800" s="40">
        <v>44751</v>
      </c>
      <c r="C800" s="41">
        <v>31517</v>
      </c>
      <c r="D800" s="42" t="s">
        <v>49</v>
      </c>
      <c r="E800" s="43" t="s">
        <v>50</v>
      </c>
      <c r="F800" s="41">
        <v>40021974</v>
      </c>
      <c r="G800" s="43" t="s">
        <v>78</v>
      </c>
      <c r="H800" s="42">
        <v>1</v>
      </c>
      <c r="I800" s="44">
        <v>229.75</v>
      </c>
      <c r="J800" s="48"/>
    </row>
    <row r="801" spans="1:10" ht="18.75" customHeight="1" x14ac:dyDescent="0.25">
      <c r="A801" t="s">
        <v>433</v>
      </c>
      <c r="B801" s="40">
        <v>44751</v>
      </c>
      <c r="C801" s="41">
        <v>31542</v>
      </c>
      <c r="D801" s="42" t="s">
        <v>49</v>
      </c>
      <c r="E801" s="43" t="s">
        <v>50</v>
      </c>
      <c r="F801" s="41">
        <v>40016725</v>
      </c>
      <c r="G801" s="43" t="s">
        <v>54</v>
      </c>
      <c r="H801" s="42">
        <v>1</v>
      </c>
      <c r="I801" s="44">
        <v>399.75</v>
      </c>
      <c r="J801" s="48"/>
    </row>
    <row r="802" spans="1:10" ht="18.75" customHeight="1" x14ac:dyDescent="0.25">
      <c r="A802" t="s">
        <v>433</v>
      </c>
      <c r="B802" s="40">
        <v>44751</v>
      </c>
      <c r="C802" s="41">
        <v>73251</v>
      </c>
      <c r="D802" s="42" t="s">
        <v>49</v>
      </c>
      <c r="E802" s="43" t="s">
        <v>50</v>
      </c>
      <c r="F802" s="41">
        <v>40013867</v>
      </c>
      <c r="G802" s="43" t="s">
        <v>236</v>
      </c>
      <c r="H802" s="42">
        <v>1</v>
      </c>
      <c r="I802" s="44">
        <v>99.75</v>
      </c>
      <c r="J802" s="48"/>
    </row>
    <row r="803" spans="1:10" ht="18.75" customHeight="1" x14ac:dyDescent="0.25">
      <c r="A803" t="s">
        <v>433</v>
      </c>
      <c r="B803" s="40">
        <v>44751</v>
      </c>
      <c r="C803" s="41">
        <v>31542</v>
      </c>
      <c r="D803" s="42" t="s">
        <v>49</v>
      </c>
      <c r="E803" s="43" t="s">
        <v>50</v>
      </c>
      <c r="F803" s="41">
        <v>40019147</v>
      </c>
      <c r="G803" s="43" t="s">
        <v>441</v>
      </c>
      <c r="H803" s="42">
        <v>1</v>
      </c>
      <c r="I803" s="44">
        <v>399.75</v>
      </c>
      <c r="J803" s="48"/>
    </row>
    <row r="804" spans="1:10" ht="18.75" customHeight="1" x14ac:dyDescent="0.25">
      <c r="A804" t="s">
        <v>433</v>
      </c>
      <c r="B804" s="40">
        <v>44751</v>
      </c>
      <c r="C804" s="41">
        <v>31514</v>
      </c>
      <c r="D804" s="42" t="s">
        <v>49</v>
      </c>
      <c r="E804" s="43" t="s">
        <v>50</v>
      </c>
      <c r="F804" s="41">
        <v>40014663</v>
      </c>
      <c r="G804" s="43" t="s">
        <v>271</v>
      </c>
      <c r="H804" s="42">
        <v>1</v>
      </c>
      <c r="I804" s="44">
        <v>499.75</v>
      </c>
      <c r="J804" s="48"/>
    </row>
    <row r="805" spans="1:10" ht="18.75" customHeight="1" x14ac:dyDescent="0.25">
      <c r="A805" t="s">
        <v>433</v>
      </c>
      <c r="B805" s="40">
        <v>44751</v>
      </c>
      <c r="C805" s="41">
        <v>31517</v>
      </c>
      <c r="D805" s="42" t="s">
        <v>49</v>
      </c>
      <c r="E805" s="43" t="s">
        <v>50</v>
      </c>
      <c r="F805" s="41">
        <v>40013380</v>
      </c>
      <c r="G805" s="43" t="s">
        <v>442</v>
      </c>
      <c r="H805" s="42">
        <v>1</v>
      </c>
      <c r="I805" s="44">
        <v>249.75</v>
      </c>
      <c r="J805" s="48"/>
    </row>
    <row r="806" spans="1:10" ht="18.75" customHeight="1" x14ac:dyDescent="0.25">
      <c r="A806" t="s">
        <v>433</v>
      </c>
      <c r="B806" s="40">
        <v>44751</v>
      </c>
      <c r="C806" s="41">
        <v>31525</v>
      </c>
      <c r="D806" s="42" t="s">
        <v>49</v>
      </c>
      <c r="E806" s="43" t="s">
        <v>50</v>
      </c>
      <c r="F806" s="41">
        <v>40021965</v>
      </c>
      <c r="G806" s="43" t="s">
        <v>316</v>
      </c>
      <c r="H806" s="42">
        <v>1</v>
      </c>
      <c r="I806" s="44">
        <v>129.75</v>
      </c>
      <c r="J806" s="48"/>
    </row>
    <row r="807" spans="1:10" ht="18.75" customHeight="1" x14ac:dyDescent="0.25">
      <c r="A807" t="s">
        <v>433</v>
      </c>
      <c r="B807" s="40">
        <v>44752</v>
      </c>
      <c r="C807" s="41">
        <v>65594</v>
      </c>
      <c r="D807" s="42" t="s">
        <v>49</v>
      </c>
      <c r="E807" s="43" t="s">
        <v>50</v>
      </c>
      <c r="F807" s="41">
        <v>40013817</v>
      </c>
      <c r="G807" s="43" t="s">
        <v>125</v>
      </c>
      <c r="H807" s="42">
        <v>1</v>
      </c>
      <c r="I807" s="44">
        <v>299.75</v>
      </c>
      <c r="J807" s="48"/>
    </row>
    <row r="808" spans="1:10" ht="18.75" customHeight="1" x14ac:dyDescent="0.25">
      <c r="A808" t="s">
        <v>433</v>
      </c>
      <c r="B808" s="40">
        <v>44752</v>
      </c>
      <c r="C808" s="41">
        <v>65595</v>
      </c>
      <c r="D808" s="42" t="s">
        <v>49</v>
      </c>
      <c r="E808" s="43" t="s">
        <v>50</v>
      </c>
      <c r="F808" s="41">
        <v>40020452</v>
      </c>
      <c r="G808" s="43" t="s">
        <v>320</v>
      </c>
      <c r="H808" s="42">
        <v>1</v>
      </c>
      <c r="I808" s="44">
        <v>399.75</v>
      </c>
      <c r="J808" s="48"/>
    </row>
    <row r="809" spans="1:10" ht="18.75" customHeight="1" x14ac:dyDescent="0.25">
      <c r="A809" t="s">
        <v>433</v>
      </c>
      <c r="B809" s="40">
        <v>44753</v>
      </c>
      <c r="C809" s="41">
        <v>73297</v>
      </c>
      <c r="D809" s="42" t="s">
        <v>49</v>
      </c>
      <c r="E809" s="43" t="s">
        <v>50</v>
      </c>
      <c r="F809" s="41">
        <v>40013191</v>
      </c>
      <c r="G809" s="43" t="s">
        <v>443</v>
      </c>
      <c r="H809" s="42">
        <v>1</v>
      </c>
      <c r="I809" s="44">
        <v>999.75</v>
      </c>
      <c r="J809" s="48"/>
    </row>
    <row r="810" spans="1:10" ht="18.75" customHeight="1" x14ac:dyDescent="0.25">
      <c r="A810" t="s">
        <v>433</v>
      </c>
      <c r="B810" s="40">
        <v>44753</v>
      </c>
      <c r="C810" s="41">
        <v>73300</v>
      </c>
      <c r="D810" s="42" t="s">
        <v>49</v>
      </c>
      <c r="E810" s="43" t="s">
        <v>50</v>
      </c>
      <c r="F810" s="41">
        <v>40018708</v>
      </c>
      <c r="G810" s="43" t="s">
        <v>268</v>
      </c>
      <c r="H810" s="42">
        <v>1</v>
      </c>
      <c r="I810" s="44">
        <v>599.75</v>
      </c>
      <c r="J810" s="48"/>
    </row>
    <row r="811" spans="1:10" ht="18.75" customHeight="1" x14ac:dyDescent="0.25">
      <c r="A811" t="s">
        <v>433</v>
      </c>
      <c r="B811" s="40">
        <v>44753</v>
      </c>
      <c r="C811" s="41">
        <v>65679</v>
      </c>
      <c r="D811" s="42" t="s">
        <v>49</v>
      </c>
      <c r="E811" s="43" t="s">
        <v>50</v>
      </c>
      <c r="F811" s="41">
        <v>40018707</v>
      </c>
      <c r="G811" s="43" t="s">
        <v>89</v>
      </c>
      <c r="H811" s="42">
        <v>1</v>
      </c>
      <c r="I811" s="44">
        <v>599.75</v>
      </c>
      <c r="J811" s="48"/>
    </row>
    <row r="812" spans="1:10" ht="18.75" customHeight="1" x14ac:dyDescent="0.25">
      <c r="A812" t="s">
        <v>433</v>
      </c>
      <c r="B812" s="40">
        <v>44753</v>
      </c>
      <c r="C812" s="41">
        <v>65694</v>
      </c>
      <c r="D812" s="42" t="s">
        <v>49</v>
      </c>
      <c r="E812" s="43" t="s">
        <v>50</v>
      </c>
      <c r="F812" s="41">
        <v>40019276</v>
      </c>
      <c r="G812" s="43" t="s">
        <v>290</v>
      </c>
      <c r="H812" s="42">
        <v>1</v>
      </c>
      <c r="I812" s="44">
        <v>399.75</v>
      </c>
      <c r="J812" s="48"/>
    </row>
    <row r="813" spans="1:10" ht="18.75" customHeight="1" x14ac:dyDescent="0.25">
      <c r="A813" t="s">
        <v>433</v>
      </c>
      <c r="B813" s="40">
        <v>44753</v>
      </c>
      <c r="C813" s="41">
        <v>73306</v>
      </c>
      <c r="D813" s="42" t="s">
        <v>49</v>
      </c>
      <c r="E813" s="43" t="s">
        <v>50</v>
      </c>
      <c r="F813" s="41">
        <v>40018817</v>
      </c>
      <c r="G813" s="43" t="s">
        <v>188</v>
      </c>
      <c r="H813" s="42">
        <v>1</v>
      </c>
      <c r="I813" s="44">
        <v>399.75</v>
      </c>
      <c r="J813" s="48"/>
    </row>
    <row r="814" spans="1:10" ht="18.75" customHeight="1" x14ac:dyDescent="0.25">
      <c r="A814" t="s">
        <v>433</v>
      </c>
      <c r="B814" s="40">
        <v>44754</v>
      </c>
      <c r="C814" s="41">
        <v>73333</v>
      </c>
      <c r="D814" s="42" t="s">
        <v>49</v>
      </c>
      <c r="E814" s="43" t="s">
        <v>50</v>
      </c>
      <c r="F814" s="41">
        <v>40013799</v>
      </c>
      <c r="G814" s="43" t="s">
        <v>142</v>
      </c>
      <c r="H814" s="42">
        <v>3</v>
      </c>
      <c r="I814" s="44">
        <v>239.25</v>
      </c>
      <c r="J814" s="48"/>
    </row>
    <row r="815" spans="1:10" ht="18.75" customHeight="1" x14ac:dyDescent="0.25">
      <c r="A815" t="s">
        <v>433</v>
      </c>
      <c r="B815" s="40">
        <v>44754</v>
      </c>
      <c r="C815" s="41">
        <v>73333</v>
      </c>
      <c r="D815" s="42" t="s">
        <v>49</v>
      </c>
      <c r="E815" s="43" t="s">
        <v>50</v>
      </c>
      <c r="F815" s="41">
        <v>40013804</v>
      </c>
      <c r="G815" s="43" t="s">
        <v>300</v>
      </c>
      <c r="H815" s="42">
        <v>2</v>
      </c>
      <c r="I815" s="44">
        <v>99.5</v>
      </c>
      <c r="J815" s="48"/>
    </row>
    <row r="816" spans="1:10" ht="18.75" customHeight="1" x14ac:dyDescent="0.25">
      <c r="A816" t="s">
        <v>433</v>
      </c>
      <c r="B816" s="40">
        <v>44755</v>
      </c>
      <c r="C816" s="41">
        <v>31629</v>
      </c>
      <c r="D816" s="42" t="s">
        <v>49</v>
      </c>
      <c r="E816" s="43" t="s">
        <v>50</v>
      </c>
      <c r="F816" s="41">
        <v>40013809</v>
      </c>
      <c r="G816" s="43" t="s">
        <v>371</v>
      </c>
      <c r="H816" s="42">
        <v>1</v>
      </c>
      <c r="I816" s="44">
        <v>99.75</v>
      </c>
      <c r="J816" s="48"/>
    </row>
    <row r="817" spans="1:10" ht="18.75" customHeight="1" x14ac:dyDescent="0.25">
      <c r="A817" t="s">
        <v>433</v>
      </c>
      <c r="B817" s="40">
        <v>44755</v>
      </c>
      <c r="C817" s="41">
        <v>31600</v>
      </c>
      <c r="D817" s="42" t="s">
        <v>49</v>
      </c>
      <c r="E817" s="43" t="s">
        <v>50</v>
      </c>
      <c r="F817" s="41">
        <v>40013848</v>
      </c>
      <c r="G817" s="43" t="s">
        <v>212</v>
      </c>
      <c r="H817" s="42">
        <v>1</v>
      </c>
      <c r="I817" s="44">
        <v>129.75</v>
      </c>
      <c r="J817" s="48"/>
    </row>
    <row r="818" spans="1:10" ht="18.75" customHeight="1" x14ac:dyDescent="0.25">
      <c r="A818" t="s">
        <v>433</v>
      </c>
      <c r="B818" s="40">
        <v>44755</v>
      </c>
      <c r="C818" s="41">
        <v>31600</v>
      </c>
      <c r="D818" s="42" t="s">
        <v>49</v>
      </c>
      <c r="E818" s="43" t="s">
        <v>50</v>
      </c>
      <c r="F818" s="41">
        <v>40013854</v>
      </c>
      <c r="G818" s="43" t="s">
        <v>212</v>
      </c>
      <c r="H818" s="42">
        <v>1</v>
      </c>
      <c r="I818" s="44">
        <v>129.75</v>
      </c>
      <c r="J818" s="48"/>
    </row>
    <row r="819" spans="1:10" ht="18.75" customHeight="1" x14ac:dyDescent="0.25">
      <c r="A819" t="s">
        <v>433</v>
      </c>
      <c r="B819" s="40">
        <v>44755</v>
      </c>
      <c r="C819" s="41">
        <v>31613</v>
      </c>
      <c r="D819" s="42" t="s">
        <v>49</v>
      </c>
      <c r="E819" s="43" t="s">
        <v>50</v>
      </c>
      <c r="F819" s="41">
        <v>40013879</v>
      </c>
      <c r="G819" s="43" t="s">
        <v>298</v>
      </c>
      <c r="H819" s="42">
        <v>1</v>
      </c>
      <c r="I819" s="44">
        <v>349.75</v>
      </c>
      <c r="J819" s="48"/>
    </row>
    <row r="820" spans="1:10" ht="18.75" customHeight="1" x14ac:dyDescent="0.25">
      <c r="A820" t="s">
        <v>433</v>
      </c>
      <c r="B820" s="40">
        <v>44755</v>
      </c>
      <c r="C820" s="41">
        <v>31613</v>
      </c>
      <c r="D820" s="42" t="s">
        <v>49</v>
      </c>
      <c r="E820" s="43" t="s">
        <v>50</v>
      </c>
      <c r="F820" s="41">
        <v>40013867</v>
      </c>
      <c r="G820" s="43" t="s">
        <v>236</v>
      </c>
      <c r="H820" s="42">
        <v>1</v>
      </c>
      <c r="I820" s="44">
        <v>99.75</v>
      </c>
      <c r="J820" s="48"/>
    </row>
    <row r="821" spans="1:10" ht="18.75" customHeight="1" x14ac:dyDescent="0.25">
      <c r="A821" t="s">
        <v>433</v>
      </c>
      <c r="B821" s="40">
        <v>44755</v>
      </c>
      <c r="C821" s="41">
        <v>31629</v>
      </c>
      <c r="D821" s="42" t="s">
        <v>49</v>
      </c>
      <c r="E821" s="43" t="s">
        <v>50</v>
      </c>
      <c r="F821" s="41">
        <v>40019148</v>
      </c>
      <c r="G821" s="43" t="s">
        <v>59</v>
      </c>
      <c r="H821" s="42">
        <v>1</v>
      </c>
      <c r="I821" s="44">
        <v>399.75</v>
      </c>
      <c r="J821" s="48"/>
    </row>
    <row r="822" spans="1:10" ht="18.75" customHeight="1" x14ac:dyDescent="0.25">
      <c r="A822" t="s">
        <v>433</v>
      </c>
      <c r="B822" s="40">
        <v>44756</v>
      </c>
      <c r="C822" s="41">
        <v>73434</v>
      </c>
      <c r="D822" s="42" t="s">
        <v>49</v>
      </c>
      <c r="E822" s="43" t="s">
        <v>50</v>
      </c>
      <c r="F822" s="41">
        <v>40018706</v>
      </c>
      <c r="G822" s="43" t="s">
        <v>88</v>
      </c>
      <c r="H822" s="42">
        <v>2</v>
      </c>
      <c r="I822" s="44">
        <v>1199.5</v>
      </c>
      <c r="J822" s="48"/>
    </row>
    <row r="823" spans="1:10" ht="18.75" customHeight="1" x14ac:dyDescent="0.25">
      <c r="A823" t="s">
        <v>433</v>
      </c>
      <c r="B823" s="40">
        <v>44756</v>
      </c>
      <c r="C823" s="41">
        <v>31642</v>
      </c>
      <c r="D823" s="42" t="s">
        <v>49</v>
      </c>
      <c r="E823" s="43" t="s">
        <v>50</v>
      </c>
      <c r="F823" s="41">
        <v>40019150</v>
      </c>
      <c r="G823" s="43" t="s">
        <v>139</v>
      </c>
      <c r="H823" s="42">
        <v>1</v>
      </c>
      <c r="I823" s="44">
        <v>399.75</v>
      </c>
      <c r="J823" s="48"/>
    </row>
    <row r="824" spans="1:10" ht="18.75" customHeight="1" x14ac:dyDescent="0.25">
      <c r="A824" t="s">
        <v>433</v>
      </c>
      <c r="B824" s="40">
        <v>44757</v>
      </c>
      <c r="C824" s="41">
        <v>31711</v>
      </c>
      <c r="D824" s="42" t="s">
        <v>49</v>
      </c>
      <c r="E824" s="43" t="s">
        <v>50</v>
      </c>
      <c r="F824" s="41">
        <v>40013191</v>
      </c>
      <c r="G824" s="43" t="s">
        <v>443</v>
      </c>
      <c r="H824" s="42">
        <v>1</v>
      </c>
      <c r="I824" s="44">
        <v>899.77499999999998</v>
      </c>
      <c r="J824" s="48"/>
    </row>
    <row r="825" spans="1:10" ht="18.75" customHeight="1" x14ac:dyDescent="0.25">
      <c r="A825" t="s">
        <v>433</v>
      </c>
      <c r="B825" s="40">
        <v>44757</v>
      </c>
      <c r="C825" s="41">
        <v>73516</v>
      </c>
      <c r="D825" s="42" t="s">
        <v>49</v>
      </c>
      <c r="E825" s="43" t="s">
        <v>50</v>
      </c>
      <c r="F825" s="41">
        <v>40019395</v>
      </c>
      <c r="G825" s="43" t="s">
        <v>214</v>
      </c>
      <c r="H825" s="42">
        <v>2</v>
      </c>
      <c r="I825" s="44">
        <v>539.55000000000007</v>
      </c>
      <c r="J825" s="48"/>
    </row>
    <row r="826" spans="1:10" ht="18.75" customHeight="1" x14ac:dyDescent="0.25">
      <c r="A826" t="s">
        <v>433</v>
      </c>
      <c r="B826" s="40">
        <v>44757</v>
      </c>
      <c r="C826" s="41">
        <v>73516</v>
      </c>
      <c r="D826" s="42" t="s">
        <v>49</v>
      </c>
      <c r="E826" s="43" t="s">
        <v>50</v>
      </c>
      <c r="F826" s="41">
        <v>40019363</v>
      </c>
      <c r="G826" s="43" t="s">
        <v>133</v>
      </c>
      <c r="H826" s="42">
        <v>3</v>
      </c>
      <c r="I826" s="44">
        <v>485.32500000000005</v>
      </c>
      <c r="J826" s="48"/>
    </row>
    <row r="827" spans="1:10" ht="18.75" customHeight="1" x14ac:dyDescent="0.25">
      <c r="A827" t="s">
        <v>433</v>
      </c>
      <c r="B827" s="40">
        <v>44757</v>
      </c>
      <c r="C827" s="41">
        <v>73491</v>
      </c>
      <c r="D827" s="42" t="s">
        <v>49</v>
      </c>
      <c r="E827" s="43" t="s">
        <v>50</v>
      </c>
      <c r="F827" s="41">
        <v>40021976</v>
      </c>
      <c r="G827" s="43" t="s">
        <v>186</v>
      </c>
      <c r="H827" s="42">
        <v>1</v>
      </c>
      <c r="I827" s="44">
        <v>129.75</v>
      </c>
      <c r="J827" s="48"/>
    </row>
    <row r="828" spans="1:10" ht="18.75" customHeight="1" x14ac:dyDescent="0.25">
      <c r="A828" t="s">
        <v>433</v>
      </c>
      <c r="B828" s="40">
        <v>44757</v>
      </c>
      <c r="C828" s="41">
        <v>73516</v>
      </c>
      <c r="D828" s="42" t="s">
        <v>49</v>
      </c>
      <c r="E828" s="43" t="s">
        <v>50</v>
      </c>
      <c r="F828" s="41">
        <v>40019111</v>
      </c>
      <c r="G828" s="43" t="s">
        <v>123</v>
      </c>
      <c r="H828" s="42">
        <v>1</v>
      </c>
      <c r="I828" s="44">
        <v>329.75</v>
      </c>
      <c r="J828" s="48"/>
    </row>
    <row r="829" spans="1:10" ht="18.75" customHeight="1" x14ac:dyDescent="0.25">
      <c r="A829" t="s">
        <v>433</v>
      </c>
      <c r="B829" s="40">
        <v>44757</v>
      </c>
      <c r="C829" s="41">
        <v>73516</v>
      </c>
      <c r="D829" s="42" t="s">
        <v>49</v>
      </c>
      <c r="E829" s="43" t="s">
        <v>50</v>
      </c>
      <c r="F829" s="41">
        <v>40019110</v>
      </c>
      <c r="G829" s="43" t="s">
        <v>444</v>
      </c>
      <c r="H829" s="42">
        <v>2</v>
      </c>
      <c r="I829" s="44">
        <v>659.5</v>
      </c>
      <c r="J829" s="48"/>
    </row>
    <row r="830" spans="1:10" ht="18.75" customHeight="1" x14ac:dyDescent="0.25">
      <c r="A830" t="s">
        <v>433</v>
      </c>
      <c r="B830" s="40">
        <v>44757</v>
      </c>
      <c r="C830" s="41">
        <v>31755</v>
      </c>
      <c r="D830" s="42" t="s">
        <v>49</v>
      </c>
      <c r="E830" s="43" t="s">
        <v>50</v>
      </c>
      <c r="F830" s="41">
        <v>40017580</v>
      </c>
      <c r="G830" s="43" t="s">
        <v>445</v>
      </c>
      <c r="H830" s="42">
        <v>1</v>
      </c>
      <c r="I830" s="44">
        <v>1499.75</v>
      </c>
      <c r="J830" s="48"/>
    </row>
    <row r="831" spans="1:10" ht="18.75" customHeight="1" x14ac:dyDescent="0.25">
      <c r="A831" t="s">
        <v>433</v>
      </c>
      <c r="B831" s="40">
        <v>44757</v>
      </c>
      <c r="C831" s="41">
        <v>73482</v>
      </c>
      <c r="D831" s="42" t="s">
        <v>49</v>
      </c>
      <c r="E831" s="43" t="s">
        <v>50</v>
      </c>
      <c r="F831" s="41">
        <v>40013871</v>
      </c>
      <c r="G831" s="43" t="s">
        <v>254</v>
      </c>
      <c r="H831" s="42">
        <v>1</v>
      </c>
      <c r="I831" s="44">
        <v>99.75</v>
      </c>
      <c r="J831" s="48"/>
    </row>
    <row r="832" spans="1:10" ht="18.75" customHeight="1" x14ac:dyDescent="0.25">
      <c r="A832" t="s">
        <v>433</v>
      </c>
      <c r="B832" s="40">
        <v>44757</v>
      </c>
      <c r="C832" s="41">
        <v>31698</v>
      </c>
      <c r="D832" s="42" t="s">
        <v>49</v>
      </c>
      <c r="E832" s="43" t="s">
        <v>50</v>
      </c>
      <c r="F832" s="41">
        <v>40014663</v>
      </c>
      <c r="G832" s="43" t="s">
        <v>271</v>
      </c>
      <c r="H832" s="42">
        <v>1</v>
      </c>
      <c r="I832" s="44">
        <v>499.75</v>
      </c>
      <c r="J832" s="48"/>
    </row>
    <row r="833" spans="1:10" ht="18.75" customHeight="1" x14ac:dyDescent="0.25">
      <c r="A833" t="s">
        <v>433</v>
      </c>
      <c r="B833" s="40">
        <v>44757</v>
      </c>
      <c r="C833" s="41">
        <v>73491</v>
      </c>
      <c r="D833" s="42" t="s">
        <v>49</v>
      </c>
      <c r="E833" s="43" t="s">
        <v>50</v>
      </c>
      <c r="F833" s="41">
        <v>40013319</v>
      </c>
      <c r="G833" s="43" t="s">
        <v>446</v>
      </c>
      <c r="H833" s="42">
        <v>1</v>
      </c>
      <c r="I833" s="44">
        <v>129.75</v>
      </c>
      <c r="J833" s="48"/>
    </row>
    <row r="834" spans="1:10" ht="18.75" customHeight="1" x14ac:dyDescent="0.25">
      <c r="A834" t="s">
        <v>433</v>
      </c>
      <c r="B834" s="40">
        <v>44757</v>
      </c>
      <c r="C834" s="41">
        <v>73482</v>
      </c>
      <c r="D834" s="42" t="s">
        <v>49</v>
      </c>
      <c r="E834" s="43" t="s">
        <v>50</v>
      </c>
      <c r="F834" s="41">
        <v>40014088</v>
      </c>
      <c r="G834" s="43" t="s">
        <v>447</v>
      </c>
      <c r="H834" s="42">
        <v>1</v>
      </c>
      <c r="I834" s="44">
        <v>89.75</v>
      </c>
      <c r="J834" s="48"/>
    </row>
    <row r="835" spans="1:10" ht="18.75" customHeight="1" x14ac:dyDescent="0.25">
      <c r="A835" t="s">
        <v>433</v>
      </c>
      <c r="B835" s="40">
        <v>44757</v>
      </c>
      <c r="C835" s="41">
        <v>73491</v>
      </c>
      <c r="D835" s="42" t="s">
        <v>49</v>
      </c>
      <c r="E835" s="43" t="s">
        <v>50</v>
      </c>
      <c r="F835" s="41">
        <v>40013301</v>
      </c>
      <c r="G835" s="43" t="s">
        <v>174</v>
      </c>
      <c r="H835" s="42">
        <v>1</v>
      </c>
      <c r="I835" s="44">
        <v>129.75</v>
      </c>
      <c r="J835" s="48"/>
    </row>
    <row r="836" spans="1:10" ht="18.75" customHeight="1" x14ac:dyDescent="0.25">
      <c r="A836" t="s">
        <v>433</v>
      </c>
      <c r="B836" s="40">
        <v>44757</v>
      </c>
      <c r="C836" s="41">
        <v>73491</v>
      </c>
      <c r="D836" s="42" t="s">
        <v>49</v>
      </c>
      <c r="E836" s="43" t="s">
        <v>50</v>
      </c>
      <c r="F836" s="41">
        <v>40013298</v>
      </c>
      <c r="G836" s="43" t="s">
        <v>103</v>
      </c>
      <c r="H836" s="42">
        <v>1</v>
      </c>
      <c r="I836" s="44">
        <v>129.75</v>
      </c>
      <c r="J836" s="48"/>
    </row>
    <row r="837" spans="1:10" ht="18.75" customHeight="1" x14ac:dyDescent="0.25">
      <c r="A837" t="s">
        <v>433</v>
      </c>
      <c r="B837" s="40">
        <v>44757</v>
      </c>
      <c r="C837" s="41">
        <v>73491</v>
      </c>
      <c r="D837" s="42" t="s">
        <v>49</v>
      </c>
      <c r="E837" s="43" t="s">
        <v>50</v>
      </c>
      <c r="F837" s="41">
        <v>40013304</v>
      </c>
      <c r="G837" s="43" t="s">
        <v>189</v>
      </c>
      <c r="H837" s="42">
        <v>1</v>
      </c>
      <c r="I837" s="44">
        <v>129.75</v>
      </c>
      <c r="J837" s="48"/>
    </row>
    <row r="838" spans="1:10" ht="18.75" customHeight="1" x14ac:dyDescent="0.25">
      <c r="A838" t="s">
        <v>433</v>
      </c>
      <c r="B838" s="40">
        <v>44757</v>
      </c>
      <c r="C838" s="41">
        <v>73491</v>
      </c>
      <c r="D838" s="42" t="s">
        <v>49</v>
      </c>
      <c r="E838" s="43" t="s">
        <v>50</v>
      </c>
      <c r="F838" s="41">
        <v>40013391</v>
      </c>
      <c r="G838" s="43" t="s">
        <v>448</v>
      </c>
      <c r="H838" s="42">
        <v>1</v>
      </c>
      <c r="I838" s="44">
        <v>99.75</v>
      </c>
      <c r="J838" s="48"/>
    </row>
    <row r="839" spans="1:10" ht="18.75" customHeight="1" x14ac:dyDescent="0.25">
      <c r="A839" t="s">
        <v>433</v>
      </c>
      <c r="B839" s="40">
        <v>44757</v>
      </c>
      <c r="C839" s="41">
        <v>73491</v>
      </c>
      <c r="D839" s="42" t="s">
        <v>49</v>
      </c>
      <c r="E839" s="43" t="s">
        <v>50</v>
      </c>
      <c r="F839" s="41">
        <v>40017366</v>
      </c>
      <c r="G839" s="43" t="s">
        <v>449</v>
      </c>
      <c r="H839" s="42">
        <v>1</v>
      </c>
      <c r="I839" s="44">
        <v>99.75</v>
      </c>
      <c r="J839" s="48"/>
    </row>
    <row r="840" spans="1:10" ht="18.75" customHeight="1" x14ac:dyDescent="0.25">
      <c r="A840" t="s">
        <v>433</v>
      </c>
      <c r="B840" s="40">
        <v>44757</v>
      </c>
      <c r="C840" s="41">
        <v>73491</v>
      </c>
      <c r="D840" s="42" t="s">
        <v>49</v>
      </c>
      <c r="E840" s="43" t="s">
        <v>50</v>
      </c>
      <c r="F840" s="41">
        <v>40017390</v>
      </c>
      <c r="G840" s="43" t="s">
        <v>417</v>
      </c>
      <c r="H840" s="42">
        <v>1</v>
      </c>
      <c r="I840" s="44">
        <v>99.75</v>
      </c>
      <c r="J840" s="48"/>
    </row>
    <row r="841" spans="1:10" ht="18.75" customHeight="1" x14ac:dyDescent="0.25">
      <c r="A841" t="s">
        <v>433</v>
      </c>
      <c r="B841" s="40">
        <v>44757</v>
      </c>
      <c r="C841" s="41">
        <v>73499</v>
      </c>
      <c r="D841" s="42" t="s">
        <v>49</v>
      </c>
      <c r="E841" s="43" t="s">
        <v>50</v>
      </c>
      <c r="F841" s="41">
        <v>40019383</v>
      </c>
      <c r="G841" s="43" t="s">
        <v>52</v>
      </c>
      <c r="H841" s="42">
        <v>1</v>
      </c>
      <c r="I841" s="44">
        <v>749.75</v>
      </c>
      <c r="J841" s="48"/>
    </row>
    <row r="842" spans="1:10" ht="18.75" customHeight="1" x14ac:dyDescent="0.25">
      <c r="A842" t="s">
        <v>433</v>
      </c>
      <c r="B842" s="40">
        <v>44757</v>
      </c>
      <c r="C842" s="41">
        <v>73491</v>
      </c>
      <c r="D842" s="42" t="s">
        <v>49</v>
      </c>
      <c r="E842" s="43" t="s">
        <v>50</v>
      </c>
      <c r="F842" s="41">
        <v>40021968</v>
      </c>
      <c r="G842" s="43" t="s">
        <v>339</v>
      </c>
      <c r="H842" s="42">
        <v>1</v>
      </c>
      <c r="I842" s="44">
        <v>129.75</v>
      </c>
      <c r="J842" s="48"/>
    </row>
    <row r="843" spans="1:10" ht="18.75" customHeight="1" x14ac:dyDescent="0.25">
      <c r="A843" t="s">
        <v>433</v>
      </c>
      <c r="B843" s="40">
        <v>44757</v>
      </c>
      <c r="C843" s="41">
        <v>73491</v>
      </c>
      <c r="D843" s="42" t="s">
        <v>49</v>
      </c>
      <c r="E843" s="43" t="s">
        <v>50</v>
      </c>
      <c r="F843" s="41">
        <v>40021962</v>
      </c>
      <c r="G843" s="43" t="s">
        <v>207</v>
      </c>
      <c r="H843" s="42">
        <v>1</v>
      </c>
      <c r="I843" s="44">
        <v>129.75</v>
      </c>
      <c r="J843" s="48"/>
    </row>
    <row r="844" spans="1:10" ht="18.75" customHeight="1" x14ac:dyDescent="0.25">
      <c r="A844" t="s">
        <v>433</v>
      </c>
      <c r="B844" s="40">
        <v>44758</v>
      </c>
      <c r="C844" s="41">
        <v>73606</v>
      </c>
      <c r="D844" s="42" t="s">
        <v>49</v>
      </c>
      <c r="E844" s="43" t="s">
        <v>50</v>
      </c>
      <c r="F844" s="41">
        <v>40017441</v>
      </c>
      <c r="G844" s="43" t="s">
        <v>450</v>
      </c>
      <c r="H844" s="42">
        <v>1</v>
      </c>
      <c r="I844" s="44">
        <v>359.77500000000003</v>
      </c>
      <c r="J844" s="48"/>
    </row>
    <row r="845" spans="1:10" ht="18.75" customHeight="1" x14ac:dyDescent="0.25">
      <c r="A845" t="s">
        <v>433</v>
      </c>
      <c r="B845" s="40">
        <v>44758</v>
      </c>
      <c r="C845" s="41">
        <v>73606</v>
      </c>
      <c r="D845" s="42" t="s">
        <v>49</v>
      </c>
      <c r="E845" s="43" t="s">
        <v>50</v>
      </c>
      <c r="F845" s="41">
        <v>40017442</v>
      </c>
      <c r="G845" s="43" t="s">
        <v>451</v>
      </c>
      <c r="H845" s="42">
        <v>1</v>
      </c>
      <c r="I845" s="44">
        <v>359.77500000000003</v>
      </c>
      <c r="J845" s="48"/>
    </row>
    <row r="846" spans="1:10" ht="18.75" customHeight="1" x14ac:dyDescent="0.25">
      <c r="A846" t="s">
        <v>433</v>
      </c>
      <c r="B846" s="40">
        <v>44758</v>
      </c>
      <c r="C846" s="41">
        <v>73606</v>
      </c>
      <c r="D846" s="42" t="s">
        <v>49</v>
      </c>
      <c r="E846" s="43" t="s">
        <v>50</v>
      </c>
      <c r="F846" s="41">
        <v>40017443</v>
      </c>
      <c r="G846" s="43" t="s">
        <v>452</v>
      </c>
      <c r="H846" s="42">
        <v>1</v>
      </c>
      <c r="I846" s="44">
        <v>359.77500000000003</v>
      </c>
      <c r="J846" s="48"/>
    </row>
    <row r="847" spans="1:10" ht="18.75" customHeight="1" x14ac:dyDescent="0.25">
      <c r="A847" t="s">
        <v>433</v>
      </c>
      <c r="B847" s="40">
        <v>44758</v>
      </c>
      <c r="C847" s="41">
        <v>73606</v>
      </c>
      <c r="D847" s="42" t="s">
        <v>49</v>
      </c>
      <c r="E847" s="43" t="s">
        <v>50</v>
      </c>
      <c r="F847" s="41">
        <v>40017444</v>
      </c>
      <c r="G847" s="43" t="s">
        <v>191</v>
      </c>
      <c r="H847" s="42">
        <v>1</v>
      </c>
      <c r="I847" s="44">
        <v>359.77500000000003</v>
      </c>
      <c r="J847" s="48"/>
    </row>
    <row r="848" spans="1:10" ht="18.75" customHeight="1" x14ac:dyDescent="0.25">
      <c r="A848" t="s">
        <v>433</v>
      </c>
      <c r="B848" s="40">
        <v>44758</v>
      </c>
      <c r="C848" s="41">
        <v>31824</v>
      </c>
      <c r="D848" s="42" t="s">
        <v>49</v>
      </c>
      <c r="E848" s="43" t="s">
        <v>50</v>
      </c>
      <c r="F848" s="41">
        <v>40013207</v>
      </c>
      <c r="G848" s="43" t="s">
        <v>453</v>
      </c>
      <c r="H848" s="42">
        <v>2</v>
      </c>
      <c r="I848" s="44">
        <v>449.55</v>
      </c>
      <c r="J848" s="48"/>
    </row>
    <row r="849" spans="1:10" ht="18.75" customHeight="1" x14ac:dyDescent="0.25">
      <c r="A849" t="s">
        <v>433</v>
      </c>
      <c r="B849" s="40">
        <v>44758</v>
      </c>
      <c r="C849" s="41">
        <v>31798</v>
      </c>
      <c r="D849" s="42" t="s">
        <v>49</v>
      </c>
      <c r="E849" s="43" t="s">
        <v>50</v>
      </c>
      <c r="F849" s="41">
        <v>40013809</v>
      </c>
      <c r="G849" s="43" t="s">
        <v>371</v>
      </c>
      <c r="H849" s="42">
        <v>1</v>
      </c>
      <c r="I849" s="44">
        <v>99.75</v>
      </c>
      <c r="J849" s="48"/>
    </row>
    <row r="850" spans="1:10" ht="18.75" customHeight="1" x14ac:dyDescent="0.25">
      <c r="A850" t="s">
        <v>433</v>
      </c>
      <c r="B850" s="40">
        <v>44758</v>
      </c>
      <c r="C850" s="41">
        <v>31818</v>
      </c>
      <c r="D850" s="42" t="s">
        <v>49</v>
      </c>
      <c r="E850" s="43" t="s">
        <v>50</v>
      </c>
      <c r="F850" s="41">
        <v>40013809</v>
      </c>
      <c r="G850" s="43" t="s">
        <v>371</v>
      </c>
      <c r="H850" s="42">
        <v>1</v>
      </c>
      <c r="I850" s="44">
        <v>99.75</v>
      </c>
      <c r="J850" s="48"/>
    </row>
    <row r="851" spans="1:10" ht="18.75" customHeight="1" x14ac:dyDescent="0.25">
      <c r="A851" t="s">
        <v>433</v>
      </c>
      <c r="B851" s="40">
        <v>44758</v>
      </c>
      <c r="C851" s="41">
        <v>31850</v>
      </c>
      <c r="D851" s="42" t="s">
        <v>49</v>
      </c>
      <c r="E851" s="43" t="s">
        <v>50</v>
      </c>
      <c r="F851" s="41">
        <v>40013809</v>
      </c>
      <c r="G851" s="43" t="s">
        <v>371</v>
      </c>
      <c r="H851" s="42">
        <v>1</v>
      </c>
      <c r="I851" s="44">
        <v>99.75</v>
      </c>
      <c r="J851" s="48"/>
    </row>
    <row r="852" spans="1:10" ht="18.75" customHeight="1" x14ac:dyDescent="0.25">
      <c r="A852" t="s">
        <v>433</v>
      </c>
      <c r="B852" s="40">
        <v>44758</v>
      </c>
      <c r="C852" s="41">
        <v>65729</v>
      </c>
      <c r="D852" s="42" t="s">
        <v>49</v>
      </c>
      <c r="E852" s="43" t="s">
        <v>50</v>
      </c>
      <c r="F852" s="41">
        <v>40013809</v>
      </c>
      <c r="G852" s="43" t="s">
        <v>371</v>
      </c>
      <c r="H852" s="42">
        <v>1</v>
      </c>
      <c r="I852" s="44">
        <v>99.75</v>
      </c>
      <c r="J852" s="48"/>
    </row>
    <row r="853" spans="1:10" ht="18.75" customHeight="1" x14ac:dyDescent="0.25">
      <c r="A853" t="s">
        <v>433</v>
      </c>
      <c r="B853" s="40">
        <v>44758</v>
      </c>
      <c r="C853" s="41">
        <v>31798</v>
      </c>
      <c r="D853" s="42" t="s">
        <v>49</v>
      </c>
      <c r="E853" s="43" t="s">
        <v>50</v>
      </c>
      <c r="F853" s="41">
        <v>40013810</v>
      </c>
      <c r="G853" s="43" t="s">
        <v>426</v>
      </c>
      <c r="H853" s="42">
        <v>1</v>
      </c>
      <c r="I853" s="44">
        <v>99.75</v>
      </c>
      <c r="J853" s="48"/>
    </row>
    <row r="854" spans="1:10" ht="18.75" customHeight="1" x14ac:dyDescent="0.25">
      <c r="A854" t="s">
        <v>433</v>
      </c>
      <c r="B854" s="40">
        <v>44758</v>
      </c>
      <c r="C854" s="41">
        <v>31798</v>
      </c>
      <c r="D854" s="42" t="s">
        <v>49</v>
      </c>
      <c r="E854" s="43" t="s">
        <v>50</v>
      </c>
      <c r="F854" s="41">
        <v>40013813</v>
      </c>
      <c r="G854" s="43" t="s">
        <v>56</v>
      </c>
      <c r="H854" s="42">
        <v>1</v>
      </c>
      <c r="I854" s="44">
        <v>79.75</v>
      </c>
      <c r="J854" s="48"/>
    </row>
    <row r="855" spans="1:10" ht="18.75" customHeight="1" x14ac:dyDescent="0.25">
      <c r="A855" t="s">
        <v>433</v>
      </c>
      <c r="B855" s="40">
        <v>44758</v>
      </c>
      <c r="C855" s="41">
        <v>31851</v>
      </c>
      <c r="D855" s="42" t="s">
        <v>49</v>
      </c>
      <c r="E855" s="43" t="s">
        <v>50</v>
      </c>
      <c r="F855" s="41">
        <v>40013813</v>
      </c>
      <c r="G855" s="43" t="s">
        <v>56</v>
      </c>
      <c r="H855" s="42">
        <v>1</v>
      </c>
      <c r="I855" s="44">
        <v>79.75</v>
      </c>
      <c r="J855" s="48"/>
    </row>
    <row r="856" spans="1:10" ht="18.75" customHeight="1" x14ac:dyDescent="0.25">
      <c r="A856" t="s">
        <v>433</v>
      </c>
      <c r="B856" s="40">
        <v>44758</v>
      </c>
      <c r="C856" s="41">
        <v>73590</v>
      </c>
      <c r="D856" s="42" t="s">
        <v>49</v>
      </c>
      <c r="E856" s="43" t="s">
        <v>50</v>
      </c>
      <c r="F856" s="41">
        <v>40021974</v>
      </c>
      <c r="G856" s="43" t="s">
        <v>78</v>
      </c>
      <c r="H856" s="42">
        <v>1</v>
      </c>
      <c r="I856" s="44">
        <v>229.75</v>
      </c>
      <c r="J856" s="48"/>
    </row>
    <row r="857" spans="1:10" ht="18.75" customHeight="1" x14ac:dyDescent="0.25">
      <c r="A857" t="s">
        <v>433</v>
      </c>
      <c r="B857" s="40">
        <v>44758</v>
      </c>
      <c r="C857" s="41">
        <v>65708</v>
      </c>
      <c r="D857" s="42" t="s">
        <v>49</v>
      </c>
      <c r="E857" s="43" t="s">
        <v>50</v>
      </c>
      <c r="F857" s="41">
        <v>40014015</v>
      </c>
      <c r="G857" s="43" t="s">
        <v>289</v>
      </c>
      <c r="H857" s="42">
        <v>1</v>
      </c>
      <c r="I857" s="44">
        <v>599.75</v>
      </c>
      <c r="J857" s="48"/>
    </row>
    <row r="858" spans="1:10" ht="18.75" customHeight="1" x14ac:dyDescent="0.25">
      <c r="A858" t="s">
        <v>433</v>
      </c>
      <c r="B858" s="40">
        <v>44758</v>
      </c>
      <c r="C858" s="41">
        <v>31824</v>
      </c>
      <c r="D858" s="42" t="s">
        <v>49</v>
      </c>
      <c r="E858" s="43" t="s">
        <v>50</v>
      </c>
      <c r="F858" s="41">
        <v>40020388</v>
      </c>
      <c r="G858" s="43" t="s">
        <v>454</v>
      </c>
      <c r="H858" s="42">
        <v>1</v>
      </c>
      <c r="I858" s="44">
        <v>1299.75</v>
      </c>
      <c r="J858" s="48"/>
    </row>
    <row r="859" spans="1:10" ht="18.75" customHeight="1" x14ac:dyDescent="0.25">
      <c r="A859" t="s">
        <v>433</v>
      </c>
      <c r="B859" s="40">
        <v>44758</v>
      </c>
      <c r="C859" s="41">
        <v>31824</v>
      </c>
      <c r="D859" s="42" t="s">
        <v>49</v>
      </c>
      <c r="E859" s="43" t="s">
        <v>50</v>
      </c>
      <c r="F859" s="41">
        <v>40020390</v>
      </c>
      <c r="G859" s="43" t="s">
        <v>454</v>
      </c>
      <c r="H859" s="42">
        <v>1</v>
      </c>
      <c r="I859" s="44">
        <v>1299.75</v>
      </c>
      <c r="J859" s="48"/>
    </row>
    <row r="860" spans="1:10" ht="18.75" customHeight="1" x14ac:dyDescent="0.25">
      <c r="A860" t="s">
        <v>433</v>
      </c>
      <c r="B860" s="40">
        <v>44758</v>
      </c>
      <c r="C860" s="41">
        <v>73553</v>
      </c>
      <c r="D860" s="42" t="s">
        <v>49</v>
      </c>
      <c r="E860" s="43" t="s">
        <v>50</v>
      </c>
      <c r="F860" s="41">
        <v>40020391</v>
      </c>
      <c r="G860" s="43" t="s">
        <v>455</v>
      </c>
      <c r="H860" s="42">
        <v>1</v>
      </c>
      <c r="I860" s="44">
        <v>799.75</v>
      </c>
      <c r="J860" s="48"/>
    </row>
    <row r="861" spans="1:10" ht="18.75" customHeight="1" x14ac:dyDescent="0.25">
      <c r="A861" t="s">
        <v>433</v>
      </c>
      <c r="B861" s="40">
        <v>44758</v>
      </c>
      <c r="C861" s="41">
        <v>73553</v>
      </c>
      <c r="D861" s="42" t="s">
        <v>49</v>
      </c>
      <c r="E861" s="43" t="s">
        <v>50</v>
      </c>
      <c r="F861" s="41">
        <v>40020389</v>
      </c>
      <c r="G861" s="43" t="s">
        <v>455</v>
      </c>
      <c r="H861" s="42">
        <v>1</v>
      </c>
      <c r="I861" s="44">
        <v>799.75</v>
      </c>
      <c r="J861" s="48"/>
    </row>
    <row r="862" spans="1:10" ht="18.75" customHeight="1" x14ac:dyDescent="0.25">
      <c r="A862" t="s">
        <v>433</v>
      </c>
      <c r="B862" s="40">
        <v>44758</v>
      </c>
      <c r="C862" s="41">
        <v>65729</v>
      </c>
      <c r="D862" s="42" t="s">
        <v>49</v>
      </c>
      <c r="E862" s="43" t="s">
        <v>50</v>
      </c>
      <c r="F862" s="41">
        <v>40017639</v>
      </c>
      <c r="G862" s="43" t="s">
        <v>456</v>
      </c>
      <c r="H862" s="42">
        <v>1</v>
      </c>
      <c r="I862" s="44">
        <v>199.75</v>
      </c>
      <c r="J862" s="48"/>
    </row>
    <row r="863" spans="1:10" ht="18.75" customHeight="1" x14ac:dyDescent="0.25">
      <c r="A863" t="s">
        <v>433</v>
      </c>
      <c r="B863" s="40">
        <v>44758</v>
      </c>
      <c r="C863" s="41">
        <v>31850</v>
      </c>
      <c r="D863" s="42" t="s">
        <v>49</v>
      </c>
      <c r="E863" s="43" t="s">
        <v>50</v>
      </c>
      <c r="F863" s="41">
        <v>40018028</v>
      </c>
      <c r="G863" s="43" t="s">
        <v>227</v>
      </c>
      <c r="H863" s="42">
        <v>1</v>
      </c>
      <c r="I863" s="44">
        <v>199.75</v>
      </c>
      <c r="J863" s="48"/>
    </row>
    <row r="864" spans="1:10" ht="18.75" customHeight="1" x14ac:dyDescent="0.25">
      <c r="A864" t="s">
        <v>433</v>
      </c>
      <c r="B864" s="40">
        <v>44758</v>
      </c>
      <c r="C864" s="41">
        <v>73596</v>
      </c>
      <c r="D864" s="42" t="s">
        <v>49</v>
      </c>
      <c r="E864" s="43" t="s">
        <v>50</v>
      </c>
      <c r="F864" s="41">
        <v>40020452</v>
      </c>
      <c r="G864" s="43" t="s">
        <v>320</v>
      </c>
      <c r="H864" s="42">
        <v>1</v>
      </c>
      <c r="I864" s="44">
        <v>399.75</v>
      </c>
      <c r="J864" s="48"/>
    </row>
    <row r="865" spans="1:10" ht="18.75" customHeight="1" x14ac:dyDescent="0.25">
      <c r="A865" t="s">
        <v>433</v>
      </c>
      <c r="B865" s="40">
        <v>44758</v>
      </c>
      <c r="C865" s="41">
        <v>31851</v>
      </c>
      <c r="D865" s="42" t="s">
        <v>49</v>
      </c>
      <c r="E865" s="43" t="s">
        <v>50</v>
      </c>
      <c r="F865" s="41">
        <v>40014090</v>
      </c>
      <c r="G865" s="43" t="s">
        <v>447</v>
      </c>
      <c r="H865" s="42">
        <v>1</v>
      </c>
      <c r="I865" s="44">
        <v>89.75</v>
      </c>
      <c r="J865" s="48"/>
    </row>
    <row r="866" spans="1:10" ht="18.75" customHeight="1" x14ac:dyDescent="0.25">
      <c r="A866" t="s">
        <v>433</v>
      </c>
      <c r="B866" s="40">
        <v>44758</v>
      </c>
      <c r="C866" s="41">
        <v>73589</v>
      </c>
      <c r="D866" s="42" t="s">
        <v>49</v>
      </c>
      <c r="E866" s="43" t="s">
        <v>50</v>
      </c>
      <c r="F866" s="41">
        <v>40017623</v>
      </c>
      <c r="G866" s="43" t="s">
        <v>90</v>
      </c>
      <c r="H866" s="42">
        <v>1</v>
      </c>
      <c r="I866" s="44">
        <v>150</v>
      </c>
      <c r="J866" s="48"/>
    </row>
    <row r="867" spans="1:10" ht="18.75" customHeight="1" x14ac:dyDescent="0.25">
      <c r="A867" t="s">
        <v>433</v>
      </c>
      <c r="B867" s="40">
        <v>44759</v>
      </c>
      <c r="C867" s="41">
        <v>65746</v>
      </c>
      <c r="D867" s="42" t="s">
        <v>49</v>
      </c>
      <c r="E867" s="43" t="s">
        <v>50</v>
      </c>
      <c r="F867" s="41">
        <v>40017588</v>
      </c>
      <c r="G867" s="43" t="s">
        <v>457</v>
      </c>
      <c r="H867" s="42">
        <v>1</v>
      </c>
      <c r="I867" s="44">
        <v>206.77500000000001</v>
      </c>
      <c r="J867" s="48"/>
    </row>
    <row r="868" spans="1:10" ht="18.75" customHeight="1" x14ac:dyDescent="0.25">
      <c r="A868" t="s">
        <v>433</v>
      </c>
      <c r="B868" s="40">
        <v>44759</v>
      </c>
      <c r="C868" s="41">
        <v>65813</v>
      </c>
      <c r="D868" s="42" t="s">
        <v>49</v>
      </c>
      <c r="E868" s="43" t="s">
        <v>50</v>
      </c>
      <c r="F868" s="41">
        <v>40013813</v>
      </c>
      <c r="G868" s="43" t="s">
        <v>56</v>
      </c>
      <c r="H868" s="42">
        <v>1</v>
      </c>
      <c r="I868" s="44">
        <v>79.75</v>
      </c>
      <c r="J868" s="48"/>
    </row>
    <row r="869" spans="1:10" ht="18.75" customHeight="1" x14ac:dyDescent="0.25">
      <c r="A869" t="s">
        <v>433</v>
      </c>
      <c r="B869" s="40">
        <v>44759</v>
      </c>
      <c r="C869" s="41">
        <v>65832</v>
      </c>
      <c r="D869" s="42" t="s">
        <v>49</v>
      </c>
      <c r="E869" s="43" t="s">
        <v>50</v>
      </c>
      <c r="F869" s="41">
        <v>40013850</v>
      </c>
      <c r="G869" s="43" t="s">
        <v>212</v>
      </c>
      <c r="H869" s="42">
        <v>1</v>
      </c>
      <c r="I869" s="44">
        <v>129.75</v>
      </c>
      <c r="J869" s="48"/>
    </row>
    <row r="870" spans="1:10" ht="18.75" customHeight="1" x14ac:dyDescent="0.25">
      <c r="A870" t="s">
        <v>433</v>
      </c>
      <c r="B870" s="40">
        <v>44759</v>
      </c>
      <c r="C870" s="41">
        <v>65813</v>
      </c>
      <c r="D870" s="42" t="s">
        <v>49</v>
      </c>
      <c r="E870" s="43" t="s">
        <v>50</v>
      </c>
      <c r="F870" s="41">
        <v>40014088</v>
      </c>
      <c r="G870" s="43" t="s">
        <v>447</v>
      </c>
      <c r="H870" s="42">
        <v>1</v>
      </c>
      <c r="I870" s="44">
        <v>89.75</v>
      </c>
      <c r="J870" s="48"/>
    </row>
    <row r="871" spans="1:10" ht="18.75" customHeight="1" x14ac:dyDescent="0.25">
      <c r="A871" t="s">
        <v>433</v>
      </c>
      <c r="B871" s="40">
        <v>44759</v>
      </c>
      <c r="C871" s="41">
        <v>65840</v>
      </c>
      <c r="D871" s="42" t="s">
        <v>49</v>
      </c>
      <c r="E871" s="43" t="s">
        <v>50</v>
      </c>
      <c r="F871" s="41">
        <v>40014090</v>
      </c>
      <c r="G871" s="43" t="s">
        <v>447</v>
      </c>
      <c r="H871" s="42">
        <v>1</v>
      </c>
      <c r="I871" s="44">
        <v>89.75</v>
      </c>
      <c r="J871" s="48"/>
    </row>
    <row r="872" spans="1:10" ht="18.75" customHeight="1" x14ac:dyDescent="0.25">
      <c r="A872" t="s">
        <v>433</v>
      </c>
      <c r="B872" s="40">
        <v>44760</v>
      </c>
      <c r="C872" s="41">
        <v>73659</v>
      </c>
      <c r="D872" s="42" t="s">
        <v>49</v>
      </c>
      <c r="E872" s="43" t="s">
        <v>50</v>
      </c>
      <c r="F872" s="41">
        <v>40019143</v>
      </c>
      <c r="G872" s="43" t="s">
        <v>168</v>
      </c>
      <c r="H872" s="42">
        <v>1</v>
      </c>
      <c r="I872" s="44">
        <v>449.75</v>
      </c>
      <c r="J872" s="48"/>
    </row>
    <row r="873" spans="1:10" ht="18.75" customHeight="1" x14ac:dyDescent="0.25">
      <c r="A873" t="s">
        <v>433</v>
      </c>
      <c r="B873" s="40">
        <v>44760</v>
      </c>
      <c r="C873" s="41">
        <v>65858</v>
      </c>
      <c r="D873" s="42" t="s">
        <v>49</v>
      </c>
      <c r="E873" s="43" t="s">
        <v>50</v>
      </c>
      <c r="F873" s="41">
        <v>40020453</v>
      </c>
      <c r="G873" s="43" t="s">
        <v>458</v>
      </c>
      <c r="H873" s="42">
        <v>1</v>
      </c>
      <c r="I873" s="44">
        <v>399.75</v>
      </c>
      <c r="J873" s="48"/>
    </row>
    <row r="874" spans="1:10" ht="18.75" customHeight="1" x14ac:dyDescent="0.25">
      <c r="A874" t="s">
        <v>433</v>
      </c>
      <c r="B874" s="40">
        <v>44761</v>
      </c>
      <c r="C874" s="41">
        <v>65922</v>
      </c>
      <c r="D874" s="42" t="s">
        <v>49</v>
      </c>
      <c r="E874" s="43" t="s">
        <v>50</v>
      </c>
      <c r="F874" s="41">
        <v>40013728</v>
      </c>
      <c r="G874" s="43" t="s">
        <v>459</v>
      </c>
      <c r="H874" s="42">
        <v>1</v>
      </c>
      <c r="I874" s="44">
        <v>399.75</v>
      </c>
      <c r="J874" s="48"/>
    </row>
    <row r="875" spans="1:10" ht="18.75" customHeight="1" x14ac:dyDescent="0.25">
      <c r="A875" t="s">
        <v>433</v>
      </c>
      <c r="B875" s="40">
        <v>44761</v>
      </c>
      <c r="C875" s="41">
        <v>73727</v>
      </c>
      <c r="D875" s="42" t="s">
        <v>49</v>
      </c>
      <c r="E875" s="43" t="s">
        <v>50</v>
      </c>
      <c r="F875" s="41">
        <v>40019150</v>
      </c>
      <c r="G875" s="43" t="s">
        <v>139</v>
      </c>
      <c r="H875" s="42">
        <v>1</v>
      </c>
      <c r="I875" s="44">
        <v>399.75</v>
      </c>
      <c r="J875" s="48"/>
    </row>
    <row r="876" spans="1:10" ht="18.75" customHeight="1" x14ac:dyDescent="0.25">
      <c r="A876" t="s">
        <v>433</v>
      </c>
      <c r="B876" s="40">
        <v>44761</v>
      </c>
      <c r="C876" s="41">
        <v>65905</v>
      </c>
      <c r="D876" s="42" t="s">
        <v>49</v>
      </c>
      <c r="E876" s="43" t="s">
        <v>50</v>
      </c>
      <c r="F876" s="41">
        <v>40019143</v>
      </c>
      <c r="G876" s="43" t="s">
        <v>168</v>
      </c>
      <c r="H876" s="42">
        <v>1</v>
      </c>
      <c r="I876" s="44">
        <v>449.75</v>
      </c>
      <c r="J876" s="48"/>
    </row>
    <row r="877" spans="1:10" ht="18.75" customHeight="1" x14ac:dyDescent="0.25">
      <c r="A877" t="s">
        <v>433</v>
      </c>
      <c r="B877" s="40">
        <v>44762</v>
      </c>
      <c r="C877" s="41">
        <v>73744</v>
      </c>
      <c r="D877" s="42" t="s">
        <v>49</v>
      </c>
      <c r="E877" s="43" t="s">
        <v>50</v>
      </c>
      <c r="F877" s="41">
        <v>40013207</v>
      </c>
      <c r="G877" s="43" t="s">
        <v>453</v>
      </c>
      <c r="H877" s="42">
        <v>5</v>
      </c>
      <c r="I877" s="44">
        <v>1123.9000000000001</v>
      </c>
      <c r="J877" s="48"/>
    </row>
    <row r="878" spans="1:10" ht="18.75" customHeight="1" x14ac:dyDescent="0.25">
      <c r="A878" t="s">
        <v>433</v>
      </c>
      <c r="B878" s="40">
        <v>44762</v>
      </c>
      <c r="C878" s="41">
        <v>73742</v>
      </c>
      <c r="D878" s="42" t="s">
        <v>49</v>
      </c>
      <c r="E878" s="43" t="s">
        <v>50</v>
      </c>
      <c r="F878" s="41">
        <v>40013818</v>
      </c>
      <c r="G878" s="43" t="s">
        <v>372</v>
      </c>
      <c r="H878" s="42">
        <v>1</v>
      </c>
      <c r="I878" s="44">
        <v>299.75</v>
      </c>
      <c r="J878" s="48"/>
    </row>
    <row r="879" spans="1:10" ht="18.75" customHeight="1" x14ac:dyDescent="0.25">
      <c r="A879" t="s">
        <v>433</v>
      </c>
      <c r="B879" s="40">
        <v>44762</v>
      </c>
      <c r="C879" s="41">
        <v>73750</v>
      </c>
      <c r="D879" s="42" t="s">
        <v>49</v>
      </c>
      <c r="E879" s="43" t="s">
        <v>50</v>
      </c>
      <c r="F879" s="41">
        <v>40013846</v>
      </c>
      <c r="G879" s="43" t="s">
        <v>212</v>
      </c>
      <c r="H879" s="42">
        <v>1</v>
      </c>
      <c r="I879" s="44">
        <v>129.75</v>
      </c>
      <c r="J879" s="48"/>
    </row>
    <row r="880" spans="1:10" ht="18.75" customHeight="1" x14ac:dyDescent="0.25">
      <c r="A880" t="s">
        <v>433</v>
      </c>
      <c r="B880" s="40">
        <v>44762</v>
      </c>
      <c r="C880" s="41">
        <v>73734</v>
      </c>
      <c r="D880" s="42" t="s">
        <v>49</v>
      </c>
      <c r="E880" s="43" t="s">
        <v>50</v>
      </c>
      <c r="F880" s="41">
        <v>40017580</v>
      </c>
      <c r="G880" s="43" t="s">
        <v>445</v>
      </c>
      <c r="H880" s="42">
        <v>2</v>
      </c>
      <c r="I880" s="44">
        <v>2999.5</v>
      </c>
      <c r="J880" s="48"/>
    </row>
    <row r="881" spans="1:10" ht="18.75" customHeight="1" x14ac:dyDescent="0.25">
      <c r="A881" t="s">
        <v>433</v>
      </c>
      <c r="B881" s="40">
        <v>44762</v>
      </c>
      <c r="C881" s="41">
        <v>73743</v>
      </c>
      <c r="D881" s="42" t="s">
        <v>49</v>
      </c>
      <c r="E881" s="43" t="s">
        <v>50</v>
      </c>
      <c r="F881" s="41">
        <v>40020459</v>
      </c>
      <c r="G881" s="43" t="s">
        <v>265</v>
      </c>
      <c r="H881" s="42">
        <v>1</v>
      </c>
      <c r="I881" s="44">
        <v>399.75</v>
      </c>
      <c r="J881" s="48"/>
    </row>
    <row r="882" spans="1:10" ht="18.75" customHeight="1" x14ac:dyDescent="0.25">
      <c r="A882" t="s">
        <v>433</v>
      </c>
      <c r="B882" s="40">
        <v>44762</v>
      </c>
      <c r="C882" s="41">
        <v>73750</v>
      </c>
      <c r="D882" s="42" t="s">
        <v>49</v>
      </c>
      <c r="E882" s="43" t="s">
        <v>50</v>
      </c>
      <c r="F882" s="41">
        <v>40020452</v>
      </c>
      <c r="G882" s="43" t="s">
        <v>320</v>
      </c>
      <c r="H882" s="42">
        <v>1</v>
      </c>
      <c r="I882" s="44">
        <v>399.75</v>
      </c>
      <c r="J882" s="48"/>
    </row>
    <row r="883" spans="1:10" ht="18.75" customHeight="1" x14ac:dyDescent="0.25">
      <c r="A883" t="s">
        <v>433</v>
      </c>
      <c r="B883" s="40">
        <v>44762</v>
      </c>
      <c r="C883" s="41">
        <v>73750</v>
      </c>
      <c r="D883" s="42" t="s">
        <v>49</v>
      </c>
      <c r="E883" s="43" t="s">
        <v>50</v>
      </c>
      <c r="F883" s="41">
        <v>40019152</v>
      </c>
      <c r="G883" s="43" t="s">
        <v>184</v>
      </c>
      <c r="H883" s="42">
        <v>1</v>
      </c>
      <c r="I883" s="44">
        <v>199.75</v>
      </c>
      <c r="J883" s="48"/>
    </row>
    <row r="884" spans="1:10" ht="18.75" customHeight="1" x14ac:dyDescent="0.25">
      <c r="A884" t="s">
        <v>433</v>
      </c>
      <c r="B884" s="40">
        <v>44763</v>
      </c>
      <c r="C884" s="41">
        <v>31946</v>
      </c>
      <c r="D884" s="42" t="s">
        <v>49</v>
      </c>
      <c r="E884" s="43" t="s">
        <v>50</v>
      </c>
      <c r="F884" s="41">
        <v>40019364</v>
      </c>
      <c r="G884" s="43" t="s">
        <v>436</v>
      </c>
      <c r="H884" s="42">
        <v>2</v>
      </c>
      <c r="I884" s="44">
        <v>559.5</v>
      </c>
      <c r="J884" s="48"/>
    </row>
    <row r="885" spans="1:10" ht="18.75" customHeight="1" x14ac:dyDescent="0.25">
      <c r="A885" t="s">
        <v>433</v>
      </c>
      <c r="B885" s="40">
        <v>44763</v>
      </c>
      <c r="C885" s="41">
        <v>73781</v>
      </c>
      <c r="D885" s="42" t="s">
        <v>49</v>
      </c>
      <c r="E885" s="43" t="s">
        <v>50</v>
      </c>
      <c r="F885" s="41">
        <v>40013817</v>
      </c>
      <c r="G885" s="43" t="s">
        <v>125</v>
      </c>
      <c r="H885" s="42">
        <v>1</v>
      </c>
      <c r="I885" s="44">
        <v>299.75</v>
      </c>
      <c r="J885" s="48"/>
    </row>
    <row r="886" spans="1:10" ht="18.75" customHeight="1" x14ac:dyDescent="0.25">
      <c r="A886" t="s">
        <v>433</v>
      </c>
      <c r="B886" s="40">
        <v>44763</v>
      </c>
      <c r="C886" s="41">
        <v>31964</v>
      </c>
      <c r="D886" s="42" t="s">
        <v>49</v>
      </c>
      <c r="E886" s="43" t="s">
        <v>50</v>
      </c>
      <c r="F886" s="41">
        <v>40018701</v>
      </c>
      <c r="G886" s="43" t="s">
        <v>415</v>
      </c>
      <c r="H886" s="42">
        <v>1</v>
      </c>
      <c r="I886" s="44">
        <v>599.75</v>
      </c>
      <c r="J886" s="48"/>
    </row>
    <row r="887" spans="1:10" ht="18.75" customHeight="1" x14ac:dyDescent="0.25">
      <c r="A887" t="s">
        <v>433</v>
      </c>
      <c r="B887" s="40">
        <v>44763</v>
      </c>
      <c r="C887" s="41">
        <v>31964</v>
      </c>
      <c r="D887" s="42" t="s">
        <v>49</v>
      </c>
      <c r="E887" s="43" t="s">
        <v>50</v>
      </c>
      <c r="F887" s="41">
        <v>40018707</v>
      </c>
      <c r="G887" s="43" t="s">
        <v>89</v>
      </c>
      <c r="H887" s="42">
        <v>1</v>
      </c>
      <c r="I887" s="44">
        <v>599.75</v>
      </c>
      <c r="J887" s="48"/>
    </row>
    <row r="888" spans="1:10" ht="18.75" customHeight="1" x14ac:dyDescent="0.25">
      <c r="A888" t="s">
        <v>433</v>
      </c>
      <c r="B888" s="40">
        <v>44763</v>
      </c>
      <c r="C888" s="41">
        <v>31963</v>
      </c>
      <c r="D888" s="42" t="s">
        <v>49</v>
      </c>
      <c r="E888" s="43" t="s">
        <v>50</v>
      </c>
      <c r="F888" s="41">
        <v>40017580</v>
      </c>
      <c r="G888" s="43" t="s">
        <v>445</v>
      </c>
      <c r="H888" s="42">
        <v>1</v>
      </c>
      <c r="I888" s="44">
        <v>1349.78</v>
      </c>
      <c r="J888" s="48"/>
    </row>
    <row r="889" spans="1:10" ht="18.75" customHeight="1" x14ac:dyDescent="0.25">
      <c r="A889" t="s">
        <v>433</v>
      </c>
      <c r="B889" s="40">
        <v>44763</v>
      </c>
      <c r="C889" s="41">
        <v>73781</v>
      </c>
      <c r="D889" s="42" t="s">
        <v>49</v>
      </c>
      <c r="E889" s="43" t="s">
        <v>50</v>
      </c>
      <c r="F889" s="41">
        <v>40015686</v>
      </c>
      <c r="G889" s="43" t="s">
        <v>460</v>
      </c>
      <c r="H889" s="42">
        <v>2</v>
      </c>
      <c r="I889" s="44">
        <v>259.5</v>
      </c>
      <c r="J889" s="48"/>
    </row>
    <row r="890" spans="1:10" ht="18.75" customHeight="1" x14ac:dyDescent="0.25">
      <c r="A890" t="s">
        <v>433</v>
      </c>
      <c r="B890" s="40">
        <v>44764</v>
      </c>
      <c r="C890" s="41">
        <v>73855</v>
      </c>
      <c r="D890" s="42" t="s">
        <v>49</v>
      </c>
      <c r="E890" s="43" t="s">
        <v>50</v>
      </c>
      <c r="F890" s="41">
        <v>40020459</v>
      </c>
      <c r="G890" s="43" t="s">
        <v>265</v>
      </c>
      <c r="H890" s="42">
        <v>1</v>
      </c>
      <c r="I890" s="44">
        <v>399.75</v>
      </c>
      <c r="J890" s="48"/>
    </row>
    <row r="891" spans="1:10" ht="18.75" customHeight="1" x14ac:dyDescent="0.25">
      <c r="A891" t="s">
        <v>433</v>
      </c>
      <c r="B891" s="40">
        <v>44765</v>
      </c>
      <c r="C891" s="41">
        <v>32068</v>
      </c>
      <c r="D891" s="42" t="s">
        <v>49</v>
      </c>
      <c r="E891" s="43" t="s">
        <v>50</v>
      </c>
      <c r="F891" s="41">
        <v>40017345</v>
      </c>
      <c r="G891" s="43" t="s">
        <v>461</v>
      </c>
      <c r="H891" s="42">
        <v>1</v>
      </c>
      <c r="I891" s="44">
        <v>169.75</v>
      </c>
      <c r="J891" s="48"/>
    </row>
    <row r="892" spans="1:10" ht="18.75" customHeight="1" x14ac:dyDescent="0.25">
      <c r="A892" t="s">
        <v>433</v>
      </c>
      <c r="B892" s="40">
        <v>44765</v>
      </c>
      <c r="C892" s="41">
        <v>73883</v>
      </c>
      <c r="D892" s="42" t="s">
        <v>49</v>
      </c>
      <c r="E892" s="43" t="s">
        <v>50</v>
      </c>
      <c r="F892" s="41">
        <v>40013818</v>
      </c>
      <c r="G892" s="43" t="s">
        <v>372</v>
      </c>
      <c r="H892" s="42">
        <v>1</v>
      </c>
      <c r="I892" s="44">
        <v>299.75</v>
      </c>
      <c r="J892" s="48"/>
    </row>
    <row r="893" spans="1:10" ht="18.75" customHeight="1" x14ac:dyDescent="0.25">
      <c r="A893" t="s">
        <v>433</v>
      </c>
      <c r="B893" s="40">
        <v>44765</v>
      </c>
      <c r="C893" s="41">
        <v>32068</v>
      </c>
      <c r="D893" s="42" t="s">
        <v>49</v>
      </c>
      <c r="E893" s="43" t="s">
        <v>50</v>
      </c>
      <c r="F893" s="41">
        <v>40014511</v>
      </c>
      <c r="G893" s="43" t="s">
        <v>348</v>
      </c>
      <c r="H893" s="42">
        <v>1</v>
      </c>
      <c r="I893" s="44">
        <v>175</v>
      </c>
      <c r="J893" s="48"/>
    </row>
    <row r="894" spans="1:10" ht="18.75" customHeight="1" x14ac:dyDescent="0.25">
      <c r="A894" t="s">
        <v>433</v>
      </c>
      <c r="B894" s="40">
        <v>44765</v>
      </c>
      <c r="C894" s="41">
        <v>73883</v>
      </c>
      <c r="D894" s="42" t="s">
        <v>49</v>
      </c>
      <c r="E894" s="43" t="s">
        <v>50</v>
      </c>
      <c r="F894" s="41">
        <v>40018021</v>
      </c>
      <c r="G894" s="43" t="s">
        <v>281</v>
      </c>
      <c r="H894" s="42">
        <v>1</v>
      </c>
      <c r="I894" s="44">
        <v>199.75</v>
      </c>
      <c r="J894" s="48"/>
    </row>
    <row r="895" spans="1:10" ht="18.75" customHeight="1" x14ac:dyDescent="0.25">
      <c r="A895" t="s">
        <v>433</v>
      </c>
      <c r="B895" s="40">
        <v>44765</v>
      </c>
      <c r="C895" s="41">
        <v>73891</v>
      </c>
      <c r="D895" s="42" t="s">
        <v>49</v>
      </c>
      <c r="E895" s="43" t="s">
        <v>50</v>
      </c>
      <c r="F895" s="41">
        <v>40019145</v>
      </c>
      <c r="G895" s="43" t="s">
        <v>462</v>
      </c>
      <c r="H895" s="42">
        <v>1</v>
      </c>
      <c r="I895" s="44">
        <v>449.75</v>
      </c>
      <c r="J895" s="48"/>
    </row>
    <row r="896" spans="1:10" ht="18.75" customHeight="1" x14ac:dyDescent="0.25">
      <c r="A896" t="s">
        <v>433</v>
      </c>
      <c r="B896" s="40">
        <v>44765</v>
      </c>
      <c r="C896" s="41">
        <v>32068</v>
      </c>
      <c r="D896" s="42" t="s">
        <v>49</v>
      </c>
      <c r="E896" s="43" t="s">
        <v>50</v>
      </c>
      <c r="F896" s="41">
        <v>40020458</v>
      </c>
      <c r="G896" s="43" t="s">
        <v>346</v>
      </c>
      <c r="H896" s="42">
        <v>1</v>
      </c>
      <c r="I896" s="44">
        <v>399.75</v>
      </c>
      <c r="J896" s="48"/>
    </row>
    <row r="897" spans="1:10" ht="18.75" customHeight="1" x14ac:dyDescent="0.25">
      <c r="A897" t="s">
        <v>433</v>
      </c>
      <c r="B897" s="40">
        <v>44765</v>
      </c>
      <c r="C897" s="41">
        <v>32025</v>
      </c>
      <c r="D897" s="42" t="s">
        <v>49</v>
      </c>
      <c r="E897" s="43" t="s">
        <v>50</v>
      </c>
      <c r="F897" s="41">
        <v>40014663</v>
      </c>
      <c r="G897" s="43" t="s">
        <v>271</v>
      </c>
      <c r="H897" s="42">
        <v>1</v>
      </c>
      <c r="I897" s="44">
        <v>499.75</v>
      </c>
      <c r="J897" s="48"/>
    </row>
    <row r="898" spans="1:10" ht="18.75" customHeight="1" x14ac:dyDescent="0.25">
      <c r="A898" t="s">
        <v>433</v>
      </c>
      <c r="B898" s="40">
        <v>44765</v>
      </c>
      <c r="C898" s="41">
        <v>32025</v>
      </c>
      <c r="D898" s="42" t="s">
        <v>49</v>
      </c>
      <c r="E898" s="43" t="s">
        <v>50</v>
      </c>
      <c r="F898" s="41">
        <v>40014612</v>
      </c>
      <c r="G898" s="43" t="s">
        <v>120</v>
      </c>
      <c r="H898" s="42">
        <v>1</v>
      </c>
      <c r="I898" s="44">
        <v>250</v>
      </c>
      <c r="J898" s="48"/>
    </row>
    <row r="899" spans="1:10" ht="18.75" customHeight="1" x14ac:dyDescent="0.25">
      <c r="A899" t="s">
        <v>433</v>
      </c>
      <c r="B899" s="40">
        <v>44765</v>
      </c>
      <c r="C899" s="41">
        <v>73890</v>
      </c>
      <c r="D899" s="42" t="s">
        <v>49</v>
      </c>
      <c r="E899" s="43" t="s">
        <v>50</v>
      </c>
      <c r="F899" s="41">
        <v>40014612</v>
      </c>
      <c r="G899" s="43" t="s">
        <v>120</v>
      </c>
      <c r="H899" s="42">
        <v>1</v>
      </c>
      <c r="I899" s="44">
        <v>250</v>
      </c>
      <c r="J899" s="48"/>
    </row>
    <row r="900" spans="1:10" ht="18.75" customHeight="1" x14ac:dyDescent="0.25">
      <c r="A900" t="s">
        <v>433</v>
      </c>
      <c r="B900" s="40">
        <v>44765</v>
      </c>
      <c r="C900" s="41">
        <v>32025</v>
      </c>
      <c r="D900" s="42" t="s">
        <v>49</v>
      </c>
      <c r="E900" s="43" t="s">
        <v>50</v>
      </c>
      <c r="F900" s="41">
        <v>40014070</v>
      </c>
      <c r="G900" s="43" t="s">
        <v>463</v>
      </c>
      <c r="H900" s="42">
        <v>1</v>
      </c>
      <c r="I900" s="44">
        <v>150</v>
      </c>
      <c r="J900" s="48"/>
    </row>
    <row r="901" spans="1:10" ht="18.75" customHeight="1" x14ac:dyDescent="0.25">
      <c r="A901" t="s">
        <v>433</v>
      </c>
      <c r="B901" s="40">
        <v>44765</v>
      </c>
      <c r="C901" s="41">
        <v>32025</v>
      </c>
      <c r="D901" s="42" t="s">
        <v>49</v>
      </c>
      <c r="E901" s="43" t="s">
        <v>50</v>
      </c>
      <c r="F901" s="41">
        <v>40014071</v>
      </c>
      <c r="G901" s="43" t="s">
        <v>464</v>
      </c>
      <c r="H901" s="42">
        <v>1</v>
      </c>
      <c r="I901" s="44">
        <v>150</v>
      </c>
      <c r="J901" s="48"/>
    </row>
    <row r="902" spans="1:10" ht="18.75" customHeight="1" x14ac:dyDescent="0.25">
      <c r="A902" t="s">
        <v>433</v>
      </c>
      <c r="B902" s="40">
        <v>44765</v>
      </c>
      <c r="C902" s="41">
        <v>32025</v>
      </c>
      <c r="D902" s="42" t="s">
        <v>49</v>
      </c>
      <c r="E902" s="43" t="s">
        <v>50</v>
      </c>
      <c r="F902" s="41">
        <v>40014064</v>
      </c>
      <c r="G902" s="43" t="s">
        <v>465</v>
      </c>
      <c r="H902" s="42">
        <v>1</v>
      </c>
      <c r="I902" s="44">
        <v>299.85000000000002</v>
      </c>
      <c r="J902" s="48"/>
    </row>
    <row r="903" spans="1:10" ht="18.75" customHeight="1" x14ac:dyDescent="0.25">
      <c r="A903" t="s">
        <v>433</v>
      </c>
      <c r="B903" s="40">
        <v>44765</v>
      </c>
      <c r="C903" s="41">
        <v>32025</v>
      </c>
      <c r="D903" s="42" t="s">
        <v>49</v>
      </c>
      <c r="E903" s="43" t="s">
        <v>50</v>
      </c>
      <c r="F903" s="41">
        <v>40018820</v>
      </c>
      <c r="G903" s="43" t="s">
        <v>275</v>
      </c>
      <c r="H903" s="42">
        <v>1</v>
      </c>
      <c r="I903" s="44">
        <v>599.75</v>
      </c>
      <c r="J903" s="48"/>
    </row>
    <row r="904" spans="1:10" ht="18.75" customHeight="1" x14ac:dyDescent="0.25">
      <c r="A904" t="s">
        <v>433</v>
      </c>
      <c r="B904" s="40">
        <v>44765</v>
      </c>
      <c r="C904" s="41">
        <v>32025</v>
      </c>
      <c r="D904" s="42" t="s">
        <v>49</v>
      </c>
      <c r="E904" s="43" t="s">
        <v>50</v>
      </c>
      <c r="F904" s="41">
        <v>40018818</v>
      </c>
      <c r="G904" s="43" t="s">
        <v>397</v>
      </c>
      <c r="H904" s="42">
        <v>1</v>
      </c>
      <c r="I904" s="44">
        <v>399.75</v>
      </c>
      <c r="J904" s="48"/>
    </row>
    <row r="905" spans="1:10" ht="18.75" customHeight="1" x14ac:dyDescent="0.25">
      <c r="A905" t="s">
        <v>433</v>
      </c>
      <c r="B905" s="40">
        <v>44766</v>
      </c>
      <c r="C905" s="41">
        <v>65944</v>
      </c>
      <c r="D905" s="42" t="s">
        <v>49</v>
      </c>
      <c r="E905" s="43" t="s">
        <v>50</v>
      </c>
      <c r="F905" s="41">
        <v>40017639</v>
      </c>
      <c r="G905" s="43" t="s">
        <v>456</v>
      </c>
      <c r="H905" s="42">
        <v>2</v>
      </c>
      <c r="I905" s="44">
        <v>399.5</v>
      </c>
      <c r="J905" s="48"/>
    </row>
    <row r="906" spans="1:10" ht="18.75" customHeight="1" x14ac:dyDescent="0.25">
      <c r="A906" t="s">
        <v>433</v>
      </c>
      <c r="B906" s="40">
        <v>44766</v>
      </c>
      <c r="C906" s="41">
        <v>65995</v>
      </c>
      <c r="D906" s="42" t="s">
        <v>49</v>
      </c>
      <c r="E906" s="43" t="s">
        <v>50</v>
      </c>
      <c r="F906" s="41">
        <v>40017613</v>
      </c>
      <c r="G906" s="43" t="s">
        <v>416</v>
      </c>
      <c r="H906" s="42">
        <v>1</v>
      </c>
      <c r="I906" s="44">
        <v>89.75</v>
      </c>
      <c r="J906" s="48"/>
    </row>
    <row r="907" spans="1:10" ht="18.75" customHeight="1" x14ac:dyDescent="0.25">
      <c r="A907" t="s">
        <v>433</v>
      </c>
      <c r="B907" s="40">
        <v>44766</v>
      </c>
      <c r="C907" s="41">
        <v>65984</v>
      </c>
      <c r="D907" s="42" t="s">
        <v>49</v>
      </c>
      <c r="E907" s="43" t="s">
        <v>50</v>
      </c>
      <c r="F907" s="41">
        <v>40019144</v>
      </c>
      <c r="G907" s="43" t="s">
        <v>244</v>
      </c>
      <c r="H907" s="42">
        <v>1</v>
      </c>
      <c r="I907" s="44">
        <v>449.75</v>
      </c>
      <c r="J907" s="48"/>
    </row>
    <row r="908" spans="1:10" ht="18.75" customHeight="1" x14ac:dyDescent="0.25">
      <c r="A908" t="s">
        <v>433</v>
      </c>
      <c r="B908" s="40">
        <v>44766</v>
      </c>
      <c r="C908" s="41">
        <v>65952</v>
      </c>
      <c r="D908" s="42" t="s">
        <v>49</v>
      </c>
      <c r="E908" s="43" t="s">
        <v>50</v>
      </c>
      <c r="F908" s="41">
        <v>40020456</v>
      </c>
      <c r="G908" s="43" t="s">
        <v>199</v>
      </c>
      <c r="H908" s="42">
        <v>1</v>
      </c>
      <c r="I908" s="44">
        <v>449.75</v>
      </c>
      <c r="J908" s="48"/>
    </row>
    <row r="909" spans="1:10" ht="18.75" customHeight="1" x14ac:dyDescent="0.25">
      <c r="A909" t="s">
        <v>433</v>
      </c>
      <c r="B909" s="40">
        <v>44767</v>
      </c>
      <c r="C909" s="41">
        <v>73958</v>
      </c>
      <c r="D909" s="42" t="s">
        <v>49</v>
      </c>
      <c r="E909" s="43" t="s">
        <v>50</v>
      </c>
      <c r="F909" s="41">
        <v>40013797</v>
      </c>
      <c r="G909" s="43" t="s">
        <v>466</v>
      </c>
      <c r="H909" s="42">
        <v>2</v>
      </c>
      <c r="I909" s="44">
        <v>179.5</v>
      </c>
      <c r="J909" s="48"/>
    </row>
    <row r="910" spans="1:10" ht="18.75" customHeight="1" x14ac:dyDescent="0.25">
      <c r="A910" t="s">
        <v>433</v>
      </c>
      <c r="B910" s="40">
        <v>44768</v>
      </c>
      <c r="C910" s="41">
        <v>74008</v>
      </c>
      <c r="D910" s="42" t="s">
        <v>49</v>
      </c>
      <c r="E910" s="43" t="s">
        <v>50</v>
      </c>
      <c r="F910" s="41">
        <v>40017580</v>
      </c>
      <c r="G910" s="43" t="s">
        <v>445</v>
      </c>
      <c r="H910" s="42">
        <v>1</v>
      </c>
      <c r="I910" s="44">
        <v>1499.75</v>
      </c>
      <c r="J910" s="48"/>
    </row>
    <row r="911" spans="1:10" ht="18.75" customHeight="1" x14ac:dyDescent="0.25">
      <c r="A911" t="s">
        <v>433</v>
      </c>
      <c r="B911" s="40">
        <v>44768</v>
      </c>
      <c r="C911" s="41">
        <v>74027</v>
      </c>
      <c r="D911" s="42" t="s">
        <v>49</v>
      </c>
      <c r="E911" s="43" t="s">
        <v>50</v>
      </c>
      <c r="F911" s="41">
        <v>40020456</v>
      </c>
      <c r="G911" s="43" t="s">
        <v>199</v>
      </c>
      <c r="H911" s="42">
        <v>1</v>
      </c>
      <c r="I911" s="44">
        <v>449.75</v>
      </c>
      <c r="J911" s="48"/>
    </row>
    <row r="912" spans="1:10" ht="18.75" customHeight="1" x14ac:dyDescent="0.25">
      <c r="A912" t="s">
        <v>433</v>
      </c>
      <c r="B912" s="40">
        <v>44769</v>
      </c>
      <c r="C912" s="41">
        <v>32128</v>
      </c>
      <c r="D912" s="42" t="s">
        <v>49</v>
      </c>
      <c r="E912" s="43" t="s">
        <v>50</v>
      </c>
      <c r="F912" s="41">
        <v>40019361</v>
      </c>
      <c r="G912" s="43" t="s">
        <v>309</v>
      </c>
      <c r="H912" s="42">
        <v>1</v>
      </c>
      <c r="I912" s="44">
        <v>179.75</v>
      </c>
      <c r="J912" s="48"/>
    </row>
    <row r="913" spans="1:10" ht="18.75" customHeight="1" x14ac:dyDescent="0.25">
      <c r="A913" t="s">
        <v>433</v>
      </c>
      <c r="B913" s="40">
        <v>44769</v>
      </c>
      <c r="C913" s="41">
        <v>32128</v>
      </c>
      <c r="D913" s="42" t="s">
        <v>49</v>
      </c>
      <c r="E913" s="43" t="s">
        <v>50</v>
      </c>
      <c r="F913" s="41">
        <v>40019368</v>
      </c>
      <c r="G913" s="43" t="s">
        <v>309</v>
      </c>
      <c r="H913" s="42">
        <v>1</v>
      </c>
      <c r="I913" s="44">
        <v>179.75</v>
      </c>
      <c r="J913" s="48"/>
    </row>
    <row r="914" spans="1:10" ht="18.75" customHeight="1" x14ac:dyDescent="0.25">
      <c r="A914" t="s">
        <v>433</v>
      </c>
      <c r="B914" s="40">
        <v>44769</v>
      </c>
      <c r="C914" s="41">
        <v>32128</v>
      </c>
      <c r="D914" s="42" t="s">
        <v>49</v>
      </c>
      <c r="E914" s="43" t="s">
        <v>50</v>
      </c>
      <c r="F914" s="41">
        <v>40019107</v>
      </c>
      <c r="G914" s="43" t="s">
        <v>467</v>
      </c>
      <c r="H914" s="42">
        <v>1</v>
      </c>
      <c r="I914" s="44">
        <v>329.75</v>
      </c>
      <c r="J914" s="48"/>
    </row>
    <row r="915" spans="1:10" ht="18.75" customHeight="1" x14ac:dyDescent="0.25">
      <c r="A915" t="s">
        <v>433</v>
      </c>
      <c r="B915" s="40">
        <v>44769</v>
      </c>
      <c r="C915" s="41">
        <v>32128</v>
      </c>
      <c r="D915" s="42" t="s">
        <v>49</v>
      </c>
      <c r="E915" s="43" t="s">
        <v>50</v>
      </c>
      <c r="F915" s="41">
        <v>40020457</v>
      </c>
      <c r="G915" s="43" t="s">
        <v>185</v>
      </c>
      <c r="H915" s="42">
        <v>1</v>
      </c>
      <c r="I915" s="44">
        <v>449.75</v>
      </c>
      <c r="J915" s="48"/>
    </row>
    <row r="916" spans="1:10" ht="18.75" customHeight="1" x14ac:dyDescent="0.25">
      <c r="A916" t="s">
        <v>433</v>
      </c>
      <c r="B916" s="40">
        <v>44769</v>
      </c>
      <c r="C916" s="41">
        <v>32128</v>
      </c>
      <c r="D916" s="42" t="s">
        <v>49</v>
      </c>
      <c r="E916" s="43" t="s">
        <v>50</v>
      </c>
      <c r="F916" s="41">
        <v>40020460</v>
      </c>
      <c r="G916" s="43" t="s">
        <v>261</v>
      </c>
      <c r="H916" s="42">
        <v>1</v>
      </c>
      <c r="I916" s="44">
        <v>399.75</v>
      </c>
      <c r="J916" s="48"/>
    </row>
    <row r="917" spans="1:10" ht="18.75" customHeight="1" x14ac:dyDescent="0.25">
      <c r="A917" t="s">
        <v>433</v>
      </c>
      <c r="B917" s="40">
        <v>44769</v>
      </c>
      <c r="C917" s="41">
        <v>74066</v>
      </c>
      <c r="D917" s="42" t="s">
        <v>49</v>
      </c>
      <c r="E917" s="43" t="s">
        <v>50</v>
      </c>
      <c r="F917" s="41">
        <v>40020460</v>
      </c>
      <c r="G917" s="43" t="s">
        <v>261</v>
      </c>
      <c r="H917" s="42">
        <v>1</v>
      </c>
      <c r="I917" s="44">
        <v>399.75</v>
      </c>
      <c r="J917" s="48"/>
    </row>
    <row r="918" spans="1:10" ht="18.75" customHeight="1" x14ac:dyDescent="0.25">
      <c r="A918" t="s">
        <v>433</v>
      </c>
      <c r="B918" s="40">
        <v>44769</v>
      </c>
      <c r="C918" s="41">
        <v>32128</v>
      </c>
      <c r="D918" s="42" t="s">
        <v>49</v>
      </c>
      <c r="E918" s="43" t="s">
        <v>50</v>
      </c>
      <c r="F918" s="41">
        <v>40017507</v>
      </c>
      <c r="G918" s="43" t="s">
        <v>468</v>
      </c>
      <c r="H918" s="42">
        <v>2</v>
      </c>
      <c r="I918" s="44">
        <v>600</v>
      </c>
      <c r="J918" s="48"/>
    </row>
    <row r="919" spans="1:10" ht="18.75" customHeight="1" x14ac:dyDescent="0.25">
      <c r="A919" t="s">
        <v>433</v>
      </c>
      <c r="B919" s="40">
        <v>44769</v>
      </c>
      <c r="C919" s="41">
        <v>32128</v>
      </c>
      <c r="D919" s="42" t="s">
        <v>49</v>
      </c>
      <c r="E919" s="43" t="s">
        <v>50</v>
      </c>
      <c r="F919" s="41">
        <v>40018821</v>
      </c>
      <c r="G919" s="43" t="s">
        <v>276</v>
      </c>
      <c r="H919" s="42">
        <v>1</v>
      </c>
      <c r="I919" s="44">
        <v>599.75</v>
      </c>
      <c r="J919" s="48"/>
    </row>
    <row r="920" spans="1:10" ht="18.75" customHeight="1" x14ac:dyDescent="0.25">
      <c r="A920" t="s">
        <v>433</v>
      </c>
      <c r="B920" s="40">
        <v>44770</v>
      </c>
      <c r="C920" s="41">
        <v>74130</v>
      </c>
      <c r="D920" s="42" t="s">
        <v>49</v>
      </c>
      <c r="E920" s="43" t="s">
        <v>50</v>
      </c>
      <c r="F920" s="41">
        <v>40019102</v>
      </c>
      <c r="G920" s="43" t="s">
        <v>149</v>
      </c>
      <c r="H920" s="42">
        <v>1</v>
      </c>
      <c r="I920" s="44">
        <v>1499.75</v>
      </c>
      <c r="J920" s="48"/>
    </row>
    <row r="921" spans="1:10" ht="18.75" customHeight="1" x14ac:dyDescent="0.25">
      <c r="A921" t="s">
        <v>433</v>
      </c>
      <c r="B921" s="40">
        <v>44770</v>
      </c>
      <c r="C921" s="41">
        <v>32156</v>
      </c>
      <c r="D921" s="42" t="s">
        <v>49</v>
      </c>
      <c r="E921" s="43" t="s">
        <v>50</v>
      </c>
      <c r="F921" s="41">
        <v>40013877</v>
      </c>
      <c r="G921" s="43" t="s">
        <v>332</v>
      </c>
      <c r="H921" s="42">
        <v>1</v>
      </c>
      <c r="I921" s="44">
        <v>99.75</v>
      </c>
      <c r="J921" s="48"/>
    </row>
    <row r="922" spans="1:10" ht="18.75" customHeight="1" x14ac:dyDescent="0.25">
      <c r="A922" t="s">
        <v>433</v>
      </c>
      <c r="B922" s="40">
        <v>44770</v>
      </c>
      <c r="C922" s="41">
        <v>74136</v>
      </c>
      <c r="D922" s="42" t="s">
        <v>49</v>
      </c>
      <c r="E922" s="43" t="s">
        <v>50</v>
      </c>
      <c r="F922" s="41">
        <v>40013877</v>
      </c>
      <c r="G922" s="43" t="s">
        <v>332</v>
      </c>
      <c r="H922" s="42">
        <v>1</v>
      </c>
      <c r="I922" s="44">
        <v>99.75</v>
      </c>
      <c r="J922" s="48"/>
    </row>
    <row r="923" spans="1:10" ht="18.75" customHeight="1" x14ac:dyDescent="0.25">
      <c r="A923" t="s">
        <v>433</v>
      </c>
      <c r="B923" s="40">
        <v>44770</v>
      </c>
      <c r="C923" s="41">
        <v>32156</v>
      </c>
      <c r="D923" s="42" t="s">
        <v>49</v>
      </c>
      <c r="E923" s="43" t="s">
        <v>50</v>
      </c>
      <c r="F923" s="41">
        <v>40013873</v>
      </c>
      <c r="G923" s="43" t="s">
        <v>98</v>
      </c>
      <c r="H923" s="42">
        <v>1</v>
      </c>
      <c r="I923" s="44">
        <v>99.75</v>
      </c>
      <c r="J923" s="48"/>
    </row>
    <row r="924" spans="1:10" ht="18.75" customHeight="1" x14ac:dyDescent="0.25">
      <c r="A924" t="s">
        <v>433</v>
      </c>
      <c r="B924" s="40">
        <v>44770</v>
      </c>
      <c r="C924" s="41">
        <v>74136</v>
      </c>
      <c r="D924" s="42" t="s">
        <v>49</v>
      </c>
      <c r="E924" s="43" t="s">
        <v>50</v>
      </c>
      <c r="F924" s="41">
        <v>40013873</v>
      </c>
      <c r="G924" s="43" t="s">
        <v>98</v>
      </c>
      <c r="H924" s="42">
        <v>1</v>
      </c>
      <c r="I924" s="44">
        <v>99.75</v>
      </c>
      <c r="J924" s="48"/>
    </row>
    <row r="925" spans="1:10" ht="18.75" customHeight="1" x14ac:dyDescent="0.25">
      <c r="A925" t="s">
        <v>433</v>
      </c>
      <c r="B925" s="40">
        <v>44770</v>
      </c>
      <c r="C925" s="41">
        <v>74136</v>
      </c>
      <c r="D925" s="42" t="s">
        <v>49</v>
      </c>
      <c r="E925" s="43" t="s">
        <v>50</v>
      </c>
      <c r="F925" s="41">
        <v>40013806</v>
      </c>
      <c r="G925" s="43" t="s">
        <v>67</v>
      </c>
      <c r="H925" s="42">
        <v>1</v>
      </c>
      <c r="I925" s="44">
        <v>49.75</v>
      </c>
      <c r="J925" s="48"/>
    </row>
    <row r="926" spans="1:10" ht="18.75" customHeight="1" x14ac:dyDescent="0.25">
      <c r="A926" t="s">
        <v>433</v>
      </c>
      <c r="B926" s="40">
        <v>44770</v>
      </c>
      <c r="C926" s="41">
        <v>74136</v>
      </c>
      <c r="D926" s="42" t="s">
        <v>49</v>
      </c>
      <c r="E926" s="43" t="s">
        <v>50</v>
      </c>
      <c r="F926" s="41">
        <v>40013805</v>
      </c>
      <c r="G926" s="43" t="s">
        <v>73</v>
      </c>
      <c r="H926" s="42">
        <v>1</v>
      </c>
      <c r="I926" s="44">
        <v>49.75</v>
      </c>
      <c r="J926" s="48"/>
    </row>
    <row r="927" spans="1:10" ht="18.75" customHeight="1" x14ac:dyDescent="0.25">
      <c r="A927" t="s">
        <v>433</v>
      </c>
      <c r="B927" s="40">
        <v>44771</v>
      </c>
      <c r="C927" s="41">
        <v>32233</v>
      </c>
      <c r="D927" s="42" t="s">
        <v>49</v>
      </c>
      <c r="E927" s="43" t="s">
        <v>50</v>
      </c>
      <c r="F927" s="41">
        <v>40013813</v>
      </c>
      <c r="G927" s="43" t="s">
        <v>56</v>
      </c>
      <c r="H927" s="42">
        <v>1</v>
      </c>
      <c r="I927" s="44">
        <v>79.75</v>
      </c>
      <c r="J927" s="48"/>
    </row>
    <row r="928" spans="1:10" ht="18.75" customHeight="1" x14ac:dyDescent="0.25">
      <c r="A928" t="s">
        <v>433</v>
      </c>
      <c r="B928" s="40">
        <v>44771</v>
      </c>
      <c r="C928" s="41">
        <v>74194</v>
      </c>
      <c r="D928" s="42" t="s">
        <v>49</v>
      </c>
      <c r="E928" s="43" t="s">
        <v>50</v>
      </c>
      <c r="F928" s="41">
        <v>40014012</v>
      </c>
      <c r="G928" s="43" t="s">
        <v>438</v>
      </c>
      <c r="H928" s="42">
        <v>1</v>
      </c>
      <c r="I928" s="44">
        <v>299.75</v>
      </c>
      <c r="J928" s="48"/>
    </row>
    <row r="929" spans="1:10" ht="18.75" customHeight="1" x14ac:dyDescent="0.25">
      <c r="A929" t="s">
        <v>433</v>
      </c>
      <c r="B929" s="40">
        <v>44771</v>
      </c>
      <c r="C929" s="41">
        <v>74243</v>
      </c>
      <c r="D929" s="42" t="s">
        <v>49</v>
      </c>
      <c r="E929" s="43" t="s">
        <v>50</v>
      </c>
      <c r="F929" s="41">
        <v>40013855</v>
      </c>
      <c r="G929" s="43" t="s">
        <v>212</v>
      </c>
      <c r="H929" s="42">
        <v>1</v>
      </c>
      <c r="I929" s="44">
        <v>129.75</v>
      </c>
      <c r="J929" s="48"/>
    </row>
    <row r="930" spans="1:10" ht="18.75" customHeight="1" x14ac:dyDescent="0.25">
      <c r="A930" t="s">
        <v>433</v>
      </c>
      <c r="B930" s="40">
        <v>44771</v>
      </c>
      <c r="C930" s="41">
        <v>32233</v>
      </c>
      <c r="D930" s="42" t="s">
        <v>49</v>
      </c>
      <c r="E930" s="43" t="s">
        <v>50</v>
      </c>
      <c r="F930" s="41">
        <v>40013877</v>
      </c>
      <c r="G930" s="43" t="s">
        <v>332</v>
      </c>
      <c r="H930" s="42">
        <v>1</v>
      </c>
      <c r="I930" s="44">
        <v>99.75</v>
      </c>
      <c r="J930" s="48"/>
    </row>
    <row r="931" spans="1:10" ht="18.75" customHeight="1" x14ac:dyDescent="0.25">
      <c r="A931" t="s">
        <v>433</v>
      </c>
      <c r="B931" s="40">
        <v>44771</v>
      </c>
      <c r="C931" s="41">
        <v>74181</v>
      </c>
      <c r="D931" s="42" t="s">
        <v>49</v>
      </c>
      <c r="E931" s="43" t="s">
        <v>50</v>
      </c>
      <c r="F931" s="41">
        <v>40013873</v>
      </c>
      <c r="G931" s="43" t="s">
        <v>98</v>
      </c>
      <c r="H931" s="42">
        <v>1</v>
      </c>
      <c r="I931" s="44">
        <v>99.75</v>
      </c>
      <c r="J931" s="48"/>
    </row>
    <row r="932" spans="1:10" ht="18.75" customHeight="1" x14ac:dyDescent="0.25">
      <c r="A932" t="s">
        <v>433</v>
      </c>
      <c r="B932" s="40">
        <v>44771</v>
      </c>
      <c r="C932" s="41">
        <v>74181</v>
      </c>
      <c r="D932" s="42" t="s">
        <v>49</v>
      </c>
      <c r="E932" s="43" t="s">
        <v>50</v>
      </c>
      <c r="F932" s="41">
        <v>40013871</v>
      </c>
      <c r="G932" s="43" t="s">
        <v>254</v>
      </c>
      <c r="H932" s="42">
        <v>1</v>
      </c>
      <c r="I932" s="44">
        <v>99.75</v>
      </c>
      <c r="J932" s="48"/>
    </row>
    <row r="933" spans="1:10" ht="18.75" customHeight="1" x14ac:dyDescent="0.25">
      <c r="A933" t="s">
        <v>433</v>
      </c>
      <c r="B933" s="40">
        <v>44771</v>
      </c>
      <c r="C933" s="41">
        <v>74238</v>
      </c>
      <c r="D933" s="42" t="s">
        <v>49</v>
      </c>
      <c r="E933" s="43" t="s">
        <v>50</v>
      </c>
      <c r="F933" s="41">
        <v>40019145</v>
      </c>
      <c r="G933" s="43" t="s">
        <v>462</v>
      </c>
      <c r="H933" s="42">
        <v>1</v>
      </c>
      <c r="I933" s="44">
        <v>449.75</v>
      </c>
      <c r="J933" s="48"/>
    </row>
    <row r="934" spans="1:10" ht="18.75" customHeight="1" x14ac:dyDescent="0.25">
      <c r="A934" t="s">
        <v>433</v>
      </c>
      <c r="B934" s="40">
        <v>44771</v>
      </c>
      <c r="C934" s="41">
        <v>74178</v>
      </c>
      <c r="D934" s="42" t="s">
        <v>49</v>
      </c>
      <c r="E934" s="43" t="s">
        <v>50</v>
      </c>
      <c r="F934" s="41">
        <v>40019148</v>
      </c>
      <c r="G934" s="43" t="s">
        <v>59</v>
      </c>
      <c r="H934" s="42">
        <v>1</v>
      </c>
      <c r="I934" s="44">
        <v>399.75</v>
      </c>
      <c r="J934" s="48"/>
    </row>
    <row r="935" spans="1:10" ht="18.75" customHeight="1" x14ac:dyDescent="0.25">
      <c r="A935" t="s">
        <v>433</v>
      </c>
      <c r="B935" s="40">
        <v>44771</v>
      </c>
      <c r="C935" s="41">
        <v>74205</v>
      </c>
      <c r="D935" s="42" t="s">
        <v>49</v>
      </c>
      <c r="E935" s="43" t="s">
        <v>50</v>
      </c>
      <c r="F935" s="41">
        <v>40020458</v>
      </c>
      <c r="G935" s="43" t="s">
        <v>346</v>
      </c>
      <c r="H935" s="42">
        <v>1</v>
      </c>
      <c r="I935" s="44">
        <v>399.75</v>
      </c>
      <c r="J935" s="48"/>
    </row>
    <row r="936" spans="1:10" ht="18.75" customHeight="1" x14ac:dyDescent="0.25">
      <c r="A936" t="s">
        <v>433</v>
      </c>
      <c r="B936" s="40">
        <v>44771</v>
      </c>
      <c r="C936" s="41">
        <v>74194</v>
      </c>
      <c r="D936" s="42" t="s">
        <v>49</v>
      </c>
      <c r="E936" s="43" t="s">
        <v>50</v>
      </c>
      <c r="F936" s="41">
        <v>40020452</v>
      </c>
      <c r="G936" s="43" t="s">
        <v>320</v>
      </c>
      <c r="H936" s="42">
        <v>1</v>
      </c>
      <c r="I936" s="44">
        <v>399.75</v>
      </c>
      <c r="J936" s="48"/>
    </row>
    <row r="937" spans="1:10" ht="18.75" customHeight="1" x14ac:dyDescent="0.25">
      <c r="A937" t="s">
        <v>433</v>
      </c>
      <c r="B937" s="40">
        <v>44771</v>
      </c>
      <c r="C937" s="41">
        <v>32269</v>
      </c>
      <c r="D937" s="42" t="s">
        <v>49</v>
      </c>
      <c r="E937" s="43" t="s">
        <v>50</v>
      </c>
      <c r="F937" s="41">
        <v>40014609</v>
      </c>
      <c r="G937" s="43" t="s">
        <v>200</v>
      </c>
      <c r="H937" s="42">
        <v>1</v>
      </c>
      <c r="I937" s="44">
        <v>300</v>
      </c>
      <c r="J937" s="48"/>
    </row>
    <row r="938" spans="1:10" ht="18.75" customHeight="1" x14ac:dyDescent="0.25">
      <c r="A938" t="s">
        <v>433</v>
      </c>
      <c r="B938" s="40">
        <v>44771</v>
      </c>
      <c r="C938" s="41">
        <v>74183</v>
      </c>
      <c r="D938" s="42" t="s">
        <v>49</v>
      </c>
      <c r="E938" s="43" t="s">
        <v>50</v>
      </c>
      <c r="F938" s="41">
        <v>40020447</v>
      </c>
      <c r="G938" s="43" t="s">
        <v>469</v>
      </c>
      <c r="H938" s="42">
        <v>1</v>
      </c>
      <c r="I938" s="44">
        <v>499.75</v>
      </c>
      <c r="J938" s="48"/>
    </row>
    <row r="939" spans="1:10" ht="18.75" customHeight="1" x14ac:dyDescent="0.25">
      <c r="A939" t="s">
        <v>433</v>
      </c>
      <c r="B939" s="40">
        <v>44771</v>
      </c>
      <c r="C939" s="41">
        <v>74243</v>
      </c>
      <c r="D939" s="42" t="s">
        <v>49</v>
      </c>
      <c r="E939" s="43" t="s">
        <v>50</v>
      </c>
      <c r="F939" s="41">
        <v>40013334</v>
      </c>
      <c r="G939" s="43" t="s">
        <v>64</v>
      </c>
      <c r="H939" s="42">
        <v>1</v>
      </c>
      <c r="I939" s="44">
        <v>99.75</v>
      </c>
      <c r="J939" s="48"/>
    </row>
    <row r="940" spans="1:10" ht="18.75" customHeight="1" x14ac:dyDescent="0.25">
      <c r="A940" t="s">
        <v>433</v>
      </c>
      <c r="B940" s="40">
        <v>44771</v>
      </c>
      <c r="C940" s="41">
        <v>74236</v>
      </c>
      <c r="D940" s="42" t="s">
        <v>49</v>
      </c>
      <c r="E940" s="43" t="s">
        <v>50</v>
      </c>
      <c r="F940" s="41">
        <v>40015666</v>
      </c>
      <c r="G940" s="43" t="s">
        <v>470</v>
      </c>
      <c r="H940" s="42">
        <v>1</v>
      </c>
      <c r="I940" s="44">
        <v>299.85000000000002</v>
      </c>
      <c r="J940" s="48"/>
    </row>
    <row r="941" spans="1:10" ht="18.75" customHeight="1" x14ac:dyDescent="0.25">
      <c r="A941" t="s">
        <v>433</v>
      </c>
      <c r="B941" s="40">
        <v>44771</v>
      </c>
      <c r="C941" s="41">
        <v>74253</v>
      </c>
      <c r="D941" s="42" t="s">
        <v>49</v>
      </c>
      <c r="E941" s="43" t="s">
        <v>50</v>
      </c>
      <c r="F941" s="41">
        <v>40017567</v>
      </c>
      <c r="G941" s="43" t="s">
        <v>471</v>
      </c>
      <c r="H941" s="42">
        <v>1</v>
      </c>
      <c r="I941" s="44">
        <v>225</v>
      </c>
      <c r="J941" s="48"/>
    </row>
    <row r="942" spans="1:10" ht="18.75" customHeight="1" x14ac:dyDescent="0.25">
      <c r="A942" t="s">
        <v>433</v>
      </c>
      <c r="B942" s="40">
        <v>44771</v>
      </c>
      <c r="C942" s="41">
        <v>74253</v>
      </c>
      <c r="D942" s="42" t="s">
        <v>49</v>
      </c>
      <c r="E942" s="43" t="s">
        <v>50</v>
      </c>
      <c r="F942" s="41">
        <v>40017569</v>
      </c>
      <c r="G942" s="43" t="s">
        <v>472</v>
      </c>
      <c r="H942" s="42">
        <v>1</v>
      </c>
      <c r="I942" s="44">
        <v>225</v>
      </c>
      <c r="J942" s="48"/>
    </row>
    <row r="943" spans="1:10" ht="18.75" customHeight="1" x14ac:dyDescent="0.25">
      <c r="A943" t="s">
        <v>433</v>
      </c>
      <c r="B943" s="40">
        <v>44771</v>
      </c>
      <c r="C943" s="41">
        <v>74253</v>
      </c>
      <c r="D943" s="42" t="s">
        <v>49</v>
      </c>
      <c r="E943" s="43" t="s">
        <v>50</v>
      </c>
      <c r="F943" s="41">
        <v>40017568</v>
      </c>
      <c r="G943" s="43" t="s">
        <v>473</v>
      </c>
      <c r="H943" s="42">
        <v>1</v>
      </c>
      <c r="I943" s="44">
        <v>225</v>
      </c>
      <c r="J943" s="48"/>
    </row>
    <row r="944" spans="1:10" ht="18.75" customHeight="1" x14ac:dyDescent="0.25">
      <c r="A944" t="s">
        <v>433</v>
      </c>
      <c r="B944" s="40">
        <v>44771</v>
      </c>
      <c r="C944" s="41">
        <v>32269</v>
      </c>
      <c r="D944" s="42" t="s">
        <v>49</v>
      </c>
      <c r="E944" s="43" t="s">
        <v>50</v>
      </c>
      <c r="F944" s="41">
        <v>40018821</v>
      </c>
      <c r="G944" s="43" t="s">
        <v>276</v>
      </c>
      <c r="H944" s="42">
        <v>1</v>
      </c>
      <c r="I944" s="44">
        <v>599.75</v>
      </c>
      <c r="J944" s="48"/>
    </row>
    <row r="945" spans="1:10" ht="18.75" customHeight="1" x14ac:dyDescent="0.25">
      <c r="A945" t="s">
        <v>433</v>
      </c>
      <c r="B945" s="40">
        <v>44772</v>
      </c>
      <c r="C945" s="41">
        <v>74277</v>
      </c>
      <c r="D945" s="42" t="s">
        <v>49</v>
      </c>
      <c r="E945" s="43" t="s">
        <v>50</v>
      </c>
      <c r="F945" s="41">
        <v>40014008</v>
      </c>
      <c r="G945" s="43" t="s">
        <v>409</v>
      </c>
      <c r="H945" s="42">
        <v>1</v>
      </c>
      <c r="I945" s="44">
        <v>2699.7750000000001</v>
      </c>
      <c r="J945" s="48"/>
    </row>
    <row r="946" spans="1:10" ht="18.75" customHeight="1" x14ac:dyDescent="0.25">
      <c r="A946" t="s">
        <v>433</v>
      </c>
      <c r="B946" s="40">
        <v>44772</v>
      </c>
      <c r="C946" s="41">
        <v>74270</v>
      </c>
      <c r="D946" s="42" t="s">
        <v>49</v>
      </c>
      <c r="E946" s="43" t="s">
        <v>50</v>
      </c>
      <c r="F946" s="41">
        <v>40020460</v>
      </c>
      <c r="G946" s="43" t="s">
        <v>261</v>
      </c>
      <c r="H946" s="42">
        <v>1</v>
      </c>
      <c r="I946" s="44">
        <v>399.75</v>
      </c>
      <c r="J946" s="48"/>
    </row>
    <row r="947" spans="1:10" ht="18.75" customHeight="1" x14ac:dyDescent="0.25">
      <c r="A947" t="s">
        <v>433</v>
      </c>
      <c r="B947" s="40">
        <v>44772</v>
      </c>
      <c r="C947" s="41">
        <v>32301</v>
      </c>
      <c r="D947" s="42" t="s">
        <v>49</v>
      </c>
      <c r="E947" s="43" t="s">
        <v>50</v>
      </c>
      <c r="F947" s="41">
        <v>40014607</v>
      </c>
      <c r="G947" s="43" t="s">
        <v>267</v>
      </c>
      <c r="H947" s="42">
        <v>1</v>
      </c>
      <c r="I947" s="44">
        <v>299.75</v>
      </c>
      <c r="J947" s="48"/>
    </row>
    <row r="948" spans="1:10" ht="18.75" customHeight="1" x14ac:dyDescent="0.25">
      <c r="A948" t="s">
        <v>433</v>
      </c>
      <c r="B948" s="40">
        <v>44772</v>
      </c>
      <c r="C948" s="41">
        <v>32301</v>
      </c>
      <c r="D948" s="42" t="s">
        <v>49</v>
      </c>
      <c r="E948" s="43" t="s">
        <v>50</v>
      </c>
      <c r="F948" s="41">
        <v>40017368</v>
      </c>
      <c r="G948" s="43" t="s">
        <v>80</v>
      </c>
      <c r="H948" s="42">
        <v>1</v>
      </c>
      <c r="I948" s="44">
        <v>199.75</v>
      </c>
      <c r="J948" s="48"/>
    </row>
    <row r="949" spans="1:10" ht="18.75" customHeight="1" x14ac:dyDescent="0.25">
      <c r="A949" t="s">
        <v>433</v>
      </c>
      <c r="B949" s="40">
        <v>44772</v>
      </c>
      <c r="C949" s="41">
        <v>32335</v>
      </c>
      <c r="D949" s="42" t="s">
        <v>49</v>
      </c>
      <c r="E949" s="43" t="s">
        <v>50</v>
      </c>
      <c r="F949" s="41">
        <v>40019383</v>
      </c>
      <c r="G949" s="43" t="s">
        <v>52</v>
      </c>
      <c r="H949" s="42">
        <v>1</v>
      </c>
      <c r="I949" s="44">
        <v>749.75</v>
      </c>
      <c r="J949" s="48"/>
    </row>
    <row r="950" spans="1:10" ht="18.75" customHeight="1" x14ac:dyDescent="0.25">
      <c r="A950" t="s">
        <v>433</v>
      </c>
      <c r="B950" s="40">
        <v>44772</v>
      </c>
      <c r="C950" s="41">
        <v>32335</v>
      </c>
      <c r="D950" s="42" t="s">
        <v>49</v>
      </c>
      <c r="E950" s="43" t="s">
        <v>50</v>
      </c>
      <c r="F950" s="41">
        <v>40019385</v>
      </c>
      <c r="G950" s="43" t="s">
        <v>474</v>
      </c>
      <c r="H950" s="42">
        <v>1</v>
      </c>
      <c r="I950" s="44">
        <v>749.75</v>
      </c>
      <c r="J950" s="48"/>
    </row>
    <row r="951" spans="1:10" ht="18.75" customHeight="1" x14ac:dyDescent="0.25">
      <c r="A951" t="s">
        <v>433</v>
      </c>
      <c r="B951" s="40">
        <v>44773</v>
      </c>
      <c r="C951" s="41">
        <v>32395</v>
      </c>
      <c r="D951" s="42" t="s">
        <v>49</v>
      </c>
      <c r="E951" s="43" t="s">
        <v>50</v>
      </c>
      <c r="F951" s="41">
        <v>40013847</v>
      </c>
      <c r="G951" s="43" t="s">
        <v>212</v>
      </c>
      <c r="H951" s="42">
        <v>1</v>
      </c>
      <c r="I951" s="44">
        <v>129.75</v>
      </c>
      <c r="J951" s="48"/>
    </row>
    <row r="952" spans="1:10" ht="18.75" customHeight="1" x14ac:dyDescent="0.25">
      <c r="A952" t="s">
        <v>433</v>
      </c>
      <c r="B952" s="40">
        <v>44773</v>
      </c>
      <c r="C952" s="41">
        <v>66116</v>
      </c>
      <c r="D952" s="42" t="s">
        <v>49</v>
      </c>
      <c r="E952" s="43" t="s">
        <v>50</v>
      </c>
      <c r="F952" s="41">
        <v>40018702</v>
      </c>
      <c r="G952" s="43" t="s">
        <v>87</v>
      </c>
      <c r="H952" s="42">
        <v>1</v>
      </c>
      <c r="I952" s="44">
        <v>599.75</v>
      </c>
      <c r="J952" s="48"/>
    </row>
    <row r="953" spans="1:10" ht="18.75" customHeight="1" x14ac:dyDescent="0.25">
      <c r="A953" t="s">
        <v>433</v>
      </c>
      <c r="B953" s="40">
        <v>44773</v>
      </c>
      <c r="C953" s="41">
        <v>66116</v>
      </c>
      <c r="D953" s="42" t="s">
        <v>49</v>
      </c>
      <c r="E953" s="43" t="s">
        <v>50</v>
      </c>
      <c r="F953" s="41">
        <v>40018706</v>
      </c>
      <c r="G953" s="43" t="s">
        <v>88</v>
      </c>
      <c r="H953" s="42">
        <v>1</v>
      </c>
      <c r="I953" s="44">
        <v>599.75</v>
      </c>
      <c r="J953" s="48"/>
    </row>
    <row r="954" spans="1:10" ht="18.75" customHeight="1" x14ac:dyDescent="0.25">
      <c r="A954" t="s">
        <v>433</v>
      </c>
      <c r="B954" s="40">
        <v>44773</v>
      </c>
      <c r="C954" s="41">
        <v>66098</v>
      </c>
      <c r="D954" s="42" t="s">
        <v>49</v>
      </c>
      <c r="E954" s="43" t="s">
        <v>50</v>
      </c>
      <c r="F954" s="41">
        <v>40020461</v>
      </c>
      <c r="G954" s="43" t="s">
        <v>76</v>
      </c>
      <c r="H954" s="42">
        <v>1</v>
      </c>
      <c r="I954" s="44">
        <v>449.75</v>
      </c>
      <c r="J954" s="48"/>
    </row>
    <row r="955" spans="1:10" ht="18.75" customHeight="1" x14ac:dyDescent="0.25">
      <c r="A955" s="19"/>
      <c r="B955" s="19"/>
      <c r="C955" s="19"/>
      <c r="D955" s="20"/>
      <c r="E955" s="21"/>
      <c r="F955" s="25"/>
      <c r="G955" s="22"/>
      <c r="H955" s="22"/>
      <c r="J955" s="48"/>
    </row>
    <row r="956" spans="1:10" ht="18.75" customHeight="1" x14ac:dyDescent="0.25">
      <c r="A956" s="19"/>
      <c r="B956" s="19"/>
      <c r="C956" s="19"/>
      <c r="D956" s="20"/>
      <c r="E956" s="21"/>
      <c r="F956" s="25"/>
      <c r="G956" s="22"/>
      <c r="H956" s="22"/>
      <c r="J956" s="48"/>
    </row>
    <row r="957" spans="1:10" ht="18.75" customHeight="1" x14ac:dyDescent="0.25">
      <c r="A957" s="19"/>
      <c r="B957" s="19"/>
      <c r="C957" s="19"/>
      <c r="D957" s="20"/>
      <c r="E957" s="21"/>
      <c r="F957" s="25"/>
      <c r="G957" s="22"/>
      <c r="H957" s="22"/>
      <c r="J957" s="48"/>
    </row>
    <row r="958" spans="1:10" ht="18.75" customHeight="1" x14ac:dyDescent="0.25">
      <c r="A958" s="19"/>
      <c r="B958" s="19"/>
      <c r="C958" s="19"/>
      <c r="D958" s="20"/>
      <c r="E958" s="21"/>
      <c r="F958" s="25"/>
      <c r="G958" s="22"/>
      <c r="H958" s="22"/>
      <c r="J958" s="48"/>
    </row>
    <row r="959" spans="1:10" ht="18.75" customHeight="1" x14ac:dyDescent="0.25">
      <c r="A959" s="19"/>
      <c r="B959" s="19"/>
      <c r="C959" s="19"/>
      <c r="D959" s="20"/>
      <c r="E959" s="21"/>
      <c r="F959" s="25"/>
      <c r="G959" s="22"/>
      <c r="H959" s="22"/>
      <c r="J959" s="48"/>
    </row>
    <row r="960" spans="1:10" ht="18.75" customHeight="1" x14ac:dyDescent="0.25">
      <c r="A960" s="19"/>
      <c r="B960" s="19"/>
      <c r="C960" s="19"/>
      <c r="D960" s="20"/>
      <c r="E960" s="21"/>
      <c r="F960" s="25"/>
      <c r="G960" s="22"/>
      <c r="H960" s="22"/>
      <c r="J960" s="48"/>
    </row>
    <row r="961" spans="1:10" ht="18.75" customHeight="1" x14ac:dyDescent="0.25">
      <c r="A961" s="19"/>
      <c r="B961" s="19"/>
      <c r="C961" s="19"/>
      <c r="D961" s="20"/>
      <c r="E961" s="21"/>
      <c r="F961" s="25"/>
      <c r="G961" s="22"/>
      <c r="H961" s="22"/>
      <c r="J961" s="48"/>
    </row>
    <row r="962" spans="1:10" ht="18.75" customHeight="1" x14ac:dyDescent="0.25">
      <c r="A962" s="19"/>
      <c r="B962" s="19"/>
      <c r="C962" s="19"/>
      <c r="D962" s="20"/>
      <c r="E962" s="21"/>
      <c r="F962" s="25"/>
      <c r="G962" s="22"/>
      <c r="H962" s="22"/>
      <c r="J962" s="48"/>
    </row>
    <row r="963" spans="1:10" ht="18.75" customHeight="1" x14ac:dyDescent="0.25">
      <c r="A963" s="19"/>
      <c r="B963" s="19"/>
      <c r="C963" s="19"/>
      <c r="D963" s="20"/>
      <c r="E963" s="21"/>
      <c r="F963" s="25"/>
      <c r="G963" s="22"/>
      <c r="H963" s="22"/>
      <c r="J963" s="48"/>
    </row>
    <row r="964" spans="1:10" ht="18.75" customHeight="1" x14ac:dyDescent="0.25">
      <c r="A964" s="19"/>
      <c r="B964" s="19"/>
      <c r="C964" s="19"/>
      <c r="D964" s="20"/>
      <c r="E964" s="21"/>
      <c r="F964" s="25"/>
      <c r="G964" s="22"/>
      <c r="H964" s="22"/>
      <c r="J964" s="48"/>
    </row>
    <row r="965" spans="1:10" ht="18.75" customHeight="1" x14ac:dyDescent="0.25">
      <c r="A965" s="19"/>
      <c r="B965" s="19"/>
      <c r="C965" s="19"/>
      <c r="D965" s="20"/>
      <c r="E965" s="21"/>
      <c r="F965" s="25"/>
      <c r="G965" s="22"/>
      <c r="H965" s="22"/>
      <c r="J965" s="48"/>
    </row>
    <row r="966" spans="1:10" ht="18.75" customHeight="1" x14ac:dyDescent="0.25">
      <c r="A966" s="19"/>
      <c r="B966" s="19"/>
      <c r="C966" s="19"/>
      <c r="D966" s="20"/>
      <c r="E966" s="21"/>
      <c r="F966" s="25"/>
      <c r="G966" s="22"/>
      <c r="H966" s="22"/>
      <c r="J966" s="48"/>
    </row>
    <row r="967" spans="1:10" ht="18.75" customHeight="1" x14ac:dyDescent="0.25">
      <c r="A967" s="19"/>
      <c r="B967" s="19"/>
      <c r="C967" s="19"/>
      <c r="D967" s="20"/>
      <c r="E967" s="21"/>
      <c r="F967" s="25"/>
      <c r="G967" s="22"/>
      <c r="H967" s="22"/>
      <c r="J967" s="48"/>
    </row>
    <row r="968" spans="1:10" ht="18.75" customHeight="1" x14ac:dyDescent="0.25">
      <c r="A968" s="19"/>
      <c r="B968" s="19"/>
      <c r="C968" s="19"/>
      <c r="D968" s="20"/>
      <c r="E968" s="21"/>
      <c r="F968" s="25"/>
      <c r="G968" s="22"/>
      <c r="H968" s="22"/>
      <c r="J968" s="48"/>
    </row>
    <row r="969" spans="1:10" ht="18.75" customHeight="1" x14ac:dyDescent="0.25">
      <c r="A969" s="19"/>
      <c r="B969" s="19"/>
      <c r="C969" s="19"/>
      <c r="D969" s="20"/>
      <c r="E969" s="21"/>
      <c r="F969" s="25"/>
      <c r="G969" s="22"/>
      <c r="H969" s="22"/>
      <c r="J969" s="48"/>
    </row>
    <row r="970" spans="1:10" ht="18.75" customHeight="1" x14ac:dyDescent="0.25">
      <c r="A970" s="19"/>
      <c r="B970" s="19"/>
      <c r="C970" s="19"/>
      <c r="D970" s="20"/>
      <c r="E970" s="21"/>
      <c r="F970" s="25"/>
      <c r="G970" s="22"/>
      <c r="H970" s="22"/>
      <c r="J970" s="48"/>
    </row>
    <row r="971" spans="1:10" ht="18.75" customHeight="1" x14ac:dyDescent="0.25">
      <c r="A971" s="19"/>
      <c r="B971" s="19"/>
      <c r="C971" s="19"/>
      <c r="D971" s="20"/>
      <c r="E971" s="21"/>
      <c r="F971" s="25"/>
      <c r="G971" s="22"/>
      <c r="H971" s="22"/>
      <c r="J971" s="48"/>
    </row>
    <row r="972" spans="1:10" ht="18.75" customHeight="1" x14ac:dyDescent="0.25">
      <c r="A972" s="19"/>
      <c r="B972" s="19"/>
      <c r="C972" s="19"/>
      <c r="D972" s="20"/>
      <c r="E972" s="21"/>
      <c r="F972" s="25"/>
      <c r="G972" s="22"/>
      <c r="H972" s="22"/>
      <c r="J972" s="48"/>
    </row>
    <row r="973" spans="1:10" ht="18.75" customHeight="1" x14ac:dyDescent="0.25">
      <c r="A973" s="19"/>
      <c r="B973" s="19"/>
      <c r="C973" s="19"/>
      <c r="D973" s="20"/>
      <c r="E973" s="21"/>
      <c r="F973" s="25"/>
      <c r="G973" s="22"/>
      <c r="H973" s="22"/>
      <c r="J973" s="48"/>
    </row>
    <row r="974" spans="1:10" ht="18.75" customHeight="1" x14ac:dyDescent="0.25">
      <c r="A974" s="19"/>
      <c r="B974" s="19"/>
      <c r="C974" s="19"/>
      <c r="D974" s="20"/>
      <c r="E974" s="21"/>
      <c r="F974" s="25"/>
      <c r="G974" s="22"/>
      <c r="H974" s="22"/>
      <c r="J974" s="48"/>
    </row>
    <row r="975" spans="1:10" ht="18.75" customHeight="1" x14ac:dyDescent="0.25">
      <c r="A975" s="19"/>
      <c r="B975" s="19"/>
      <c r="C975" s="19"/>
      <c r="D975" s="20"/>
      <c r="E975" s="21"/>
      <c r="F975" s="25"/>
      <c r="G975" s="22"/>
      <c r="H975" s="22"/>
      <c r="J975" s="48"/>
    </row>
    <row r="976" spans="1:10" ht="18.75" customHeight="1" x14ac:dyDescent="0.25">
      <c r="A976" s="19"/>
      <c r="B976" s="19"/>
      <c r="C976" s="19"/>
      <c r="D976" s="20"/>
      <c r="E976" s="21"/>
      <c r="F976" s="25"/>
      <c r="G976" s="22"/>
      <c r="H976" s="22"/>
      <c r="J976" s="48"/>
    </row>
    <row r="977" spans="1:10" ht="18.75" customHeight="1" x14ac:dyDescent="0.25">
      <c r="A977" s="19"/>
      <c r="B977" s="19"/>
      <c r="C977" s="19"/>
      <c r="D977" s="20"/>
      <c r="E977" s="21"/>
      <c r="F977" s="25"/>
      <c r="G977" s="22"/>
      <c r="H977" s="22"/>
      <c r="J977" s="48"/>
    </row>
    <row r="978" spans="1:10" ht="18.75" customHeight="1" x14ac:dyDescent="0.25">
      <c r="A978" s="19"/>
      <c r="B978" s="19"/>
      <c r="C978" s="19"/>
      <c r="D978" s="20"/>
      <c r="E978" s="21"/>
      <c r="F978" s="25"/>
      <c r="G978" s="22"/>
      <c r="H978" s="22"/>
      <c r="J978" s="48"/>
    </row>
    <row r="979" spans="1:10" ht="18.75" customHeight="1" x14ac:dyDescent="0.25">
      <c r="A979" s="19"/>
      <c r="B979" s="19"/>
      <c r="C979" s="19"/>
      <c r="D979" s="20"/>
      <c r="E979" s="21"/>
      <c r="F979" s="25"/>
      <c r="G979" s="22"/>
      <c r="H979" s="22"/>
      <c r="J979" s="48"/>
    </row>
    <row r="980" spans="1:10" ht="18.75" customHeight="1" x14ac:dyDescent="0.25">
      <c r="A980" s="19"/>
      <c r="B980" s="19"/>
      <c r="C980" s="19"/>
      <c r="D980" s="20"/>
      <c r="E980" s="21"/>
      <c r="F980" s="25"/>
      <c r="G980" s="22"/>
      <c r="H980" s="22"/>
      <c r="J980" s="48"/>
    </row>
    <row r="981" spans="1:10" ht="18.75" customHeight="1" x14ac:dyDescent="0.25">
      <c r="A981" s="19"/>
      <c r="B981" s="19"/>
      <c r="C981" s="19"/>
      <c r="D981" s="20"/>
      <c r="E981" s="21"/>
      <c r="F981" s="25"/>
      <c r="G981" s="22"/>
      <c r="H981" s="22"/>
      <c r="J981" s="48"/>
    </row>
    <row r="982" spans="1:10" ht="18.75" customHeight="1" x14ac:dyDescent="0.25">
      <c r="A982" s="19"/>
      <c r="B982" s="19"/>
      <c r="C982" s="19"/>
      <c r="D982" s="20"/>
      <c r="E982" s="21"/>
      <c r="F982" s="25"/>
      <c r="G982" s="22"/>
      <c r="H982" s="22"/>
      <c r="J982" s="48"/>
    </row>
    <row r="983" spans="1:10" ht="18.75" customHeight="1" x14ac:dyDescent="0.25">
      <c r="A983" s="19"/>
      <c r="B983" s="19"/>
      <c r="C983" s="19"/>
      <c r="D983" s="20"/>
      <c r="E983" s="21"/>
      <c r="F983" s="25"/>
      <c r="G983" s="22"/>
      <c r="H983" s="22"/>
      <c r="J983" s="48"/>
    </row>
    <row r="984" spans="1:10" ht="18.75" customHeight="1" x14ac:dyDescent="0.25">
      <c r="A984" s="19"/>
      <c r="B984" s="19"/>
      <c r="C984" s="19"/>
      <c r="D984" s="20"/>
      <c r="E984" s="21"/>
      <c r="F984" s="25"/>
      <c r="G984" s="22"/>
      <c r="H984" s="22"/>
      <c r="J984" s="48"/>
    </row>
    <row r="985" spans="1:10" ht="18.75" customHeight="1" x14ac:dyDescent="0.25">
      <c r="A985" s="19"/>
      <c r="B985" s="19"/>
      <c r="C985" s="19"/>
      <c r="D985" s="20"/>
      <c r="E985" s="21"/>
      <c r="F985" s="25"/>
      <c r="G985" s="22"/>
      <c r="H985" s="22"/>
      <c r="J985" s="48"/>
    </row>
    <row r="986" spans="1:10" ht="18.75" customHeight="1" x14ac:dyDescent="0.25">
      <c r="A986" s="19"/>
      <c r="B986" s="19"/>
      <c r="C986" s="19"/>
      <c r="D986" s="20"/>
      <c r="E986" s="21"/>
      <c r="F986" s="25"/>
      <c r="G986" s="22"/>
      <c r="H986" s="22"/>
      <c r="J986" s="48"/>
    </row>
    <row r="987" spans="1:10" ht="18.75" customHeight="1" x14ac:dyDescent="0.25">
      <c r="A987" s="19"/>
      <c r="B987" s="19"/>
      <c r="C987" s="19"/>
      <c r="D987" s="20"/>
      <c r="E987" s="21"/>
      <c r="F987" s="25"/>
      <c r="G987" s="22"/>
      <c r="H987" s="22"/>
      <c r="J987" s="48"/>
    </row>
    <row r="988" spans="1:10" ht="18.75" customHeight="1" x14ac:dyDescent="0.25">
      <c r="A988" s="19"/>
      <c r="B988" s="19"/>
      <c r="C988" s="19"/>
      <c r="D988" s="20"/>
      <c r="E988" s="21"/>
      <c r="F988" s="25"/>
      <c r="G988" s="22"/>
      <c r="H988" s="22"/>
      <c r="J988" s="48"/>
    </row>
    <row r="989" spans="1:10" ht="18.75" customHeight="1" x14ac:dyDescent="0.25">
      <c r="A989" s="19"/>
      <c r="B989" s="19"/>
      <c r="C989" s="19"/>
      <c r="D989" s="20"/>
      <c r="E989" s="21"/>
      <c r="F989" s="25"/>
      <c r="G989" s="22"/>
      <c r="H989" s="22"/>
      <c r="J989" s="48"/>
    </row>
    <row r="990" spans="1:10" ht="18.75" customHeight="1" x14ac:dyDescent="0.25">
      <c r="A990" s="19"/>
      <c r="B990" s="19"/>
      <c r="C990" s="19"/>
      <c r="D990" s="20"/>
      <c r="E990" s="21"/>
      <c r="F990" s="25"/>
      <c r="G990" s="22"/>
      <c r="H990" s="22"/>
      <c r="J990" s="48"/>
    </row>
    <row r="991" spans="1:10" ht="18.75" customHeight="1" x14ac:dyDescent="0.25">
      <c r="A991" s="19"/>
      <c r="B991" s="19"/>
      <c r="C991" s="19"/>
      <c r="D991" s="20"/>
      <c r="E991" s="21"/>
      <c r="F991" s="25"/>
      <c r="G991" s="22"/>
      <c r="H991" s="22"/>
      <c r="J991" s="48"/>
    </row>
    <row r="992" spans="1:10" ht="18.75" customHeight="1" x14ac:dyDescent="0.25">
      <c r="A992" s="19"/>
      <c r="B992" s="19"/>
      <c r="C992" s="19"/>
      <c r="D992" s="20"/>
      <c r="E992" s="21"/>
      <c r="F992" s="25"/>
      <c r="G992" s="22"/>
      <c r="H992" s="22"/>
      <c r="J992" s="48"/>
    </row>
    <row r="993" spans="1:10" ht="18.75" customHeight="1" x14ac:dyDescent="0.25">
      <c r="A993" s="19"/>
      <c r="B993" s="19"/>
      <c r="C993" s="19"/>
      <c r="D993" s="20"/>
      <c r="E993" s="21"/>
      <c r="F993" s="25"/>
      <c r="G993" s="22"/>
      <c r="H993" s="22"/>
      <c r="J993" s="48"/>
    </row>
    <row r="994" spans="1:10" ht="18.75" customHeight="1" x14ac:dyDescent="0.25">
      <c r="A994" s="19"/>
      <c r="B994" s="19"/>
      <c r="C994" s="19"/>
      <c r="D994" s="20"/>
      <c r="E994" s="21"/>
      <c r="F994" s="25"/>
      <c r="G994" s="22"/>
      <c r="H994" s="22"/>
      <c r="J994" s="48"/>
    </row>
    <row r="995" spans="1:10" ht="18.75" customHeight="1" x14ac:dyDescent="0.25">
      <c r="A995" s="19"/>
      <c r="B995" s="19"/>
      <c r="C995" s="19"/>
      <c r="D995" s="20"/>
      <c r="E995" s="21"/>
      <c r="F995" s="25"/>
      <c r="G995" s="22"/>
      <c r="H995" s="22"/>
      <c r="J995" s="48"/>
    </row>
    <row r="996" spans="1:10" ht="18.75" customHeight="1" x14ac:dyDescent="0.25">
      <c r="A996" s="19"/>
      <c r="B996" s="19"/>
      <c r="C996" s="19"/>
      <c r="D996" s="20"/>
      <c r="E996" s="21"/>
      <c r="F996" s="25"/>
      <c r="G996" s="22"/>
      <c r="H996" s="22"/>
      <c r="J996" s="48"/>
    </row>
    <row r="997" spans="1:10" ht="18.75" customHeight="1" x14ac:dyDescent="0.25">
      <c r="A997" s="19"/>
      <c r="B997" s="19"/>
      <c r="C997" s="19"/>
      <c r="D997" s="20"/>
      <c r="E997" s="21"/>
      <c r="F997" s="25"/>
      <c r="G997" s="22"/>
      <c r="H997" s="22"/>
      <c r="J997" s="48"/>
    </row>
    <row r="998" spans="1:10" ht="18.75" customHeight="1" x14ac:dyDescent="0.25">
      <c r="A998" s="19"/>
      <c r="B998" s="19"/>
      <c r="C998" s="19"/>
      <c r="D998" s="20"/>
      <c r="E998" s="21"/>
      <c r="F998" s="25"/>
      <c r="G998" s="22"/>
      <c r="H998" s="22"/>
      <c r="J998" s="48"/>
    </row>
    <row r="999" spans="1:10" ht="18.75" customHeight="1" x14ac:dyDescent="0.25">
      <c r="A999" s="19"/>
      <c r="B999" s="19"/>
      <c r="C999" s="19"/>
      <c r="D999" s="20"/>
      <c r="E999" s="21"/>
      <c r="F999" s="25"/>
      <c r="G999" s="22"/>
      <c r="H999" s="22"/>
      <c r="J999" s="48"/>
    </row>
    <row r="1000" spans="1:10" ht="18.75" customHeight="1" x14ac:dyDescent="0.25">
      <c r="A1000" s="19"/>
      <c r="B1000" s="19"/>
      <c r="C1000" s="19"/>
      <c r="D1000" s="20"/>
      <c r="E1000" s="21"/>
      <c r="F1000" s="25"/>
      <c r="G1000" s="22"/>
      <c r="H1000" s="22"/>
      <c r="J1000" s="48"/>
    </row>
    <row r="1001" spans="1:10" ht="18.75" customHeight="1" x14ac:dyDescent="0.25">
      <c r="A1001" s="19"/>
      <c r="B1001" s="19"/>
      <c r="C1001" s="19"/>
      <c r="D1001" s="20"/>
      <c r="E1001" s="21"/>
      <c r="F1001" s="25"/>
      <c r="G1001" s="22"/>
      <c r="H1001" s="22"/>
      <c r="J1001" s="48"/>
    </row>
    <row r="1002" spans="1:10" ht="18.75" customHeight="1" x14ac:dyDescent="0.25">
      <c r="A1002" s="19"/>
      <c r="B1002" s="19"/>
      <c r="C1002" s="19"/>
      <c r="D1002" s="20"/>
      <c r="E1002" s="21"/>
      <c r="F1002" s="25"/>
      <c r="G1002" s="22"/>
      <c r="H1002" s="22"/>
      <c r="J1002" s="48"/>
    </row>
    <row r="1003" spans="1:10" ht="18.75" customHeight="1" x14ac:dyDescent="0.25">
      <c r="A1003" s="18"/>
      <c r="B1003" s="18"/>
      <c r="C1003" s="18"/>
      <c r="D1003" s="18"/>
      <c r="E1003" s="18"/>
      <c r="J1003" s="48"/>
    </row>
    <row r="1004" spans="1:10" ht="18.75" customHeight="1" x14ac:dyDescent="0.25">
      <c r="A1004" s="18"/>
      <c r="B1004" s="18"/>
      <c r="C1004" s="18"/>
      <c r="D1004" s="18"/>
      <c r="E1004" s="18"/>
      <c r="J1004" s="48"/>
    </row>
    <row r="1005" spans="1:10" ht="18.75" customHeight="1" x14ac:dyDescent="0.25">
      <c r="A1005" s="18"/>
      <c r="B1005" s="18"/>
      <c r="C1005" s="18"/>
      <c r="D1005" s="18"/>
      <c r="E1005" s="18"/>
      <c r="J1005" s="48"/>
    </row>
    <row r="1006" spans="1:10" ht="18.75" customHeight="1" x14ac:dyDescent="0.25">
      <c r="A1006" s="18"/>
      <c r="B1006" s="18"/>
      <c r="C1006" s="18"/>
      <c r="D1006" s="18"/>
      <c r="E1006" s="18"/>
      <c r="J1006" s="48"/>
    </row>
    <row r="1007" spans="1:10" ht="18.75" customHeight="1" x14ac:dyDescent="0.25">
      <c r="A1007" s="18"/>
      <c r="B1007" s="18"/>
      <c r="C1007" s="18"/>
      <c r="D1007" s="18"/>
      <c r="E1007" s="18"/>
      <c r="J1007" s="48"/>
    </row>
    <row r="1008" spans="1:10" ht="18.75" customHeight="1" x14ac:dyDescent="0.25">
      <c r="A1008" s="18"/>
      <c r="B1008" s="18"/>
      <c r="C1008" s="18"/>
      <c r="D1008" s="18"/>
      <c r="E1008" s="18"/>
      <c r="J1008" s="48"/>
    </row>
    <row r="1009" spans="1:10" ht="18.75" customHeight="1" x14ac:dyDescent="0.25">
      <c r="A1009" s="18"/>
      <c r="B1009" s="18"/>
      <c r="C1009" s="18"/>
      <c r="D1009" s="18"/>
      <c r="E1009" s="18"/>
      <c r="J1009" s="48"/>
    </row>
    <row r="1010" spans="1:10" ht="18.75" customHeight="1" x14ac:dyDescent="0.25">
      <c r="A1010" s="18"/>
      <c r="B1010" s="18"/>
      <c r="C1010" s="18"/>
      <c r="D1010" s="18"/>
      <c r="E1010" s="18"/>
      <c r="J1010" s="48"/>
    </row>
    <row r="1011" spans="1:10" ht="18.75" customHeight="1" x14ac:dyDescent="0.25">
      <c r="A1011" s="18"/>
      <c r="B1011" s="18"/>
      <c r="C1011" s="18"/>
      <c r="D1011" s="18"/>
      <c r="E1011" s="18"/>
      <c r="J1011" s="48"/>
    </row>
    <row r="1012" spans="1:10" ht="18.75" customHeight="1" x14ac:dyDescent="0.25">
      <c r="A1012" s="18"/>
      <c r="B1012" s="18"/>
      <c r="C1012" s="18"/>
      <c r="D1012" s="18"/>
      <c r="E1012" s="18"/>
      <c r="J1012" s="48"/>
    </row>
    <row r="1013" spans="1:10" ht="18.75" customHeight="1" x14ac:dyDescent="0.25">
      <c r="A1013" s="18"/>
      <c r="B1013" s="18"/>
      <c r="C1013" s="18"/>
      <c r="D1013" s="18"/>
      <c r="E1013" s="18"/>
      <c r="J1013" s="48"/>
    </row>
    <row r="1014" spans="1:10" ht="18.75" customHeight="1" x14ac:dyDescent="0.25">
      <c r="A1014" s="18"/>
      <c r="B1014" s="18"/>
      <c r="C1014" s="18"/>
      <c r="D1014" s="18"/>
      <c r="E1014" s="18"/>
      <c r="J1014" s="48"/>
    </row>
    <row r="1015" spans="1:10" ht="18.75" customHeight="1" x14ac:dyDescent="0.25">
      <c r="A1015" s="18"/>
      <c r="B1015" s="18"/>
      <c r="C1015" s="18"/>
      <c r="D1015" s="18"/>
      <c r="E1015" s="18"/>
      <c r="J1015" s="48"/>
    </row>
    <row r="1016" spans="1:10" ht="18.75" customHeight="1" x14ac:dyDescent="0.25">
      <c r="A1016" s="18"/>
      <c r="B1016" s="18"/>
      <c r="C1016" s="18"/>
      <c r="D1016" s="18"/>
      <c r="E1016" s="18"/>
      <c r="J1016" s="48"/>
    </row>
    <row r="1017" spans="1:10" ht="18.75" customHeight="1" x14ac:dyDescent="0.25">
      <c r="A1017" s="18"/>
      <c r="B1017" s="18"/>
      <c r="C1017" s="18"/>
      <c r="D1017" s="18"/>
      <c r="E1017" s="18"/>
      <c r="J1017" s="48"/>
    </row>
    <row r="1018" spans="1:10" ht="18.75" customHeight="1" x14ac:dyDescent="0.25">
      <c r="A1018" s="18"/>
      <c r="B1018" s="18"/>
      <c r="C1018" s="18"/>
      <c r="D1018" s="18"/>
      <c r="E1018" s="18"/>
      <c r="J1018" s="48"/>
    </row>
    <row r="1019" spans="1:10" ht="18.75" customHeight="1" x14ac:dyDescent="0.25">
      <c r="A1019" s="18"/>
      <c r="B1019" s="18"/>
      <c r="C1019" s="18"/>
      <c r="D1019" s="18"/>
      <c r="E1019" s="18"/>
      <c r="J1019" s="48"/>
    </row>
    <row r="1020" spans="1:10" ht="18.75" customHeight="1" x14ac:dyDescent="0.25">
      <c r="A1020" s="18"/>
      <c r="B1020" s="18"/>
      <c r="C1020" s="18"/>
      <c r="D1020" s="18"/>
      <c r="E1020" s="18"/>
      <c r="J1020" s="48"/>
    </row>
    <row r="1021" spans="1:10" ht="18.75" customHeight="1" x14ac:dyDescent="0.25">
      <c r="A1021" s="18"/>
      <c r="B1021" s="18"/>
      <c r="C1021" s="18"/>
      <c r="D1021" s="18"/>
      <c r="E1021" s="18"/>
      <c r="J1021" s="48"/>
    </row>
    <row r="1022" spans="1:10" ht="18.75" customHeight="1" x14ac:dyDescent="0.25">
      <c r="A1022" s="18"/>
      <c r="B1022" s="18"/>
      <c r="C1022" s="18"/>
      <c r="D1022" s="18"/>
      <c r="E1022" s="18"/>
      <c r="J1022" s="48"/>
    </row>
    <row r="1023" spans="1:10" ht="18.75" customHeight="1" x14ac:dyDescent="0.25">
      <c r="A1023" s="18"/>
      <c r="B1023" s="18"/>
      <c r="C1023" s="18"/>
      <c r="D1023" s="18"/>
      <c r="E1023" s="18"/>
      <c r="J1023" s="48"/>
    </row>
    <row r="1024" spans="1:10" ht="18.75" customHeight="1" x14ac:dyDescent="0.25">
      <c r="A1024" s="18"/>
      <c r="B1024" s="18"/>
      <c r="C1024" s="18"/>
      <c r="D1024" s="18"/>
      <c r="E1024" s="18"/>
      <c r="J1024" s="48"/>
    </row>
    <row r="1025" spans="1:10" ht="18.75" customHeight="1" x14ac:dyDescent="0.25">
      <c r="A1025" s="18"/>
      <c r="B1025" s="18"/>
      <c r="C1025" s="18"/>
      <c r="D1025" s="18"/>
      <c r="E1025" s="18"/>
      <c r="J1025" s="48"/>
    </row>
    <row r="1026" spans="1:10" ht="18.75" customHeight="1" x14ac:dyDescent="0.25">
      <c r="A1026" s="18"/>
      <c r="B1026" s="18"/>
      <c r="C1026" s="18"/>
      <c r="D1026" s="18"/>
      <c r="E1026" s="18"/>
      <c r="J1026" s="48"/>
    </row>
    <row r="1027" spans="1:10" ht="18.75" customHeight="1" x14ac:dyDescent="0.25">
      <c r="A1027" s="18"/>
      <c r="B1027" s="18"/>
      <c r="C1027" s="18"/>
      <c r="D1027" s="18"/>
      <c r="E1027" s="18"/>
      <c r="J1027" s="48"/>
    </row>
    <row r="1028" spans="1:10" ht="18.75" customHeight="1" x14ac:dyDescent="0.25">
      <c r="A1028" s="18"/>
      <c r="B1028" s="18"/>
      <c r="C1028" s="18"/>
      <c r="D1028" s="18"/>
      <c r="E1028" s="18"/>
      <c r="J1028" s="48"/>
    </row>
    <row r="1029" spans="1:10" ht="18.75" customHeight="1" x14ac:dyDescent="0.25">
      <c r="A1029" s="18"/>
      <c r="B1029" s="18"/>
      <c r="C1029" s="18"/>
      <c r="D1029" s="18"/>
      <c r="E1029" s="18"/>
      <c r="J1029" s="48"/>
    </row>
    <row r="1030" spans="1:10" ht="18.75" customHeight="1" x14ac:dyDescent="0.25">
      <c r="A1030" s="18"/>
      <c r="B1030" s="18"/>
      <c r="C1030" s="18"/>
      <c r="D1030" s="18"/>
      <c r="E1030" s="18"/>
      <c r="J1030" s="48"/>
    </row>
    <row r="1031" spans="1:10" ht="18.75" customHeight="1" x14ac:dyDescent="0.25">
      <c r="A1031" s="18"/>
      <c r="B1031" s="18"/>
      <c r="C1031" s="18"/>
      <c r="D1031" s="18"/>
      <c r="E1031" s="18"/>
      <c r="J1031" s="48"/>
    </row>
    <row r="1032" spans="1:10" ht="18.75" customHeight="1" x14ac:dyDescent="0.25">
      <c r="A1032" s="18"/>
      <c r="B1032" s="18"/>
      <c r="C1032" s="18"/>
      <c r="D1032" s="18"/>
      <c r="E1032" s="18"/>
      <c r="J1032" s="48"/>
    </row>
    <row r="1033" spans="1:10" ht="18.75" customHeight="1" x14ac:dyDescent="0.25">
      <c r="A1033" s="18"/>
      <c r="B1033" s="18"/>
      <c r="C1033" s="18"/>
      <c r="D1033" s="18"/>
      <c r="E1033" s="18"/>
      <c r="J1033" s="48"/>
    </row>
    <row r="1034" spans="1:10" ht="18.75" customHeight="1" x14ac:dyDescent="0.25">
      <c r="A1034" s="18"/>
      <c r="B1034" s="18"/>
      <c r="C1034" s="18"/>
      <c r="D1034" s="18"/>
      <c r="E1034" s="18"/>
      <c r="J1034" s="48"/>
    </row>
    <row r="1035" spans="1:10" ht="18.75" customHeight="1" x14ac:dyDescent="0.25">
      <c r="A1035" s="18"/>
      <c r="B1035" s="18"/>
      <c r="C1035" s="18"/>
      <c r="D1035" s="18"/>
      <c r="E1035" s="18"/>
      <c r="J1035" s="48"/>
    </row>
    <row r="1036" spans="1:10" ht="18.75" customHeight="1" x14ac:dyDescent="0.25">
      <c r="A1036" s="18"/>
      <c r="B1036" s="18"/>
      <c r="C1036" s="18"/>
      <c r="D1036" s="18"/>
      <c r="E1036" s="18"/>
      <c r="J1036" s="48"/>
    </row>
    <row r="1037" spans="1:10" ht="18.75" customHeight="1" x14ac:dyDescent="0.25">
      <c r="A1037" s="18"/>
      <c r="B1037" s="18"/>
      <c r="C1037" s="18"/>
      <c r="D1037" s="18"/>
      <c r="E1037" s="18"/>
      <c r="J1037" s="48"/>
    </row>
    <row r="1038" spans="1:10" ht="18.75" customHeight="1" x14ac:dyDescent="0.25">
      <c r="A1038" s="18"/>
      <c r="B1038" s="18"/>
      <c r="C1038" s="18"/>
      <c r="D1038" s="18"/>
      <c r="E1038" s="18"/>
      <c r="J1038" s="48"/>
    </row>
    <row r="1039" spans="1:10" ht="18.75" customHeight="1" x14ac:dyDescent="0.25">
      <c r="A1039" s="18"/>
      <c r="B1039" s="18"/>
      <c r="C1039" s="18"/>
      <c r="D1039" s="18"/>
      <c r="E1039" s="18"/>
      <c r="J1039" s="48"/>
    </row>
    <row r="1040" spans="1:10" ht="18.75" customHeight="1" x14ac:dyDescent="0.25">
      <c r="A1040" s="18"/>
      <c r="B1040" s="18"/>
      <c r="C1040" s="18"/>
      <c r="D1040" s="18"/>
      <c r="E1040" s="18"/>
      <c r="J1040" s="48"/>
    </row>
    <row r="1041" spans="1:10" ht="18.75" customHeight="1" x14ac:dyDescent="0.25">
      <c r="A1041" s="18"/>
      <c r="B1041" s="18"/>
      <c r="C1041" s="18"/>
      <c r="D1041" s="18"/>
      <c r="E1041" s="18"/>
      <c r="J1041" s="48"/>
    </row>
    <row r="1042" spans="1:10" ht="18.75" customHeight="1" x14ac:dyDescent="0.25">
      <c r="A1042" s="18"/>
      <c r="B1042" s="18"/>
      <c r="C1042" s="18"/>
      <c r="D1042" s="18"/>
      <c r="E1042" s="18"/>
      <c r="J1042" s="48"/>
    </row>
    <row r="1043" spans="1:10" ht="18.75" customHeight="1" x14ac:dyDescent="0.25">
      <c r="A1043" s="18"/>
      <c r="B1043" s="18"/>
      <c r="C1043" s="18"/>
      <c r="D1043" s="18"/>
      <c r="E1043" s="18"/>
      <c r="J1043" s="48"/>
    </row>
    <row r="1044" spans="1:10" ht="18.75" customHeight="1" x14ac:dyDescent="0.25">
      <c r="A1044" s="18"/>
      <c r="B1044" s="18"/>
      <c r="C1044" s="18"/>
      <c r="D1044" s="18"/>
      <c r="E1044" s="18"/>
      <c r="J1044" s="48"/>
    </row>
    <row r="1045" spans="1:10" ht="18.75" customHeight="1" x14ac:dyDescent="0.25">
      <c r="A1045" s="18"/>
      <c r="B1045" s="18"/>
      <c r="C1045" s="18"/>
      <c r="D1045" s="18"/>
      <c r="E1045" s="18"/>
      <c r="J1045" s="48"/>
    </row>
    <row r="1046" spans="1:10" ht="18.75" customHeight="1" x14ac:dyDescent="0.25">
      <c r="A1046" s="18"/>
      <c r="B1046" s="18"/>
      <c r="C1046" s="18"/>
      <c r="D1046" s="18"/>
      <c r="E1046" s="18"/>
      <c r="J1046" s="48"/>
    </row>
    <row r="1047" spans="1:10" ht="18.75" customHeight="1" x14ac:dyDescent="0.25">
      <c r="A1047" s="18"/>
      <c r="B1047" s="18"/>
      <c r="C1047" s="18"/>
      <c r="D1047" s="18"/>
      <c r="E1047" s="18"/>
      <c r="J1047" s="48"/>
    </row>
    <row r="1048" spans="1:10" ht="18.75" customHeight="1" x14ac:dyDescent="0.25">
      <c r="A1048" s="18"/>
      <c r="B1048" s="18"/>
      <c r="C1048" s="18"/>
      <c r="D1048" s="18"/>
      <c r="E1048" s="18"/>
      <c r="J1048" s="48"/>
    </row>
    <row r="1049" spans="1:10" ht="18.75" customHeight="1" x14ac:dyDescent="0.25">
      <c r="A1049" s="18"/>
      <c r="B1049" s="18"/>
      <c r="C1049" s="18"/>
      <c r="D1049" s="18"/>
      <c r="E1049" s="18"/>
      <c r="J1049" s="48"/>
    </row>
    <row r="1050" spans="1:10" ht="18.75" customHeight="1" x14ac:dyDescent="0.25">
      <c r="A1050" s="18"/>
      <c r="B1050" s="18"/>
      <c r="C1050" s="18"/>
      <c r="D1050" s="18"/>
      <c r="E1050" s="18"/>
      <c r="J1050" s="48"/>
    </row>
    <row r="1051" spans="1:10" ht="18.75" customHeight="1" x14ac:dyDescent="0.25">
      <c r="A1051" s="18"/>
      <c r="B1051" s="18"/>
      <c r="C1051" s="18"/>
      <c r="D1051" s="18"/>
      <c r="E1051" s="18"/>
      <c r="J1051" s="48"/>
    </row>
    <row r="1052" spans="1:10" ht="18.75" customHeight="1" x14ac:dyDescent="0.25">
      <c r="A1052" s="18"/>
      <c r="B1052" s="18"/>
      <c r="C1052" s="18"/>
      <c r="D1052" s="18"/>
      <c r="E1052" s="18"/>
      <c r="J1052" s="48"/>
    </row>
    <row r="1053" spans="1:10" ht="18.75" customHeight="1" x14ac:dyDescent="0.25">
      <c r="A1053" s="18"/>
      <c r="B1053" s="18"/>
      <c r="C1053" s="18"/>
      <c r="D1053" s="18"/>
      <c r="E1053" s="18"/>
      <c r="J1053" s="48"/>
    </row>
    <row r="1054" spans="1:10" ht="18.75" customHeight="1" x14ac:dyDescent="0.25">
      <c r="A1054" s="18"/>
      <c r="B1054" s="18"/>
      <c r="C1054" s="18"/>
      <c r="D1054" s="18"/>
      <c r="E1054" s="18"/>
      <c r="J1054" s="48"/>
    </row>
    <row r="1055" spans="1:10" ht="18.75" customHeight="1" x14ac:dyDescent="0.25">
      <c r="A1055" s="18"/>
      <c r="B1055" s="18"/>
      <c r="C1055" s="18"/>
      <c r="D1055" s="18"/>
      <c r="E1055" s="18"/>
      <c r="J1055" s="48"/>
    </row>
    <row r="1056" spans="1:10" ht="18.75" customHeight="1" x14ac:dyDescent="0.25">
      <c r="A1056" s="18"/>
      <c r="B1056" s="18"/>
      <c r="C1056" s="18"/>
      <c r="D1056" s="18"/>
      <c r="E1056" s="18"/>
      <c r="J1056" s="48"/>
    </row>
    <row r="1057" spans="1:10" ht="18.75" customHeight="1" x14ac:dyDescent="0.25">
      <c r="A1057" s="18"/>
      <c r="B1057" s="18"/>
      <c r="C1057" s="18"/>
      <c r="D1057" s="18"/>
      <c r="E1057" s="18"/>
      <c r="J1057" s="48"/>
    </row>
    <row r="1058" spans="1:10" ht="18.75" customHeight="1" x14ac:dyDescent="0.25">
      <c r="A1058" s="18"/>
      <c r="B1058" s="18"/>
      <c r="C1058" s="18"/>
      <c r="D1058" s="18"/>
      <c r="E1058" s="18"/>
      <c r="J1058" s="48"/>
    </row>
    <row r="1059" spans="1:10" ht="18.75" customHeight="1" x14ac:dyDescent="0.25">
      <c r="A1059" s="18"/>
      <c r="B1059" s="18"/>
      <c r="C1059" s="18"/>
      <c r="D1059" s="18"/>
      <c r="E1059" s="18"/>
      <c r="J1059" s="48"/>
    </row>
    <row r="1060" spans="1:10" ht="18.75" customHeight="1" x14ac:dyDescent="0.25">
      <c r="A1060" s="18"/>
      <c r="B1060" s="18"/>
      <c r="C1060" s="18"/>
      <c r="D1060" s="18"/>
      <c r="E1060" s="18"/>
      <c r="J1060" s="48"/>
    </row>
    <row r="1061" spans="1:10" ht="18.75" customHeight="1" x14ac:dyDescent="0.25">
      <c r="A1061" s="18"/>
      <c r="B1061" s="18"/>
      <c r="C1061" s="18"/>
      <c r="D1061" s="18"/>
      <c r="E1061" s="18"/>
      <c r="J1061" s="48"/>
    </row>
    <row r="1062" spans="1:10" ht="18.75" customHeight="1" x14ac:dyDescent="0.25">
      <c r="A1062" s="18"/>
      <c r="B1062" s="18"/>
      <c r="C1062" s="18"/>
      <c r="D1062" s="18"/>
      <c r="E1062" s="18"/>
      <c r="J1062" s="48"/>
    </row>
    <row r="1063" spans="1:10" ht="18.75" customHeight="1" x14ac:dyDescent="0.25">
      <c r="A1063" s="18"/>
      <c r="B1063" s="18"/>
      <c r="C1063" s="18"/>
      <c r="D1063" s="18"/>
      <c r="E1063" s="18"/>
      <c r="J1063" s="48"/>
    </row>
    <row r="1064" spans="1:10" ht="18.75" customHeight="1" x14ac:dyDescent="0.25">
      <c r="A1064" s="18"/>
      <c r="B1064" s="18"/>
      <c r="C1064" s="18"/>
      <c r="D1064" s="18"/>
      <c r="E1064" s="18"/>
      <c r="J1064" s="48"/>
    </row>
    <row r="1065" spans="1:10" ht="18.75" customHeight="1" x14ac:dyDescent="0.25">
      <c r="A1065" s="18"/>
      <c r="B1065" s="18"/>
      <c r="C1065" s="18"/>
      <c r="D1065" s="18"/>
      <c r="E1065" s="18"/>
      <c r="J1065" s="48"/>
    </row>
    <row r="1066" spans="1:10" ht="18.75" customHeight="1" x14ac:dyDescent="0.25">
      <c r="A1066" s="18"/>
      <c r="B1066" s="18"/>
      <c r="C1066" s="18"/>
      <c r="D1066" s="18"/>
      <c r="E1066" s="18"/>
      <c r="J1066" s="48"/>
    </row>
    <row r="1067" spans="1:10" ht="18.75" customHeight="1" x14ac:dyDescent="0.25">
      <c r="A1067" s="18"/>
      <c r="B1067" s="18"/>
      <c r="C1067" s="18"/>
      <c r="D1067" s="18"/>
      <c r="E1067" s="18"/>
      <c r="J1067" s="48"/>
    </row>
    <row r="1068" spans="1:10" ht="18.75" customHeight="1" x14ac:dyDescent="0.25">
      <c r="A1068" s="18"/>
      <c r="B1068" s="18"/>
      <c r="C1068" s="18"/>
      <c r="D1068" s="18"/>
      <c r="E1068" s="18"/>
      <c r="J1068" s="48"/>
    </row>
    <row r="1069" spans="1:10" ht="18.75" customHeight="1" x14ac:dyDescent="0.25">
      <c r="A1069" s="18"/>
      <c r="B1069" s="18"/>
      <c r="C1069" s="18"/>
      <c r="D1069" s="18"/>
      <c r="E1069" s="18"/>
      <c r="J1069" s="48"/>
    </row>
    <row r="1070" spans="1:10" ht="18.75" customHeight="1" x14ac:dyDescent="0.25">
      <c r="A1070" s="18"/>
      <c r="B1070" s="18"/>
      <c r="C1070" s="18"/>
      <c r="D1070" s="18"/>
      <c r="E1070" s="18"/>
      <c r="J1070" s="48"/>
    </row>
    <row r="1071" spans="1:10" ht="18.75" customHeight="1" x14ac:dyDescent="0.25">
      <c r="A1071" s="18"/>
      <c r="B1071" s="18"/>
      <c r="C1071" s="18"/>
      <c r="D1071" s="18"/>
      <c r="E1071" s="18"/>
      <c r="J1071" s="48"/>
    </row>
    <row r="1072" spans="1:10" ht="18.75" customHeight="1" x14ac:dyDescent="0.25">
      <c r="A1072" s="18"/>
      <c r="B1072" s="18"/>
      <c r="C1072" s="18"/>
      <c r="D1072" s="18"/>
      <c r="E1072" s="18"/>
      <c r="J1072" s="48"/>
    </row>
    <row r="1073" spans="1:10" ht="18.75" customHeight="1" x14ac:dyDescent="0.25">
      <c r="A1073" s="18"/>
      <c r="B1073" s="18"/>
      <c r="C1073" s="18"/>
      <c r="D1073" s="18"/>
      <c r="E1073" s="18"/>
      <c r="J1073" s="48"/>
    </row>
    <row r="1074" spans="1:10" ht="18.75" customHeight="1" x14ac:dyDescent="0.25">
      <c r="A1074" s="18"/>
      <c r="B1074" s="18"/>
      <c r="C1074" s="18"/>
      <c r="D1074" s="18"/>
      <c r="E1074" s="18"/>
      <c r="J1074" s="48"/>
    </row>
    <row r="1075" spans="1:10" ht="18.75" customHeight="1" x14ac:dyDescent="0.25">
      <c r="A1075" s="18"/>
      <c r="B1075" s="18"/>
      <c r="C1075" s="18"/>
      <c r="D1075" s="18"/>
      <c r="E1075" s="18"/>
      <c r="J1075" s="48"/>
    </row>
    <row r="1076" spans="1:10" ht="18.75" customHeight="1" x14ac:dyDescent="0.25">
      <c r="A1076" s="18"/>
      <c r="B1076" s="18"/>
      <c r="C1076" s="18"/>
      <c r="D1076" s="18"/>
      <c r="E1076" s="18"/>
      <c r="J1076" s="48"/>
    </row>
    <row r="1077" spans="1:10" ht="18.75" customHeight="1" x14ac:dyDescent="0.25">
      <c r="A1077" s="18"/>
      <c r="B1077" s="18"/>
      <c r="C1077" s="18"/>
      <c r="D1077" s="18"/>
      <c r="E1077" s="18"/>
      <c r="J1077" s="48"/>
    </row>
    <row r="1078" spans="1:10" ht="18.75" customHeight="1" x14ac:dyDescent="0.25">
      <c r="A1078" s="18"/>
      <c r="B1078" s="18"/>
      <c r="C1078" s="18"/>
      <c r="D1078" s="18"/>
      <c r="E1078" s="18"/>
      <c r="J1078" s="48"/>
    </row>
    <row r="1079" spans="1:10" ht="18.75" customHeight="1" x14ac:dyDescent="0.25">
      <c r="A1079" s="18"/>
      <c r="B1079" s="18"/>
      <c r="C1079" s="18"/>
      <c r="D1079" s="18"/>
      <c r="E1079" s="18"/>
      <c r="J1079" s="48"/>
    </row>
    <row r="1080" spans="1:10" ht="18.75" customHeight="1" x14ac:dyDescent="0.25">
      <c r="A1080" s="18"/>
      <c r="B1080" s="18"/>
      <c r="C1080" s="18"/>
      <c r="D1080" s="18"/>
      <c r="E1080" s="18"/>
      <c r="J1080" s="48"/>
    </row>
    <row r="1081" spans="1:10" ht="18.75" customHeight="1" x14ac:dyDescent="0.25">
      <c r="A1081" s="18"/>
      <c r="B1081" s="18"/>
      <c r="C1081" s="18"/>
      <c r="D1081" s="18"/>
      <c r="E1081" s="18"/>
      <c r="J1081" s="48"/>
    </row>
    <row r="1082" spans="1:10" ht="18.75" customHeight="1" x14ac:dyDescent="0.25">
      <c r="A1082" s="18"/>
      <c r="B1082" s="18"/>
      <c r="C1082" s="18"/>
      <c r="D1082" s="18"/>
      <c r="E1082" s="18"/>
      <c r="J1082" s="48"/>
    </row>
    <row r="1083" spans="1:10" ht="18.75" customHeight="1" x14ac:dyDescent="0.25">
      <c r="A1083" s="18"/>
      <c r="B1083" s="18"/>
      <c r="C1083" s="18"/>
      <c r="D1083" s="18"/>
      <c r="E1083" s="18"/>
      <c r="J1083" s="48"/>
    </row>
    <row r="1084" spans="1:10" ht="18.75" customHeight="1" x14ac:dyDescent="0.25">
      <c r="A1084" s="18"/>
      <c r="B1084" s="18"/>
      <c r="C1084" s="18"/>
      <c r="D1084" s="18"/>
      <c r="E1084" s="18"/>
      <c r="J1084" s="48"/>
    </row>
    <row r="1085" spans="1:10" ht="18.75" customHeight="1" x14ac:dyDescent="0.25">
      <c r="A1085" s="18"/>
      <c r="B1085" s="18"/>
      <c r="C1085" s="18"/>
      <c r="D1085" s="18"/>
      <c r="E1085" s="18"/>
      <c r="J1085" s="48"/>
    </row>
    <row r="1086" spans="1:10" ht="18.75" customHeight="1" x14ac:dyDescent="0.25">
      <c r="A1086" s="18"/>
      <c r="B1086" s="18"/>
      <c r="C1086" s="18"/>
      <c r="D1086" s="18"/>
      <c r="E1086" s="18"/>
      <c r="J1086" s="48"/>
    </row>
    <row r="1087" spans="1:10" ht="18.75" customHeight="1" x14ac:dyDescent="0.25">
      <c r="A1087" s="18"/>
      <c r="B1087" s="18"/>
      <c r="C1087" s="18"/>
      <c r="D1087" s="18"/>
      <c r="E1087" s="18"/>
      <c r="J1087" s="48"/>
    </row>
    <row r="1088" spans="1:10" ht="18.75" customHeight="1" x14ac:dyDescent="0.25">
      <c r="A1088" s="18"/>
      <c r="B1088" s="18"/>
      <c r="C1088" s="18"/>
      <c r="D1088" s="18"/>
      <c r="E1088" s="18"/>
      <c r="J1088" s="48"/>
    </row>
    <row r="1089" spans="1:10" ht="18.75" customHeight="1" x14ac:dyDescent="0.25">
      <c r="A1089" s="18"/>
      <c r="B1089" s="18"/>
      <c r="C1089" s="18"/>
      <c r="D1089" s="18"/>
      <c r="E1089" s="18"/>
      <c r="J1089" s="48"/>
    </row>
    <row r="1090" spans="1:10" ht="18.75" customHeight="1" x14ac:dyDescent="0.25">
      <c r="A1090" s="18"/>
      <c r="B1090" s="18"/>
      <c r="C1090" s="18"/>
      <c r="D1090" s="18"/>
      <c r="E1090" s="18"/>
      <c r="J1090" s="48"/>
    </row>
    <row r="1091" spans="1:10" ht="18.75" customHeight="1" x14ac:dyDescent="0.25">
      <c r="A1091" s="18"/>
      <c r="B1091" s="18"/>
      <c r="C1091" s="18"/>
      <c r="D1091" s="18"/>
      <c r="E1091" s="18"/>
      <c r="J1091" s="48"/>
    </row>
    <row r="1092" spans="1:10" ht="18.75" customHeight="1" x14ac:dyDescent="0.25">
      <c r="A1092" s="18"/>
      <c r="B1092" s="18"/>
      <c r="C1092" s="18"/>
      <c r="D1092" s="18"/>
      <c r="E1092" s="18"/>
      <c r="J1092" s="48"/>
    </row>
    <row r="1093" spans="1:10" ht="18.75" customHeight="1" x14ac:dyDescent="0.25">
      <c r="A1093" s="18"/>
      <c r="B1093" s="18"/>
      <c r="C1093" s="18"/>
      <c r="D1093" s="18"/>
      <c r="E1093" s="18"/>
      <c r="J1093" s="48"/>
    </row>
    <row r="1094" spans="1:10" ht="18.75" customHeight="1" x14ac:dyDescent="0.25">
      <c r="A1094" s="18"/>
      <c r="B1094" s="18"/>
      <c r="C1094" s="18"/>
      <c r="D1094" s="18"/>
      <c r="E1094" s="18"/>
      <c r="J1094" s="48"/>
    </row>
    <row r="1095" spans="1:10" ht="18.75" customHeight="1" x14ac:dyDescent="0.25">
      <c r="A1095" s="18"/>
      <c r="B1095" s="18"/>
      <c r="C1095" s="18"/>
      <c r="D1095" s="18"/>
      <c r="E1095" s="18"/>
      <c r="J1095" s="48"/>
    </row>
    <row r="1096" spans="1:10" ht="18.75" customHeight="1" x14ac:dyDescent="0.25">
      <c r="A1096" s="18"/>
      <c r="B1096" s="18"/>
      <c r="C1096" s="18"/>
      <c r="D1096" s="18"/>
      <c r="E1096" s="18"/>
      <c r="J1096" s="48"/>
    </row>
    <row r="1097" spans="1:10" ht="18.75" customHeight="1" x14ac:dyDescent="0.25">
      <c r="A1097" s="18"/>
      <c r="B1097" s="18"/>
      <c r="C1097" s="18"/>
      <c r="D1097" s="18"/>
      <c r="E1097" s="18"/>
      <c r="J1097" s="48"/>
    </row>
    <row r="1098" spans="1:10" ht="18.75" customHeight="1" x14ac:dyDescent="0.25">
      <c r="A1098" s="18"/>
      <c r="B1098" s="18"/>
      <c r="C1098" s="18"/>
      <c r="D1098" s="18"/>
      <c r="E1098" s="18"/>
      <c r="J1098" s="48"/>
    </row>
    <row r="1099" spans="1:10" ht="18.75" customHeight="1" x14ac:dyDescent="0.25">
      <c r="A1099" s="18"/>
      <c r="B1099" s="18"/>
      <c r="C1099" s="18"/>
      <c r="D1099" s="18"/>
      <c r="E1099" s="18"/>
      <c r="J1099" s="48"/>
    </row>
    <row r="1100" spans="1:10" ht="18.75" customHeight="1" x14ac:dyDescent="0.25">
      <c r="A1100" s="18"/>
      <c r="B1100" s="18"/>
      <c r="C1100" s="18"/>
      <c r="D1100" s="18"/>
      <c r="E1100" s="18"/>
      <c r="J1100" s="48"/>
    </row>
    <row r="1101" spans="1:10" ht="18.75" customHeight="1" x14ac:dyDescent="0.25">
      <c r="A1101" s="18"/>
      <c r="B1101" s="18"/>
      <c r="C1101" s="18"/>
      <c r="D1101" s="18"/>
      <c r="E1101" s="18"/>
      <c r="J1101" s="48"/>
    </row>
    <row r="1102" spans="1:10" ht="18.75" customHeight="1" x14ac:dyDescent="0.25">
      <c r="A1102" s="18"/>
      <c r="B1102" s="18"/>
      <c r="C1102" s="18"/>
      <c r="D1102" s="18"/>
      <c r="E1102" s="18"/>
      <c r="J1102" s="48"/>
    </row>
    <row r="1103" spans="1:10" ht="18.75" customHeight="1" x14ac:dyDescent="0.25">
      <c r="A1103" s="18"/>
      <c r="B1103" s="18"/>
      <c r="C1103" s="18"/>
      <c r="D1103" s="18"/>
      <c r="E1103" s="18"/>
      <c r="J1103" s="48"/>
    </row>
    <row r="1104" spans="1:10" ht="18.75" customHeight="1" x14ac:dyDescent="0.25">
      <c r="A1104" s="18"/>
      <c r="B1104" s="18"/>
      <c r="C1104" s="18"/>
      <c r="D1104" s="18"/>
      <c r="E1104" s="18"/>
      <c r="J1104" s="48"/>
    </row>
    <row r="1105" spans="1:10" ht="18.75" customHeight="1" x14ac:dyDescent="0.25">
      <c r="A1105" s="18"/>
      <c r="B1105" s="18"/>
      <c r="C1105" s="18"/>
      <c r="D1105" s="18"/>
      <c r="E1105" s="18"/>
      <c r="J1105" s="48"/>
    </row>
    <row r="1106" spans="1:10" ht="18.75" customHeight="1" x14ac:dyDescent="0.25">
      <c r="A1106" s="18"/>
      <c r="B1106" s="18"/>
      <c r="C1106" s="18"/>
      <c r="D1106" s="18"/>
      <c r="E1106" s="18"/>
      <c r="J1106" s="48"/>
    </row>
    <row r="1107" spans="1:10" ht="18.75" customHeight="1" x14ac:dyDescent="0.25">
      <c r="A1107" s="18"/>
      <c r="B1107" s="18"/>
      <c r="C1107" s="18"/>
      <c r="D1107" s="18"/>
      <c r="E1107" s="18"/>
      <c r="J1107" s="48"/>
    </row>
    <row r="1108" spans="1:10" ht="18.75" customHeight="1" x14ac:dyDescent="0.25">
      <c r="A1108" s="18"/>
      <c r="B1108" s="18"/>
      <c r="C1108" s="18"/>
      <c r="D1108" s="18"/>
      <c r="E1108" s="18"/>
      <c r="J1108" s="48"/>
    </row>
    <row r="1109" spans="1:10" ht="18.75" customHeight="1" x14ac:dyDescent="0.25">
      <c r="A1109" s="18"/>
      <c r="B1109" s="18"/>
      <c r="C1109" s="18"/>
      <c r="D1109" s="18"/>
      <c r="E1109" s="18"/>
      <c r="J1109" s="48"/>
    </row>
    <row r="1110" spans="1:10" ht="18.75" customHeight="1" x14ac:dyDescent="0.25">
      <c r="A1110" s="18"/>
      <c r="B1110" s="18"/>
      <c r="C1110" s="18"/>
      <c r="D1110" s="18"/>
      <c r="E1110" s="18"/>
      <c r="J1110" s="48"/>
    </row>
    <row r="1111" spans="1:10" ht="18.75" customHeight="1" x14ac:dyDescent="0.25">
      <c r="A1111" s="18"/>
      <c r="B1111" s="18"/>
      <c r="C1111" s="18"/>
      <c r="D1111" s="18"/>
      <c r="E1111" s="18"/>
      <c r="J1111" s="48"/>
    </row>
    <row r="1112" spans="1:10" ht="18.75" customHeight="1" x14ac:dyDescent="0.25">
      <c r="A1112" s="18"/>
      <c r="B1112" s="18"/>
      <c r="C1112" s="18"/>
      <c r="D1112" s="18"/>
      <c r="E1112" s="18"/>
      <c r="J1112" s="48"/>
    </row>
    <row r="1113" spans="1:10" ht="18.75" customHeight="1" x14ac:dyDescent="0.25">
      <c r="A1113" s="18"/>
      <c r="B1113" s="18"/>
      <c r="C1113" s="18"/>
      <c r="D1113" s="18"/>
      <c r="E1113" s="18"/>
      <c r="J1113" s="48"/>
    </row>
    <row r="1114" spans="1:10" ht="18.75" customHeight="1" x14ac:dyDescent="0.25">
      <c r="A1114" s="18"/>
      <c r="B1114" s="18"/>
      <c r="C1114" s="18"/>
      <c r="D1114" s="18"/>
      <c r="E1114" s="18"/>
      <c r="J1114" s="48"/>
    </row>
    <row r="1115" spans="1:10" ht="18.75" customHeight="1" x14ac:dyDescent="0.25">
      <c r="A1115" s="18"/>
      <c r="B1115" s="18"/>
      <c r="C1115" s="18"/>
      <c r="D1115" s="18"/>
      <c r="E1115" s="18"/>
      <c r="J1115" s="48"/>
    </row>
    <row r="1116" spans="1:10" ht="18.75" customHeight="1" x14ac:dyDescent="0.25">
      <c r="A1116" s="18"/>
      <c r="B1116" s="18"/>
      <c r="C1116" s="18"/>
      <c r="D1116" s="18"/>
      <c r="E1116" s="18"/>
      <c r="J1116" s="48"/>
    </row>
    <row r="1117" spans="1:10" ht="18.75" customHeight="1" x14ac:dyDescent="0.25">
      <c r="A1117" s="18"/>
      <c r="B1117" s="18"/>
      <c r="C1117" s="18"/>
      <c r="D1117" s="18"/>
      <c r="E1117" s="18"/>
      <c r="J1117" s="48"/>
    </row>
    <row r="1118" spans="1:10" ht="18.75" customHeight="1" x14ac:dyDescent="0.25">
      <c r="A1118" s="18"/>
      <c r="B1118" s="18"/>
      <c r="C1118" s="18"/>
      <c r="D1118" s="18"/>
      <c r="E1118" s="18"/>
      <c r="J1118" s="48"/>
    </row>
    <row r="1119" spans="1:10" ht="18.75" customHeight="1" x14ac:dyDescent="0.25">
      <c r="A1119" s="18"/>
      <c r="B1119" s="18"/>
      <c r="C1119" s="18"/>
      <c r="D1119" s="18"/>
      <c r="E1119" s="18"/>
      <c r="J1119" s="48"/>
    </row>
    <row r="1120" spans="1:10" ht="18.75" customHeight="1" x14ac:dyDescent="0.25">
      <c r="A1120" s="18"/>
      <c r="B1120" s="18"/>
      <c r="C1120" s="18"/>
      <c r="D1120" s="18"/>
      <c r="E1120" s="18"/>
      <c r="J1120" s="48"/>
    </row>
    <row r="1121" spans="1:10" ht="18.75" customHeight="1" x14ac:dyDescent="0.25">
      <c r="A1121" s="18"/>
      <c r="B1121" s="18"/>
      <c r="C1121" s="18"/>
      <c r="D1121" s="18"/>
      <c r="E1121" s="18"/>
      <c r="J1121" s="48"/>
    </row>
    <row r="1122" spans="1:10" ht="18.75" customHeight="1" x14ac:dyDescent="0.25">
      <c r="A1122" s="18"/>
      <c r="B1122" s="18"/>
      <c r="C1122" s="18"/>
      <c r="D1122" s="18"/>
      <c r="E1122" s="18"/>
      <c r="J1122" s="48"/>
    </row>
    <row r="1123" spans="1:10" ht="18.75" customHeight="1" x14ac:dyDescent="0.25">
      <c r="A1123" s="18"/>
      <c r="B1123" s="18"/>
      <c r="C1123" s="18"/>
      <c r="D1123" s="18"/>
      <c r="E1123" s="18"/>
      <c r="J1123" s="48"/>
    </row>
    <row r="1124" spans="1:10" ht="18.75" customHeight="1" x14ac:dyDescent="0.25">
      <c r="A1124" s="18"/>
      <c r="B1124" s="18"/>
      <c r="C1124" s="18"/>
      <c r="D1124" s="18"/>
      <c r="E1124" s="18"/>
      <c r="J1124" s="48"/>
    </row>
    <row r="1125" spans="1:10" ht="18.75" customHeight="1" x14ac:dyDescent="0.25">
      <c r="A1125" s="18"/>
      <c r="B1125" s="18"/>
      <c r="C1125" s="18"/>
      <c r="D1125" s="18"/>
      <c r="E1125" s="18"/>
      <c r="J1125" s="48"/>
    </row>
    <row r="1126" spans="1:10" ht="18.75" customHeight="1" x14ac:dyDescent="0.25">
      <c r="A1126" s="18"/>
      <c r="B1126" s="18"/>
      <c r="C1126" s="18"/>
      <c r="D1126" s="18"/>
      <c r="E1126" s="18"/>
      <c r="J1126" s="48"/>
    </row>
    <row r="1127" spans="1:10" ht="18.75" customHeight="1" x14ac:dyDescent="0.25">
      <c r="A1127" s="18"/>
      <c r="B1127" s="18"/>
      <c r="C1127" s="18"/>
      <c r="D1127" s="18"/>
      <c r="E1127" s="18"/>
      <c r="J1127" s="48"/>
    </row>
    <row r="1128" spans="1:10" ht="18.75" customHeight="1" x14ac:dyDescent="0.25">
      <c r="A1128" s="18"/>
      <c r="B1128" s="18"/>
      <c r="C1128" s="18"/>
      <c r="D1128" s="18"/>
      <c r="E1128" s="18"/>
      <c r="J1128" s="48"/>
    </row>
    <row r="1129" spans="1:10" ht="18.75" customHeight="1" x14ac:dyDescent="0.25">
      <c r="A1129" s="18"/>
      <c r="B1129" s="18"/>
      <c r="C1129" s="18"/>
      <c r="D1129" s="18"/>
      <c r="E1129" s="18"/>
      <c r="J1129" s="48"/>
    </row>
    <row r="1130" spans="1:10" ht="18.75" customHeight="1" x14ac:dyDescent="0.25">
      <c r="A1130" s="18"/>
      <c r="B1130" s="18"/>
      <c r="C1130" s="18"/>
      <c r="D1130" s="18"/>
      <c r="E1130" s="18"/>
      <c r="J1130" s="48"/>
    </row>
    <row r="1131" spans="1:10" ht="18.75" customHeight="1" x14ac:dyDescent="0.25">
      <c r="A1131" s="18"/>
      <c r="B1131" s="18"/>
      <c r="C1131" s="18"/>
      <c r="D1131" s="18"/>
      <c r="E1131" s="18"/>
      <c r="J1131" s="48"/>
    </row>
    <row r="1132" spans="1:10" ht="18.75" customHeight="1" x14ac:dyDescent="0.25">
      <c r="A1132" s="18"/>
      <c r="B1132" s="18"/>
      <c r="C1132" s="18"/>
      <c r="D1132" s="18"/>
      <c r="E1132" s="18"/>
      <c r="J1132" s="48"/>
    </row>
    <row r="1133" spans="1:10" ht="18.75" customHeight="1" x14ac:dyDescent="0.25">
      <c r="A1133" s="18"/>
      <c r="B1133" s="18"/>
      <c r="C1133" s="18"/>
      <c r="D1133" s="18"/>
      <c r="E1133" s="18"/>
      <c r="J1133" s="48"/>
    </row>
    <row r="1134" spans="1:10" ht="18.75" customHeight="1" x14ac:dyDescent="0.25">
      <c r="A1134" s="18"/>
      <c r="B1134" s="18"/>
      <c r="C1134" s="18"/>
      <c r="D1134" s="18"/>
      <c r="E1134" s="18"/>
      <c r="J1134" s="48"/>
    </row>
    <row r="1135" spans="1:10" ht="18.75" customHeight="1" x14ac:dyDescent="0.25">
      <c r="A1135" s="18"/>
      <c r="B1135" s="18"/>
      <c r="C1135" s="18"/>
      <c r="D1135" s="18"/>
      <c r="E1135" s="18"/>
      <c r="J1135" s="48"/>
    </row>
    <row r="1136" spans="1:10" ht="18.75" customHeight="1" x14ac:dyDescent="0.25">
      <c r="A1136" s="18"/>
      <c r="B1136" s="18"/>
      <c r="C1136" s="18"/>
      <c r="D1136" s="18"/>
      <c r="E1136" s="18"/>
      <c r="J1136" s="48"/>
    </row>
    <row r="1137" spans="1:10" ht="18.75" customHeight="1" x14ac:dyDescent="0.25">
      <c r="A1137" s="18"/>
      <c r="B1137" s="18"/>
      <c r="C1137" s="18"/>
      <c r="D1137" s="18"/>
      <c r="E1137" s="18"/>
      <c r="J1137" s="48"/>
    </row>
    <row r="1138" spans="1:10" ht="18.75" customHeight="1" x14ac:dyDescent="0.25">
      <c r="A1138" s="18"/>
      <c r="B1138" s="18"/>
      <c r="C1138" s="18"/>
      <c r="D1138" s="18"/>
      <c r="E1138" s="18"/>
      <c r="J1138" s="48"/>
    </row>
    <row r="1139" spans="1:10" ht="18.75" customHeight="1" x14ac:dyDescent="0.25">
      <c r="A1139" s="18"/>
      <c r="B1139" s="18"/>
      <c r="C1139" s="18"/>
      <c r="D1139" s="18"/>
      <c r="E1139" s="18"/>
      <c r="J1139" s="48"/>
    </row>
    <row r="1140" spans="1:10" ht="18.75" customHeight="1" x14ac:dyDescent="0.25">
      <c r="A1140" s="18"/>
      <c r="B1140" s="18"/>
      <c r="C1140" s="18"/>
      <c r="D1140" s="18"/>
      <c r="E1140" s="18"/>
      <c r="J1140" s="48"/>
    </row>
    <row r="1141" spans="1:10" ht="18.75" customHeight="1" x14ac:dyDescent="0.25">
      <c r="A1141" s="18"/>
      <c r="B1141" s="18"/>
      <c r="C1141" s="18"/>
      <c r="D1141" s="18"/>
      <c r="E1141" s="18"/>
      <c r="J1141" s="48"/>
    </row>
    <row r="1142" spans="1:10" ht="18.75" customHeight="1" x14ac:dyDescent="0.25">
      <c r="A1142" s="18"/>
      <c r="B1142" s="18"/>
      <c r="C1142" s="18"/>
      <c r="D1142" s="18"/>
      <c r="E1142" s="18"/>
      <c r="J1142" s="48"/>
    </row>
    <row r="1143" spans="1:10" ht="18.75" customHeight="1" x14ac:dyDescent="0.25">
      <c r="A1143" s="18"/>
      <c r="B1143" s="18"/>
      <c r="C1143" s="18"/>
      <c r="D1143" s="18"/>
      <c r="E1143" s="18"/>
      <c r="J1143" s="48"/>
    </row>
    <row r="1144" spans="1:10" ht="18.75" customHeight="1" x14ac:dyDescent="0.25">
      <c r="A1144" s="18"/>
      <c r="B1144" s="18"/>
      <c r="C1144" s="18"/>
      <c r="D1144" s="18"/>
      <c r="E1144" s="18"/>
      <c r="J1144" s="48"/>
    </row>
    <row r="1145" spans="1:10" ht="18.75" customHeight="1" x14ac:dyDescent="0.25">
      <c r="A1145" s="18"/>
      <c r="B1145" s="18"/>
      <c r="C1145" s="18"/>
      <c r="D1145" s="18"/>
      <c r="E1145" s="18"/>
      <c r="J1145" s="48"/>
    </row>
    <row r="1146" spans="1:10" ht="18.75" customHeight="1" x14ac:dyDescent="0.25">
      <c r="A1146" s="18"/>
      <c r="B1146" s="18"/>
      <c r="C1146" s="18"/>
      <c r="D1146" s="18"/>
      <c r="E1146" s="18"/>
      <c r="J1146" s="48"/>
    </row>
    <row r="1147" spans="1:10" ht="18.75" customHeight="1" x14ac:dyDescent="0.25">
      <c r="A1147" s="18"/>
      <c r="B1147" s="18"/>
      <c r="C1147" s="18"/>
      <c r="D1147" s="18"/>
      <c r="E1147" s="18"/>
      <c r="J1147" s="48"/>
    </row>
    <row r="1148" spans="1:10" ht="18.75" customHeight="1" x14ac:dyDescent="0.25">
      <c r="A1148" s="18"/>
      <c r="B1148" s="18"/>
      <c r="C1148" s="18"/>
      <c r="D1148" s="18"/>
      <c r="E1148" s="18"/>
      <c r="J1148" s="48"/>
    </row>
    <row r="1149" spans="1:10" ht="18.75" customHeight="1" x14ac:dyDescent="0.25">
      <c r="A1149" s="18"/>
      <c r="B1149" s="18"/>
      <c r="C1149" s="18"/>
      <c r="D1149" s="18"/>
      <c r="E1149" s="18"/>
      <c r="J1149" s="48"/>
    </row>
    <row r="1150" spans="1:10" ht="18.75" customHeight="1" x14ac:dyDescent="0.25">
      <c r="A1150" s="18"/>
      <c r="B1150" s="18"/>
      <c r="C1150" s="18"/>
      <c r="D1150" s="18"/>
      <c r="E1150" s="18"/>
      <c r="J1150" s="48"/>
    </row>
    <row r="1151" spans="1:10" ht="18.75" customHeight="1" x14ac:dyDescent="0.25">
      <c r="A1151" s="18"/>
      <c r="B1151" s="18"/>
      <c r="C1151" s="18"/>
      <c r="D1151" s="18"/>
      <c r="E1151" s="18"/>
      <c r="J1151" s="48"/>
    </row>
    <row r="1152" spans="1:10" ht="18.75" customHeight="1" x14ac:dyDescent="0.25">
      <c r="A1152" s="18"/>
      <c r="B1152" s="18"/>
      <c r="C1152" s="18"/>
      <c r="D1152" s="18"/>
      <c r="E1152" s="18"/>
      <c r="J1152" s="48"/>
    </row>
    <row r="1153" spans="1:10" ht="18.75" customHeight="1" x14ac:dyDescent="0.25">
      <c r="A1153" s="18"/>
      <c r="B1153" s="18"/>
      <c r="C1153" s="18"/>
      <c r="D1153" s="18"/>
      <c r="E1153" s="18"/>
      <c r="J1153" s="48"/>
    </row>
    <row r="1154" spans="1:10" ht="18.75" customHeight="1" x14ac:dyDescent="0.25">
      <c r="A1154" s="18"/>
      <c r="B1154" s="18"/>
      <c r="C1154" s="18"/>
      <c r="D1154" s="18"/>
      <c r="E1154" s="18"/>
      <c r="J1154" s="48"/>
    </row>
    <row r="1155" spans="1:10" ht="18.75" customHeight="1" x14ac:dyDescent="0.25">
      <c r="A1155" s="18"/>
      <c r="B1155" s="18"/>
      <c r="C1155" s="18"/>
      <c r="D1155" s="18"/>
      <c r="E1155" s="18"/>
      <c r="J1155" s="48"/>
    </row>
    <row r="1156" spans="1:10" ht="18.75" customHeight="1" x14ac:dyDescent="0.25">
      <c r="A1156" s="18"/>
      <c r="B1156" s="18"/>
      <c r="C1156" s="18"/>
      <c r="D1156" s="18"/>
      <c r="E1156" s="18"/>
      <c r="J1156" s="48"/>
    </row>
    <row r="1157" spans="1:10" ht="18.75" customHeight="1" x14ac:dyDescent="0.25">
      <c r="A1157" s="18"/>
      <c r="B1157" s="18"/>
      <c r="C1157" s="18"/>
      <c r="D1157" s="18"/>
      <c r="E1157" s="18"/>
      <c r="J1157" s="48"/>
    </row>
    <row r="1158" spans="1:10" ht="18.75" customHeight="1" x14ac:dyDescent="0.25">
      <c r="A1158" s="18"/>
      <c r="B1158" s="18"/>
      <c r="C1158" s="18"/>
      <c r="D1158" s="18"/>
      <c r="E1158" s="18"/>
      <c r="J1158" s="48"/>
    </row>
    <row r="1159" spans="1:10" ht="18.75" customHeight="1" x14ac:dyDescent="0.25">
      <c r="A1159" s="18"/>
      <c r="B1159" s="18"/>
      <c r="C1159" s="18"/>
      <c r="D1159" s="18"/>
      <c r="E1159" s="18"/>
      <c r="J1159" s="48"/>
    </row>
    <row r="1160" spans="1:10" ht="18.75" customHeight="1" x14ac:dyDescent="0.25">
      <c r="A1160" s="18"/>
      <c r="B1160" s="18"/>
      <c r="C1160" s="18"/>
      <c r="D1160" s="18"/>
      <c r="E1160" s="18"/>
      <c r="J1160" s="48"/>
    </row>
    <row r="1161" spans="1:10" ht="18.75" customHeight="1" x14ac:dyDescent="0.25">
      <c r="A1161" s="18"/>
      <c r="B1161" s="18"/>
      <c r="C1161" s="18"/>
      <c r="D1161" s="18"/>
      <c r="E1161" s="18"/>
      <c r="J1161" s="48"/>
    </row>
    <row r="1162" spans="1:10" ht="18.75" customHeight="1" x14ac:dyDescent="0.25">
      <c r="A1162" s="18"/>
      <c r="B1162" s="18"/>
      <c r="C1162" s="18"/>
      <c r="D1162" s="18"/>
      <c r="E1162" s="18"/>
      <c r="J1162" s="48"/>
    </row>
    <row r="1163" spans="1:10" ht="18.75" customHeight="1" x14ac:dyDescent="0.25">
      <c r="A1163" s="18"/>
      <c r="B1163" s="18"/>
      <c r="C1163" s="18"/>
      <c r="D1163" s="18"/>
      <c r="E1163" s="18"/>
      <c r="J1163" s="48"/>
    </row>
    <row r="1164" spans="1:10" ht="18.75" customHeight="1" x14ac:dyDescent="0.25">
      <c r="A1164" s="18"/>
      <c r="B1164" s="18"/>
      <c r="C1164" s="18"/>
      <c r="D1164" s="18"/>
      <c r="E1164" s="18"/>
      <c r="J1164" s="48"/>
    </row>
    <row r="1165" spans="1:10" ht="18.75" customHeight="1" x14ac:dyDescent="0.25">
      <c r="A1165" s="18"/>
      <c r="B1165" s="18"/>
      <c r="C1165" s="18"/>
      <c r="D1165" s="18"/>
      <c r="E1165" s="18"/>
      <c r="J1165" s="48"/>
    </row>
    <row r="1166" spans="1:10" ht="18.75" customHeight="1" x14ac:dyDescent="0.25">
      <c r="A1166" s="18"/>
      <c r="B1166" s="18"/>
      <c r="C1166" s="18"/>
      <c r="D1166" s="18"/>
      <c r="E1166" s="18"/>
      <c r="J1166" s="48"/>
    </row>
    <row r="1167" spans="1:10" ht="18.75" customHeight="1" x14ac:dyDescent="0.25">
      <c r="A1167" s="18"/>
      <c r="B1167" s="18"/>
      <c r="C1167" s="18"/>
      <c r="D1167" s="18"/>
      <c r="E1167" s="18"/>
      <c r="J1167" s="48"/>
    </row>
    <row r="1168" spans="1:10" ht="18.75" customHeight="1" x14ac:dyDescent="0.25">
      <c r="A1168" s="18"/>
      <c r="B1168" s="18"/>
      <c r="C1168" s="18"/>
      <c r="D1168" s="18"/>
      <c r="E1168" s="18"/>
      <c r="J1168" s="48"/>
    </row>
    <row r="1169" spans="1:10" ht="18.75" customHeight="1" x14ac:dyDescent="0.25">
      <c r="A1169" s="18"/>
      <c r="B1169" s="18"/>
      <c r="C1169" s="18"/>
      <c r="D1169" s="18"/>
      <c r="E1169" s="18"/>
      <c r="J1169" s="48"/>
    </row>
    <row r="1170" spans="1:10" ht="18.75" customHeight="1" x14ac:dyDescent="0.25">
      <c r="A1170" s="18"/>
      <c r="B1170" s="18"/>
      <c r="C1170" s="18"/>
      <c r="D1170" s="18"/>
      <c r="E1170" s="18"/>
      <c r="J1170" s="48"/>
    </row>
    <row r="1171" spans="1:10" ht="18.75" customHeight="1" x14ac:dyDescent="0.25">
      <c r="A1171" s="18"/>
      <c r="B1171" s="18"/>
      <c r="C1171" s="18"/>
      <c r="D1171" s="18"/>
      <c r="E1171" s="18"/>
      <c r="J1171" s="48"/>
    </row>
    <row r="1172" spans="1:10" ht="18.75" customHeight="1" x14ac:dyDescent="0.25">
      <c r="A1172" s="18"/>
      <c r="B1172" s="18"/>
      <c r="C1172" s="18"/>
      <c r="D1172" s="18"/>
      <c r="E1172" s="18"/>
      <c r="J1172" s="48"/>
    </row>
    <row r="1173" spans="1:10" ht="18.75" customHeight="1" x14ac:dyDescent="0.25">
      <c r="A1173" s="18"/>
      <c r="B1173" s="18"/>
      <c r="C1173" s="18"/>
      <c r="D1173" s="18"/>
      <c r="E1173" s="18"/>
      <c r="J1173" s="48"/>
    </row>
    <row r="1174" spans="1:10" ht="18.75" customHeight="1" x14ac:dyDescent="0.25">
      <c r="A1174" s="18"/>
      <c r="B1174" s="18"/>
      <c r="C1174" s="18"/>
      <c r="D1174" s="18"/>
      <c r="E1174" s="18"/>
      <c r="J1174" s="48"/>
    </row>
    <row r="1175" spans="1:10" ht="18.75" customHeight="1" x14ac:dyDescent="0.25">
      <c r="A1175" s="18"/>
      <c r="B1175" s="18"/>
      <c r="C1175" s="18"/>
      <c r="D1175" s="18"/>
      <c r="E1175" s="18"/>
      <c r="J1175" s="48"/>
    </row>
    <row r="1176" spans="1:10" ht="18.75" customHeight="1" x14ac:dyDescent="0.25">
      <c r="A1176" s="18"/>
      <c r="B1176" s="18"/>
      <c r="C1176" s="18"/>
      <c r="D1176" s="18"/>
      <c r="E1176" s="18"/>
      <c r="J1176" s="48"/>
    </row>
    <row r="1177" spans="1:10" ht="18.75" customHeight="1" x14ac:dyDescent="0.25">
      <c r="A1177" s="18"/>
      <c r="B1177" s="18"/>
      <c r="C1177" s="18"/>
      <c r="D1177" s="18"/>
      <c r="E1177" s="18"/>
      <c r="J1177" s="48"/>
    </row>
    <row r="1178" spans="1:10" ht="18.75" customHeight="1" x14ac:dyDescent="0.25">
      <c r="A1178" s="18"/>
      <c r="B1178" s="18"/>
      <c r="C1178" s="18"/>
      <c r="D1178" s="18"/>
      <c r="E1178" s="18"/>
      <c r="J1178" s="48"/>
    </row>
    <row r="1179" spans="1:10" ht="18.75" customHeight="1" x14ac:dyDescent="0.25">
      <c r="A1179" s="18"/>
      <c r="B1179" s="18"/>
      <c r="C1179" s="18"/>
      <c r="D1179" s="18"/>
      <c r="E1179" s="18"/>
      <c r="J1179" s="48"/>
    </row>
    <row r="1180" spans="1:10" ht="18.75" customHeight="1" x14ac:dyDescent="0.25">
      <c r="A1180" s="18"/>
      <c r="B1180" s="18"/>
      <c r="C1180" s="18"/>
      <c r="D1180" s="18"/>
      <c r="E1180" s="18"/>
      <c r="J1180" s="48"/>
    </row>
    <row r="1181" spans="1:10" ht="18.75" customHeight="1" x14ac:dyDescent="0.25">
      <c r="A1181" s="18"/>
      <c r="B1181" s="18"/>
      <c r="C1181" s="18"/>
      <c r="D1181" s="18"/>
      <c r="E1181" s="18"/>
      <c r="J1181" s="48"/>
    </row>
    <row r="1182" spans="1:10" ht="18.75" customHeight="1" x14ac:dyDescent="0.25">
      <c r="A1182" s="18"/>
      <c r="B1182" s="18"/>
      <c r="C1182" s="18"/>
      <c r="D1182" s="18"/>
      <c r="E1182" s="18"/>
      <c r="J1182" s="48"/>
    </row>
    <row r="1183" spans="1:10" ht="18.75" customHeight="1" x14ac:dyDescent="0.25">
      <c r="A1183" s="18"/>
      <c r="B1183" s="18"/>
      <c r="C1183" s="18"/>
      <c r="D1183" s="18"/>
      <c r="E1183" s="18"/>
      <c r="J1183" s="48"/>
    </row>
    <row r="1184" spans="1:10" ht="18.75" customHeight="1" x14ac:dyDescent="0.25">
      <c r="A1184" s="18"/>
      <c r="B1184" s="18"/>
      <c r="C1184" s="18"/>
      <c r="D1184" s="18"/>
      <c r="E1184" s="18"/>
      <c r="J1184" s="48"/>
    </row>
    <row r="1185" spans="1:10" ht="18.75" customHeight="1" x14ac:dyDescent="0.25">
      <c r="A1185" s="18"/>
      <c r="B1185" s="18"/>
      <c r="C1185" s="18"/>
      <c r="D1185" s="18"/>
      <c r="E1185" s="18"/>
      <c r="J1185" s="48"/>
    </row>
    <row r="1186" spans="1:10" ht="18.75" customHeight="1" x14ac:dyDescent="0.25">
      <c r="A1186" s="18"/>
      <c r="B1186" s="18"/>
      <c r="C1186" s="18"/>
      <c r="D1186" s="18"/>
      <c r="E1186" s="18"/>
      <c r="J1186" s="48"/>
    </row>
    <row r="1187" spans="1:10" ht="18.75" customHeight="1" x14ac:dyDescent="0.25">
      <c r="A1187" s="18"/>
      <c r="B1187" s="18"/>
      <c r="C1187" s="18"/>
      <c r="D1187" s="18"/>
      <c r="E1187" s="18"/>
      <c r="J1187" s="48"/>
    </row>
    <row r="1188" spans="1:10" ht="18.75" customHeight="1" x14ac:dyDescent="0.25">
      <c r="A1188" s="18"/>
      <c r="B1188" s="18"/>
      <c r="C1188" s="18"/>
      <c r="D1188" s="18"/>
      <c r="E1188" s="18"/>
      <c r="J1188" s="48"/>
    </row>
    <row r="1189" spans="1:10" ht="18.75" customHeight="1" x14ac:dyDescent="0.25">
      <c r="A1189" s="18"/>
      <c r="B1189" s="18"/>
      <c r="C1189" s="18"/>
      <c r="D1189" s="18"/>
      <c r="E1189" s="18"/>
      <c r="J1189" s="48"/>
    </row>
    <row r="1190" spans="1:10" ht="18.75" customHeight="1" x14ac:dyDescent="0.25">
      <c r="A1190" s="18"/>
      <c r="B1190" s="18"/>
      <c r="C1190" s="18"/>
      <c r="D1190" s="18"/>
      <c r="E1190" s="18"/>
      <c r="J1190" s="48"/>
    </row>
    <row r="1191" spans="1:10" ht="18.75" customHeight="1" x14ac:dyDescent="0.25">
      <c r="A1191" s="18"/>
      <c r="B1191" s="18"/>
      <c r="C1191" s="18"/>
      <c r="D1191" s="18"/>
      <c r="E1191" s="18"/>
      <c r="J1191" s="48"/>
    </row>
    <row r="1192" spans="1:10" ht="18.75" customHeight="1" x14ac:dyDescent="0.25">
      <c r="A1192" s="18"/>
      <c r="B1192" s="18"/>
      <c r="C1192" s="18"/>
      <c r="D1192" s="18"/>
      <c r="E1192" s="18"/>
      <c r="J1192" s="48"/>
    </row>
    <row r="1193" spans="1:10" ht="18.75" customHeight="1" x14ac:dyDescent="0.25">
      <c r="A1193" s="18"/>
      <c r="B1193" s="18"/>
      <c r="C1193" s="18"/>
      <c r="D1193" s="18"/>
      <c r="E1193" s="18"/>
      <c r="J1193" s="48"/>
    </row>
    <row r="1194" spans="1:10" ht="18.75" customHeight="1" x14ac:dyDescent="0.25">
      <c r="A1194" s="18"/>
      <c r="B1194" s="18"/>
      <c r="C1194" s="18"/>
      <c r="D1194" s="18"/>
      <c r="E1194" s="18"/>
      <c r="J1194" s="48"/>
    </row>
    <row r="1195" spans="1:10" ht="18.75" customHeight="1" x14ac:dyDescent="0.25">
      <c r="A1195" s="18"/>
      <c r="B1195" s="18"/>
      <c r="C1195" s="18"/>
      <c r="D1195" s="18"/>
      <c r="E1195" s="18"/>
      <c r="J1195" s="48"/>
    </row>
    <row r="1196" spans="1:10" ht="18.75" customHeight="1" x14ac:dyDescent="0.25">
      <c r="A1196" s="18"/>
      <c r="B1196" s="18"/>
      <c r="C1196" s="18"/>
      <c r="D1196" s="18"/>
      <c r="E1196" s="18"/>
      <c r="J1196" s="48"/>
    </row>
    <row r="1197" spans="1:10" ht="18.75" customHeight="1" x14ac:dyDescent="0.25">
      <c r="A1197" s="18"/>
      <c r="B1197" s="18"/>
      <c r="C1197" s="18"/>
      <c r="D1197" s="18"/>
      <c r="E1197" s="18"/>
      <c r="J1197" s="48"/>
    </row>
    <row r="1198" spans="1:10" ht="18.75" customHeight="1" x14ac:dyDescent="0.25">
      <c r="A1198" s="18"/>
      <c r="B1198" s="18"/>
      <c r="C1198" s="18"/>
      <c r="D1198" s="18"/>
      <c r="E1198" s="18"/>
      <c r="J1198" s="48"/>
    </row>
    <row r="1199" spans="1:10" ht="18.75" customHeight="1" x14ac:dyDescent="0.25">
      <c r="A1199" s="18"/>
      <c r="B1199" s="18"/>
      <c r="C1199" s="18"/>
      <c r="D1199" s="18"/>
      <c r="E1199" s="18"/>
      <c r="J1199" s="48"/>
    </row>
    <row r="1200" spans="1:10" ht="18.75" customHeight="1" x14ac:dyDescent="0.25">
      <c r="A1200" s="18"/>
      <c r="B1200" s="18"/>
      <c r="C1200" s="18"/>
      <c r="D1200" s="18"/>
      <c r="E1200" s="18"/>
      <c r="J1200" s="48"/>
    </row>
    <row r="1201" spans="1:10" ht="18.75" customHeight="1" x14ac:dyDescent="0.25">
      <c r="A1201" s="18"/>
      <c r="B1201" s="18"/>
      <c r="C1201" s="18"/>
      <c r="D1201" s="18"/>
      <c r="E1201" s="18"/>
      <c r="J1201" s="48"/>
    </row>
    <row r="1202" spans="1:10" ht="18.75" customHeight="1" x14ac:dyDescent="0.25">
      <c r="A1202" s="18"/>
      <c r="B1202" s="18"/>
      <c r="C1202" s="18"/>
      <c r="D1202" s="18"/>
      <c r="E1202" s="18"/>
      <c r="J1202" s="48"/>
    </row>
    <row r="1203" spans="1:10" ht="18.75" customHeight="1" x14ac:dyDescent="0.25">
      <c r="A1203" s="18"/>
      <c r="B1203" s="18"/>
      <c r="C1203" s="18"/>
      <c r="D1203" s="18"/>
      <c r="E1203" s="18"/>
      <c r="J1203" s="48"/>
    </row>
    <row r="1204" spans="1:10" ht="18.75" customHeight="1" x14ac:dyDescent="0.25">
      <c r="A1204" s="18"/>
      <c r="B1204" s="18"/>
      <c r="C1204" s="18"/>
      <c r="D1204" s="18"/>
      <c r="E1204" s="18"/>
      <c r="J1204" s="48"/>
    </row>
    <row r="1205" spans="1:10" ht="18.75" customHeight="1" x14ac:dyDescent="0.25">
      <c r="A1205" s="18"/>
      <c r="B1205" s="18"/>
      <c r="C1205" s="18"/>
      <c r="D1205" s="18"/>
      <c r="E1205" s="18"/>
      <c r="J1205" s="48"/>
    </row>
    <row r="1206" spans="1:10" ht="18.75" customHeight="1" x14ac:dyDescent="0.25">
      <c r="A1206" s="18"/>
      <c r="B1206" s="18"/>
      <c r="C1206" s="18"/>
      <c r="D1206" s="18"/>
      <c r="E1206" s="18"/>
      <c r="J1206" s="48"/>
    </row>
    <row r="1207" spans="1:10" ht="18.75" customHeight="1" x14ac:dyDescent="0.25">
      <c r="A1207" s="18"/>
      <c r="B1207" s="18"/>
      <c r="C1207" s="18"/>
      <c r="D1207" s="18"/>
      <c r="E1207" s="18"/>
      <c r="J1207" s="48"/>
    </row>
    <row r="1208" spans="1:10" ht="18.75" customHeight="1" x14ac:dyDescent="0.25">
      <c r="A1208" s="18"/>
      <c r="B1208" s="18"/>
      <c r="C1208" s="18"/>
      <c r="D1208" s="18"/>
      <c r="E1208" s="18"/>
      <c r="J1208" s="48"/>
    </row>
    <row r="1209" spans="1:10" ht="18.75" customHeight="1" x14ac:dyDescent="0.25">
      <c r="A1209" s="18"/>
      <c r="B1209" s="18"/>
      <c r="C1209" s="18"/>
      <c r="D1209" s="18"/>
      <c r="E1209" s="18"/>
      <c r="J1209" s="48"/>
    </row>
    <row r="1210" spans="1:10" ht="18.75" customHeight="1" x14ac:dyDescent="0.25">
      <c r="A1210" s="18"/>
      <c r="B1210" s="18"/>
      <c r="C1210" s="18"/>
      <c r="D1210" s="18"/>
      <c r="E1210" s="18"/>
      <c r="J1210" s="48"/>
    </row>
    <row r="1211" spans="1:10" ht="18.75" customHeight="1" x14ac:dyDescent="0.25">
      <c r="A1211" s="18"/>
      <c r="B1211" s="18"/>
      <c r="C1211" s="18"/>
      <c r="D1211" s="18"/>
      <c r="E1211" s="18"/>
      <c r="J1211" s="48"/>
    </row>
    <row r="1212" spans="1:10" ht="18.75" customHeight="1" x14ac:dyDescent="0.25">
      <c r="A1212" s="18"/>
      <c r="B1212" s="18"/>
      <c r="C1212" s="18"/>
      <c r="D1212" s="18"/>
      <c r="E1212" s="18"/>
      <c r="J1212" s="48"/>
    </row>
    <row r="1213" spans="1:10" ht="18.75" customHeight="1" x14ac:dyDescent="0.25">
      <c r="A1213" s="18"/>
      <c r="B1213" s="18"/>
      <c r="C1213" s="18"/>
      <c r="D1213" s="18"/>
      <c r="E1213" s="18"/>
      <c r="J1213" s="48"/>
    </row>
    <row r="1214" spans="1:10" ht="18.75" customHeight="1" x14ac:dyDescent="0.25">
      <c r="A1214" s="18"/>
      <c r="B1214" s="18"/>
      <c r="C1214" s="18"/>
      <c r="D1214" s="18"/>
      <c r="E1214" s="18"/>
      <c r="J1214" s="48"/>
    </row>
    <row r="1215" spans="1:10" ht="18.75" customHeight="1" x14ac:dyDescent="0.25">
      <c r="A1215" s="18"/>
      <c r="B1215" s="18"/>
      <c r="C1215" s="18"/>
      <c r="D1215" s="18"/>
      <c r="E1215" s="18"/>
      <c r="J1215" s="48"/>
    </row>
    <row r="1216" spans="1:10" ht="18.75" customHeight="1" x14ac:dyDescent="0.25">
      <c r="A1216" s="18"/>
      <c r="B1216" s="18"/>
      <c r="C1216" s="18"/>
      <c r="D1216" s="18"/>
      <c r="E1216" s="18"/>
      <c r="J1216" s="48"/>
    </row>
    <row r="1217" spans="1:10" ht="18.75" customHeight="1" x14ac:dyDescent="0.25">
      <c r="A1217" s="18"/>
      <c r="B1217" s="18"/>
      <c r="C1217" s="18"/>
      <c r="D1217" s="18"/>
      <c r="E1217" s="18"/>
      <c r="J1217" s="48"/>
    </row>
    <row r="1218" spans="1:10" ht="18.75" customHeight="1" x14ac:dyDescent="0.25">
      <c r="A1218" s="18"/>
      <c r="B1218" s="18"/>
      <c r="C1218" s="18"/>
      <c r="D1218" s="18"/>
      <c r="E1218" s="18"/>
      <c r="J1218" s="48"/>
    </row>
    <row r="1219" spans="1:10" ht="18.75" customHeight="1" x14ac:dyDescent="0.25">
      <c r="A1219" s="18"/>
      <c r="B1219" s="18"/>
      <c r="C1219" s="18"/>
      <c r="D1219" s="18"/>
      <c r="E1219" s="18"/>
      <c r="J1219" s="48"/>
    </row>
    <row r="1220" spans="1:10" ht="18.75" customHeight="1" x14ac:dyDescent="0.25">
      <c r="A1220" s="18"/>
      <c r="B1220" s="18"/>
      <c r="C1220" s="18"/>
      <c r="D1220" s="18"/>
      <c r="E1220" s="18"/>
      <c r="J1220" s="48"/>
    </row>
    <row r="1221" spans="1:10" ht="18.75" customHeight="1" x14ac:dyDescent="0.25">
      <c r="A1221" s="18"/>
      <c r="B1221" s="18"/>
      <c r="C1221" s="18"/>
      <c r="D1221" s="18"/>
      <c r="E1221" s="18"/>
      <c r="J1221" s="48"/>
    </row>
    <row r="1222" spans="1:10" ht="18.75" customHeight="1" x14ac:dyDescent="0.25">
      <c r="A1222" s="18"/>
      <c r="B1222" s="18"/>
      <c r="C1222" s="18"/>
      <c r="D1222" s="18"/>
      <c r="E1222" s="18"/>
      <c r="J1222" s="48"/>
    </row>
    <row r="1223" spans="1:10" ht="18.75" customHeight="1" x14ac:dyDescent="0.25">
      <c r="A1223" s="18"/>
      <c r="B1223" s="18"/>
      <c r="C1223" s="18"/>
      <c r="D1223" s="18"/>
      <c r="E1223" s="18"/>
      <c r="J1223" s="48"/>
    </row>
    <row r="1224" spans="1:10" ht="18.75" customHeight="1" x14ac:dyDescent="0.25">
      <c r="A1224" s="18"/>
      <c r="B1224" s="18"/>
      <c r="C1224" s="18"/>
      <c r="D1224" s="18"/>
      <c r="E1224" s="18"/>
      <c r="J1224" s="48"/>
    </row>
    <row r="1225" spans="1:10" ht="18.75" customHeight="1" x14ac:dyDescent="0.25">
      <c r="A1225" s="18"/>
      <c r="B1225" s="18"/>
      <c r="C1225" s="18"/>
      <c r="D1225" s="18"/>
      <c r="E1225" s="18"/>
      <c r="J1225" s="48"/>
    </row>
    <row r="1226" spans="1:10" ht="18.75" customHeight="1" x14ac:dyDescent="0.25">
      <c r="A1226" s="18"/>
      <c r="B1226" s="18"/>
      <c r="C1226" s="18"/>
      <c r="D1226" s="18"/>
      <c r="E1226" s="18"/>
      <c r="J1226" s="48"/>
    </row>
    <row r="1227" spans="1:10" ht="18.75" customHeight="1" x14ac:dyDescent="0.25">
      <c r="A1227" s="18"/>
      <c r="B1227" s="18"/>
      <c r="C1227" s="18"/>
      <c r="D1227" s="18"/>
      <c r="E1227" s="18"/>
      <c r="J1227" s="48"/>
    </row>
    <row r="1228" spans="1:10" ht="18.75" customHeight="1" x14ac:dyDescent="0.25">
      <c r="A1228" s="18"/>
      <c r="B1228" s="18"/>
      <c r="C1228" s="18"/>
      <c r="D1228" s="18"/>
      <c r="E1228" s="18"/>
      <c r="J1228" s="48"/>
    </row>
    <row r="1229" spans="1:10" ht="18.75" customHeight="1" x14ac:dyDescent="0.25">
      <c r="A1229" s="18"/>
      <c r="B1229" s="18"/>
      <c r="C1229" s="18"/>
      <c r="D1229" s="18"/>
      <c r="E1229" s="18"/>
      <c r="J1229" s="48"/>
    </row>
    <row r="1230" spans="1:10" ht="18.75" customHeight="1" x14ac:dyDescent="0.25">
      <c r="A1230" s="18"/>
      <c r="B1230" s="18"/>
      <c r="C1230" s="18"/>
      <c r="D1230" s="18"/>
      <c r="E1230" s="18"/>
      <c r="J1230" s="48"/>
    </row>
    <row r="1231" spans="1:10" ht="18.75" customHeight="1" x14ac:dyDescent="0.25">
      <c r="A1231" s="18"/>
      <c r="B1231" s="18"/>
      <c r="C1231" s="18"/>
      <c r="D1231" s="18"/>
      <c r="E1231" s="18"/>
      <c r="J1231" s="48"/>
    </row>
    <row r="1232" spans="1:10" ht="18.75" customHeight="1" x14ac:dyDescent="0.25">
      <c r="A1232" s="18"/>
      <c r="B1232" s="18"/>
      <c r="C1232" s="18"/>
      <c r="D1232" s="18"/>
      <c r="E1232" s="18"/>
      <c r="J1232" s="48"/>
    </row>
    <row r="1233" spans="1:10" ht="18.75" customHeight="1" x14ac:dyDescent="0.25">
      <c r="A1233" s="18"/>
      <c r="B1233" s="18"/>
      <c r="C1233" s="18"/>
      <c r="D1233" s="18"/>
      <c r="E1233" s="18"/>
      <c r="J1233" s="48"/>
    </row>
    <row r="1234" spans="1:10" ht="18.75" customHeight="1" x14ac:dyDescent="0.25">
      <c r="A1234" s="18"/>
      <c r="B1234" s="18"/>
      <c r="C1234" s="18"/>
      <c r="D1234" s="18"/>
      <c r="E1234" s="18"/>
      <c r="J1234" s="48"/>
    </row>
    <row r="1235" spans="1:10" ht="18.75" customHeight="1" x14ac:dyDescent="0.25">
      <c r="A1235" s="18"/>
      <c r="B1235" s="18"/>
      <c r="C1235" s="18"/>
      <c r="D1235" s="18"/>
      <c r="E1235" s="18"/>
      <c r="J1235" s="48"/>
    </row>
    <row r="1236" spans="1:10" ht="18.75" customHeight="1" x14ac:dyDescent="0.25">
      <c r="A1236" s="18"/>
      <c r="B1236" s="18"/>
      <c r="C1236" s="18"/>
      <c r="D1236" s="18"/>
      <c r="E1236" s="18"/>
      <c r="J1236" s="48"/>
    </row>
    <row r="1237" spans="1:10" ht="18.75" customHeight="1" x14ac:dyDescent="0.25">
      <c r="A1237" s="18"/>
      <c r="B1237" s="18"/>
      <c r="C1237" s="18"/>
      <c r="D1237" s="18"/>
      <c r="E1237" s="18"/>
      <c r="J1237" s="48"/>
    </row>
    <row r="1238" spans="1:10" ht="18.75" customHeight="1" x14ac:dyDescent="0.25">
      <c r="A1238" s="18"/>
      <c r="B1238" s="18"/>
      <c r="C1238" s="18"/>
      <c r="D1238" s="18"/>
      <c r="E1238" s="18"/>
      <c r="J1238" s="48"/>
    </row>
    <row r="1239" spans="1:10" ht="18.75" customHeight="1" x14ac:dyDescent="0.25">
      <c r="A1239" s="18"/>
      <c r="B1239" s="18"/>
      <c r="C1239" s="18"/>
      <c r="D1239" s="18"/>
      <c r="E1239" s="18"/>
      <c r="J1239" s="48"/>
    </row>
    <row r="1240" spans="1:10" ht="18.75" customHeight="1" x14ac:dyDescent="0.25">
      <c r="A1240" s="18"/>
      <c r="B1240" s="18"/>
      <c r="C1240" s="18"/>
      <c r="D1240" s="18"/>
      <c r="E1240" s="18"/>
      <c r="J1240" s="48"/>
    </row>
    <row r="1241" spans="1:10" ht="18.75" customHeight="1" x14ac:dyDescent="0.25">
      <c r="A1241" s="18"/>
      <c r="B1241" s="18"/>
      <c r="C1241" s="18"/>
      <c r="D1241" s="18"/>
      <c r="E1241" s="18"/>
      <c r="J1241" s="48"/>
    </row>
    <row r="1242" spans="1:10" ht="18.75" customHeight="1" x14ac:dyDescent="0.25">
      <c r="A1242" s="18"/>
      <c r="B1242" s="18"/>
      <c r="C1242" s="18"/>
      <c r="D1242" s="18"/>
      <c r="E1242" s="18"/>
      <c r="J1242" s="48"/>
    </row>
    <row r="1243" spans="1:10" ht="18.75" customHeight="1" x14ac:dyDescent="0.25">
      <c r="A1243" s="18"/>
      <c r="B1243" s="18"/>
      <c r="C1243" s="18"/>
      <c r="D1243" s="18"/>
      <c r="E1243" s="18"/>
      <c r="J1243" s="48"/>
    </row>
    <row r="1244" spans="1:10" ht="18.75" customHeight="1" x14ac:dyDescent="0.25">
      <c r="A1244" s="18"/>
      <c r="B1244" s="18"/>
      <c r="C1244" s="18"/>
      <c r="D1244" s="18"/>
      <c r="E1244" s="18"/>
      <c r="J1244" s="48"/>
    </row>
    <row r="1245" spans="1:10" ht="18.75" customHeight="1" x14ac:dyDescent="0.25">
      <c r="A1245" s="18"/>
      <c r="B1245" s="18"/>
      <c r="C1245" s="18"/>
      <c r="D1245" s="18"/>
      <c r="E1245" s="18"/>
      <c r="J1245" s="48"/>
    </row>
    <row r="1246" spans="1:10" ht="18.75" customHeight="1" x14ac:dyDescent="0.25">
      <c r="A1246" s="18"/>
      <c r="B1246" s="18"/>
      <c r="C1246" s="18"/>
      <c r="D1246" s="18"/>
      <c r="E1246" s="18"/>
      <c r="J1246" s="48"/>
    </row>
    <row r="1247" spans="1:10" ht="18.75" customHeight="1" x14ac:dyDescent="0.25">
      <c r="A1247" s="18"/>
      <c r="B1247" s="18"/>
      <c r="C1247" s="18"/>
      <c r="D1247" s="18"/>
      <c r="E1247" s="18"/>
      <c r="J1247" s="48"/>
    </row>
    <row r="1248" spans="1:10" ht="18.75" customHeight="1" x14ac:dyDescent="0.25">
      <c r="A1248" s="18"/>
      <c r="B1248" s="18"/>
      <c r="C1248" s="18"/>
      <c r="D1248" s="18"/>
      <c r="E1248" s="18"/>
      <c r="J1248" s="48"/>
    </row>
    <row r="1249" spans="1:10" ht="18.75" customHeight="1" x14ac:dyDescent="0.25">
      <c r="A1249" s="18"/>
      <c r="B1249" s="18"/>
      <c r="C1249" s="18"/>
      <c r="D1249" s="18"/>
      <c r="E1249" s="18"/>
      <c r="J1249" s="48"/>
    </row>
    <row r="1250" spans="1:10" ht="18.75" customHeight="1" x14ac:dyDescent="0.25">
      <c r="A1250" s="18"/>
      <c r="B1250" s="18"/>
      <c r="C1250" s="18"/>
      <c r="D1250" s="18"/>
      <c r="E1250" s="18"/>
      <c r="J1250" s="48"/>
    </row>
    <row r="1251" spans="1:10" ht="18.75" customHeight="1" x14ac:dyDescent="0.25">
      <c r="A1251" s="18"/>
      <c r="B1251" s="18"/>
      <c r="C1251" s="18"/>
      <c r="D1251" s="18"/>
      <c r="E1251" s="18"/>
      <c r="J1251" s="48"/>
    </row>
    <row r="1252" spans="1:10" ht="18.75" customHeight="1" x14ac:dyDescent="0.25">
      <c r="A1252" s="18"/>
      <c r="B1252" s="18"/>
      <c r="C1252" s="18"/>
      <c r="D1252" s="18"/>
      <c r="E1252" s="18"/>
      <c r="J1252" s="48"/>
    </row>
    <row r="1253" spans="1:10" ht="18.75" customHeight="1" x14ac:dyDescent="0.25">
      <c r="A1253" s="18"/>
      <c r="B1253" s="18"/>
      <c r="C1253" s="18"/>
      <c r="D1253" s="18"/>
      <c r="E1253" s="18"/>
      <c r="J1253" s="48"/>
    </row>
    <row r="1254" spans="1:10" ht="18.75" customHeight="1" x14ac:dyDescent="0.25">
      <c r="A1254" s="18"/>
      <c r="B1254" s="18"/>
      <c r="C1254" s="18"/>
      <c r="D1254" s="18"/>
      <c r="E1254" s="18"/>
      <c r="J1254" s="48"/>
    </row>
    <row r="1255" spans="1:10" ht="18.75" customHeight="1" x14ac:dyDescent="0.25">
      <c r="A1255" s="18"/>
      <c r="B1255" s="18"/>
      <c r="C1255" s="18"/>
      <c r="D1255" s="18"/>
      <c r="E1255" s="18"/>
      <c r="J1255" s="48"/>
    </row>
    <row r="1256" spans="1:10" ht="18.75" customHeight="1" x14ac:dyDescent="0.25">
      <c r="A1256" s="18"/>
      <c r="B1256" s="18"/>
      <c r="C1256" s="18"/>
      <c r="D1256" s="18"/>
      <c r="E1256" s="18"/>
      <c r="J1256" s="48"/>
    </row>
    <row r="1257" spans="1:10" ht="18.75" customHeight="1" x14ac:dyDescent="0.25">
      <c r="A1257" s="18"/>
      <c r="B1257" s="18"/>
      <c r="C1257" s="18"/>
      <c r="D1257" s="18"/>
      <c r="E1257" s="18"/>
      <c r="J1257" s="48"/>
    </row>
    <row r="1258" spans="1:10" ht="18.75" customHeight="1" x14ac:dyDescent="0.25">
      <c r="A1258" s="18"/>
      <c r="B1258" s="18"/>
      <c r="C1258" s="18"/>
      <c r="D1258" s="18"/>
      <c r="E1258" s="18"/>
      <c r="J1258" s="48"/>
    </row>
    <row r="1259" spans="1:10" ht="18.75" customHeight="1" x14ac:dyDescent="0.25">
      <c r="A1259" s="18"/>
      <c r="B1259" s="18"/>
      <c r="C1259" s="18"/>
      <c r="D1259" s="18"/>
      <c r="E1259" s="18"/>
      <c r="J1259" s="48"/>
    </row>
    <row r="1260" spans="1:10" ht="18.75" customHeight="1" x14ac:dyDescent="0.25">
      <c r="A1260" s="18"/>
      <c r="B1260" s="18"/>
      <c r="C1260" s="18"/>
      <c r="D1260" s="18"/>
      <c r="E1260" s="18"/>
      <c r="J1260" s="48"/>
    </row>
    <row r="1261" spans="1:10" ht="18.75" customHeight="1" x14ac:dyDescent="0.25">
      <c r="A1261" s="18"/>
      <c r="B1261" s="18"/>
      <c r="C1261" s="18"/>
      <c r="D1261" s="18"/>
      <c r="E1261" s="18"/>
      <c r="J1261" s="48"/>
    </row>
    <row r="1262" spans="1:10" ht="18.75" customHeight="1" x14ac:dyDescent="0.25">
      <c r="A1262" s="18"/>
      <c r="B1262" s="18"/>
      <c r="C1262" s="18"/>
      <c r="D1262" s="18"/>
      <c r="E1262" s="18"/>
      <c r="J1262" s="48"/>
    </row>
    <row r="1263" spans="1:10" ht="18.75" customHeight="1" x14ac:dyDescent="0.25">
      <c r="A1263" s="18"/>
      <c r="B1263" s="18"/>
      <c r="C1263" s="18"/>
      <c r="D1263" s="18"/>
      <c r="E1263" s="18"/>
      <c r="J1263" s="48"/>
    </row>
    <row r="1264" spans="1:10" ht="18.75" customHeight="1" x14ac:dyDescent="0.25">
      <c r="A1264" s="18"/>
      <c r="B1264" s="18"/>
      <c r="C1264" s="18"/>
      <c r="D1264" s="18"/>
      <c r="E1264" s="18"/>
      <c r="J1264" s="48"/>
    </row>
    <row r="1265" spans="1:10" ht="18.75" customHeight="1" x14ac:dyDescent="0.25">
      <c r="A1265" s="18"/>
      <c r="B1265" s="18"/>
      <c r="C1265" s="18"/>
      <c r="D1265" s="18"/>
      <c r="E1265" s="18"/>
      <c r="J1265" s="48"/>
    </row>
    <row r="1266" spans="1:10" ht="18.75" customHeight="1" x14ac:dyDescent="0.25">
      <c r="A1266" s="18"/>
      <c r="B1266" s="18"/>
      <c r="C1266" s="18"/>
      <c r="D1266" s="18"/>
      <c r="E1266" s="18"/>
      <c r="J1266" s="48"/>
    </row>
    <row r="1267" spans="1:10" ht="18.75" customHeight="1" x14ac:dyDescent="0.25">
      <c r="A1267" s="18"/>
      <c r="B1267" s="18"/>
      <c r="C1267" s="18"/>
      <c r="D1267" s="18"/>
      <c r="E1267" s="18"/>
      <c r="J1267" s="48"/>
    </row>
    <row r="1268" spans="1:10" ht="18.75" customHeight="1" x14ac:dyDescent="0.25">
      <c r="A1268" s="18"/>
      <c r="B1268" s="18"/>
      <c r="C1268" s="18"/>
      <c r="D1268" s="18"/>
      <c r="E1268" s="18"/>
      <c r="J1268" s="48"/>
    </row>
    <row r="1269" spans="1:10" ht="18.75" customHeight="1" x14ac:dyDescent="0.25">
      <c r="A1269" s="18"/>
      <c r="B1269" s="18"/>
      <c r="C1269" s="18"/>
      <c r="D1269" s="18"/>
      <c r="E1269" s="18"/>
      <c r="J1269" s="48"/>
    </row>
    <row r="1270" spans="1:10" ht="18.75" customHeight="1" x14ac:dyDescent="0.25">
      <c r="A1270" s="18"/>
      <c r="B1270" s="18"/>
      <c r="C1270" s="18"/>
      <c r="D1270" s="18"/>
      <c r="E1270" s="18"/>
      <c r="J1270" s="48"/>
    </row>
    <row r="1271" spans="1:10" ht="18.75" customHeight="1" x14ac:dyDescent="0.25">
      <c r="A1271" s="18"/>
      <c r="B1271" s="18"/>
      <c r="C1271" s="18"/>
      <c r="D1271" s="18"/>
      <c r="E1271" s="18"/>
      <c r="J1271" s="48"/>
    </row>
    <row r="1272" spans="1:10" ht="18.75" customHeight="1" x14ac:dyDescent="0.25">
      <c r="A1272" s="18"/>
      <c r="B1272" s="18"/>
      <c r="C1272" s="18"/>
      <c r="D1272" s="18"/>
      <c r="E1272" s="18"/>
      <c r="J1272" s="48"/>
    </row>
    <row r="1273" spans="1:10" ht="18.75" customHeight="1" x14ac:dyDescent="0.25">
      <c r="A1273" s="18"/>
      <c r="B1273" s="18"/>
      <c r="C1273" s="18"/>
      <c r="D1273" s="18"/>
      <c r="E1273" s="18"/>
      <c r="J1273" s="48"/>
    </row>
    <row r="1274" spans="1:10" ht="18.75" customHeight="1" x14ac:dyDescent="0.25">
      <c r="A1274" s="18"/>
      <c r="B1274" s="18"/>
      <c r="C1274" s="18"/>
      <c r="D1274" s="18"/>
      <c r="E1274" s="18"/>
      <c r="J1274" s="48"/>
    </row>
    <row r="1275" spans="1:10" ht="18.75" customHeight="1" x14ac:dyDescent="0.25">
      <c r="A1275" s="18"/>
      <c r="B1275" s="18"/>
      <c r="C1275" s="18"/>
      <c r="D1275" s="18"/>
      <c r="E1275" s="18"/>
      <c r="J1275" s="48"/>
    </row>
    <row r="1276" spans="1:10" ht="18.75" customHeight="1" x14ac:dyDescent="0.25">
      <c r="A1276" s="18"/>
      <c r="B1276" s="18"/>
      <c r="C1276" s="18"/>
      <c r="D1276" s="18"/>
      <c r="E1276" s="18"/>
      <c r="J1276" s="48"/>
    </row>
    <row r="1277" spans="1:10" ht="18.75" customHeight="1" x14ac:dyDescent="0.25">
      <c r="A1277" s="18"/>
      <c r="B1277" s="18"/>
      <c r="C1277" s="18"/>
      <c r="D1277" s="18"/>
      <c r="E1277" s="18"/>
      <c r="J1277" s="48"/>
    </row>
    <row r="1278" spans="1:10" ht="18.75" customHeight="1" x14ac:dyDescent="0.25">
      <c r="A1278" s="18"/>
      <c r="B1278" s="18"/>
      <c r="C1278" s="18"/>
      <c r="D1278" s="18"/>
      <c r="E1278" s="18"/>
      <c r="J1278" s="48"/>
    </row>
    <row r="1279" spans="1:10" ht="18.75" customHeight="1" x14ac:dyDescent="0.25">
      <c r="A1279" s="18"/>
      <c r="B1279" s="18"/>
      <c r="C1279" s="18"/>
      <c r="D1279" s="18"/>
      <c r="E1279" s="18"/>
      <c r="J1279" s="48"/>
    </row>
    <row r="1280" spans="1:10" ht="18.75" customHeight="1" x14ac:dyDescent="0.25">
      <c r="A1280" s="18"/>
      <c r="B1280" s="18"/>
      <c r="C1280" s="18"/>
      <c r="D1280" s="18"/>
      <c r="E1280" s="18"/>
      <c r="J1280" s="48"/>
    </row>
    <row r="1281" spans="1:10" ht="18.75" customHeight="1" x14ac:dyDescent="0.25">
      <c r="A1281" s="18"/>
      <c r="B1281" s="18"/>
      <c r="C1281" s="18"/>
      <c r="D1281" s="18"/>
      <c r="E1281" s="18"/>
      <c r="J1281" s="48"/>
    </row>
    <row r="1282" spans="1:10" ht="18.75" customHeight="1" x14ac:dyDescent="0.25">
      <c r="A1282" s="18"/>
      <c r="B1282" s="18"/>
      <c r="C1282" s="18"/>
      <c r="D1282" s="18"/>
      <c r="E1282" s="18"/>
      <c r="J1282" s="48"/>
    </row>
    <row r="1283" spans="1:10" ht="18.75" customHeight="1" x14ac:dyDescent="0.25">
      <c r="A1283" s="18"/>
      <c r="B1283" s="18"/>
      <c r="C1283" s="18"/>
      <c r="D1283" s="18"/>
      <c r="E1283" s="18"/>
      <c r="J1283" s="48"/>
    </row>
    <row r="1284" spans="1:10" ht="18.75" customHeight="1" x14ac:dyDescent="0.25">
      <c r="A1284" s="18"/>
      <c r="B1284" s="18"/>
      <c r="C1284" s="18"/>
      <c r="D1284" s="18"/>
      <c r="E1284" s="18"/>
      <c r="J1284" s="48"/>
    </row>
    <row r="1285" spans="1:10" ht="18.75" customHeight="1" x14ac:dyDescent="0.25">
      <c r="A1285" s="18"/>
      <c r="B1285" s="18"/>
      <c r="C1285" s="18"/>
      <c r="D1285" s="18"/>
      <c r="E1285" s="18"/>
      <c r="J1285" s="48"/>
    </row>
    <row r="1286" spans="1:10" ht="18.75" customHeight="1" x14ac:dyDescent="0.25">
      <c r="A1286" s="18"/>
      <c r="B1286" s="18"/>
      <c r="C1286" s="18"/>
      <c r="D1286" s="18"/>
      <c r="E1286" s="18"/>
      <c r="J1286" s="48"/>
    </row>
    <row r="1287" spans="1:10" ht="18.75" customHeight="1" x14ac:dyDescent="0.25">
      <c r="A1287" s="18"/>
      <c r="B1287" s="18"/>
      <c r="C1287" s="18"/>
      <c r="D1287" s="18"/>
      <c r="E1287" s="18"/>
      <c r="J1287" s="48"/>
    </row>
    <row r="1288" spans="1:10" ht="18.75" customHeight="1" x14ac:dyDescent="0.25">
      <c r="A1288" s="18"/>
      <c r="B1288" s="18"/>
      <c r="C1288" s="18"/>
      <c r="D1288" s="18"/>
      <c r="E1288" s="18"/>
      <c r="J1288" s="48"/>
    </row>
    <row r="1289" spans="1:10" ht="18.75" customHeight="1" x14ac:dyDescent="0.25">
      <c r="A1289" s="18"/>
      <c r="B1289" s="18"/>
      <c r="C1289" s="18"/>
      <c r="D1289" s="18"/>
      <c r="E1289" s="18"/>
      <c r="J1289" s="48"/>
    </row>
    <row r="1290" spans="1:10" ht="18.75" customHeight="1" x14ac:dyDescent="0.25">
      <c r="A1290" s="18"/>
      <c r="B1290" s="18"/>
      <c r="C1290" s="18"/>
      <c r="D1290" s="18"/>
      <c r="E1290" s="18"/>
      <c r="J1290" s="48"/>
    </row>
    <row r="1291" spans="1:10" ht="18.75" customHeight="1" x14ac:dyDescent="0.25">
      <c r="A1291" s="18"/>
      <c r="B1291" s="18"/>
      <c r="C1291" s="18"/>
      <c r="D1291" s="18"/>
      <c r="E1291" s="18"/>
      <c r="J1291" s="48"/>
    </row>
    <row r="1292" spans="1:10" ht="18.75" customHeight="1" x14ac:dyDescent="0.25">
      <c r="A1292" s="18"/>
      <c r="B1292" s="18"/>
      <c r="C1292" s="18"/>
      <c r="D1292" s="18"/>
      <c r="E1292" s="18"/>
      <c r="J1292" s="48"/>
    </row>
    <row r="1293" spans="1:10" ht="18.75" customHeight="1" x14ac:dyDescent="0.25">
      <c r="A1293" s="18"/>
      <c r="B1293" s="18"/>
      <c r="C1293" s="18"/>
      <c r="D1293" s="18"/>
      <c r="E1293" s="18"/>
      <c r="J1293" s="48"/>
    </row>
    <row r="1294" spans="1:10" ht="18.75" customHeight="1" x14ac:dyDescent="0.25">
      <c r="A1294" s="18"/>
      <c r="B1294" s="18"/>
      <c r="C1294" s="18"/>
      <c r="D1294" s="18"/>
      <c r="E1294" s="18"/>
      <c r="J1294" s="48"/>
    </row>
    <row r="1295" spans="1:10" ht="18.75" customHeight="1" x14ac:dyDescent="0.25">
      <c r="A1295" s="18"/>
      <c r="B1295" s="18"/>
      <c r="C1295" s="18"/>
      <c r="D1295" s="18"/>
      <c r="E1295" s="18"/>
      <c r="J1295" s="48"/>
    </row>
    <row r="1296" spans="1:10" ht="18.75" customHeight="1" x14ac:dyDescent="0.25">
      <c r="A1296" s="18"/>
      <c r="B1296" s="18"/>
      <c r="C1296" s="18"/>
      <c r="D1296" s="18"/>
      <c r="E1296" s="18"/>
      <c r="J1296" s="48"/>
    </row>
    <row r="1297" spans="1:10" ht="18.75" customHeight="1" x14ac:dyDescent="0.25">
      <c r="A1297" s="18"/>
      <c r="B1297" s="18"/>
      <c r="C1297" s="18"/>
      <c r="D1297" s="18"/>
      <c r="E1297" s="18"/>
      <c r="J1297" s="48"/>
    </row>
    <row r="1298" spans="1:10" ht="18.75" customHeight="1" x14ac:dyDescent="0.25">
      <c r="A1298" s="18"/>
      <c r="B1298" s="18"/>
      <c r="C1298" s="18"/>
      <c r="D1298" s="18"/>
      <c r="E1298" s="18"/>
      <c r="J1298" s="48"/>
    </row>
    <row r="1299" spans="1:10" ht="18.75" customHeight="1" x14ac:dyDescent="0.25">
      <c r="A1299" s="18"/>
      <c r="B1299" s="18"/>
      <c r="C1299" s="18"/>
      <c r="D1299" s="18"/>
      <c r="E1299" s="18"/>
      <c r="J1299" s="48"/>
    </row>
    <row r="1300" spans="1:10" ht="18.75" customHeight="1" x14ac:dyDescent="0.25">
      <c r="A1300" s="18"/>
      <c r="B1300" s="18"/>
      <c r="C1300" s="18"/>
      <c r="D1300" s="18"/>
      <c r="E1300" s="18"/>
      <c r="J1300" s="48"/>
    </row>
    <row r="1301" spans="1:10" ht="18.75" customHeight="1" x14ac:dyDescent="0.25">
      <c r="A1301" s="18"/>
      <c r="B1301" s="18"/>
      <c r="C1301" s="18"/>
      <c r="D1301" s="18"/>
      <c r="E1301" s="18"/>
      <c r="J1301" s="48"/>
    </row>
    <row r="1302" spans="1:10" ht="18.75" customHeight="1" x14ac:dyDescent="0.25">
      <c r="A1302" s="18"/>
      <c r="B1302" s="18"/>
      <c r="C1302" s="18"/>
      <c r="D1302" s="18"/>
      <c r="E1302" s="18"/>
      <c r="J1302" s="48"/>
    </row>
    <row r="1303" spans="1:10" ht="18.75" customHeight="1" x14ac:dyDescent="0.25">
      <c r="A1303" s="18"/>
      <c r="B1303" s="18"/>
      <c r="C1303" s="18"/>
      <c r="D1303" s="18"/>
      <c r="E1303" s="18"/>
      <c r="J1303" s="48"/>
    </row>
    <row r="1304" spans="1:10" ht="18.75" customHeight="1" x14ac:dyDescent="0.25">
      <c r="A1304" s="18"/>
      <c r="B1304" s="18"/>
      <c r="C1304" s="18"/>
      <c r="D1304" s="18"/>
      <c r="E1304" s="18"/>
      <c r="J1304" s="48"/>
    </row>
    <row r="1305" spans="1:10" ht="18.75" customHeight="1" x14ac:dyDescent="0.25">
      <c r="A1305" s="18"/>
      <c r="B1305" s="18"/>
      <c r="C1305" s="18"/>
      <c r="D1305" s="18"/>
      <c r="E1305" s="18"/>
      <c r="J1305" s="48"/>
    </row>
    <row r="1306" spans="1:10" ht="18.75" customHeight="1" x14ac:dyDescent="0.25">
      <c r="A1306" s="18"/>
      <c r="B1306" s="18"/>
      <c r="C1306" s="18"/>
      <c r="D1306" s="18"/>
      <c r="E1306" s="18"/>
      <c r="J1306" s="48"/>
    </row>
    <row r="1307" spans="1:10" ht="18.75" customHeight="1" x14ac:dyDescent="0.25">
      <c r="A1307" s="18"/>
      <c r="B1307" s="18"/>
      <c r="C1307" s="18"/>
      <c r="D1307" s="18"/>
      <c r="E1307" s="18"/>
      <c r="J1307" s="48"/>
    </row>
    <row r="1308" spans="1:10" ht="18.75" customHeight="1" x14ac:dyDescent="0.25">
      <c r="A1308" s="18"/>
      <c r="B1308" s="18"/>
      <c r="C1308" s="18"/>
      <c r="D1308" s="18"/>
      <c r="E1308" s="18"/>
      <c r="J1308" s="48"/>
    </row>
    <row r="1309" spans="1:10" ht="18.75" customHeight="1" x14ac:dyDescent="0.25">
      <c r="A1309" s="18"/>
      <c r="B1309" s="18"/>
      <c r="C1309" s="18"/>
      <c r="D1309" s="18"/>
      <c r="E1309" s="18"/>
      <c r="J1309" s="48"/>
    </row>
    <row r="1310" spans="1:10" ht="18.75" customHeight="1" x14ac:dyDescent="0.25">
      <c r="A1310" s="18"/>
      <c r="B1310" s="18"/>
      <c r="C1310" s="18"/>
      <c r="D1310" s="18"/>
      <c r="E1310" s="18"/>
      <c r="J1310" s="48"/>
    </row>
    <row r="1311" spans="1:10" ht="18.75" customHeight="1" x14ac:dyDescent="0.25">
      <c r="A1311" s="18"/>
      <c r="B1311" s="18"/>
      <c r="C1311" s="18"/>
      <c r="D1311" s="18"/>
      <c r="E1311" s="18"/>
      <c r="J1311" s="48"/>
    </row>
    <row r="1312" spans="1:10" ht="18.75" customHeight="1" x14ac:dyDescent="0.25">
      <c r="A1312" s="18"/>
      <c r="B1312" s="18"/>
      <c r="C1312" s="18"/>
      <c r="D1312" s="18"/>
      <c r="E1312" s="18"/>
      <c r="J1312" s="48"/>
    </row>
    <row r="1313" spans="1:10" ht="18.75" customHeight="1" x14ac:dyDescent="0.25">
      <c r="A1313" s="18"/>
      <c r="B1313" s="18"/>
      <c r="C1313" s="18"/>
      <c r="D1313" s="18"/>
      <c r="E1313" s="18"/>
      <c r="J1313" s="48"/>
    </row>
    <row r="1314" spans="1:10" ht="18.75" customHeight="1" x14ac:dyDescent="0.25">
      <c r="A1314" s="18"/>
      <c r="B1314" s="18"/>
      <c r="C1314" s="18"/>
      <c r="D1314" s="18"/>
      <c r="E1314" s="18"/>
      <c r="J1314" s="48"/>
    </row>
    <row r="1315" spans="1:10" ht="18.75" customHeight="1" x14ac:dyDescent="0.25">
      <c r="A1315" s="18"/>
      <c r="B1315" s="18"/>
      <c r="C1315" s="18"/>
      <c r="D1315" s="18"/>
      <c r="E1315" s="18"/>
      <c r="J1315" s="48"/>
    </row>
    <row r="1316" spans="1:10" ht="18.75" customHeight="1" x14ac:dyDescent="0.25">
      <c r="A1316" s="18"/>
      <c r="B1316" s="18"/>
      <c r="C1316" s="18"/>
      <c r="D1316" s="18"/>
      <c r="E1316" s="18"/>
      <c r="J1316" s="48"/>
    </row>
    <row r="1317" spans="1:10" ht="18.75" customHeight="1" x14ac:dyDescent="0.25">
      <c r="A1317" s="18"/>
      <c r="B1317" s="18"/>
      <c r="C1317" s="18"/>
      <c r="D1317" s="18"/>
      <c r="E1317" s="18"/>
      <c r="J1317" s="48"/>
    </row>
    <row r="1318" spans="1:10" ht="18.75" customHeight="1" x14ac:dyDescent="0.25">
      <c r="A1318" s="18"/>
      <c r="B1318" s="18"/>
      <c r="C1318" s="18"/>
      <c r="D1318" s="18"/>
      <c r="E1318" s="18"/>
      <c r="J1318" s="48"/>
    </row>
    <row r="1319" spans="1:10" ht="18.75" customHeight="1" x14ac:dyDescent="0.25">
      <c r="A1319" s="18"/>
      <c r="B1319" s="18"/>
      <c r="C1319" s="18"/>
      <c r="D1319" s="18"/>
      <c r="E1319" s="18"/>
      <c r="J1319" s="48"/>
    </row>
    <row r="1320" spans="1:10" ht="18.75" customHeight="1" x14ac:dyDescent="0.25">
      <c r="A1320" s="18"/>
      <c r="B1320" s="18"/>
      <c r="C1320" s="18"/>
      <c r="D1320" s="18"/>
      <c r="E1320" s="18"/>
      <c r="J1320" s="48"/>
    </row>
    <row r="1321" spans="1:10" ht="18.75" customHeight="1" x14ac:dyDescent="0.25">
      <c r="A1321" s="18"/>
      <c r="B1321" s="18"/>
      <c r="C1321" s="18"/>
      <c r="D1321" s="18"/>
      <c r="E1321" s="18"/>
      <c r="J1321" s="48"/>
    </row>
    <row r="1322" spans="1:10" ht="18.75" customHeight="1" x14ac:dyDescent="0.25">
      <c r="A1322" s="18"/>
      <c r="B1322" s="18"/>
      <c r="C1322" s="18"/>
      <c r="D1322" s="18"/>
      <c r="E1322" s="18"/>
      <c r="J1322" s="48"/>
    </row>
    <row r="1323" spans="1:10" ht="18.75" customHeight="1" x14ac:dyDescent="0.25">
      <c r="A1323" s="18"/>
      <c r="B1323" s="18"/>
      <c r="C1323" s="18"/>
      <c r="D1323" s="18"/>
      <c r="E1323" s="18"/>
      <c r="J1323" s="48"/>
    </row>
    <row r="1324" spans="1:10" ht="18.75" customHeight="1" x14ac:dyDescent="0.25">
      <c r="A1324" s="18"/>
      <c r="B1324" s="18"/>
      <c r="C1324" s="18"/>
      <c r="D1324" s="18"/>
      <c r="E1324" s="18"/>
      <c r="J1324" s="48"/>
    </row>
    <row r="1325" spans="1:10" ht="18.75" customHeight="1" x14ac:dyDescent="0.25">
      <c r="A1325" s="18"/>
      <c r="B1325" s="18"/>
      <c r="C1325" s="18"/>
      <c r="D1325" s="18"/>
      <c r="E1325" s="18"/>
      <c r="J1325" s="48"/>
    </row>
    <row r="1326" spans="1:10" ht="18.75" customHeight="1" x14ac:dyDescent="0.25">
      <c r="A1326" s="18"/>
      <c r="B1326" s="18"/>
      <c r="C1326" s="18"/>
      <c r="D1326" s="18"/>
      <c r="E1326" s="18"/>
      <c r="J1326" s="48"/>
    </row>
    <row r="1327" spans="1:10" ht="18.75" customHeight="1" x14ac:dyDescent="0.25">
      <c r="A1327" s="18"/>
      <c r="B1327" s="18"/>
      <c r="C1327" s="18"/>
      <c r="D1327" s="18"/>
      <c r="E1327" s="18"/>
      <c r="J1327" s="48"/>
    </row>
    <row r="1328" spans="1:10" ht="18.75" customHeight="1" x14ac:dyDescent="0.25">
      <c r="A1328" s="18"/>
      <c r="B1328" s="18"/>
      <c r="C1328" s="18"/>
      <c r="D1328" s="18"/>
      <c r="E1328" s="18"/>
      <c r="J1328" s="48"/>
    </row>
    <row r="1329" spans="1:10" ht="18.75" customHeight="1" x14ac:dyDescent="0.25">
      <c r="A1329" s="18"/>
      <c r="B1329" s="18"/>
      <c r="C1329" s="18"/>
      <c r="D1329" s="18"/>
      <c r="E1329" s="18"/>
      <c r="J1329" s="48"/>
    </row>
    <row r="1330" spans="1:10" ht="18.75" customHeight="1" x14ac:dyDescent="0.25">
      <c r="A1330" s="18"/>
      <c r="B1330" s="18"/>
      <c r="C1330" s="18"/>
      <c r="D1330" s="18"/>
      <c r="E1330" s="18"/>
      <c r="J1330" s="48"/>
    </row>
    <row r="1331" spans="1:10" ht="18.75" customHeight="1" x14ac:dyDescent="0.25">
      <c r="A1331" s="18"/>
      <c r="B1331" s="18"/>
      <c r="C1331" s="18"/>
      <c r="D1331" s="18"/>
      <c r="E1331" s="18"/>
      <c r="J1331" s="48"/>
    </row>
    <row r="1332" spans="1:10" ht="18.75" customHeight="1" x14ac:dyDescent="0.25">
      <c r="A1332" s="18"/>
      <c r="B1332" s="18"/>
      <c r="C1332" s="18"/>
      <c r="D1332" s="18"/>
      <c r="E1332" s="18"/>
      <c r="J1332" s="48"/>
    </row>
    <row r="1333" spans="1:10" ht="18.75" customHeight="1" x14ac:dyDescent="0.25">
      <c r="A1333" s="18"/>
      <c r="B1333" s="18"/>
      <c r="C1333" s="18"/>
      <c r="D1333" s="18"/>
      <c r="E1333" s="18"/>
      <c r="J1333" s="48"/>
    </row>
    <row r="1334" spans="1:10" ht="18.75" customHeight="1" x14ac:dyDescent="0.25">
      <c r="A1334" s="18"/>
      <c r="B1334" s="18"/>
      <c r="C1334" s="18"/>
      <c r="D1334" s="18"/>
      <c r="E1334" s="18"/>
      <c r="J1334" s="48"/>
    </row>
    <row r="1335" spans="1:10" ht="18.75" customHeight="1" x14ac:dyDescent="0.25">
      <c r="A1335" s="18"/>
      <c r="B1335" s="18"/>
      <c r="C1335" s="18"/>
      <c r="D1335" s="18"/>
      <c r="E1335" s="18"/>
      <c r="J1335" s="48"/>
    </row>
    <row r="1336" spans="1:10" ht="18.75" customHeight="1" x14ac:dyDescent="0.25">
      <c r="A1336" s="18"/>
      <c r="B1336" s="18"/>
      <c r="C1336" s="18"/>
      <c r="D1336" s="18"/>
      <c r="E1336" s="18"/>
      <c r="J1336" s="48"/>
    </row>
    <row r="1337" spans="1:10" ht="18.75" customHeight="1" x14ac:dyDescent="0.25">
      <c r="A1337" s="18"/>
      <c r="B1337" s="18"/>
      <c r="C1337" s="18"/>
      <c r="D1337" s="18"/>
      <c r="E1337" s="18"/>
      <c r="J1337" s="48"/>
    </row>
    <row r="1338" spans="1:10" ht="18.75" customHeight="1" x14ac:dyDescent="0.25">
      <c r="A1338" s="18"/>
      <c r="B1338" s="18"/>
      <c r="C1338" s="18"/>
      <c r="D1338" s="18"/>
      <c r="E1338" s="18"/>
      <c r="J1338" s="48"/>
    </row>
    <row r="1339" spans="1:10" ht="18.75" customHeight="1" x14ac:dyDescent="0.25">
      <c r="A1339" s="18"/>
      <c r="B1339" s="18"/>
      <c r="C1339" s="18"/>
      <c r="D1339" s="18"/>
      <c r="E1339" s="18"/>
      <c r="J1339" s="48"/>
    </row>
    <row r="1340" spans="1:10" ht="18.75" customHeight="1" x14ac:dyDescent="0.25">
      <c r="A1340" s="18"/>
      <c r="B1340" s="18"/>
      <c r="C1340" s="18"/>
      <c r="D1340" s="18"/>
      <c r="E1340" s="18"/>
      <c r="J1340" s="48"/>
    </row>
    <row r="1341" spans="1:10" ht="18.75" customHeight="1" x14ac:dyDescent="0.25">
      <c r="A1341" s="18"/>
      <c r="B1341" s="18"/>
      <c r="C1341" s="18"/>
      <c r="D1341" s="18"/>
      <c r="E1341" s="18"/>
      <c r="J1341" s="48"/>
    </row>
    <row r="1342" spans="1:10" ht="18.75" customHeight="1" x14ac:dyDescent="0.25">
      <c r="A1342" s="18"/>
      <c r="B1342" s="18"/>
      <c r="C1342" s="18"/>
      <c r="D1342" s="18"/>
      <c r="E1342" s="18"/>
      <c r="J1342" s="48"/>
    </row>
    <row r="1343" spans="1:10" ht="18.75" customHeight="1" x14ac:dyDescent="0.25">
      <c r="A1343" s="18"/>
      <c r="B1343" s="18"/>
      <c r="C1343" s="18"/>
      <c r="D1343" s="18"/>
      <c r="E1343" s="18"/>
      <c r="J1343" s="48"/>
    </row>
    <row r="1344" spans="1:10" ht="18.75" customHeight="1" x14ac:dyDescent="0.25">
      <c r="A1344" s="18"/>
      <c r="B1344" s="18"/>
      <c r="C1344" s="18"/>
      <c r="D1344" s="18"/>
      <c r="E1344" s="18"/>
      <c r="J1344" s="48"/>
    </row>
    <row r="1345" spans="1:10" ht="18.75" customHeight="1" x14ac:dyDescent="0.25">
      <c r="A1345" s="18"/>
      <c r="B1345" s="18"/>
      <c r="C1345" s="18"/>
      <c r="D1345" s="18"/>
      <c r="E1345" s="18"/>
      <c r="J1345" s="48"/>
    </row>
    <row r="1346" spans="1:10" ht="18.75" customHeight="1" x14ac:dyDescent="0.25">
      <c r="A1346" s="18"/>
      <c r="B1346" s="18"/>
      <c r="C1346" s="18"/>
      <c r="D1346" s="18"/>
      <c r="E1346" s="18"/>
      <c r="J1346" s="48"/>
    </row>
    <row r="1347" spans="1:10" ht="18.75" customHeight="1" x14ac:dyDescent="0.25">
      <c r="A1347" s="18"/>
      <c r="B1347" s="18"/>
      <c r="C1347" s="18"/>
      <c r="D1347" s="18"/>
      <c r="E1347" s="18"/>
      <c r="J1347" s="48"/>
    </row>
    <row r="1348" spans="1:10" ht="18.75" customHeight="1" x14ac:dyDescent="0.25">
      <c r="A1348" s="18"/>
      <c r="B1348" s="18"/>
      <c r="C1348" s="18"/>
      <c r="D1348" s="18"/>
      <c r="E1348" s="18"/>
      <c r="J1348" s="48"/>
    </row>
    <row r="1349" spans="1:10" ht="18.75" customHeight="1" x14ac:dyDescent="0.25">
      <c r="A1349" s="18"/>
      <c r="B1349" s="18"/>
      <c r="C1349" s="18"/>
      <c r="D1349" s="18"/>
      <c r="E1349" s="18"/>
      <c r="J1349" s="48"/>
    </row>
    <row r="1350" spans="1:10" ht="18.75" customHeight="1" x14ac:dyDescent="0.25">
      <c r="A1350" s="18"/>
      <c r="B1350" s="18"/>
      <c r="C1350" s="18"/>
      <c r="D1350" s="18"/>
      <c r="E1350" s="18"/>
      <c r="J1350" s="48"/>
    </row>
    <row r="1351" spans="1:10" ht="18.75" customHeight="1" x14ac:dyDescent="0.25">
      <c r="A1351" s="18"/>
      <c r="B1351" s="18"/>
      <c r="C1351" s="18"/>
      <c r="D1351" s="18"/>
      <c r="E1351" s="18"/>
      <c r="J1351" s="48"/>
    </row>
    <row r="1352" spans="1:10" ht="18.75" customHeight="1" x14ac:dyDescent="0.25">
      <c r="A1352" s="18"/>
      <c r="B1352" s="18"/>
      <c r="C1352" s="18"/>
      <c r="D1352" s="18"/>
      <c r="E1352" s="18"/>
      <c r="J1352" s="48"/>
    </row>
    <row r="1353" spans="1:10" ht="18.75" customHeight="1" x14ac:dyDescent="0.25">
      <c r="A1353" s="18"/>
      <c r="B1353" s="18"/>
      <c r="C1353" s="18"/>
      <c r="D1353" s="18"/>
      <c r="E1353" s="18"/>
      <c r="J1353" s="48"/>
    </row>
    <row r="1354" spans="1:10" ht="18.75" customHeight="1" x14ac:dyDescent="0.25">
      <c r="A1354" s="18"/>
      <c r="B1354" s="18"/>
      <c r="C1354" s="18"/>
      <c r="D1354" s="18"/>
      <c r="E1354" s="18"/>
      <c r="J1354" s="48"/>
    </row>
    <row r="1355" spans="1:10" ht="18.75" customHeight="1" x14ac:dyDescent="0.25">
      <c r="A1355" s="18"/>
      <c r="B1355" s="18"/>
      <c r="C1355" s="18"/>
      <c r="D1355" s="18"/>
      <c r="E1355" s="18"/>
      <c r="J1355" s="48"/>
    </row>
    <row r="1356" spans="1:10" ht="18.75" customHeight="1" x14ac:dyDescent="0.25">
      <c r="A1356" s="18"/>
      <c r="B1356" s="18"/>
      <c r="C1356" s="18"/>
      <c r="D1356" s="18"/>
      <c r="E1356" s="18"/>
      <c r="J1356" s="48"/>
    </row>
    <row r="1357" spans="1:10" ht="18.75" customHeight="1" x14ac:dyDescent="0.25">
      <c r="A1357" s="18"/>
      <c r="B1357" s="18"/>
      <c r="C1357" s="18"/>
      <c r="D1357" s="18"/>
      <c r="E1357" s="18"/>
      <c r="J1357" s="48"/>
    </row>
    <row r="1358" spans="1:10" ht="18.75" customHeight="1" x14ac:dyDescent="0.25">
      <c r="A1358" s="18"/>
      <c r="B1358" s="18"/>
      <c r="C1358" s="18"/>
      <c r="D1358" s="18"/>
      <c r="E1358" s="18"/>
      <c r="J1358" s="48"/>
    </row>
    <row r="1359" spans="1:10" ht="18.75" customHeight="1" x14ac:dyDescent="0.25">
      <c r="A1359" s="18"/>
      <c r="B1359" s="18"/>
      <c r="C1359" s="18"/>
      <c r="D1359" s="18"/>
      <c r="E1359" s="18"/>
      <c r="J1359" s="48"/>
    </row>
    <row r="1360" spans="1:10" ht="18.75" customHeight="1" x14ac:dyDescent="0.25">
      <c r="A1360" s="18"/>
      <c r="B1360" s="18"/>
      <c r="C1360" s="18"/>
      <c r="D1360" s="18"/>
      <c r="E1360" s="18"/>
      <c r="J1360" s="48"/>
    </row>
    <row r="1361" spans="1:10" ht="18.75" customHeight="1" x14ac:dyDescent="0.25">
      <c r="A1361" s="18"/>
      <c r="B1361" s="18"/>
      <c r="C1361" s="18"/>
      <c r="D1361" s="18"/>
      <c r="E1361" s="18"/>
      <c r="J1361" s="48"/>
    </row>
    <row r="1362" spans="1:10" ht="18.75" customHeight="1" x14ac:dyDescent="0.25">
      <c r="A1362" s="18"/>
      <c r="B1362" s="18"/>
      <c r="C1362" s="18"/>
      <c r="D1362" s="18"/>
      <c r="E1362" s="18"/>
      <c r="J1362" s="48"/>
    </row>
    <row r="1363" spans="1:10" ht="18.75" customHeight="1" x14ac:dyDescent="0.25">
      <c r="A1363" s="18"/>
      <c r="B1363" s="18"/>
      <c r="C1363" s="18"/>
      <c r="D1363" s="18"/>
      <c r="E1363" s="18"/>
      <c r="J1363" s="48"/>
    </row>
    <row r="1364" spans="1:10" ht="18.75" customHeight="1" x14ac:dyDescent="0.25">
      <c r="A1364" s="18"/>
      <c r="B1364" s="18"/>
      <c r="C1364" s="18"/>
      <c r="D1364" s="18"/>
      <c r="E1364" s="18"/>
      <c r="J1364" s="48"/>
    </row>
    <row r="1365" spans="1:10" ht="18.75" customHeight="1" x14ac:dyDescent="0.25">
      <c r="A1365" s="18"/>
      <c r="B1365" s="18"/>
      <c r="C1365" s="18"/>
      <c r="D1365" s="18"/>
      <c r="E1365" s="18"/>
      <c r="J1365" s="48"/>
    </row>
    <row r="1366" spans="1:10" ht="18.75" customHeight="1" x14ac:dyDescent="0.25">
      <c r="A1366" s="18"/>
      <c r="B1366" s="18"/>
      <c r="C1366" s="18"/>
      <c r="D1366" s="18"/>
      <c r="E1366" s="18"/>
      <c r="J1366" s="48"/>
    </row>
    <row r="1367" spans="1:10" ht="18.75" customHeight="1" x14ac:dyDescent="0.25">
      <c r="A1367" s="18"/>
      <c r="B1367" s="18"/>
      <c r="C1367" s="18"/>
      <c r="D1367" s="18"/>
      <c r="E1367" s="18"/>
      <c r="J1367" s="48"/>
    </row>
    <row r="1368" spans="1:10" ht="18.75" customHeight="1" x14ac:dyDescent="0.25">
      <c r="A1368" s="18"/>
      <c r="B1368" s="18"/>
      <c r="C1368" s="18"/>
      <c r="D1368" s="18"/>
      <c r="E1368" s="18"/>
      <c r="J1368" s="48"/>
    </row>
    <row r="1369" spans="1:10" ht="18.75" customHeight="1" x14ac:dyDescent="0.25">
      <c r="A1369" s="18"/>
      <c r="B1369" s="18"/>
      <c r="C1369" s="18"/>
      <c r="D1369" s="18"/>
      <c r="E1369" s="18"/>
      <c r="J1369" s="48"/>
    </row>
    <row r="1370" spans="1:10" ht="18.75" customHeight="1" x14ac:dyDescent="0.25">
      <c r="A1370" s="18"/>
      <c r="B1370" s="18"/>
      <c r="C1370" s="18"/>
      <c r="D1370" s="18"/>
      <c r="E1370" s="18"/>
      <c r="J1370" s="48"/>
    </row>
    <row r="1371" spans="1:10" ht="18.75" customHeight="1" x14ac:dyDescent="0.25">
      <c r="A1371" s="18"/>
      <c r="B1371" s="18"/>
      <c r="C1371" s="18"/>
      <c r="D1371" s="18"/>
      <c r="E1371" s="18"/>
      <c r="J1371" s="48"/>
    </row>
    <row r="1372" spans="1:10" ht="18.75" customHeight="1" x14ac:dyDescent="0.25">
      <c r="A1372" s="18"/>
      <c r="B1372" s="18"/>
      <c r="C1372" s="18"/>
      <c r="D1372" s="18"/>
      <c r="E1372" s="18"/>
      <c r="J1372" s="48"/>
    </row>
    <row r="1373" spans="1:10" ht="18.75" customHeight="1" x14ac:dyDescent="0.25">
      <c r="A1373" s="18"/>
      <c r="B1373" s="18"/>
      <c r="C1373" s="18"/>
      <c r="D1373" s="18"/>
      <c r="E1373" s="18"/>
      <c r="J1373" s="48"/>
    </row>
    <row r="1374" spans="1:10" ht="18.75" customHeight="1" x14ac:dyDescent="0.25">
      <c r="A1374" s="18"/>
      <c r="B1374" s="18"/>
      <c r="C1374" s="18"/>
      <c r="D1374" s="18"/>
      <c r="E1374" s="18"/>
      <c r="J1374" s="48"/>
    </row>
    <row r="1375" spans="1:10" ht="18.75" customHeight="1" x14ac:dyDescent="0.25">
      <c r="A1375" s="18"/>
      <c r="B1375" s="18"/>
      <c r="C1375" s="18"/>
      <c r="D1375" s="18"/>
      <c r="E1375" s="18"/>
      <c r="J1375" s="48"/>
    </row>
    <row r="1376" spans="1:10" ht="18.75" customHeight="1" x14ac:dyDescent="0.25">
      <c r="A1376" s="18"/>
      <c r="B1376" s="18"/>
      <c r="C1376" s="18"/>
      <c r="D1376" s="18"/>
      <c r="E1376" s="18"/>
      <c r="J1376" s="48"/>
    </row>
    <row r="1377" spans="1:10" ht="18.75" customHeight="1" x14ac:dyDescent="0.25">
      <c r="A1377" s="18"/>
      <c r="B1377" s="18"/>
      <c r="C1377" s="18"/>
      <c r="D1377" s="18"/>
      <c r="E1377" s="18"/>
      <c r="J1377" s="48"/>
    </row>
    <row r="1378" spans="1:10" ht="18.75" customHeight="1" x14ac:dyDescent="0.25">
      <c r="A1378" s="18"/>
      <c r="B1378" s="18"/>
      <c r="C1378" s="18"/>
      <c r="D1378" s="18"/>
      <c r="E1378" s="18"/>
      <c r="J1378" s="48"/>
    </row>
    <row r="1379" spans="1:10" ht="18.75" customHeight="1" x14ac:dyDescent="0.25">
      <c r="A1379" s="18"/>
      <c r="B1379" s="18"/>
      <c r="C1379" s="18"/>
      <c r="D1379" s="18"/>
      <c r="E1379" s="18"/>
      <c r="J1379" s="48"/>
    </row>
    <row r="1380" spans="1:10" ht="18.75" customHeight="1" x14ac:dyDescent="0.25">
      <c r="A1380" s="18"/>
      <c r="B1380" s="18"/>
      <c r="C1380" s="18"/>
      <c r="D1380" s="18"/>
      <c r="E1380" s="18"/>
      <c r="J1380" s="48"/>
    </row>
    <row r="1381" spans="1:10" ht="18.75" customHeight="1" x14ac:dyDescent="0.25">
      <c r="A1381" s="18"/>
      <c r="B1381" s="18"/>
      <c r="C1381" s="18"/>
      <c r="D1381" s="18"/>
      <c r="E1381" s="18"/>
      <c r="J1381" s="48"/>
    </row>
    <row r="1382" spans="1:10" ht="18.75" customHeight="1" x14ac:dyDescent="0.25">
      <c r="A1382" s="18"/>
      <c r="B1382" s="18"/>
      <c r="C1382" s="18"/>
      <c r="D1382" s="18"/>
      <c r="E1382" s="18"/>
      <c r="J1382" s="48"/>
    </row>
    <row r="1383" spans="1:10" ht="18.75" customHeight="1" x14ac:dyDescent="0.25">
      <c r="A1383" s="18"/>
      <c r="B1383" s="18"/>
      <c r="C1383" s="18"/>
      <c r="D1383" s="18"/>
      <c r="E1383" s="18"/>
      <c r="J1383" s="48"/>
    </row>
    <row r="1384" spans="1:10" ht="18.75" customHeight="1" x14ac:dyDescent="0.25">
      <c r="A1384" s="18"/>
      <c r="B1384" s="18"/>
      <c r="C1384" s="18"/>
      <c r="D1384" s="18"/>
      <c r="E1384" s="18"/>
      <c r="J1384" s="48"/>
    </row>
    <row r="1385" spans="1:10" ht="18.75" customHeight="1" x14ac:dyDescent="0.25">
      <c r="A1385" s="18"/>
      <c r="B1385" s="18"/>
      <c r="C1385" s="18"/>
      <c r="D1385" s="18"/>
      <c r="E1385" s="18"/>
      <c r="J1385" s="48"/>
    </row>
    <row r="1386" spans="1:10" ht="18.75" customHeight="1" x14ac:dyDescent="0.25">
      <c r="A1386" s="18"/>
      <c r="B1386" s="18"/>
      <c r="C1386" s="18"/>
      <c r="D1386" s="18"/>
      <c r="E1386" s="18"/>
      <c r="J1386" s="48"/>
    </row>
    <row r="1387" spans="1:10" ht="18.75" customHeight="1" x14ac:dyDescent="0.25">
      <c r="A1387" s="18"/>
      <c r="B1387" s="18"/>
      <c r="C1387" s="18"/>
      <c r="D1387" s="18"/>
      <c r="E1387" s="18"/>
      <c r="J1387" s="48"/>
    </row>
    <row r="1388" spans="1:10" ht="18.75" customHeight="1" x14ac:dyDescent="0.25">
      <c r="A1388" s="18"/>
      <c r="B1388" s="18"/>
      <c r="C1388" s="18"/>
      <c r="D1388" s="18"/>
      <c r="E1388" s="18"/>
      <c r="J1388" s="48"/>
    </row>
    <row r="1389" spans="1:10" ht="18.75" customHeight="1" x14ac:dyDescent="0.25">
      <c r="A1389" s="18"/>
      <c r="B1389" s="18"/>
      <c r="C1389" s="18"/>
      <c r="D1389" s="18"/>
      <c r="E1389" s="18"/>
      <c r="J1389" s="48"/>
    </row>
    <row r="1390" spans="1:10" ht="18.75" customHeight="1" x14ac:dyDescent="0.25">
      <c r="A1390" s="18"/>
      <c r="B1390" s="18"/>
      <c r="C1390" s="18"/>
      <c r="D1390" s="18"/>
      <c r="E1390" s="18"/>
      <c r="J1390" s="48"/>
    </row>
    <row r="1391" spans="1:10" ht="18.75" customHeight="1" x14ac:dyDescent="0.25">
      <c r="A1391" s="18"/>
      <c r="B1391" s="18"/>
      <c r="C1391" s="18"/>
      <c r="D1391" s="18"/>
      <c r="E1391" s="18"/>
      <c r="J1391" s="48"/>
    </row>
    <row r="1392" spans="1:10" ht="18.75" customHeight="1" x14ac:dyDescent="0.25">
      <c r="A1392" s="18"/>
      <c r="B1392" s="18"/>
      <c r="C1392" s="18"/>
      <c r="D1392" s="18"/>
      <c r="E1392" s="18"/>
      <c r="J1392" s="48"/>
    </row>
    <row r="1393" spans="1:10" ht="18.75" customHeight="1" x14ac:dyDescent="0.25">
      <c r="A1393" s="18"/>
      <c r="B1393" s="18"/>
      <c r="C1393" s="18"/>
      <c r="D1393" s="18"/>
      <c r="E1393" s="18"/>
      <c r="J1393" s="48"/>
    </row>
    <row r="1394" spans="1:10" ht="18.75" customHeight="1" x14ac:dyDescent="0.25">
      <c r="A1394" s="18"/>
      <c r="B1394" s="18"/>
      <c r="C1394" s="18"/>
      <c r="D1394" s="18"/>
      <c r="E1394" s="18"/>
      <c r="J1394" s="48"/>
    </row>
    <row r="1395" spans="1:10" ht="18.75" customHeight="1" x14ac:dyDescent="0.25">
      <c r="A1395" s="18"/>
      <c r="B1395" s="18"/>
      <c r="C1395" s="18"/>
      <c r="D1395" s="18"/>
      <c r="E1395" s="18"/>
      <c r="J1395" s="48"/>
    </row>
    <row r="1396" spans="1:10" ht="18.75" customHeight="1" x14ac:dyDescent="0.25">
      <c r="A1396" s="18"/>
      <c r="B1396" s="18"/>
      <c r="C1396" s="18"/>
      <c r="D1396" s="18"/>
      <c r="E1396" s="18"/>
      <c r="J1396" s="48"/>
    </row>
    <row r="1397" spans="1:10" ht="18.75" customHeight="1" x14ac:dyDescent="0.25">
      <c r="A1397" s="18"/>
      <c r="B1397" s="18"/>
      <c r="C1397" s="18"/>
      <c r="D1397" s="18"/>
      <c r="E1397" s="18"/>
      <c r="J1397" s="48"/>
    </row>
    <row r="1398" spans="1:10" ht="18.75" customHeight="1" x14ac:dyDescent="0.25">
      <c r="A1398" s="18"/>
      <c r="B1398" s="18"/>
      <c r="C1398" s="18"/>
      <c r="D1398" s="18"/>
      <c r="E1398" s="18"/>
      <c r="J1398" s="48"/>
    </row>
    <row r="1399" spans="1:10" ht="18.75" customHeight="1" x14ac:dyDescent="0.25">
      <c r="A1399" s="18"/>
      <c r="B1399" s="18"/>
      <c r="C1399" s="18"/>
      <c r="D1399" s="18"/>
      <c r="E1399" s="18"/>
      <c r="J1399" s="48"/>
    </row>
    <row r="1400" spans="1:10" ht="18.75" customHeight="1" x14ac:dyDescent="0.25">
      <c r="A1400" s="18"/>
      <c r="B1400" s="18"/>
      <c r="C1400" s="18"/>
      <c r="D1400" s="18"/>
      <c r="E1400" s="18"/>
      <c r="J1400" s="48"/>
    </row>
    <row r="1401" spans="1:10" ht="18.75" customHeight="1" x14ac:dyDescent="0.25">
      <c r="A1401" s="18"/>
      <c r="B1401" s="18"/>
      <c r="C1401" s="18"/>
      <c r="D1401" s="18"/>
      <c r="E1401" s="18"/>
      <c r="J1401" s="48"/>
    </row>
    <row r="1402" spans="1:10" ht="18.75" customHeight="1" x14ac:dyDescent="0.25">
      <c r="A1402" s="18"/>
      <c r="B1402" s="18"/>
      <c r="C1402" s="18"/>
      <c r="D1402" s="18"/>
      <c r="E1402" s="18"/>
      <c r="J1402" s="48"/>
    </row>
    <row r="1403" spans="1:10" ht="18.75" customHeight="1" x14ac:dyDescent="0.25">
      <c r="A1403" s="18"/>
      <c r="B1403" s="18"/>
      <c r="C1403" s="18"/>
      <c r="D1403" s="18"/>
      <c r="E1403" s="18"/>
      <c r="J1403" s="48"/>
    </row>
    <row r="1404" spans="1:10" ht="18.75" customHeight="1" x14ac:dyDescent="0.25">
      <c r="A1404" s="18"/>
      <c r="B1404" s="18"/>
      <c r="C1404" s="18"/>
      <c r="D1404" s="18"/>
      <c r="E1404" s="18"/>
      <c r="J1404" s="48"/>
    </row>
    <row r="1405" spans="1:10" ht="18.75" customHeight="1" x14ac:dyDescent="0.25">
      <c r="A1405" s="18"/>
      <c r="B1405" s="18"/>
      <c r="C1405" s="18"/>
      <c r="D1405" s="18"/>
      <c r="E1405" s="18"/>
      <c r="J1405" s="48"/>
    </row>
    <row r="1406" spans="1:10" ht="18.75" customHeight="1" x14ac:dyDescent="0.25">
      <c r="A1406" s="18"/>
      <c r="B1406" s="18"/>
      <c r="C1406" s="18"/>
      <c r="D1406" s="18"/>
      <c r="E1406" s="18"/>
      <c r="J1406" s="48"/>
    </row>
    <row r="1407" spans="1:10" ht="18.75" customHeight="1" x14ac:dyDescent="0.25">
      <c r="A1407" s="18"/>
      <c r="B1407" s="18"/>
      <c r="C1407" s="18"/>
      <c r="D1407" s="18"/>
      <c r="E1407" s="18"/>
      <c r="J1407" s="48"/>
    </row>
    <row r="1408" spans="1:10" ht="18.75" customHeight="1" x14ac:dyDescent="0.25">
      <c r="A1408" s="18"/>
      <c r="B1408" s="18"/>
      <c r="C1408" s="18"/>
      <c r="D1408" s="18"/>
      <c r="E1408" s="18"/>
      <c r="J1408" s="48"/>
    </row>
    <row r="1409" spans="1:10" ht="18.75" customHeight="1" x14ac:dyDescent="0.25">
      <c r="A1409" s="18"/>
      <c r="B1409" s="18"/>
      <c r="C1409" s="18"/>
      <c r="D1409" s="18"/>
      <c r="E1409" s="18"/>
      <c r="J1409" s="48"/>
    </row>
    <row r="1410" spans="1:10" ht="18.75" customHeight="1" x14ac:dyDescent="0.25">
      <c r="A1410" s="18"/>
      <c r="B1410" s="18"/>
      <c r="C1410" s="18"/>
      <c r="D1410" s="18"/>
      <c r="E1410" s="18"/>
      <c r="J1410" s="48"/>
    </row>
    <row r="1411" spans="1:10" ht="18.75" customHeight="1" x14ac:dyDescent="0.25">
      <c r="A1411" s="18"/>
      <c r="B1411" s="18"/>
      <c r="C1411" s="18"/>
      <c r="D1411" s="18"/>
      <c r="E1411" s="18"/>
      <c r="J1411" s="48"/>
    </row>
    <row r="1412" spans="1:10" ht="18.75" customHeight="1" x14ac:dyDescent="0.25">
      <c r="A1412" s="18"/>
      <c r="B1412" s="18"/>
      <c r="C1412" s="18"/>
      <c r="D1412" s="18"/>
      <c r="E1412" s="18"/>
      <c r="J1412" s="48"/>
    </row>
    <row r="1413" spans="1:10" ht="18.75" customHeight="1" x14ac:dyDescent="0.25">
      <c r="A1413" s="18"/>
      <c r="B1413" s="18"/>
      <c r="C1413" s="18"/>
      <c r="D1413" s="18"/>
      <c r="E1413" s="18"/>
      <c r="J1413" s="48"/>
    </row>
    <row r="1414" spans="1:10" ht="18.75" customHeight="1" x14ac:dyDescent="0.25">
      <c r="A1414" s="18"/>
      <c r="B1414" s="18"/>
      <c r="C1414" s="18"/>
      <c r="D1414" s="18"/>
      <c r="E1414" s="18"/>
      <c r="J1414" s="48"/>
    </row>
    <row r="1415" spans="1:10" ht="18.75" customHeight="1" x14ac:dyDescent="0.25">
      <c r="A1415" s="18"/>
      <c r="B1415" s="18"/>
      <c r="C1415" s="18"/>
      <c r="D1415" s="18"/>
      <c r="E1415" s="18"/>
      <c r="J1415" s="48"/>
    </row>
    <row r="1416" spans="1:10" ht="18.75" customHeight="1" x14ac:dyDescent="0.25">
      <c r="A1416" s="18"/>
      <c r="B1416" s="18"/>
      <c r="C1416" s="18"/>
      <c r="D1416" s="18"/>
      <c r="E1416" s="18"/>
      <c r="J1416" s="48"/>
    </row>
    <row r="1417" spans="1:10" ht="18.75" customHeight="1" x14ac:dyDescent="0.25">
      <c r="A1417" s="18"/>
      <c r="B1417" s="18"/>
      <c r="C1417" s="18"/>
      <c r="D1417" s="18"/>
      <c r="E1417" s="18"/>
      <c r="J1417" s="48"/>
    </row>
    <row r="1418" spans="1:10" ht="18.75" customHeight="1" x14ac:dyDescent="0.25">
      <c r="A1418" s="18"/>
      <c r="B1418" s="18"/>
      <c r="C1418" s="18"/>
      <c r="D1418" s="18"/>
      <c r="E1418" s="18"/>
      <c r="J1418" s="48"/>
    </row>
    <row r="1419" spans="1:10" ht="18.75" customHeight="1" x14ac:dyDescent="0.25">
      <c r="A1419" s="18"/>
      <c r="B1419" s="18"/>
      <c r="C1419" s="18"/>
      <c r="D1419" s="18"/>
      <c r="E1419" s="18"/>
      <c r="J1419" s="48"/>
    </row>
    <row r="1420" spans="1:10" ht="18.75" customHeight="1" x14ac:dyDescent="0.25">
      <c r="A1420" s="18"/>
      <c r="B1420" s="18"/>
      <c r="C1420" s="18"/>
      <c r="D1420" s="18"/>
      <c r="E1420" s="18"/>
      <c r="J1420" s="48"/>
    </row>
    <row r="1421" spans="1:10" ht="18.75" customHeight="1" x14ac:dyDescent="0.25">
      <c r="A1421" s="18"/>
      <c r="B1421" s="18"/>
      <c r="C1421" s="18"/>
      <c r="D1421" s="18"/>
      <c r="E1421" s="18"/>
      <c r="J1421" s="48"/>
    </row>
    <row r="1422" spans="1:10" ht="18.75" customHeight="1" x14ac:dyDescent="0.25">
      <c r="A1422" s="18"/>
      <c r="B1422" s="18"/>
      <c r="C1422" s="18"/>
      <c r="D1422" s="18"/>
      <c r="E1422" s="18"/>
      <c r="J1422" s="48"/>
    </row>
    <row r="1423" spans="1:10" ht="18.75" customHeight="1" x14ac:dyDescent="0.25">
      <c r="A1423" s="18"/>
      <c r="B1423" s="18"/>
      <c r="C1423" s="18"/>
      <c r="D1423" s="18"/>
      <c r="E1423" s="18"/>
      <c r="J1423" s="48"/>
    </row>
    <row r="1424" spans="1:10" ht="18.75" customHeight="1" x14ac:dyDescent="0.25">
      <c r="A1424" s="18"/>
      <c r="B1424" s="18"/>
      <c r="C1424" s="18"/>
      <c r="D1424" s="18"/>
      <c r="E1424" s="18"/>
      <c r="J1424" s="48"/>
    </row>
    <row r="1425" spans="1:10" ht="18.75" customHeight="1" x14ac:dyDescent="0.25">
      <c r="A1425" s="18"/>
      <c r="B1425" s="18"/>
      <c r="C1425" s="18"/>
      <c r="D1425" s="18"/>
      <c r="E1425" s="18"/>
      <c r="J1425" s="48"/>
    </row>
    <row r="1426" spans="1:10" ht="18.75" customHeight="1" x14ac:dyDescent="0.25">
      <c r="A1426" s="18"/>
      <c r="B1426" s="18"/>
      <c r="C1426" s="18"/>
      <c r="D1426" s="18"/>
      <c r="E1426" s="18"/>
      <c r="J1426" s="48"/>
    </row>
    <row r="1427" spans="1:10" ht="18.75" customHeight="1" x14ac:dyDescent="0.25">
      <c r="A1427" s="18"/>
      <c r="B1427" s="18"/>
      <c r="C1427" s="18"/>
      <c r="D1427" s="18"/>
      <c r="E1427" s="18"/>
      <c r="J1427" s="48"/>
    </row>
    <row r="1428" spans="1:10" ht="18.75" customHeight="1" x14ac:dyDescent="0.25">
      <c r="A1428" s="18"/>
      <c r="B1428" s="18"/>
      <c r="C1428" s="18"/>
      <c r="D1428" s="18"/>
      <c r="E1428" s="18"/>
      <c r="J1428" s="48"/>
    </row>
    <row r="1429" spans="1:10" ht="18.75" customHeight="1" x14ac:dyDescent="0.25">
      <c r="A1429" s="18"/>
      <c r="B1429" s="18"/>
      <c r="C1429" s="18"/>
      <c r="D1429" s="18"/>
      <c r="E1429" s="18"/>
      <c r="J1429" s="48"/>
    </row>
    <row r="1430" spans="1:10" ht="18.75" customHeight="1" x14ac:dyDescent="0.25">
      <c r="A1430" s="18"/>
      <c r="B1430" s="18"/>
      <c r="C1430" s="18"/>
      <c r="D1430" s="18"/>
      <c r="E1430" s="18"/>
      <c r="J1430" s="48"/>
    </row>
    <row r="1431" spans="1:10" ht="18.75" customHeight="1" x14ac:dyDescent="0.25">
      <c r="A1431" s="18"/>
      <c r="B1431" s="18"/>
      <c r="C1431" s="18"/>
      <c r="D1431" s="18"/>
      <c r="E1431" s="18"/>
      <c r="J1431" s="48"/>
    </row>
    <row r="1432" spans="1:10" ht="18.75" customHeight="1" x14ac:dyDescent="0.25">
      <c r="A1432" s="18"/>
      <c r="B1432" s="18"/>
      <c r="C1432" s="18"/>
      <c r="D1432" s="18"/>
      <c r="E1432" s="18"/>
      <c r="J1432" s="48"/>
    </row>
    <row r="1433" spans="1:10" ht="18.75" customHeight="1" x14ac:dyDescent="0.25">
      <c r="A1433" s="18"/>
      <c r="B1433" s="18"/>
      <c r="C1433" s="18"/>
      <c r="D1433" s="18"/>
      <c r="E1433" s="18"/>
      <c r="J1433" s="48"/>
    </row>
    <row r="1434" spans="1:10" ht="18.75" customHeight="1" x14ac:dyDescent="0.25">
      <c r="A1434" s="18"/>
      <c r="B1434" s="18"/>
      <c r="C1434" s="18"/>
      <c r="D1434" s="18"/>
      <c r="E1434" s="18"/>
      <c r="J1434" s="48"/>
    </row>
    <row r="1435" spans="1:10" ht="18.75" customHeight="1" x14ac:dyDescent="0.25">
      <c r="A1435" s="18"/>
      <c r="B1435" s="18"/>
      <c r="C1435" s="18"/>
      <c r="D1435" s="18"/>
      <c r="E1435" s="18"/>
      <c r="J1435" s="48"/>
    </row>
    <row r="1436" spans="1:10" ht="18.75" customHeight="1" x14ac:dyDescent="0.25">
      <c r="A1436" s="18"/>
      <c r="B1436" s="18"/>
      <c r="C1436" s="18"/>
      <c r="D1436" s="18"/>
      <c r="E1436" s="18"/>
      <c r="J1436" s="48"/>
    </row>
    <row r="1437" spans="1:10" ht="18.75" customHeight="1" x14ac:dyDescent="0.25">
      <c r="A1437" s="18"/>
      <c r="B1437" s="18"/>
      <c r="C1437" s="18"/>
      <c r="D1437" s="18"/>
      <c r="E1437" s="18"/>
      <c r="J1437" s="48"/>
    </row>
    <row r="1438" spans="1:10" ht="18.75" customHeight="1" x14ac:dyDescent="0.25">
      <c r="A1438" s="18"/>
      <c r="B1438" s="18"/>
      <c r="C1438" s="18"/>
      <c r="D1438" s="18"/>
      <c r="E1438" s="18"/>
      <c r="J1438" s="48"/>
    </row>
    <row r="1439" spans="1:10" ht="18.75" customHeight="1" x14ac:dyDescent="0.25">
      <c r="A1439" s="18"/>
      <c r="B1439" s="18"/>
      <c r="C1439" s="18"/>
      <c r="D1439" s="18"/>
      <c r="E1439" s="18"/>
      <c r="J1439" s="48"/>
    </row>
    <row r="1440" spans="1:10" ht="18.75" customHeight="1" x14ac:dyDescent="0.25">
      <c r="A1440" s="18"/>
      <c r="B1440" s="18"/>
      <c r="C1440" s="18"/>
      <c r="D1440" s="18"/>
      <c r="E1440" s="18"/>
      <c r="J1440" s="48"/>
    </row>
    <row r="1441" spans="1:10" ht="18.75" customHeight="1" x14ac:dyDescent="0.25">
      <c r="A1441" s="18"/>
      <c r="B1441" s="18"/>
      <c r="C1441" s="18"/>
      <c r="D1441" s="18"/>
      <c r="E1441" s="18"/>
      <c r="J1441" s="48"/>
    </row>
    <row r="1442" spans="1:10" ht="18.75" customHeight="1" x14ac:dyDescent="0.25">
      <c r="A1442" s="18"/>
      <c r="B1442" s="18"/>
      <c r="C1442" s="18"/>
      <c r="D1442" s="18"/>
      <c r="E1442" s="18"/>
      <c r="J1442" s="48"/>
    </row>
    <row r="1443" spans="1:10" ht="18.75" customHeight="1" x14ac:dyDescent="0.25">
      <c r="A1443" s="18"/>
      <c r="B1443" s="18"/>
      <c r="C1443" s="18"/>
      <c r="D1443" s="18"/>
      <c r="E1443" s="18"/>
      <c r="J1443" s="48"/>
    </row>
    <row r="1444" spans="1:10" ht="18.75" customHeight="1" x14ac:dyDescent="0.25">
      <c r="A1444" s="18"/>
      <c r="B1444" s="18"/>
      <c r="C1444" s="18"/>
      <c r="D1444" s="18"/>
      <c r="E1444" s="18"/>
      <c r="J1444" s="48"/>
    </row>
    <row r="1445" spans="1:10" ht="18.75" customHeight="1" x14ac:dyDescent="0.25">
      <c r="A1445" s="18"/>
      <c r="B1445" s="18"/>
      <c r="C1445" s="18"/>
      <c r="D1445" s="18"/>
      <c r="E1445" s="18"/>
      <c r="J1445" s="48"/>
    </row>
    <row r="1446" spans="1:10" ht="18.75" customHeight="1" x14ac:dyDescent="0.25">
      <c r="A1446" s="18"/>
      <c r="B1446" s="18"/>
      <c r="C1446" s="18"/>
      <c r="D1446" s="18"/>
      <c r="E1446" s="18"/>
      <c r="J1446" s="48"/>
    </row>
    <row r="1447" spans="1:10" ht="18.75" customHeight="1" x14ac:dyDescent="0.25">
      <c r="A1447" s="18"/>
      <c r="B1447" s="18"/>
      <c r="C1447" s="18"/>
      <c r="D1447" s="18"/>
      <c r="E1447" s="18"/>
      <c r="J1447" s="48"/>
    </row>
    <row r="1448" spans="1:10" ht="18.75" customHeight="1" x14ac:dyDescent="0.25">
      <c r="A1448" s="18"/>
      <c r="B1448" s="18"/>
      <c r="C1448" s="18"/>
      <c r="D1448" s="18"/>
      <c r="E1448" s="18"/>
      <c r="J1448" s="48"/>
    </row>
    <row r="1449" spans="1:10" ht="18.75" customHeight="1" x14ac:dyDescent="0.25">
      <c r="A1449" s="18"/>
      <c r="B1449" s="18"/>
      <c r="C1449" s="18"/>
      <c r="D1449" s="18"/>
      <c r="E1449" s="18"/>
      <c r="J1449" s="48"/>
    </row>
    <row r="1450" spans="1:10" ht="18.75" customHeight="1" x14ac:dyDescent="0.25">
      <c r="A1450" s="18"/>
      <c r="B1450" s="18"/>
      <c r="C1450" s="18"/>
      <c r="D1450" s="18"/>
      <c r="E1450" s="18"/>
      <c r="J1450" s="48"/>
    </row>
    <row r="1451" spans="1:10" ht="18.75" customHeight="1" x14ac:dyDescent="0.25">
      <c r="A1451" s="18"/>
      <c r="B1451" s="18"/>
      <c r="C1451" s="18"/>
      <c r="D1451" s="18"/>
      <c r="E1451" s="18"/>
      <c r="J1451" s="48"/>
    </row>
    <row r="1452" spans="1:10" ht="18.75" customHeight="1" x14ac:dyDescent="0.25">
      <c r="A1452" s="18"/>
      <c r="B1452" s="18"/>
      <c r="C1452" s="18"/>
      <c r="D1452" s="18"/>
      <c r="E1452" s="18"/>
      <c r="J1452" s="48"/>
    </row>
    <row r="1453" spans="1:10" ht="18.75" customHeight="1" x14ac:dyDescent="0.25">
      <c r="A1453" s="18"/>
      <c r="B1453" s="18"/>
      <c r="C1453" s="18"/>
      <c r="D1453" s="18"/>
      <c r="E1453" s="18"/>
      <c r="J1453" s="48"/>
    </row>
    <row r="1454" spans="1:10" ht="18.75" customHeight="1" x14ac:dyDescent="0.25">
      <c r="A1454" s="18"/>
      <c r="B1454" s="18"/>
      <c r="C1454" s="18"/>
      <c r="D1454" s="18"/>
      <c r="E1454" s="18"/>
      <c r="J1454" s="48"/>
    </row>
    <row r="1455" spans="1:10" ht="18.75" customHeight="1" x14ac:dyDescent="0.25">
      <c r="A1455" s="18"/>
      <c r="B1455" s="18"/>
      <c r="C1455" s="18"/>
      <c r="D1455" s="18"/>
      <c r="E1455" s="18"/>
      <c r="J1455" s="48"/>
    </row>
    <row r="1456" spans="1:10" ht="18.75" customHeight="1" x14ac:dyDescent="0.25">
      <c r="A1456" s="18"/>
      <c r="B1456" s="18"/>
      <c r="C1456" s="18"/>
      <c r="D1456" s="18"/>
      <c r="E1456" s="18"/>
      <c r="J1456" s="48"/>
    </row>
    <row r="1457" spans="1:10" ht="18.75" customHeight="1" x14ac:dyDescent="0.25">
      <c r="A1457" s="18"/>
      <c r="B1457" s="18"/>
      <c r="C1457" s="18"/>
      <c r="D1457" s="18"/>
      <c r="E1457" s="18"/>
      <c r="J1457" s="48"/>
    </row>
    <row r="1458" spans="1:10" ht="18.75" customHeight="1" x14ac:dyDescent="0.25">
      <c r="J1458" s="48"/>
    </row>
    <row r="1459" spans="1:10" ht="18.75" customHeight="1" x14ac:dyDescent="0.25">
      <c r="J1459" s="48"/>
    </row>
    <row r="1460" spans="1:10" ht="18.75" customHeight="1" x14ac:dyDescent="0.25">
      <c r="J1460" s="48"/>
    </row>
    <row r="1461" spans="1:10" ht="18.75" customHeight="1" x14ac:dyDescent="0.25">
      <c r="J1461" s="48"/>
    </row>
    <row r="1462" spans="1:10" ht="18.75" customHeight="1" x14ac:dyDescent="0.25">
      <c r="J1462" s="48"/>
    </row>
    <row r="1463" spans="1:10" ht="18.75" customHeight="1" x14ac:dyDescent="0.25">
      <c r="J1463" s="48"/>
    </row>
    <row r="1464" spans="1:10" ht="18.75" customHeight="1" x14ac:dyDescent="0.25">
      <c r="J1464" s="48"/>
    </row>
    <row r="1465" spans="1:10" ht="18.75" customHeight="1" x14ac:dyDescent="0.25">
      <c r="J1465" s="48"/>
    </row>
    <row r="1466" spans="1:10" ht="18.75" customHeight="1" x14ac:dyDescent="0.25">
      <c r="J1466" s="48"/>
    </row>
    <row r="1467" spans="1:10" ht="18.75" customHeight="1" x14ac:dyDescent="0.25">
      <c r="J1467" s="48"/>
    </row>
    <row r="1468" spans="1:10" ht="18.75" customHeight="1" x14ac:dyDescent="0.25">
      <c r="J1468" s="48"/>
    </row>
    <row r="1469" spans="1:10" ht="18.75" customHeight="1" x14ac:dyDescent="0.25">
      <c r="J1469" s="48"/>
    </row>
    <row r="1470" spans="1:10" ht="18.75" customHeight="1" x14ac:dyDescent="0.25">
      <c r="J1470" s="48"/>
    </row>
    <row r="1471" spans="1:10" ht="18.75" customHeight="1" x14ac:dyDescent="0.25">
      <c r="J1471" s="48"/>
    </row>
    <row r="1472" spans="1:10" ht="18.75" customHeight="1" x14ac:dyDescent="0.25">
      <c r="J1472" s="48"/>
    </row>
    <row r="1473" spans="10:10" ht="18.75" customHeight="1" x14ac:dyDescent="0.25">
      <c r="J1473" s="48"/>
    </row>
    <row r="1474" spans="10:10" ht="18.75" customHeight="1" x14ac:dyDescent="0.25">
      <c r="J1474" s="48"/>
    </row>
    <row r="1475" spans="10:10" ht="18.75" customHeight="1" x14ac:dyDescent="0.25">
      <c r="J1475" s="48"/>
    </row>
    <row r="1476" spans="10:10" ht="18.75" customHeight="1" x14ac:dyDescent="0.25">
      <c r="J1476" s="48"/>
    </row>
    <row r="1477" spans="10:10" ht="18.75" customHeight="1" x14ac:dyDescent="0.25">
      <c r="J1477" s="48"/>
    </row>
    <row r="1478" spans="10:10" ht="18.75" customHeight="1" x14ac:dyDescent="0.25">
      <c r="J1478" s="48"/>
    </row>
    <row r="1479" spans="10:10" ht="18.75" customHeight="1" x14ac:dyDescent="0.25">
      <c r="J1479" s="48"/>
    </row>
    <row r="1480" spans="10:10" ht="18.75" customHeight="1" x14ac:dyDescent="0.25">
      <c r="J1480" s="48"/>
    </row>
    <row r="1481" spans="10:10" ht="18.75" customHeight="1" x14ac:dyDescent="0.25">
      <c r="J1481" s="48"/>
    </row>
    <row r="1482" spans="10:10" ht="18.75" customHeight="1" x14ac:dyDescent="0.25">
      <c r="J1482" s="48"/>
    </row>
    <row r="1483" spans="10:10" ht="18.75" customHeight="1" x14ac:dyDescent="0.25">
      <c r="J1483" s="48"/>
    </row>
    <row r="1484" spans="10:10" ht="18.75" customHeight="1" x14ac:dyDescent="0.25">
      <c r="J1484" s="48"/>
    </row>
    <row r="1485" spans="10:10" ht="18.75" customHeight="1" x14ac:dyDescent="0.25">
      <c r="J1485" s="48"/>
    </row>
    <row r="1486" spans="10:10" ht="18.75" customHeight="1" x14ac:dyDescent="0.25">
      <c r="J1486" s="48"/>
    </row>
    <row r="1487" spans="10:10" ht="18.75" customHeight="1" x14ac:dyDescent="0.25">
      <c r="J1487" s="48"/>
    </row>
    <row r="1488" spans="10:10" ht="18.75" customHeight="1" x14ac:dyDescent="0.25">
      <c r="J1488" s="48"/>
    </row>
    <row r="1489" spans="10:10" ht="18.75" customHeight="1" x14ac:dyDescent="0.25">
      <c r="J1489" s="48"/>
    </row>
    <row r="1490" spans="10:10" ht="18.75" customHeight="1" x14ac:dyDescent="0.25">
      <c r="J1490" s="48"/>
    </row>
    <row r="1491" spans="10:10" ht="18.75" customHeight="1" x14ac:dyDescent="0.25">
      <c r="J1491" s="48"/>
    </row>
    <row r="1492" spans="10:10" ht="18.75" customHeight="1" x14ac:dyDescent="0.25">
      <c r="J1492" s="48"/>
    </row>
    <row r="1493" spans="10:10" ht="18.75" customHeight="1" x14ac:dyDescent="0.25">
      <c r="J1493" s="48"/>
    </row>
    <row r="1494" spans="10:10" ht="18.75" customHeight="1" x14ac:dyDescent="0.25">
      <c r="J1494" s="48"/>
    </row>
    <row r="1495" spans="10:10" ht="18.75" customHeight="1" x14ac:dyDescent="0.25">
      <c r="J1495" s="48"/>
    </row>
    <row r="1496" spans="10:10" ht="18.75" customHeight="1" x14ac:dyDescent="0.25">
      <c r="J1496" s="48"/>
    </row>
    <row r="1497" spans="10:10" ht="18.75" customHeight="1" x14ac:dyDescent="0.25">
      <c r="J1497" s="48"/>
    </row>
    <row r="1498" spans="10:10" ht="18.75" customHeight="1" x14ac:dyDescent="0.25">
      <c r="J1498" s="48"/>
    </row>
    <row r="1499" spans="10:10" ht="18.75" customHeight="1" x14ac:dyDescent="0.25">
      <c r="J1499" s="48"/>
    </row>
    <row r="1500" spans="10:10" ht="18.75" customHeight="1" x14ac:dyDescent="0.25">
      <c r="J1500" s="48"/>
    </row>
    <row r="1501" spans="10:10" ht="18.75" customHeight="1" x14ac:dyDescent="0.25">
      <c r="J1501" s="48"/>
    </row>
    <row r="1502" spans="10:10" ht="18.75" customHeight="1" x14ac:dyDescent="0.25">
      <c r="J1502" s="48"/>
    </row>
    <row r="1503" spans="10:10" ht="18.75" customHeight="1" x14ac:dyDescent="0.25">
      <c r="J1503" s="48"/>
    </row>
    <row r="1504" spans="10:10" ht="18.75" customHeight="1" x14ac:dyDescent="0.25">
      <c r="J1504" s="48"/>
    </row>
    <row r="1505" spans="10:10" ht="18.75" customHeight="1" x14ac:dyDescent="0.25">
      <c r="J1505" s="48"/>
    </row>
    <row r="1506" spans="10:10" ht="18.75" customHeight="1" x14ac:dyDescent="0.25">
      <c r="J1506" s="48"/>
    </row>
    <row r="1507" spans="10:10" ht="18.75" customHeight="1" x14ac:dyDescent="0.25">
      <c r="J1507" s="48"/>
    </row>
    <row r="1508" spans="10:10" ht="18.75" customHeight="1" x14ac:dyDescent="0.25">
      <c r="J1508" s="48"/>
    </row>
    <row r="1509" spans="10:10" ht="18.75" customHeight="1" x14ac:dyDescent="0.25">
      <c r="J1509" s="48"/>
    </row>
    <row r="1510" spans="10:10" ht="18.75" customHeight="1" x14ac:dyDescent="0.25">
      <c r="J1510" s="48"/>
    </row>
    <row r="1511" spans="10:10" ht="18.75" customHeight="1" x14ac:dyDescent="0.25">
      <c r="J1511" s="48"/>
    </row>
    <row r="1512" spans="10:10" ht="18.75" customHeight="1" x14ac:dyDescent="0.25">
      <c r="J1512" s="48"/>
    </row>
    <row r="1513" spans="10:10" ht="18.75" customHeight="1" x14ac:dyDescent="0.25">
      <c r="J1513" s="48"/>
    </row>
    <row r="1514" spans="10:10" ht="18.75" customHeight="1" x14ac:dyDescent="0.25">
      <c r="J1514" s="48"/>
    </row>
    <row r="1515" spans="10:10" ht="18.75" customHeight="1" x14ac:dyDescent="0.25">
      <c r="J1515" s="48"/>
    </row>
    <row r="1516" spans="10:10" ht="18.75" customHeight="1" x14ac:dyDescent="0.25">
      <c r="J1516" s="48"/>
    </row>
    <row r="1517" spans="10:10" ht="18.75" customHeight="1" x14ac:dyDescent="0.25">
      <c r="J1517" s="48"/>
    </row>
    <row r="1518" spans="10:10" ht="18.75" customHeight="1" x14ac:dyDescent="0.25">
      <c r="J1518" s="48"/>
    </row>
    <row r="1519" spans="10:10" ht="18.75" customHeight="1" x14ac:dyDescent="0.25">
      <c r="J1519" s="48"/>
    </row>
    <row r="1520" spans="10:10" ht="18.75" customHeight="1" x14ac:dyDescent="0.25">
      <c r="J1520" s="48"/>
    </row>
    <row r="1521" spans="10:10" ht="18.75" customHeight="1" x14ac:dyDescent="0.25">
      <c r="J1521" s="48"/>
    </row>
    <row r="1522" spans="10:10" ht="18.75" customHeight="1" x14ac:dyDescent="0.25">
      <c r="J1522" s="48"/>
    </row>
    <row r="1523" spans="10:10" ht="18.75" customHeight="1" x14ac:dyDescent="0.25">
      <c r="J1523" s="48"/>
    </row>
    <row r="1524" spans="10:10" ht="18.75" customHeight="1" x14ac:dyDescent="0.25">
      <c r="J1524" s="48"/>
    </row>
    <row r="1525" spans="10:10" ht="18.75" customHeight="1" x14ac:dyDescent="0.25">
      <c r="J1525" s="48"/>
    </row>
    <row r="1526" spans="10:10" ht="18.75" customHeight="1" x14ac:dyDescent="0.25">
      <c r="J1526" s="48"/>
    </row>
    <row r="1527" spans="10:10" ht="18.75" customHeight="1" x14ac:dyDescent="0.25">
      <c r="J1527" s="48"/>
    </row>
    <row r="1528" spans="10:10" ht="18.75" customHeight="1" x14ac:dyDescent="0.25">
      <c r="J1528" s="48"/>
    </row>
    <row r="1529" spans="10:10" ht="18.75" customHeight="1" x14ac:dyDescent="0.25">
      <c r="J1529" s="48"/>
    </row>
    <row r="1530" spans="10:10" ht="18.75" customHeight="1" x14ac:dyDescent="0.25">
      <c r="J1530" s="48"/>
    </row>
    <row r="1531" spans="10:10" ht="18.75" customHeight="1" x14ac:dyDescent="0.25">
      <c r="J1531" s="48"/>
    </row>
    <row r="1532" spans="10:10" ht="18.75" customHeight="1" x14ac:dyDescent="0.25">
      <c r="J1532" s="48"/>
    </row>
    <row r="1533" spans="10:10" ht="18.75" customHeight="1" x14ac:dyDescent="0.25">
      <c r="J1533" s="48"/>
    </row>
    <row r="1534" spans="10:10" ht="18.75" customHeight="1" x14ac:dyDescent="0.25">
      <c r="J1534" s="48"/>
    </row>
    <row r="1535" spans="10:10" ht="18.75" customHeight="1" x14ac:dyDescent="0.25">
      <c r="J1535" s="48"/>
    </row>
    <row r="1536" spans="10:10" ht="18.75" customHeight="1" x14ac:dyDescent="0.25">
      <c r="J1536" s="48"/>
    </row>
    <row r="1537" spans="10:10" ht="18.75" customHeight="1" x14ac:dyDescent="0.25">
      <c r="J1537" s="48"/>
    </row>
    <row r="1538" spans="10:10" ht="18.75" customHeight="1" x14ac:dyDescent="0.25">
      <c r="J1538" s="48"/>
    </row>
    <row r="1539" spans="10:10" ht="18.75" customHeight="1" x14ac:dyDescent="0.25">
      <c r="J1539" s="48"/>
    </row>
    <row r="1540" spans="10:10" ht="18.75" customHeight="1" x14ac:dyDescent="0.25">
      <c r="J1540" s="48"/>
    </row>
    <row r="1541" spans="10:10" ht="18.75" customHeight="1" x14ac:dyDescent="0.25">
      <c r="J1541" s="48"/>
    </row>
    <row r="1542" spans="10:10" ht="18.75" customHeight="1" x14ac:dyDescent="0.25">
      <c r="J1542" s="48"/>
    </row>
    <row r="1543" spans="10:10" ht="18.75" customHeight="1" x14ac:dyDescent="0.25">
      <c r="J1543" s="48"/>
    </row>
    <row r="1544" spans="10:10" ht="18.75" customHeight="1" x14ac:dyDescent="0.25">
      <c r="J1544" s="48"/>
    </row>
    <row r="1545" spans="10:10" ht="18.75" customHeight="1" x14ac:dyDescent="0.25">
      <c r="J1545" s="48"/>
    </row>
    <row r="1546" spans="10:10" ht="18.75" customHeight="1" x14ac:dyDescent="0.25">
      <c r="J1546" s="48"/>
    </row>
    <row r="1547" spans="10:10" ht="18.75" customHeight="1" x14ac:dyDescent="0.25">
      <c r="J1547" s="48"/>
    </row>
    <row r="1548" spans="10:10" ht="18.75" customHeight="1" x14ac:dyDescent="0.25">
      <c r="J1548" s="48"/>
    </row>
    <row r="1549" spans="10:10" ht="18.75" customHeight="1" x14ac:dyDescent="0.25">
      <c r="J1549" s="48"/>
    </row>
    <row r="1550" spans="10:10" ht="18.75" customHeight="1" x14ac:dyDescent="0.25">
      <c r="J1550" s="48"/>
    </row>
    <row r="1551" spans="10:10" ht="18.75" customHeight="1" x14ac:dyDescent="0.25">
      <c r="J1551" s="48"/>
    </row>
    <row r="1552" spans="10:10" ht="18.75" customHeight="1" x14ac:dyDescent="0.25">
      <c r="J1552" s="48"/>
    </row>
    <row r="1553" spans="10:10" ht="18.75" customHeight="1" x14ac:dyDescent="0.25">
      <c r="J1553" s="48"/>
    </row>
    <row r="1554" spans="10:10" ht="18.75" customHeight="1" x14ac:dyDescent="0.25">
      <c r="J1554" s="48"/>
    </row>
    <row r="1555" spans="10:10" ht="18.75" customHeight="1" x14ac:dyDescent="0.25">
      <c r="J1555" s="48"/>
    </row>
    <row r="1556" spans="10:10" ht="18.75" customHeight="1" x14ac:dyDescent="0.25">
      <c r="J1556" s="48"/>
    </row>
    <row r="1557" spans="10:10" ht="18.75" customHeight="1" x14ac:dyDescent="0.25">
      <c r="J1557" s="48"/>
    </row>
    <row r="1558" spans="10:10" ht="18.75" customHeight="1" x14ac:dyDescent="0.25">
      <c r="J1558" s="48"/>
    </row>
    <row r="1559" spans="10:10" ht="18.75" customHeight="1" x14ac:dyDescent="0.25">
      <c r="J1559" s="48"/>
    </row>
    <row r="1560" spans="10:10" ht="18.75" customHeight="1" x14ac:dyDescent="0.25">
      <c r="J1560" s="48"/>
    </row>
    <row r="1561" spans="10:10" ht="18.75" customHeight="1" x14ac:dyDescent="0.25">
      <c r="J1561" s="48"/>
    </row>
    <row r="1562" spans="10:10" ht="18.75" customHeight="1" x14ac:dyDescent="0.25">
      <c r="J1562" s="48"/>
    </row>
    <row r="1563" spans="10:10" ht="18.75" customHeight="1" x14ac:dyDescent="0.25">
      <c r="J1563" s="48"/>
    </row>
    <row r="1564" spans="10:10" ht="18.75" customHeight="1" x14ac:dyDescent="0.25">
      <c r="J1564" s="48"/>
    </row>
    <row r="1565" spans="10:10" ht="18.75" customHeight="1" x14ac:dyDescent="0.25">
      <c r="J1565" s="48"/>
    </row>
    <row r="1566" spans="10:10" ht="18.75" customHeight="1" x14ac:dyDescent="0.25">
      <c r="J1566" s="48"/>
    </row>
    <row r="1567" spans="10:10" ht="18.75" customHeight="1" x14ac:dyDescent="0.25">
      <c r="J1567" s="48"/>
    </row>
    <row r="1568" spans="10:10" ht="18.75" customHeight="1" x14ac:dyDescent="0.25">
      <c r="J1568" s="48"/>
    </row>
    <row r="1569" spans="10:10" ht="18.75" customHeight="1" x14ac:dyDescent="0.25">
      <c r="J1569" s="48"/>
    </row>
    <row r="1570" spans="10:10" ht="18.75" customHeight="1" x14ac:dyDescent="0.25">
      <c r="J1570" s="48"/>
    </row>
    <row r="1571" spans="10:10" ht="18.75" customHeight="1" x14ac:dyDescent="0.25">
      <c r="J1571" s="48"/>
    </row>
    <row r="1572" spans="10:10" ht="18.75" customHeight="1" x14ac:dyDescent="0.25">
      <c r="J1572" s="48"/>
    </row>
    <row r="1573" spans="10:10" ht="18.75" customHeight="1" x14ac:dyDescent="0.25">
      <c r="J1573" s="48"/>
    </row>
    <row r="1574" spans="10:10" ht="18.75" customHeight="1" x14ac:dyDescent="0.25">
      <c r="J1574" s="48"/>
    </row>
    <row r="1575" spans="10:10" ht="18.75" customHeight="1" x14ac:dyDescent="0.25">
      <c r="J1575" s="48"/>
    </row>
    <row r="1576" spans="10:10" ht="18.75" customHeight="1" x14ac:dyDescent="0.25">
      <c r="J1576" s="48"/>
    </row>
    <row r="1577" spans="10:10" ht="18.75" customHeight="1" x14ac:dyDescent="0.25">
      <c r="J1577" s="48"/>
    </row>
    <row r="1578" spans="10:10" ht="18.75" customHeight="1" x14ac:dyDescent="0.25">
      <c r="J1578" s="48"/>
    </row>
    <row r="1579" spans="10:10" ht="18.75" customHeight="1" x14ac:dyDescent="0.25">
      <c r="J1579" s="48"/>
    </row>
    <row r="1580" spans="10:10" ht="18.75" customHeight="1" x14ac:dyDescent="0.25">
      <c r="J1580" s="48"/>
    </row>
    <row r="1581" spans="10:10" ht="18.75" customHeight="1" x14ac:dyDescent="0.25">
      <c r="J1581" s="48"/>
    </row>
    <row r="1582" spans="10:10" ht="18.75" customHeight="1" x14ac:dyDescent="0.25">
      <c r="J1582" s="48"/>
    </row>
    <row r="1583" spans="10:10" ht="18.75" customHeight="1" x14ac:dyDescent="0.25">
      <c r="J1583" s="48"/>
    </row>
    <row r="1584" spans="10:10" ht="18.75" customHeight="1" x14ac:dyDescent="0.25">
      <c r="J1584" s="48"/>
    </row>
    <row r="1585" spans="10:10" ht="18.75" customHeight="1" x14ac:dyDescent="0.25">
      <c r="J1585" s="48"/>
    </row>
    <row r="1586" spans="10:10" ht="18.75" customHeight="1" x14ac:dyDescent="0.25">
      <c r="J1586" s="48"/>
    </row>
    <row r="1587" spans="10:10" ht="18.75" customHeight="1" x14ac:dyDescent="0.25">
      <c r="J1587" s="48"/>
    </row>
    <row r="1588" spans="10:10" ht="18.75" customHeight="1" x14ac:dyDescent="0.25">
      <c r="J1588" s="48"/>
    </row>
    <row r="1589" spans="10:10" ht="18.75" customHeight="1" x14ac:dyDescent="0.25">
      <c r="J1589" s="48"/>
    </row>
    <row r="1590" spans="10:10" ht="18.75" customHeight="1" x14ac:dyDescent="0.25">
      <c r="J1590" s="48"/>
    </row>
    <row r="1591" spans="10:10" ht="18.75" customHeight="1" x14ac:dyDescent="0.25">
      <c r="J1591" s="48"/>
    </row>
    <row r="1592" spans="10:10" ht="18.75" customHeight="1" x14ac:dyDescent="0.25">
      <c r="J1592" s="48"/>
    </row>
    <row r="1593" spans="10:10" ht="18.75" customHeight="1" x14ac:dyDescent="0.25">
      <c r="J1593" s="48"/>
    </row>
    <row r="1594" spans="10:10" ht="18.75" customHeight="1" x14ac:dyDescent="0.25">
      <c r="J1594" s="48"/>
    </row>
    <row r="1595" spans="10:10" ht="18.75" customHeight="1" x14ac:dyDescent="0.25">
      <c r="J1595" s="48"/>
    </row>
    <row r="1596" spans="10:10" ht="18.75" customHeight="1" x14ac:dyDescent="0.25">
      <c r="J1596" s="48"/>
    </row>
    <row r="1597" spans="10:10" ht="18.75" customHeight="1" x14ac:dyDescent="0.25">
      <c r="J1597" s="48"/>
    </row>
    <row r="1598" spans="10:10" ht="18.75" customHeight="1" x14ac:dyDescent="0.25">
      <c r="J1598" s="48"/>
    </row>
    <row r="1599" spans="10:10" ht="18.75" customHeight="1" x14ac:dyDescent="0.25">
      <c r="J1599" s="48"/>
    </row>
    <row r="1600" spans="10:10" ht="18.75" customHeight="1" x14ac:dyDescent="0.25">
      <c r="J1600" s="48"/>
    </row>
    <row r="1601" spans="10:10" ht="18.75" customHeight="1" x14ac:dyDescent="0.25">
      <c r="J1601" s="48"/>
    </row>
    <row r="1602" spans="10:10" ht="18.75" customHeight="1" x14ac:dyDescent="0.25">
      <c r="J1602" s="48"/>
    </row>
    <row r="1603" spans="10:10" ht="18.75" customHeight="1" x14ac:dyDescent="0.25">
      <c r="J1603" s="48"/>
    </row>
    <row r="1604" spans="10:10" ht="18.75" customHeight="1" x14ac:dyDescent="0.25">
      <c r="J1604" s="48"/>
    </row>
    <row r="1605" spans="10:10" ht="18.75" customHeight="1" x14ac:dyDescent="0.25">
      <c r="J1605" s="48"/>
    </row>
    <row r="1606" spans="10:10" ht="18.75" customHeight="1" x14ac:dyDescent="0.25">
      <c r="J1606" s="48"/>
    </row>
    <row r="1607" spans="10:10" ht="18.75" customHeight="1" x14ac:dyDescent="0.25">
      <c r="J1607" s="48"/>
    </row>
    <row r="1608" spans="10:10" ht="18.75" customHeight="1" x14ac:dyDescent="0.25">
      <c r="J1608" s="48"/>
    </row>
    <row r="1609" spans="10:10" ht="18.75" customHeight="1" x14ac:dyDescent="0.25">
      <c r="J1609" s="48"/>
    </row>
    <row r="1610" spans="10:10" ht="18.75" customHeight="1" x14ac:dyDescent="0.25">
      <c r="J1610" s="48"/>
    </row>
    <row r="1611" spans="10:10" ht="18.75" customHeight="1" x14ac:dyDescent="0.25">
      <c r="J1611" s="48"/>
    </row>
    <row r="1612" spans="10:10" ht="18.75" customHeight="1" x14ac:dyDescent="0.25">
      <c r="J1612" s="48"/>
    </row>
    <row r="1613" spans="10:10" ht="18.75" customHeight="1" x14ac:dyDescent="0.25">
      <c r="J1613" s="48"/>
    </row>
    <row r="1614" spans="10:10" ht="18.75" customHeight="1" x14ac:dyDescent="0.25">
      <c r="J1614" s="48"/>
    </row>
    <row r="1615" spans="10:10" ht="18.75" customHeight="1" x14ac:dyDescent="0.25">
      <c r="J1615" s="48"/>
    </row>
    <row r="1616" spans="10:10" ht="18.75" customHeight="1" x14ac:dyDescent="0.25">
      <c r="J1616" s="48"/>
    </row>
    <row r="1617" spans="10:10" ht="18.75" customHeight="1" x14ac:dyDescent="0.25">
      <c r="J1617" s="48"/>
    </row>
    <row r="1618" spans="10:10" ht="18.75" customHeight="1" x14ac:dyDescent="0.25">
      <c r="J1618" s="48"/>
    </row>
    <row r="1619" spans="10:10" ht="18.75" customHeight="1" x14ac:dyDescent="0.25">
      <c r="J1619" s="48"/>
    </row>
    <row r="1620" spans="10:10" ht="18.75" customHeight="1" x14ac:dyDescent="0.25">
      <c r="J1620" s="48"/>
    </row>
    <row r="1621" spans="10:10" ht="18.75" customHeight="1" x14ac:dyDescent="0.25">
      <c r="J1621" s="48"/>
    </row>
    <row r="1622" spans="10:10" ht="18.75" customHeight="1" x14ac:dyDescent="0.25">
      <c r="J1622" s="48"/>
    </row>
    <row r="1623" spans="10:10" ht="18.75" customHeight="1" x14ac:dyDescent="0.25">
      <c r="J1623" s="48"/>
    </row>
    <row r="1624" spans="10:10" ht="18.75" customHeight="1" x14ac:dyDescent="0.25">
      <c r="J1624" s="48"/>
    </row>
    <row r="1625" spans="10:10" ht="18.75" customHeight="1" x14ac:dyDescent="0.25">
      <c r="J1625" s="48"/>
    </row>
    <row r="1626" spans="10:10" ht="18.75" customHeight="1" x14ac:dyDescent="0.25">
      <c r="J1626" s="48"/>
    </row>
    <row r="1627" spans="10:10" ht="18.75" customHeight="1" x14ac:dyDescent="0.25">
      <c r="J1627" s="48"/>
    </row>
    <row r="1628" spans="10:10" ht="18.75" customHeight="1" x14ac:dyDescent="0.25">
      <c r="J1628" s="48"/>
    </row>
    <row r="1629" spans="10:10" ht="18.75" customHeight="1" x14ac:dyDescent="0.25">
      <c r="J1629" s="48"/>
    </row>
    <row r="1630" spans="10:10" ht="18.75" customHeight="1" x14ac:dyDescent="0.25">
      <c r="J1630" s="48"/>
    </row>
    <row r="1631" spans="10:10" ht="18.75" customHeight="1" x14ac:dyDescent="0.25">
      <c r="J1631" s="48"/>
    </row>
    <row r="1632" spans="10:10" ht="18.75" customHeight="1" x14ac:dyDescent="0.25">
      <c r="J1632" s="48"/>
    </row>
    <row r="1633" spans="10:10" ht="18.75" customHeight="1" x14ac:dyDescent="0.25">
      <c r="J1633" s="48"/>
    </row>
    <row r="1634" spans="10:10" ht="18.75" customHeight="1" x14ac:dyDescent="0.25">
      <c r="J1634" s="48"/>
    </row>
    <row r="1635" spans="10:10" ht="18.75" customHeight="1" x14ac:dyDescent="0.25">
      <c r="J1635" s="48"/>
    </row>
    <row r="1636" spans="10:10" ht="18.75" customHeight="1" x14ac:dyDescent="0.25">
      <c r="J1636" s="48"/>
    </row>
    <row r="1637" spans="10:10" ht="18.75" customHeight="1" x14ac:dyDescent="0.25">
      <c r="J1637" s="48"/>
    </row>
    <row r="1638" spans="10:10" ht="18.75" customHeight="1" x14ac:dyDescent="0.25">
      <c r="J1638" s="48"/>
    </row>
    <row r="1639" spans="10:10" ht="18.75" customHeight="1" x14ac:dyDescent="0.25">
      <c r="J1639" s="48"/>
    </row>
    <row r="1640" spans="10:10" ht="18.75" customHeight="1" x14ac:dyDescent="0.25">
      <c r="J1640" s="48"/>
    </row>
    <row r="1641" spans="10:10" ht="18.75" customHeight="1" x14ac:dyDescent="0.25">
      <c r="J1641" s="48"/>
    </row>
    <row r="1642" spans="10:10" ht="18.75" customHeight="1" x14ac:dyDescent="0.25">
      <c r="J1642" s="48"/>
    </row>
    <row r="1643" spans="10:10" ht="18.75" customHeight="1" x14ac:dyDescent="0.25">
      <c r="J1643" s="48"/>
    </row>
    <row r="1644" spans="10:10" ht="18.75" customHeight="1" x14ac:dyDescent="0.25">
      <c r="J1644" s="48"/>
    </row>
    <row r="1645" spans="10:10" ht="18.75" customHeight="1" x14ac:dyDescent="0.25">
      <c r="J1645" s="48"/>
    </row>
    <row r="1646" spans="10:10" ht="18.75" customHeight="1" x14ac:dyDescent="0.25">
      <c r="J1646" s="48"/>
    </row>
    <row r="1647" spans="10:10" ht="18.75" customHeight="1" x14ac:dyDescent="0.25">
      <c r="J1647" s="48"/>
    </row>
    <row r="1648" spans="10:10" ht="18.75" customHeight="1" x14ac:dyDescent="0.25">
      <c r="J1648" s="48"/>
    </row>
    <row r="1649" spans="10:10" ht="18.75" customHeight="1" x14ac:dyDescent="0.25">
      <c r="J1649" s="48"/>
    </row>
    <row r="1650" spans="10:10" ht="18.75" customHeight="1" x14ac:dyDescent="0.25">
      <c r="J1650" s="48"/>
    </row>
    <row r="1651" spans="10:10" ht="18.75" customHeight="1" x14ac:dyDescent="0.25">
      <c r="J1651" s="48"/>
    </row>
    <row r="1652" spans="10:10" ht="18.75" customHeight="1" x14ac:dyDescent="0.25">
      <c r="J1652" s="48"/>
    </row>
    <row r="1653" spans="10:10" ht="18.75" customHeight="1" x14ac:dyDescent="0.25">
      <c r="J1653" s="48"/>
    </row>
    <row r="1654" spans="10:10" ht="18.75" customHeight="1" x14ac:dyDescent="0.25">
      <c r="J1654" s="48"/>
    </row>
    <row r="1655" spans="10:10" ht="18.75" customHeight="1" x14ac:dyDescent="0.25">
      <c r="J1655" s="48"/>
    </row>
    <row r="1656" spans="10:10" ht="18.75" customHeight="1" x14ac:dyDescent="0.25">
      <c r="J1656" s="48"/>
    </row>
    <row r="1657" spans="10:10" ht="18.75" customHeight="1" x14ac:dyDescent="0.25">
      <c r="J1657" s="48"/>
    </row>
    <row r="1658" spans="10:10" ht="18.75" customHeight="1" x14ac:dyDescent="0.25">
      <c r="J1658" s="48"/>
    </row>
    <row r="1659" spans="10:10" ht="18.75" customHeight="1" x14ac:dyDescent="0.25">
      <c r="J1659" s="48"/>
    </row>
    <row r="1660" spans="10:10" ht="18.75" customHeight="1" x14ac:dyDescent="0.25">
      <c r="J1660" s="48"/>
    </row>
    <row r="1661" spans="10:10" ht="18.75" customHeight="1" x14ac:dyDescent="0.25">
      <c r="J1661" s="48"/>
    </row>
    <row r="1662" spans="10:10" ht="18.75" customHeight="1" x14ac:dyDescent="0.25">
      <c r="J1662" s="48"/>
    </row>
    <row r="1663" spans="10:10" ht="18.75" customHeight="1" x14ac:dyDescent="0.25">
      <c r="J1663" s="48"/>
    </row>
    <row r="1664" spans="10:10" ht="18.75" customHeight="1" x14ac:dyDescent="0.25">
      <c r="J1664" s="48"/>
    </row>
    <row r="1665" spans="10:10" ht="18.75" customHeight="1" x14ac:dyDescent="0.25">
      <c r="J1665" s="48"/>
    </row>
    <row r="1666" spans="10:10" ht="18.75" customHeight="1" x14ac:dyDescent="0.25">
      <c r="J1666" s="48"/>
    </row>
    <row r="1667" spans="10:10" ht="18.75" customHeight="1" x14ac:dyDescent="0.25">
      <c r="J1667" s="48"/>
    </row>
    <row r="1668" spans="10:10" ht="18.75" customHeight="1" x14ac:dyDescent="0.25">
      <c r="J1668" s="48"/>
    </row>
    <row r="1669" spans="10:10" ht="18.75" customHeight="1" x14ac:dyDescent="0.25">
      <c r="J1669" s="48"/>
    </row>
    <row r="1670" spans="10:10" ht="18.75" customHeight="1" x14ac:dyDescent="0.25">
      <c r="J1670" s="48"/>
    </row>
    <row r="1671" spans="10:10" ht="18.75" customHeight="1" x14ac:dyDescent="0.25">
      <c r="J1671" s="48"/>
    </row>
    <row r="1672" spans="10:10" ht="18.75" customHeight="1" x14ac:dyDescent="0.25">
      <c r="J1672" s="48"/>
    </row>
    <row r="1673" spans="10:10" ht="18.75" customHeight="1" x14ac:dyDescent="0.25">
      <c r="J1673" s="48"/>
    </row>
    <row r="1674" spans="10:10" ht="18.75" customHeight="1" x14ac:dyDescent="0.25">
      <c r="J1674" s="48"/>
    </row>
    <row r="1675" spans="10:10" ht="18.75" customHeight="1" x14ac:dyDescent="0.25">
      <c r="J1675" s="48"/>
    </row>
    <row r="1676" spans="10:10" ht="18.75" customHeight="1" x14ac:dyDescent="0.25">
      <c r="J1676" s="48"/>
    </row>
    <row r="1677" spans="10:10" ht="18.75" customHeight="1" x14ac:dyDescent="0.25">
      <c r="J1677" s="48"/>
    </row>
    <row r="1678" spans="10:10" ht="18.75" customHeight="1" x14ac:dyDescent="0.25">
      <c r="J1678" s="48"/>
    </row>
    <row r="1679" spans="10:10" ht="18.75" customHeight="1" x14ac:dyDescent="0.25">
      <c r="J1679" s="48"/>
    </row>
    <row r="1680" spans="10:10" ht="18.75" customHeight="1" x14ac:dyDescent="0.25">
      <c r="J1680" s="48"/>
    </row>
    <row r="1681" spans="10:10" ht="18.75" customHeight="1" x14ac:dyDescent="0.25">
      <c r="J1681" s="48"/>
    </row>
    <row r="1682" spans="10:10" ht="18.75" customHeight="1" x14ac:dyDescent="0.25">
      <c r="J1682" s="48"/>
    </row>
    <row r="1683" spans="10:10" ht="18.75" customHeight="1" x14ac:dyDescent="0.25">
      <c r="J1683" s="48"/>
    </row>
    <row r="1684" spans="10:10" ht="18.75" customHeight="1" x14ac:dyDescent="0.25">
      <c r="J1684" s="48"/>
    </row>
    <row r="1685" spans="10:10" ht="18.75" customHeight="1" x14ac:dyDescent="0.25">
      <c r="J1685" s="48"/>
    </row>
    <row r="1686" spans="10:10" ht="18.75" customHeight="1" x14ac:dyDescent="0.25">
      <c r="J1686" s="48"/>
    </row>
    <row r="1687" spans="10:10" ht="18.75" customHeight="1" x14ac:dyDescent="0.25">
      <c r="J1687" s="48"/>
    </row>
    <row r="1688" spans="10:10" ht="18.75" customHeight="1" x14ac:dyDescent="0.25">
      <c r="J1688" s="48"/>
    </row>
    <row r="1689" spans="10:10" ht="18.75" customHeight="1" x14ac:dyDescent="0.25">
      <c r="J1689" s="48"/>
    </row>
    <row r="1690" spans="10:10" ht="18.75" customHeight="1" x14ac:dyDescent="0.25">
      <c r="J1690" s="48"/>
    </row>
    <row r="1691" spans="10:10" ht="18.75" customHeight="1" x14ac:dyDescent="0.25">
      <c r="J1691" s="48"/>
    </row>
    <row r="1692" spans="10:10" ht="18.75" customHeight="1" x14ac:dyDescent="0.25">
      <c r="J1692" s="48"/>
    </row>
    <row r="1693" spans="10:10" ht="18.75" customHeight="1" x14ac:dyDescent="0.25">
      <c r="J1693" s="48"/>
    </row>
    <row r="1694" spans="10:10" ht="18.75" customHeight="1" x14ac:dyDescent="0.25">
      <c r="J1694" s="48"/>
    </row>
    <row r="1695" spans="10:10" ht="18.75" customHeight="1" x14ac:dyDescent="0.25">
      <c r="J1695" s="48"/>
    </row>
    <row r="1696" spans="10:10" ht="18.75" customHeight="1" x14ac:dyDescent="0.25">
      <c r="J1696" s="48"/>
    </row>
    <row r="1697" spans="10:10" ht="18.75" customHeight="1" x14ac:dyDescent="0.25">
      <c r="J1697" s="48"/>
    </row>
    <row r="1698" spans="10:10" ht="18.75" customHeight="1" x14ac:dyDescent="0.25">
      <c r="J1698" s="48"/>
    </row>
    <row r="1699" spans="10:10" ht="18.75" customHeight="1" x14ac:dyDescent="0.25">
      <c r="J1699" s="48"/>
    </row>
    <row r="1700" spans="10:10" ht="18.75" customHeight="1" x14ac:dyDescent="0.25">
      <c r="J1700" s="48"/>
    </row>
    <row r="1701" spans="10:10" ht="18.75" customHeight="1" x14ac:dyDescent="0.25">
      <c r="J1701" s="48"/>
    </row>
    <row r="1702" spans="10:10" ht="18.75" customHeight="1" x14ac:dyDescent="0.25">
      <c r="J1702" s="48"/>
    </row>
    <row r="1703" spans="10:10" ht="18.75" customHeight="1" x14ac:dyDescent="0.25">
      <c r="J1703" s="48"/>
    </row>
    <row r="1704" spans="10:10" ht="18.75" customHeight="1" x14ac:dyDescent="0.25">
      <c r="J1704" s="48"/>
    </row>
    <row r="1705" spans="10:10" ht="18.75" customHeight="1" x14ac:dyDescent="0.25">
      <c r="J1705" s="48"/>
    </row>
    <row r="1706" spans="10:10" ht="18.75" customHeight="1" x14ac:dyDescent="0.25">
      <c r="J1706" s="48"/>
    </row>
    <row r="1707" spans="10:10" ht="18.75" customHeight="1" x14ac:dyDescent="0.25">
      <c r="J1707" s="48"/>
    </row>
    <row r="1708" spans="10:10" ht="18.75" customHeight="1" x14ac:dyDescent="0.25">
      <c r="J1708" s="48"/>
    </row>
    <row r="1709" spans="10:10" ht="18.75" customHeight="1" x14ac:dyDescent="0.25">
      <c r="J1709" s="48"/>
    </row>
    <row r="1710" spans="10:10" ht="18.75" customHeight="1" x14ac:dyDescent="0.25">
      <c r="J1710" s="48"/>
    </row>
    <row r="1711" spans="10:10" ht="18.75" customHeight="1" x14ac:dyDescent="0.25">
      <c r="J1711" s="48"/>
    </row>
    <row r="1712" spans="10:10" ht="18.75" customHeight="1" x14ac:dyDescent="0.25">
      <c r="J1712" s="48"/>
    </row>
    <row r="1713" spans="10:10" ht="18.75" customHeight="1" x14ac:dyDescent="0.25">
      <c r="J1713" s="48"/>
    </row>
    <row r="1714" spans="10:10" ht="18.75" customHeight="1" x14ac:dyDescent="0.25">
      <c r="J1714" s="48"/>
    </row>
    <row r="1715" spans="10:10" ht="18.75" customHeight="1" x14ac:dyDescent="0.25">
      <c r="J1715" s="48"/>
    </row>
    <row r="1716" spans="10:10" ht="18.75" customHeight="1" x14ac:dyDescent="0.25">
      <c r="J1716" s="48"/>
    </row>
    <row r="1717" spans="10:10" ht="18.75" customHeight="1" x14ac:dyDescent="0.25">
      <c r="J1717" s="48"/>
    </row>
    <row r="1718" spans="10:10" ht="18.75" customHeight="1" x14ac:dyDescent="0.25">
      <c r="J1718" s="48"/>
    </row>
    <row r="1719" spans="10:10" ht="18.75" customHeight="1" x14ac:dyDescent="0.25">
      <c r="J1719" s="48"/>
    </row>
    <row r="1720" spans="10:10" ht="18.75" customHeight="1" x14ac:dyDescent="0.25">
      <c r="J1720" s="48"/>
    </row>
    <row r="1721" spans="10:10" ht="18.75" customHeight="1" x14ac:dyDescent="0.25">
      <c r="J1721" s="48"/>
    </row>
    <row r="1722" spans="10:10" ht="18.75" customHeight="1" x14ac:dyDescent="0.25">
      <c r="J1722" s="48"/>
    </row>
    <row r="1723" spans="10:10" ht="18.75" customHeight="1" x14ac:dyDescent="0.25">
      <c r="J1723" s="48"/>
    </row>
    <row r="1724" spans="10:10" ht="18.75" customHeight="1" x14ac:dyDescent="0.25">
      <c r="J1724" s="48"/>
    </row>
    <row r="1725" spans="10:10" ht="18.75" customHeight="1" x14ac:dyDescent="0.25">
      <c r="J1725" s="48"/>
    </row>
    <row r="1726" spans="10:10" ht="18.75" customHeight="1" x14ac:dyDescent="0.25">
      <c r="J1726" s="48"/>
    </row>
    <row r="1727" spans="10:10" ht="18.75" customHeight="1" x14ac:dyDescent="0.25">
      <c r="J1727" s="48"/>
    </row>
    <row r="1728" spans="10:10" ht="18.75" customHeight="1" x14ac:dyDescent="0.25">
      <c r="J1728" s="48"/>
    </row>
    <row r="1729" spans="10:10" ht="18.75" customHeight="1" x14ac:dyDescent="0.25">
      <c r="J1729" s="48"/>
    </row>
    <row r="1730" spans="10:10" ht="18.75" customHeight="1" x14ac:dyDescent="0.25">
      <c r="J1730" s="48"/>
    </row>
    <row r="1731" spans="10:10" ht="18.75" customHeight="1" x14ac:dyDescent="0.25">
      <c r="J1731" s="48"/>
    </row>
    <row r="1732" spans="10:10" ht="18.75" customHeight="1" x14ac:dyDescent="0.25">
      <c r="J1732" s="48"/>
    </row>
    <row r="1733" spans="10:10" ht="18.75" customHeight="1" x14ac:dyDescent="0.25">
      <c r="J1733" s="48"/>
    </row>
    <row r="1734" spans="10:10" ht="18.75" customHeight="1" x14ac:dyDescent="0.25">
      <c r="J1734" s="48"/>
    </row>
    <row r="1735" spans="10:10" ht="18.75" customHeight="1" x14ac:dyDescent="0.25">
      <c r="J1735" s="48"/>
    </row>
    <row r="1736" spans="10:10" ht="18.75" customHeight="1" x14ac:dyDescent="0.25">
      <c r="J1736" s="48"/>
    </row>
    <row r="1737" spans="10:10" ht="18.75" customHeight="1" x14ac:dyDescent="0.25">
      <c r="J1737" s="48"/>
    </row>
    <row r="1738" spans="10:10" ht="18.75" customHeight="1" x14ac:dyDescent="0.25">
      <c r="J1738" s="48"/>
    </row>
    <row r="1739" spans="10:10" ht="18.75" customHeight="1" x14ac:dyDescent="0.25">
      <c r="J1739" s="48"/>
    </row>
    <row r="1740" spans="10:10" ht="18.75" customHeight="1" x14ac:dyDescent="0.25">
      <c r="J1740" s="48"/>
    </row>
    <row r="1741" spans="10:10" ht="18.75" customHeight="1" x14ac:dyDescent="0.25">
      <c r="J1741" s="48"/>
    </row>
    <row r="1742" spans="10:10" ht="18.75" customHeight="1" x14ac:dyDescent="0.25">
      <c r="J1742" s="48"/>
    </row>
    <row r="1743" spans="10:10" ht="18.75" customHeight="1" x14ac:dyDescent="0.25">
      <c r="J1743" s="48"/>
    </row>
    <row r="1744" spans="10:10" ht="18.75" customHeight="1" x14ac:dyDescent="0.25">
      <c r="J1744" s="48"/>
    </row>
    <row r="1745" spans="10:10" ht="18.75" customHeight="1" x14ac:dyDescent="0.25">
      <c r="J1745" s="48"/>
    </row>
    <row r="1746" spans="10:10" ht="18.75" customHeight="1" x14ac:dyDescent="0.25">
      <c r="J1746" s="48"/>
    </row>
    <row r="1747" spans="10:10" ht="18.75" customHeight="1" x14ac:dyDescent="0.25">
      <c r="J1747" s="48"/>
    </row>
    <row r="1748" spans="10:10" ht="18.75" customHeight="1" x14ac:dyDescent="0.25">
      <c r="J1748" s="48"/>
    </row>
    <row r="1749" spans="10:10" ht="18.75" customHeight="1" x14ac:dyDescent="0.25">
      <c r="J1749" s="48"/>
    </row>
    <row r="1750" spans="10:10" ht="18.75" customHeight="1" x14ac:dyDescent="0.25">
      <c r="J1750" s="48"/>
    </row>
    <row r="1751" spans="10:10" ht="18.75" customHeight="1" x14ac:dyDescent="0.25">
      <c r="J1751" s="48"/>
    </row>
    <row r="1752" spans="10:10" ht="18.75" customHeight="1" x14ac:dyDescent="0.25">
      <c r="J1752" s="48"/>
    </row>
    <row r="1753" spans="10:10" ht="18.75" customHeight="1" x14ac:dyDescent="0.25">
      <c r="J1753" s="48"/>
    </row>
    <row r="1754" spans="10:10" ht="18.75" customHeight="1" x14ac:dyDescent="0.25">
      <c r="J1754" s="48"/>
    </row>
    <row r="1755" spans="10:10" ht="18.75" customHeight="1" x14ac:dyDescent="0.25">
      <c r="J1755" s="48"/>
    </row>
    <row r="1756" spans="10:10" ht="18.75" customHeight="1" x14ac:dyDescent="0.25">
      <c r="J1756" s="48"/>
    </row>
    <row r="1757" spans="10:10" ht="18.75" customHeight="1" x14ac:dyDescent="0.25">
      <c r="J1757" s="48"/>
    </row>
    <row r="1758" spans="10:10" ht="18.75" customHeight="1" x14ac:dyDescent="0.25">
      <c r="J1758" s="48"/>
    </row>
    <row r="1759" spans="10:10" ht="18.75" customHeight="1" x14ac:dyDescent="0.25">
      <c r="J1759" s="48"/>
    </row>
    <row r="1760" spans="10:10" ht="18.75" customHeight="1" x14ac:dyDescent="0.25">
      <c r="J1760" s="48"/>
    </row>
    <row r="1761" spans="10:10" ht="18.75" customHeight="1" x14ac:dyDescent="0.25">
      <c r="J1761" s="48"/>
    </row>
    <row r="1762" spans="10:10" ht="18.75" customHeight="1" x14ac:dyDescent="0.25">
      <c r="J1762" s="48"/>
    </row>
    <row r="1763" spans="10:10" ht="18.75" customHeight="1" x14ac:dyDescent="0.25">
      <c r="J1763" s="48"/>
    </row>
    <row r="1764" spans="10:10" ht="18.75" customHeight="1" x14ac:dyDescent="0.25">
      <c r="J1764" s="48"/>
    </row>
    <row r="1765" spans="10:10" ht="18.75" customHeight="1" x14ac:dyDescent="0.25">
      <c r="J1765" s="48"/>
    </row>
    <row r="1766" spans="10:10" ht="18.75" customHeight="1" x14ac:dyDescent="0.25">
      <c r="J1766" s="48"/>
    </row>
    <row r="1767" spans="10:10" ht="18.75" customHeight="1" x14ac:dyDescent="0.25">
      <c r="J1767" s="48"/>
    </row>
    <row r="1768" spans="10:10" ht="18.75" customHeight="1" x14ac:dyDescent="0.25">
      <c r="J1768" s="48"/>
    </row>
    <row r="1769" spans="10:10" ht="18.75" customHeight="1" x14ac:dyDescent="0.25">
      <c r="J1769" s="48"/>
    </row>
    <row r="1770" spans="10:10" ht="18.75" customHeight="1" x14ac:dyDescent="0.25">
      <c r="J1770" s="48"/>
    </row>
    <row r="1771" spans="10:10" ht="18.75" customHeight="1" x14ac:dyDescent="0.25">
      <c r="J1771" s="48"/>
    </row>
    <row r="1772" spans="10:10" ht="18.75" customHeight="1" x14ac:dyDescent="0.25">
      <c r="J1772" s="48"/>
    </row>
    <row r="1773" spans="10:10" ht="18.75" customHeight="1" x14ac:dyDescent="0.25">
      <c r="J1773" s="48"/>
    </row>
    <row r="1774" spans="10:10" ht="18.75" customHeight="1" x14ac:dyDescent="0.25">
      <c r="J1774" s="48"/>
    </row>
    <row r="1775" spans="10:10" ht="18.75" customHeight="1" x14ac:dyDescent="0.25">
      <c r="J1775" s="48"/>
    </row>
    <row r="1776" spans="10:10" ht="18.75" customHeight="1" x14ac:dyDescent="0.25">
      <c r="J1776" s="48"/>
    </row>
    <row r="1777" spans="10:10" ht="18.75" customHeight="1" x14ac:dyDescent="0.25">
      <c r="J1777" s="48"/>
    </row>
    <row r="1778" spans="10:10" ht="18.75" customHeight="1" x14ac:dyDescent="0.25">
      <c r="J1778" s="48"/>
    </row>
    <row r="1779" spans="10:10" ht="18.75" customHeight="1" x14ac:dyDescent="0.25">
      <c r="J1779" s="48"/>
    </row>
    <row r="1780" spans="10:10" ht="18.75" customHeight="1" x14ac:dyDescent="0.25">
      <c r="J1780" s="48"/>
    </row>
    <row r="1781" spans="10:10" ht="18.75" customHeight="1" x14ac:dyDescent="0.25">
      <c r="J1781" s="48"/>
    </row>
    <row r="1782" spans="10:10" ht="18.75" customHeight="1" x14ac:dyDescent="0.25">
      <c r="J1782" s="48"/>
    </row>
    <row r="1783" spans="10:10" ht="18.75" customHeight="1" x14ac:dyDescent="0.25">
      <c r="J1783" s="48"/>
    </row>
    <row r="1784" spans="10:10" ht="18.75" customHeight="1" x14ac:dyDescent="0.25">
      <c r="J1784" s="48"/>
    </row>
    <row r="1785" spans="10:10" ht="18.75" customHeight="1" x14ac:dyDescent="0.25">
      <c r="J1785" s="48"/>
    </row>
    <row r="1786" spans="10:10" ht="18.75" customHeight="1" x14ac:dyDescent="0.25">
      <c r="J1786" s="48"/>
    </row>
    <row r="1787" spans="10:10" ht="18.75" customHeight="1" x14ac:dyDescent="0.25">
      <c r="J1787" s="48"/>
    </row>
    <row r="1788" spans="10:10" ht="18.75" customHeight="1" x14ac:dyDescent="0.25">
      <c r="J1788" s="48"/>
    </row>
    <row r="1789" spans="10:10" ht="18.75" customHeight="1" x14ac:dyDescent="0.25">
      <c r="J1789" s="48"/>
    </row>
    <row r="1790" spans="10:10" ht="18.75" customHeight="1" x14ac:dyDescent="0.25">
      <c r="J1790" s="48"/>
    </row>
    <row r="1791" spans="10:10" ht="18.75" customHeight="1" x14ac:dyDescent="0.25">
      <c r="J1791" s="48"/>
    </row>
    <row r="1792" spans="10:10" ht="18.75" customHeight="1" x14ac:dyDescent="0.25">
      <c r="J1792" s="48"/>
    </row>
    <row r="1793" spans="10:10" ht="18.75" customHeight="1" x14ac:dyDescent="0.25">
      <c r="J1793" s="48"/>
    </row>
    <row r="1794" spans="10:10" ht="18.75" customHeight="1" x14ac:dyDescent="0.25">
      <c r="J1794" s="48"/>
    </row>
    <row r="1795" spans="10:10" ht="18.75" customHeight="1" x14ac:dyDescent="0.25">
      <c r="J1795" s="48"/>
    </row>
    <row r="1796" spans="10:10" ht="18.75" customHeight="1" x14ac:dyDescent="0.25">
      <c r="J1796" s="48"/>
    </row>
    <row r="1797" spans="10:10" ht="18.75" customHeight="1" x14ac:dyDescent="0.25">
      <c r="J1797" s="48"/>
    </row>
    <row r="1798" spans="10:10" ht="18.75" customHeight="1" x14ac:dyDescent="0.25">
      <c r="J1798" s="48"/>
    </row>
    <row r="1799" spans="10:10" ht="18.75" customHeight="1" x14ac:dyDescent="0.25">
      <c r="J1799" s="48"/>
    </row>
    <row r="1800" spans="10:10" ht="18.75" customHeight="1" x14ac:dyDescent="0.25">
      <c r="J1800" s="48"/>
    </row>
    <row r="1801" spans="10:10" ht="18.75" customHeight="1" x14ac:dyDescent="0.25">
      <c r="J1801" s="48"/>
    </row>
    <row r="1802" spans="10:10" ht="18.75" customHeight="1" x14ac:dyDescent="0.25">
      <c r="J1802" s="48"/>
    </row>
    <row r="1803" spans="10:10" ht="18.75" customHeight="1" x14ac:dyDescent="0.25">
      <c r="J1803" s="48"/>
    </row>
    <row r="1804" spans="10:10" ht="18.75" customHeight="1" x14ac:dyDescent="0.25">
      <c r="J1804" s="48"/>
    </row>
    <row r="1805" spans="10:10" ht="18.75" customHeight="1" x14ac:dyDescent="0.25">
      <c r="J1805" s="48"/>
    </row>
    <row r="1806" spans="10:10" ht="18.75" customHeight="1" x14ac:dyDescent="0.25">
      <c r="J1806" s="48"/>
    </row>
    <row r="1807" spans="10:10" ht="18.75" customHeight="1" x14ac:dyDescent="0.25">
      <c r="J1807" s="48"/>
    </row>
    <row r="1808" spans="10:10" ht="18.75" customHeight="1" x14ac:dyDescent="0.25">
      <c r="J1808" s="48"/>
    </row>
    <row r="1809" spans="10:10" ht="18.75" customHeight="1" x14ac:dyDescent="0.25">
      <c r="J1809" s="48"/>
    </row>
    <row r="1810" spans="10:10" ht="18.75" customHeight="1" x14ac:dyDescent="0.25">
      <c r="J1810" s="48"/>
    </row>
    <row r="1811" spans="10:10" ht="18.75" customHeight="1" x14ac:dyDescent="0.25">
      <c r="J1811" s="48"/>
    </row>
    <row r="1812" spans="10:10" ht="18.75" customHeight="1" x14ac:dyDescent="0.25">
      <c r="J1812" s="48"/>
    </row>
    <row r="1813" spans="10:10" ht="18.75" customHeight="1" x14ac:dyDescent="0.25">
      <c r="J1813" s="48"/>
    </row>
    <row r="1814" spans="10:10" ht="18.75" customHeight="1" x14ac:dyDescent="0.25">
      <c r="J1814" s="48"/>
    </row>
    <row r="1815" spans="10:10" ht="18.75" customHeight="1" x14ac:dyDescent="0.25">
      <c r="J1815" s="48"/>
    </row>
    <row r="1816" spans="10:10" ht="18.75" customHeight="1" x14ac:dyDescent="0.25">
      <c r="J1816" s="48"/>
    </row>
    <row r="1817" spans="10:10" ht="18.75" customHeight="1" x14ac:dyDescent="0.25">
      <c r="J1817" s="48"/>
    </row>
    <row r="1818" spans="10:10" ht="18.75" customHeight="1" x14ac:dyDescent="0.25">
      <c r="J1818" s="48"/>
    </row>
    <row r="1819" spans="10:10" ht="18.75" customHeight="1" x14ac:dyDescent="0.25">
      <c r="J1819" s="48"/>
    </row>
    <row r="1820" spans="10:10" ht="18.75" customHeight="1" x14ac:dyDescent="0.25">
      <c r="J1820" s="48"/>
    </row>
    <row r="1821" spans="10:10" ht="18.75" customHeight="1" x14ac:dyDescent="0.25">
      <c r="J1821" s="48"/>
    </row>
    <row r="1822" spans="10:10" ht="18.75" customHeight="1" x14ac:dyDescent="0.25">
      <c r="J1822" s="48"/>
    </row>
    <row r="1823" spans="10:10" ht="18.75" customHeight="1" x14ac:dyDescent="0.25">
      <c r="J1823" s="48"/>
    </row>
    <row r="1824" spans="10:10" ht="18.75" customHeight="1" x14ac:dyDescent="0.25">
      <c r="J1824" s="48"/>
    </row>
    <row r="1825" spans="10:10" ht="18.75" customHeight="1" x14ac:dyDescent="0.25">
      <c r="J1825" s="48"/>
    </row>
    <row r="1826" spans="10:10" ht="18.75" customHeight="1" x14ac:dyDescent="0.25">
      <c r="J1826" s="48"/>
    </row>
    <row r="1827" spans="10:10" ht="18.75" customHeight="1" x14ac:dyDescent="0.25">
      <c r="J1827" s="48"/>
    </row>
    <row r="1828" spans="10:10" ht="18.75" customHeight="1" x14ac:dyDescent="0.25">
      <c r="J1828" s="48"/>
    </row>
    <row r="1829" spans="10:10" ht="18.75" customHeight="1" x14ac:dyDescent="0.25">
      <c r="J1829" s="48"/>
    </row>
    <row r="1830" spans="10:10" ht="18.75" customHeight="1" x14ac:dyDescent="0.25">
      <c r="J1830" s="48"/>
    </row>
    <row r="1831" spans="10:10" ht="18.75" customHeight="1" x14ac:dyDescent="0.25">
      <c r="J1831" s="48"/>
    </row>
    <row r="1832" spans="10:10" ht="18.75" customHeight="1" x14ac:dyDescent="0.25">
      <c r="J1832" s="48"/>
    </row>
    <row r="1833" spans="10:10" ht="18.75" customHeight="1" x14ac:dyDescent="0.25">
      <c r="J1833" s="48"/>
    </row>
    <row r="1834" spans="10:10" ht="18.75" customHeight="1" x14ac:dyDescent="0.25">
      <c r="J1834" s="48"/>
    </row>
    <row r="1835" spans="10:10" ht="18.75" customHeight="1" x14ac:dyDescent="0.25">
      <c r="J1835" s="48"/>
    </row>
    <row r="1836" spans="10:10" ht="18.75" customHeight="1" x14ac:dyDescent="0.25">
      <c r="J1836" s="48"/>
    </row>
    <row r="1837" spans="10:10" ht="18.75" customHeight="1" x14ac:dyDescent="0.25">
      <c r="J1837" s="48"/>
    </row>
    <row r="1838" spans="10:10" ht="18.75" customHeight="1" x14ac:dyDescent="0.25">
      <c r="J1838" s="48"/>
    </row>
    <row r="1839" spans="10:10" ht="18.75" customHeight="1" x14ac:dyDescent="0.25">
      <c r="J1839" s="48"/>
    </row>
    <row r="1840" spans="10:10" ht="18.75" customHeight="1" x14ac:dyDescent="0.25">
      <c r="J1840" s="48"/>
    </row>
    <row r="1841" spans="10:10" ht="18.75" customHeight="1" x14ac:dyDescent="0.25">
      <c r="J1841" s="48"/>
    </row>
    <row r="1842" spans="10:10" ht="18.75" customHeight="1" x14ac:dyDescent="0.25">
      <c r="J1842" s="48"/>
    </row>
    <row r="1843" spans="10:10" ht="18.75" customHeight="1" x14ac:dyDescent="0.25">
      <c r="J1843" s="48"/>
    </row>
    <row r="1844" spans="10:10" ht="18.75" customHeight="1" x14ac:dyDescent="0.25">
      <c r="J1844" s="48"/>
    </row>
    <row r="1845" spans="10:10" ht="18.75" customHeight="1" x14ac:dyDescent="0.25">
      <c r="J1845" s="48"/>
    </row>
    <row r="1846" spans="10:10" ht="18.75" customHeight="1" x14ac:dyDescent="0.25">
      <c r="J1846" s="48"/>
    </row>
    <row r="1847" spans="10:10" ht="18.75" customHeight="1" x14ac:dyDescent="0.25">
      <c r="J1847" s="48"/>
    </row>
    <row r="1848" spans="10:10" ht="18.75" customHeight="1" x14ac:dyDescent="0.25">
      <c r="J1848" s="48"/>
    </row>
    <row r="1849" spans="10:10" ht="18.75" customHeight="1" x14ac:dyDescent="0.25">
      <c r="J1849" s="48"/>
    </row>
    <row r="1850" spans="10:10" ht="18.75" customHeight="1" x14ac:dyDescent="0.25">
      <c r="J1850" s="48"/>
    </row>
    <row r="1851" spans="10:10" ht="18.75" customHeight="1" x14ac:dyDescent="0.25">
      <c r="J1851" s="48"/>
    </row>
    <row r="1852" spans="10:10" ht="18.75" customHeight="1" x14ac:dyDescent="0.25">
      <c r="J1852" s="48"/>
    </row>
    <row r="1853" spans="10:10" ht="18.75" customHeight="1" x14ac:dyDescent="0.25">
      <c r="J1853" s="48"/>
    </row>
    <row r="1854" spans="10:10" ht="18.75" customHeight="1" x14ac:dyDescent="0.25">
      <c r="J1854" s="48"/>
    </row>
    <row r="1855" spans="10:10" ht="18.75" customHeight="1" x14ac:dyDescent="0.25">
      <c r="J1855" s="48"/>
    </row>
    <row r="1856" spans="10:10" ht="18.75" customHeight="1" x14ac:dyDescent="0.25">
      <c r="J1856" s="48"/>
    </row>
    <row r="1857" spans="10:10" ht="18.75" customHeight="1" x14ac:dyDescent="0.25">
      <c r="J1857" s="48"/>
    </row>
    <row r="1858" spans="10:10" ht="18.75" customHeight="1" x14ac:dyDescent="0.25">
      <c r="J1858" s="48"/>
    </row>
    <row r="1859" spans="10:10" ht="18.75" customHeight="1" x14ac:dyDescent="0.25">
      <c r="J1859" s="48"/>
    </row>
    <row r="1860" spans="10:10" ht="18.75" customHeight="1" x14ac:dyDescent="0.25">
      <c r="J1860" s="48"/>
    </row>
    <row r="1861" spans="10:10" ht="18.75" customHeight="1" x14ac:dyDescent="0.25">
      <c r="J1861" s="48"/>
    </row>
    <row r="1862" spans="10:10" ht="18.75" customHeight="1" x14ac:dyDescent="0.25">
      <c r="J1862" s="48"/>
    </row>
    <row r="1863" spans="10:10" ht="18.75" customHeight="1" x14ac:dyDescent="0.25">
      <c r="J1863" s="48"/>
    </row>
    <row r="1864" spans="10:10" ht="18.75" customHeight="1" x14ac:dyDescent="0.25">
      <c r="J1864" s="48"/>
    </row>
    <row r="1865" spans="10:10" ht="18.75" customHeight="1" x14ac:dyDescent="0.25">
      <c r="J1865" s="48"/>
    </row>
    <row r="1866" spans="10:10" ht="18.75" customHeight="1" x14ac:dyDescent="0.25">
      <c r="J1866" s="48"/>
    </row>
    <row r="1867" spans="10:10" ht="18.75" customHeight="1" x14ac:dyDescent="0.25">
      <c r="J1867" s="48"/>
    </row>
    <row r="1868" spans="10:10" ht="18.75" customHeight="1" x14ac:dyDescent="0.25">
      <c r="J1868" s="48"/>
    </row>
    <row r="1869" spans="10:10" ht="18.75" customHeight="1" x14ac:dyDescent="0.25">
      <c r="J1869" s="48"/>
    </row>
    <row r="1870" spans="10:10" ht="18.75" customHeight="1" x14ac:dyDescent="0.25">
      <c r="J1870" s="48"/>
    </row>
    <row r="1871" spans="10:10" ht="18.75" customHeight="1" x14ac:dyDescent="0.25">
      <c r="J1871" s="48"/>
    </row>
    <row r="1872" spans="10:10" ht="18.75" customHeight="1" x14ac:dyDescent="0.25">
      <c r="J1872" s="48"/>
    </row>
    <row r="1873" spans="10:10" ht="18.75" customHeight="1" x14ac:dyDescent="0.25">
      <c r="J1873" s="48"/>
    </row>
    <row r="1874" spans="10:10" ht="18.75" customHeight="1" x14ac:dyDescent="0.25">
      <c r="J1874" s="48"/>
    </row>
    <row r="1875" spans="10:10" ht="18.75" customHeight="1" x14ac:dyDescent="0.25">
      <c r="J1875" s="48"/>
    </row>
    <row r="1876" spans="10:10" ht="18.75" customHeight="1" x14ac:dyDescent="0.25">
      <c r="J1876" s="48"/>
    </row>
    <row r="1877" spans="10:10" ht="18.75" customHeight="1" x14ac:dyDescent="0.25">
      <c r="J1877" s="48"/>
    </row>
    <row r="1878" spans="10:10" ht="18.75" customHeight="1" x14ac:dyDescent="0.25">
      <c r="J1878" s="48"/>
    </row>
    <row r="1879" spans="10:10" ht="18.75" customHeight="1" x14ac:dyDescent="0.25">
      <c r="J1879" s="48"/>
    </row>
    <row r="1880" spans="10:10" ht="18.75" customHeight="1" x14ac:dyDescent="0.25">
      <c r="J1880" s="48"/>
    </row>
    <row r="1881" spans="10:10" ht="18.75" customHeight="1" x14ac:dyDescent="0.25">
      <c r="J1881" s="48"/>
    </row>
    <row r="1882" spans="10:10" ht="18.75" customHeight="1" x14ac:dyDescent="0.25">
      <c r="J1882" s="48"/>
    </row>
    <row r="1883" spans="10:10" ht="18.75" customHeight="1" x14ac:dyDescent="0.25">
      <c r="J1883" s="48"/>
    </row>
    <row r="1884" spans="10:10" ht="18.75" customHeight="1" x14ac:dyDescent="0.25">
      <c r="J1884" s="48"/>
    </row>
    <row r="1885" spans="10:10" ht="18.75" customHeight="1" x14ac:dyDescent="0.25">
      <c r="J1885" s="48"/>
    </row>
    <row r="1886" spans="10:10" ht="18.75" customHeight="1" x14ac:dyDescent="0.25">
      <c r="J1886" s="48"/>
    </row>
    <row r="1887" spans="10:10" ht="18.75" customHeight="1" x14ac:dyDescent="0.25">
      <c r="J1887" s="48"/>
    </row>
    <row r="1888" spans="10:10" ht="18.75" customHeight="1" x14ac:dyDescent="0.25">
      <c r="J1888" s="48"/>
    </row>
    <row r="1889" spans="10:10" ht="18.75" customHeight="1" x14ac:dyDescent="0.25">
      <c r="J1889" s="48"/>
    </row>
    <row r="1890" spans="10:10" ht="18.75" customHeight="1" x14ac:dyDescent="0.25">
      <c r="J1890" s="48"/>
    </row>
    <row r="1891" spans="10:10" ht="18.75" customHeight="1" x14ac:dyDescent="0.25">
      <c r="J1891" s="48"/>
    </row>
    <row r="1892" spans="10:10" ht="18.75" customHeight="1" x14ac:dyDescent="0.25">
      <c r="J1892" s="48"/>
    </row>
    <row r="1893" spans="10:10" ht="18.75" customHeight="1" x14ac:dyDescent="0.25">
      <c r="J1893" s="48"/>
    </row>
    <row r="1894" spans="10:10" ht="18.75" customHeight="1" x14ac:dyDescent="0.25">
      <c r="J1894" s="48"/>
    </row>
    <row r="1895" spans="10:10" ht="18.75" customHeight="1" x14ac:dyDescent="0.25">
      <c r="J1895" s="48"/>
    </row>
    <row r="1896" spans="10:10" ht="18.75" customHeight="1" x14ac:dyDescent="0.25">
      <c r="J1896" s="48"/>
    </row>
    <row r="1897" spans="10:10" ht="18.75" customHeight="1" x14ac:dyDescent="0.25">
      <c r="J1897" s="48"/>
    </row>
    <row r="1898" spans="10:10" ht="18.75" customHeight="1" x14ac:dyDescent="0.25">
      <c r="J1898" s="48"/>
    </row>
    <row r="1899" spans="10:10" ht="18.75" customHeight="1" x14ac:dyDescent="0.25">
      <c r="J1899" s="48"/>
    </row>
    <row r="1900" spans="10:10" ht="18.75" customHeight="1" x14ac:dyDescent="0.25">
      <c r="J1900" s="48"/>
    </row>
    <row r="1901" spans="10:10" ht="18.75" customHeight="1" x14ac:dyDescent="0.25">
      <c r="J1901" s="48"/>
    </row>
    <row r="1902" spans="10:10" ht="18.75" customHeight="1" x14ac:dyDescent="0.25">
      <c r="J1902" s="48"/>
    </row>
    <row r="1903" spans="10:10" ht="18.75" customHeight="1" x14ac:dyDescent="0.25">
      <c r="J1903" s="48"/>
    </row>
    <row r="1904" spans="10:10" ht="18.75" customHeight="1" x14ac:dyDescent="0.25">
      <c r="J1904" s="48"/>
    </row>
    <row r="1905" spans="10:10" ht="18.75" customHeight="1" x14ac:dyDescent="0.25">
      <c r="J1905" s="48"/>
    </row>
    <row r="1906" spans="10:10" ht="18.75" customHeight="1" x14ac:dyDescent="0.25">
      <c r="J1906" s="48"/>
    </row>
    <row r="1907" spans="10:10" ht="18.75" customHeight="1" x14ac:dyDescent="0.25">
      <c r="J1907" s="48"/>
    </row>
    <row r="1908" spans="10:10" ht="18.75" customHeight="1" x14ac:dyDescent="0.25">
      <c r="J1908" s="48"/>
    </row>
    <row r="1909" spans="10:10" ht="18.75" customHeight="1" x14ac:dyDescent="0.25">
      <c r="J1909" s="48"/>
    </row>
    <row r="1910" spans="10:10" ht="18.75" customHeight="1" x14ac:dyDescent="0.25">
      <c r="J1910" s="48"/>
    </row>
    <row r="1911" spans="10:10" ht="18.75" customHeight="1" x14ac:dyDescent="0.25">
      <c r="J1911" s="48"/>
    </row>
    <row r="1912" spans="10:10" ht="18.75" customHeight="1" x14ac:dyDescent="0.25">
      <c r="J1912" s="48"/>
    </row>
    <row r="1913" spans="10:10" ht="18.75" customHeight="1" x14ac:dyDescent="0.25">
      <c r="J1913" s="48"/>
    </row>
    <row r="1914" spans="10:10" ht="18.75" customHeight="1" x14ac:dyDescent="0.25">
      <c r="J1914" s="48"/>
    </row>
    <row r="1915" spans="10:10" ht="18.75" customHeight="1" x14ac:dyDescent="0.25">
      <c r="J1915" s="48"/>
    </row>
    <row r="1916" spans="10:10" ht="18.75" customHeight="1" x14ac:dyDescent="0.25">
      <c r="J1916" s="48"/>
    </row>
    <row r="1917" spans="10:10" ht="18.75" customHeight="1" x14ac:dyDescent="0.25">
      <c r="J1917" s="48"/>
    </row>
    <row r="1918" spans="10:10" ht="18.75" customHeight="1" x14ac:dyDescent="0.25">
      <c r="J1918" s="48"/>
    </row>
    <row r="1919" spans="10:10" ht="18.75" customHeight="1" x14ac:dyDescent="0.25">
      <c r="J1919" s="48"/>
    </row>
    <row r="1920" spans="10:10" ht="18.75" customHeight="1" x14ac:dyDescent="0.25">
      <c r="J1920" s="48"/>
    </row>
    <row r="1921" spans="10:10" ht="18.75" customHeight="1" x14ac:dyDescent="0.25">
      <c r="J1921" s="48"/>
    </row>
    <row r="1922" spans="10:10" ht="18.75" customHeight="1" x14ac:dyDescent="0.25">
      <c r="J1922" s="48"/>
    </row>
    <row r="1923" spans="10:10" ht="18.75" customHeight="1" x14ac:dyDescent="0.25">
      <c r="J1923" s="48"/>
    </row>
    <row r="1924" spans="10:10" ht="18.75" customHeight="1" x14ac:dyDescent="0.25">
      <c r="J1924" s="48"/>
    </row>
    <row r="1925" spans="10:10" ht="18.75" customHeight="1" x14ac:dyDescent="0.25">
      <c r="J1925" s="48"/>
    </row>
    <row r="1926" spans="10:10" ht="18.75" customHeight="1" x14ac:dyDescent="0.25">
      <c r="J1926" s="48"/>
    </row>
    <row r="1927" spans="10:10" ht="18.75" customHeight="1" x14ac:dyDescent="0.25">
      <c r="J1927" s="48"/>
    </row>
    <row r="1928" spans="10:10" ht="18.75" customHeight="1" x14ac:dyDescent="0.25">
      <c r="J1928" s="48"/>
    </row>
    <row r="1929" spans="10:10" ht="18.75" customHeight="1" x14ac:dyDescent="0.25">
      <c r="J1929" s="48"/>
    </row>
    <row r="1930" spans="10:10" ht="18.75" customHeight="1" x14ac:dyDescent="0.25">
      <c r="J1930" s="48"/>
    </row>
    <row r="1931" spans="10:10" ht="18.75" customHeight="1" x14ac:dyDescent="0.25">
      <c r="J1931" s="48"/>
    </row>
    <row r="1932" spans="10:10" ht="18.75" customHeight="1" x14ac:dyDescent="0.25">
      <c r="J1932" s="48"/>
    </row>
    <row r="1933" spans="10:10" ht="18.75" customHeight="1" x14ac:dyDescent="0.25">
      <c r="J1933" s="48"/>
    </row>
    <row r="1934" spans="10:10" ht="18.75" customHeight="1" x14ac:dyDescent="0.25">
      <c r="J1934" s="48"/>
    </row>
    <row r="1935" spans="10:10" ht="18.75" customHeight="1" x14ac:dyDescent="0.25">
      <c r="J1935" s="48"/>
    </row>
    <row r="1936" spans="10:10" ht="18.75" customHeight="1" x14ac:dyDescent="0.25">
      <c r="J1936" s="48"/>
    </row>
    <row r="1937" spans="10:10" ht="18.75" customHeight="1" x14ac:dyDescent="0.25">
      <c r="J1937" s="48"/>
    </row>
    <row r="1938" spans="10:10" ht="18.75" customHeight="1" x14ac:dyDescent="0.25">
      <c r="J1938" s="48"/>
    </row>
    <row r="1939" spans="10:10" ht="18.75" customHeight="1" x14ac:dyDescent="0.25">
      <c r="J1939" s="48"/>
    </row>
    <row r="1940" spans="10:10" ht="18.75" customHeight="1" x14ac:dyDescent="0.25">
      <c r="J1940" s="48"/>
    </row>
    <row r="1941" spans="10:10" ht="18.75" customHeight="1" x14ac:dyDescent="0.25">
      <c r="J1941" s="48"/>
    </row>
    <row r="1942" spans="10:10" ht="18.75" customHeight="1" x14ac:dyDescent="0.25">
      <c r="J1942" s="48"/>
    </row>
    <row r="1943" spans="10:10" ht="18.75" customHeight="1" x14ac:dyDescent="0.25">
      <c r="J1943" s="48"/>
    </row>
    <row r="1944" spans="10:10" ht="18.75" customHeight="1" x14ac:dyDescent="0.25">
      <c r="J1944" s="48"/>
    </row>
    <row r="1945" spans="10:10" ht="18.75" customHeight="1" x14ac:dyDescent="0.25">
      <c r="J1945" s="48"/>
    </row>
    <row r="1946" spans="10:10" ht="18.75" customHeight="1" x14ac:dyDescent="0.25">
      <c r="J1946" s="48"/>
    </row>
    <row r="1947" spans="10:10" ht="18.75" customHeight="1" x14ac:dyDescent="0.25">
      <c r="J1947" s="48"/>
    </row>
    <row r="1948" spans="10:10" ht="18.75" customHeight="1" x14ac:dyDescent="0.25">
      <c r="J1948" s="48"/>
    </row>
    <row r="1949" spans="10:10" ht="18.75" customHeight="1" x14ac:dyDescent="0.25">
      <c r="J1949" s="48"/>
    </row>
    <row r="1950" spans="10:10" ht="18.75" customHeight="1" x14ac:dyDescent="0.25">
      <c r="J1950" s="48"/>
    </row>
    <row r="1951" spans="10:10" ht="18.75" customHeight="1" x14ac:dyDescent="0.25">
      <c r="J1951" s="48"/>
    </row>
    <row r="1952" spans="10:10" ht="18.75" customHeight="1" x14ac:dyDescent="0.25">
      <c r="J1952" s="48"/>
    </row>
    <row r="1953" spans="10:10" ht="18.75" customHeight="1" x14ac:dyDescent="0.25">
      <c r="J1953" s="48"/>
    </row>
    <row r="1954" spans="10:10" ht="18.75" customHeight="1" x14ac:dyDescent="0.25">
      <c r="J1954" s="48"/>
    </row>
    <row r="1955" spans="10:10" ht="18.75" customHeight="1" x14ac:dyDescent="0.25">
      <c r="J1955" s="48"/>
    </row>
    <row r="1956" spans="10:10" ht="18.75" customHeight="1" x14ac:dyDescent="0.25">
      <c r="J1956" s="48"/>
    </row>
    <row r="1957" spans="10:10" ht="18.75" customHeight="1" x14ac:dyDescent="0.25">
      <c r="J1957" s="48"/>
    </row>
    <row r="1958" spans="10:10" ht="18.75" customHeight="1" x14ac:dyDescent="0.25">
      <c r="J1958" s="48"/>
    </row>
    <row r="1959" spans="10:10" ht="18.75" customHeight="1" x14ac:dyDescent="0.25">
      <c r="J1959" s="48"/>
    </row>
    <row r="1960" spans="10:10" ht="18.75" customHeight="1" x14ac:dyDescent="0.25">
      <c r="J1960" s="48"/>
    </row>
    <row r="1961" spans="10:10" ht="18.75" customHeight="1" x14ac:dyDescent="0.25">
      <c r="J1961" s="48"/>
    </row>
    <row r="1962" spans="10:10" ht="18.75" customHeight="1" x14ac:dyDescent="0.25">
      <c r="J1962" s="48"/>
    </row>
    <row r="1963" spans="10:10" ht="18.75" customHeight="1" x14ac:dyDescent="0.25">
      <c r="J1963" s="48"/>
    </row>
    <row r="1964" spans="10:10" ht="18.75" customHeight="1" x14ac:dyDescent="0.25">
      <c r="J1964" s="48"/>
    </row>
    <row r="1965" spans="10:10" ht="18.75" customHeight="1" x14ac:dyDescent="0.25">
      <c r="J1965" s="48"/>
    </row>
    <row r="1966" spans="10:10" ht="18.75" customHeight="1" x14ac:dyDescent="0.25">
      <c r="J1966" s="48"/>
    </row>
    <row r="1967" spans="10:10" ht="18.75" customHeight="1" x14ac:dyDescent="0.25">
      <c r="J1967" s="48"/>
    </row>
    <row r="1968" spans="10:10" ht="18.75" customHeight="1" x14ac:dyDescent="0.25">
      <c r="J1968" s="48"/>
    </row>
    <row r="1969" spans="10:10" ht="18.75" customHeight="1" x14ac:dyDescent="0.25">
      <c r="J1969" s="48"/>
    </row>
    <row r="1970" spans="10:10" ht="18.75" customHeight="1" x14ac:dyDescent="0.25">
      <c r="J1970" s="48"/>
    </row>
    <row r="1971" spans="10:10" ht="18.75" customHeight="1" x14ac:dyDescent="0.25">
      <c r="J1971" s="48"/>
    </row>
    <row r="1972" spans="10:10" ht="18.75" customHeight="1" x14ac:dyDescent="0.25">
      <c r="J1972" s="48"/>
    </row>
    <row r="1973" spans="10:10" ht="18.75" customHeight="1" x14ac:dyDescent="0.25">
      <c r="J1973" s="48"/>
    </row>
    <row r="1974" spans="10:10" ht="18.75" customHeight="1" x14ac:dyDescent="0.25">
      <c r="J1974" s="48"/>
    </row>
    <row r="1975" spans="10:10" ht="18.75" customHeight="1" x14ac:dyDescent="0.25">
      <c r="J1975" s="48"/>
    </row>
    <row r="1976" spans="10:10" ht="18.75" customHeight="1" x14ac:dyDescent="0.25">
      <c r="J1976" s="48"/>
    </row>
    <row r="1977" spans="10:10" ht="18.75" customHeight="1" x14ac:dyDescent="0.25">
      <c r="J1977" s="48"/>
    </row>
    <row r="1978" spans="10:10" ht="18.75" customHeight="1" x14ac:dyDescent="0.25">
      <c r="J1978" s="48"/>
    </row>
    <row r="1979" spans="10:10" ht="18.75" customHeight="1" x14ac:dyDescent="0.25">
      <c r="J1979" s="48"/>
    </row>
    <row r="1980" spans="10:10" ht="18.75" customHeight="1" x14ac:dyDescent="0.25">
      <c r="J1980" s="48"/>
    </row>
    <row r="1981" spans="10:10" ht="18.75" customHeight="1" x14ac:dyDescent="0.25">
      <c r="J1981" s="48"/>
    </row>
    <row r="1982" spans="10:10" ht="18.75" customHeight="1" x14ac:dyDescent="0.25">
      <c r="J1982" s="48"/>
    </row>
    <row r="1983" spans="10:10" ht="18.75" customHeight="1" x14ac:dyDescent="0.25">
      <c r="J1983" s="48"/>
    </row>
    <row r="1984" spans="10:10" ht="18.75" customHeight="1" x14ac:dyDescent="0.25">
      <c r="J1984" s="48"/>
    </row>
    <row r="1985" spans="10:10" ht="18.75" customHeight="1" x14ac:dyDescent="0.25">
      <c r="J1985" s="48"/>
    </row>
    <row r="1986" spans="10:10" ht="18.75" customHeight="1" x14ac:dyDescent="0.25">
      <c r="J1986" s="48"/>
    </row>
    <row r="1987" spans="10:10" ht="18.75" customHeight="1" x14ac:dyDescent="0.25">
      <c r="J1987" s="48"/>
    </row>
    <row r="1988" spans="10:10" ht="18.75" customHeight="1" x14ac:dyDescent="0.25">
      <c r="J1988" s="48"/>
    </row>
    <row r="1989" spans="10:10" ht="18.75" customHeight="1" x14ac:dyDescent="0.25">
      <c r="J1989" s="48"/>
    </row>
    <row r="1990" spans="10:10" ht="18.75" customHeight="1" x14ac:dyDescent="0.25">
      <c r="J1990" s="48"/>
    </row>
    <row r="1991" spans="10:10" ht="18.75" customHeight="1" x14ac:dyDescent="0.25">
      <c r="J1991" s="48"/>
    </row>
    <row r="1992" spans="10:10" ht="18.75" customHeight="1" x14ac:dyDescent="0.25">
      <c r="J1992" s="48"/>
    </row>
    <row r="1993" spans="10:10" ht="18.75" customHeight="1" x14ac:dyDescent="0.25">
      <c r="J1993" s="48"/>
    </row>
    <row r="1994" spans="10:10" ht="18.75" customHeight="1" x14ac:dyDescent="0.25">
      <c r="J1994" s="48"/>
    </row>
    <row r="1995" spans="10:10" ht="18.75" customHeight="1" x14ac:dyDescent="0.25">
      <c r="J1995" s="48"/>
    </row>
    <row r="1996" spans="10:10" ht="18.75" customHeight="1" x14ac:dyDescent="0.25">
      <c r="J1996" s="48"/>
    </row>
    <row r="1997" spans="10:10" ht="18.75" customHeight="1" x14ac:dyDescent="0.25">
      <c r="J1997" s="48"/>
    </row>
    <row r="1998" spans="10:10" ht="18.75" customHeight="1" x14ac:dyDescent="0.25">
      <c r="J1998" s="48"/>
    </row>
    <row r="1999" spans="10:10" ht="18.75" customHeight="1" x14ac:dyDescent="0.25">
      <c r="J1999" s="48"/>
    </row>
    <row r="2000" spans="10:10" ht="18.75" customHeight="1" x14ac:dyDescent="0.25">
      <c r="J2000" s="48"/>
    </row>
    <row r="2001" spans="10:10" ht="18.75" customHeight="1" x14ac:dyDescent="0.25">
      <c r="J2001" s="48"/>
    </row>
    <row r="2002" spans="10:10" ht="18.75" customHeight="1" x14ac:dyDescent="0.25">
      <c r="J2002" s="48"/>
    </row>
    <row r="2003" spans="10:10" ht="18.75" customHeight="1" x14ac:dyDescent="0.25">
      <c r="J2003" s="48"/>
    </row>
    <row r="2004" spans="10:10" ht="18.75" customHeight="1" x14ac:dyDescent="0.25">
      <c r="J2004" s="48"/>
    </row>
    <row r="2005" spans="10:10" ht="18.75" customHeight="1" x14ac:dyDescent="0.25">
      <c r="J2005" s="48"/>
    </row>
    <row r="2006" spans="10:10" ht="18.75" customHeight="1" x14ac:dyDescent="0.25">
      <c r="J2006" s="48"/>
    </row>
    <row r="2007" spans="10:10" ht="18.75" customHeight="1" x14ac:dyDescent="0.25">
      <c r="J2007" s="48"/>
    </row>
    <row r="2008" spans="10:10" ht="18.75" customHeight="1" x14ac:dyDescent="0.25">
      <c r="J2008" s="48"/>
    </row>
    <row r="2009" spans="10:10" ht="18.75" customHeight="1" x14ac:dyDescent="0.25">
      <c r="J2009" s="48"/>
    </row>
    <row r="2010" spans="10:10" ht="18.75" customHeight="1" x14ac:dyDescent="0.25">
      <c r="J2010" s="48"/>
    </row>
    <row r="2011" spans="10:10" ht="18.75" customHeight="1" x14ac:dyDescent="0.25">
      <c r="J2011" s="48"/>
    </row>
    <row r="2012" spans="10:10" ht="18.75" customHeight="1" x14ac:dyDescent="0.25">
      <c r="J2012" s="48"/>
    </row>
    <row r="2013" spans="10:10" ht="18.75" customHeight="1" x14ac:dyDescent="0.25">
      <c r="J2013" s="48"/>
    </row>
    <row r="2014" spans="10:10" ht="18.75" customHeight="1" x14ac:dyDescent="0.25">
      <c r="J2014" s="48"/>
    </row>
    <row r="2015" spans="10:10" ht="18.75" customHeight="1" x14ac:dyDescent="0.25">
      <c r="J2015" s="48"/>
    </row>
    <row r="2016" spans="10:10" ht="18.75" customHeight="1" x14ac:dyDescent="0.25">
      <c r="J2016" s="48"/>
    </row>
    <row r="2017" spans="10:10" ht="18.75" customHeight="1" x14ac:dyDescent="0.25">
      <c r="J2017" s="48"/>
    </row>
    <row r="2018" spans="10:10" ht="18.75" customHeight="1" x14ac:dyDescent="0.25">
      <c r="J2018" s="48"/>
    </row>
    <row r="2019" spans="10:10" ht="18.75" customHeight="1" x14ac:dyDescent="0.25">
      <c r="J2019" s="48"/>
    </row>
    <row r="2020" spans="10:10" ht="18.75" customHeight="1" x14ac:dyDescent="0.25">
      <c r="J2020" s="48"/>
    </row>
    <row r="2021" spans="10:10" ht="18.75" customHeight="1" x14ac:dyDescent="0.25">
      <c r="J2021" s="48"/>
    </row>
    <row r="2022" spans="10:10" ht="18.75" customHeight="1" x14ac:dyDescent="0.25">
      <c r="J2022" s="48"/>
    </row>
    <row r="2023" spans="10:10" ht="18.75" customHeight="1" x14ac:dyDescent="0.25">
      <c r="J2023" s="48"/>
    </row>
    <row r="2024" spans="10:10" ht="18.75" customHeight="1" x14ac:dyDescent="0.25">
      <c r="J2024" s="48"/>
    </row>
    <row r="2025" spans="10:10" ht="18.75" customHeight="1" x14ac:dyDescent="0.25">
      <c r="J2025" s="48"/>
    </row>
    <row r="2026" spans="10:10" ht="18.75" customHeight="1" x14ac:dyDescent="0.25">
      <c r="J2026" s="48"/>
    </row>
    <row r="2027" spans="10:10" ht="18.75" customHeight="1" x14ac:dyDescent="0.25">
      <c r="J2027" s="48"/>
    </row>
    <row r="2028" spans="10:10" ht="18.75" customHeight="1" x14ac:dyDescent="0.25">
      <c r="J2028" s="48"/>
    </row>
    <row r="2029" spans="10:10" ht="18.75" customHeight="1" x14ac:dyDescent="0.25">
      <c r="J2029" s="48"/>
    </row>
    <row r="2030" spans="10:10" ht="18.75" customHeight="1" x14ac:dyDescent="0.25">
      <c r="J2030" s="48"/>
    </row>
    <row r="2031" spans="10:10" ht="18.75" customHeight="1" x14ac:dyDescent="0.25">
      <c r="J2031" s="48"/>
    </row>
    <row r="2032" spans="10:10" ht="18.75" customHeight="1" x14ac:dyDescent="0.25">
      <c r="J2032" s="48"/>
    </row>
    <row r="2033" spans="10:10" ht="18.75" customHeight="1" x14ac:dyDescent="0.25">
      <c r="J2033" s="48"/>
    </row>
    <row r="2034" spans="10:10" ht="18.75" customHeight="1" x14ac:dyDescent="0.25">
      <c r="J2034" s="48"/>
    </row>
    <row r="2035" spans="10:10" ht="18.75" customHeight="1" x14ac:dyDescent="0.25">
      <c r="J2035" s="48"/>
    </row>
    <row r="2036" spans="10:10" ht="18.75" customHeight="1" x14ac:dyDescent="0.25">
      <c r="J2036" s="48"/>
    </row>
    <row r="2037" spans="10:10" ht="18.75" customHeight="1" x14ac:dyDescent="0.25">
      <c r="J2037" s="48"/>
    </row>
    <row r="2038" spans="10:10" ht="18.75" customHeight="1" x14ac:dyDescent="0.25">
      <c r="J2038" s="48"/>
    </row>
    <row r="2039" spans="10:10" ht="18.75" customHeight="1" x14ac:dyDescent="0.25">
      <c r="J2039" s="48"/>
    </row>
    <row r="2040" spans="10:10" ht="18.75" customHeight="1" x14ac:dyDescent="0.25">
      <c r="J2040" s="48"/>
    </row>
    <row r="2041" spans="10:10" ht="18.75" customHeight="1" x14ac:dyDescent="0.25">
      <c r="J2041" s="48"/>
    </row>
    <row r="2042" spans="10:10" ht="18.75" customHeight="1" x14ac:dyDescent="0.25">
      <c r="J2042" s="48"/>
    </row>
    <row r="2043" spans="10:10" ht="18.75" customHeight="1" x14ac:dyDescent="0.25">
      <c r="J2043" s="48"/>
    </row>
    <row r="2044" spans="10:10" ht="18.75" customHeight="1" x14ac:dyDescent="0.25">
      <c r="J2044" s="48"/>
    </row>
    <row r="2045" spans="10:10" ht="18.75" customHeight="1" x14ac:dyDescent="0.25">
      <c r="J2045" s="48"/>
    </row>
    <row r="2046" spans="10:10" ht="18.75" customHeight="1" x14ac:dyDescent="0.25">
      <c r="J2046" s="48"/>
    </row>
    <row r="2047" spans="10:10" ht="18.75" customHeight="1" x14ac:dyDescent="0.25">
      <c r="J2047" s="48"/>
    </row>
    <row r="2048" spans="10:10" ht="18.75" customHeight="1" x14ac:dyDescent="0.25">
      <c r="J2048" s="48"/>
    </row>
    <row r="2049" spans="10:10" ht="18.75" customHeight="1" x14ac:dyDescent="0.25">
      <c r="J2049" s="48"/>
    </row>
    <row r="2050" spans="10:10" ht="18.75" customHeight="1" x14ac:dyDescent="0.25">
      <c r="J2050" s="48"/>
    </row>
    <row r="2051" spans="10:10" ht="18.75" customHeight="1" x14ac:dyDescent="0.25">
      <c r="J2051" s="48"/>
    </row>
    <row r="2052" spans="10:10" ht="18.75" customHeight="1" x14ac:dyDescent="0.25">
      <c r="J2052" s="48"/>
    </row>
    <row r="2053" spans="10:10" ht="18.75" customHeight="1" x14ac:dyDescent="0.25">
      <c r="J2053" s="48"/>
    </row>
    <row r="2054" spans="10:10" ht="18.75" customHeight="1" x14ac:dyDescent="0.25">
      <c r="J2054" s="48"/>
    </row>
    <row r="2055" spans="10:10" ht="18.75" customHeight="1" x14ac:dyDescent="0.25">
      <c r="J2055" s="48"/>
    </row>
    <row r="2056" spans="10:10" ht="18.75" customHeight="1" x14ac:dyDescent="0.25">
      <c r="J2056" s="48"/>
    </row>
    <row r="2057" spans="10:10" ht="18.75" customHeight="1" x14ac:dyDescent="0.25">
      <c r="J2057" s="48"/>
    </row>
    <row r="2058" spans="10:10" ht="18.75" customHeight="1" x14ac:dyDescent="0.25">
      <c r="J2058" s="48"/>
    </row>
    <row r="2059" spans="10:10" ht="18.75" customHeight="1" x14ac:dyDescent="0.25">
      <c r="J2059" s="48"/>
    </row>
    <row r="2060" spans="10:10" ht="18.75" customHeight="1" x14ac:dyDescent="0.25">
      <c r="J2060" s="48"/>
    </row>
    <row r="2061" spans="10:10" ht="18.75" customHeight="1" x14ac:dyDescent="0.25">
      <c r="J2061" s="48"/>
    </row>
    <row r="2062" spans="10:10" ht="18.75" customHeight="1" x14ac:dyDescent="0.25">
      <c r="J2062" s="48"/>
    </row>
    <row r="2063" spans="10:10" ht="18.75" customHeight="1" x14ac:dyDescent="0.25">
      <c r="J2063" s="48"/>
    </row>
    <row r="2064" spans="10:10" ht="18.75" customHeight="1" x14ac:dyDescent="0.25">
      <c r="J2064" s="48"/>
    </row>
    <row r="2065" spans="10:10" ht="18.75" customHeight="1" x14ac:dyDescent="0.25">
      <c r="J2065" s="48"/>
    </row>
    <row r="2066" spans="10:10" ht="18.75" customHeight="1" x14ac:dyDescent="0.25">
      <c r="J2066" s="48"/>
    </row>
    <row r="2067" spans="10:10" ht="18.75" customHeight="1" x14ac:dyDescent="0.25">
      <c r="J2067" s="48"/>
    </row>
    <row r="2068" spans="10:10" ht="18.75" customHeight="1" x14ac:dyDescent="0.25">
      <c r="J2068" s="48"/>
    </row>
    <row r="2069" spans="10:10" ht="18.75" customHeight="1" x14ac:dyDescent="0.25">
      <c r="J2069" s="48"/>
    </row>
    <row r="2070" spans="10:10" ht="18.75" customHeight="1" x14ac:dyDescent="0.25">
      <c r="J2070" s="48"/>
    </row>
    <row r="2071" spans="10:10" ht="18.75" customHeight="1" x14ac:dyDescent="0.25">
      <c r="J2071" s="48"/>
    </row>
    <row r="2072" spans="10:10" ht="18.75" customHeight="1" x14ac:dyDescent="0.25">
      <c r="J2072" s="48"/>
    </row>
    <row r="2073" spans="10:10" ht="18.75" customHeight="1" x14ac:dyDescent="0.25">
      <c r="J2073" s="48"/>
    </row>
    <row r="2074" spans="10:10" ht="18.75" customHeight="1" x14ac:dyDescent="0.25">
      <c r="J2074" s="48"/>
    </row>
    <row r="2075" spans="10:10" ht="18.75" customHeight="1" x14ac:dyDescent="0.25">
      <c r="J2075" s="48"/>
    </row>
    <row r="2076" spans="10:10" ht="18.75" customHeight="1" x14ac:dyDescent="0.25">
      <c r="J2076" s="48"/>
    </row>
    <row r="2077" spans="10:10" ht="18.75" customHeight="1" x14ac:dyDescent="0.25">
      <c r="J2077" s="48"/>
    </row>
    <row r="2078" spans="10:10" ht="18.75" customHeight="1" x14ac:dyDescent="0.25">
      <c r="J2078" s="48"/>
    </row>
    <row r="2079" spans="10:10" ht="18.75" customHeight="1" x14ac:dyDescent="0.25">
      <c r="J2079" s="48"/>
    </row>
    <row r="2080" spans="10:10" ht="18.75" customHeight="1" x14ac:dyDescent="0.25">
      <c r="J2080" s="48"/>
    </row>
    <row r="2081" spans="10:10" ht="18.75" customHeight="1" x14ac:dyDescent="0.25">
      <c r="J2081" s="48"/>
    </row>
    <row r="2082" spans="10:10" ht="18.75" customHeight="1" x14ac:dyDescent="0.25">
      <c r="J2082" s="48"/>
    </row>
    <row r="2083" spans="10:10" ht="18.75" customHeight="1" x14ac:dyDescent="0.25">
      <c r="J2083" s="48"/>
    </row>
    <row r="2084" spans="10:10" ht="18.75" customHeight="1" x14ac:dyDescent="0.25">
      <c r="J2084" s="48"/>
    </row>
    <row r="2085" spans="10:10" ht="18.75" customHeight="1" x14ac:dyDescent="0.25">
      <c r="J2085" s="48"/>
    </row>
    <row r="2086" spans="10:10" ht="18.75" customHeight="1" x14ac:dyDescent="0.25">
      <c r="J2086" s="48"/>
    </row>
    <row r="2087" spans="10:10" ht="18.75" customHeight="1" x14ac:dyDescent="0.25">
      <c r="J2087" s="48"/>
    </row>
    <row r="2088" spans="10:10" ht="18.75" customHeight="1" x14ac:dyDescent="0.25">
      <c r="J2088" s="48"/>
    </row>
    <row r="2089" spans="10:10" ht="18.75" customHeight="1" x14ac:dyDescent="0.25">
      <c r="J2089" s="48"/>
    </row>
    <row r="2090" spans="10:10" ht="18.75" customHeight="1" x14ac:dyDescent="0.25">
      <c r="J2090" s="48"/>
    </row>
    <row r="2091" spans="10:10" ht="18.75" customHeight="1" x14ac:dyDescent="0.25">
      <c r="J2091" s="48"/>
    </row>
    <row r="2092" spans="10:10" ht="18.75" customHeight="1" x14ac:dyDescent="0.25">
      <c r="J2092" s="48"/>
    </row>
    <row r="2093" spans="10:10" ht="18.75" customHeight="1" x14ac:dyDescent="0.25">
      <c r="J2093" s="48"/>
    </row>
    <row r="2094" spans="10:10" ht="18.75" customHeight="1" x14ac:dyDescent="0.25">
      <c r="J2094" s="48"/>
    </row>
    <row r="2095" spans="10:10" ht="18.75" customHeight="1" x14ac:dyDescent="0.25">
      <c r="J2095" s="48"/>
    </row>
    <row r="2096" spans="10:10" ht="18.75" customHeight="1" x14ac:dyDescent="0.25">
      <c r="J2096" s="48"/>
    </row>
    <row r="2097" spans="10:10" ht="18.75" customHeight="1" x14ac:dyDescent="0.25">
      <c r="J2097" s="48"/>
    </row>
    <row r="2098" spans="10:10" ht="18.75" customHeight="1" x14ac:dyDescent="0.25">
      <c r="J2098" s="48"/>
    </row>
    <row r="2099" spans="10:10" ht="18.75" customHeight="1" x14ac:dyDescent="0.25">
      <c r="J2099" s="48"/>
    </row>
    <row r="2100" spans="10:10" ht="18.75" customHeight="1" x14ac:dyDescent="0.25">
      <c r="J2100" s="48"/>
    </row>
    <row r="2101" spans="10:10" ht="18.75" customHeight="1" x14ac:dyDescent="0.25">
      <c r="J2101" s="48"/>
    </row>
    <row r="2102" spans="10:10" ht="18.75" customHeight="1" x14ac:dyDescent="0.25">
      <c r="J2102" s="48"/>
    </row>
    <row r="2103" spans="10:10" ht="18.75" customHeight="1" x14ac:dyDescent="0.25">
      <c r="J2103" s="48"/>
    </row>
    <row r="2104" spans="10:10" ht="18.75" customHeight="1" x14ac:dyDescent="0.25">
      <c r="J2104" s="48"/>
    </row>
    <row r="2105" spans="10:10" ht="18.75" customHeight="1" x14ac:dyDescent="0.25">
      <c r="J2105" s="48"/>
    </row>
    <row r="2106" spans="10:10" ht="18.75" customHeight="1" x14ac:dyDescent="0.25">
      <c r="J2106" s="48"/>
    </row>
    <row r="2107" spans="10:10" ht="18.75" customHeight="1" x14ac:dyDescent="0.25">
      <c r="J2107" s="48"/>
    </row>
    <row r="2108" spans="10:10" ht="18.75" customHeight="1" x14ac:dyDescent="0.25">
      <c r="J2108" s="48"/>
    </row>
    <row r="2109" spans="10:10" ht="18.75" customHeight="1" x14ac:dyDescent="0.25">
      <c r="J2109" s="48"/>
    </row>
    <row r="2110" spans="10:10" ht="18.75" customHeight="1" x14ac:dyDescent="0.25">
      <c r="J2110" s="48"/>
    </row>
    <row r="2111" spans="10:10" ht="18.75" customHeight="1" x14ac:dyDescent="0.25">
      <c r="J2111" s="48"/>
    </row>
    <row r="2112" spans="10:10" ht="18.75" customHeight="1" x14ac:dyDescent="0.25">
      <c r="J2112" s="48"/>
    </row>
    <row r="2113" spans="10:10" ht="18.75" customHeight="1" x14ac:dyDescent="0.25">
      <c r="J2113" s="48"/>
    </row>
    <row r="2114" spans="10:10" ht="18.75" customHeight="1" x14ac:dyDescent="0.25">
      <c r="J2114" s="48"/>
    </row>
    <row r="2115" spans="10:10" ht="18.75" customHeight="1" x14ac:dyDescent="0.25">
      <c r="J2115" s="48"/>
    </row>
    <row r="2116" spans="10:10" ht="18.75" customHeight="1" x14ac:dyDescent="0.25">
      <c r="J2116" s="48"/>
    </row>
    <row r="2117" spans="10:10" ht="18.75" customHeight="1" x14ac:dyDescent="0.25">
      <c r="J2117" s="48"/>
    </row>
    <row r="2118" spans="10:10" ht="18.75" customHeight="1" x14ac:dyDescent="0.25">
      <c r="J2118" s="48"/>
    </row>
    <row r="2119" spans="10:10" ht="18.75" customHeight="1" x14ac:dyDescent="0.25">
      <c r="J2119" s="48"/>
    </row>
    <row r="2120" spans="10:10" ht="18.75" customHeight="1" x14ac:dyDescent="0.25">
      <c r="J2120" s="48"/>
    </row>
    <row r="2121" spans="10:10" ht="18.75" customHeight="1" x14ac:dyDescent="0.25">
      <c r="J2121" s="48"/>
    </row>
    <row r="2122" spans="10:10" ht="18.75" customHeight="1" x14ac:dyDescent="0.25">
      <c r="J2122" s="48"/>
    </row>
    <row r="2123" spans="10:10" ht="18.75" customHeight="1" x14ac:dyDescent="0.25">
      <c r="J2123" s="48"/>
    </row>
    <row r="2124" spans="10:10" ht="18.75" customHeight="1" x14ac:dyDescent="0.25">
      <c r="J2124" s="48"/>
    </row>
    <row r="2125" spans="10:10" ht="18.75" customHeight="1" x14ac:dyDescent="0.25">
      <c r="J2125" s="48"/>
    </row>
    <row r="2126" spans="10:10" ht="18.75" customHeight="1" x14ac:dyDescent="0.25">
      <c r="J2126" s="48"/>
    </row>
    <row r="2127" spans="10:10" ht="18.75" customHeight="1" x14ac:dyDescent="0.25">
      <c r="J2127" s="48"/>
    </row>
    <row r="2128" spans="10:10" ht="18.75" customHeight="1" x14ac:dyDescent="0.25">
      <c r="J2128" s="48"/>
    </row>
    <row r="2129" spans="10:10" ht="18.75" customHeight="1" x14ac:dyDescent="0.25">
      <c r="J2129" s="48"/>
    </row>
    <row r="2130" spans="10:10" ht="18.75" customHeight="1" x14ac:dyDescent="0.25">
      <c r="J2130" s="48"/>
    </row>
    <row r="2131" spans="10:10" ht="18.75" customHeight="1" x14ac:dyDescent="0.25">
      <c r="J2131" s="48"/>
    </row>
    <row r="2132" spans="10:10" ht="18.75" customHeight="1" x14ac:dyDescent="0.25">
      <c r="J2132" s="48"/>
    </row>
    <row r="2133" spans="10:10" ht="18.75" customHeight="1" x14ac:dyDescent="0.25">
      <c r="J2133" s="48"/>
    </row>
    <row r="2134" spans="10:10" ht="18.75" customHeight="1" x14ac:dyDescent="0.25">
      <c r="J2134" s="48"/>
    </row>
    <row r="2135" spans="10:10" ht="18.75" customHeight="1" x14ac:dyDescent="0.25">
      <c r="J2135" s="48"/>
    </row>
    <row r="2136" spans="10:10" ht="18.75" customHeight="1" x14ac:dyDescent="0.25">
      <c r="J2136" s="48"/>
    </row>
    <row r="2137" spans="10:10" ht="18.75" customHeight="1" x14ac:dyDescent="0.25">
      <c r="J2137" s="48"/>
    </row>
    <row r="2138" spans="10:10" ht="18.75" customHeight="1" x14ac:dyDescent="0.25">
      <c r="J2138" s="48"/>
    </row>
    <row r="2139" spans="10:10" ht="18.75" customHeight="1" x14ac:dyDescent="0.25">
      <c r="J2139" s="48"/>
    </row>
    <row r="2140" spans="10:10" ht="18.75" customHeight="1" x14ac:dyDescent="0.25">
      <c r="J2140" s="48"/>
    </row>
    <row r="2141" spans="10:10" ht="18.75" customHeight="1" x14ac:dyDescent="0.25">
      <c r="J2141" s="48"/>
    </row>
    <row r="2142" spans="10:10" ht="18.75" customHeight="1" x14ac:dyDescent="0.25">
      <c r="J2142" s="48"/>
    </row>
    <row r="2143" spans="10:10" ht="18.75" customHeight="1" x14ac:dyDescent="0.25">
      <c r="J2143" s="48"/>
    </row>
    <row r="2144" spans="10:10" ht="18.75" customHeight="1" x14ac:dyDescent="0.25">
      <c r="J2144" s="48"/>
    </row>
    <row r="2145" spans="10:10" ht="18.75" customHeight="1" x14ac:dyDescent="0.25">
      <c r="J2145" s="48"/>
    </row>
    <row r="2146" spans="10:10" ht="18.75" customHeight="1" x14ac:dyDescent="0.25">
      <c r="J2146" s="48"/>
    </row>
    <row r="2147" spans="10:10" ht="18.75" customHeight="1" x14ac:dyDescent="0.25">
      <c r="J2147" s="48"/>
    </row>
    <row r="2148" spans="10:10" ht="18.75" customHeight="1" x14ac:dyDescent="0.25">
      <c r="J2148" s="48"/>
    </row>
    <row r="2149" spans="10:10" ht="18.75" customHeight="1" x14ac:dyDescent="0.25">
      <c r="J2149" s="48"/>
    </row>
    <row r="2150" spans="10:10" ht="18.75" customHeight="1" x14ac:dyDescent="0.25">
      <c r="J2150" s="48"/>
    </row>
    <row r="2151" spans="10:10" ht="18.75" customHeight="1" x14ac:dyDescent="0.25">
      <c r="J2151" s="48"/>
    </row>
    <row r="2152" spans="10:10" ht="18.75" customHeight="1" x14ac:dyDescent="0.25">
      <c r="J2152" s="48"/>
    </row>
    <row r="2153" spans="10:10" ht="18.75" customHeight="1" x14ac:dyDescent="0.25">
      <c r="J2153" s="48"/>
    </row>
    <row r="2154" spans="10:10" ht="18.75" customHeight="1" x14ac:dyDescent="0.25">
      <c r="J2154" s="48"/>
    </row>
    <row r="2155" spans="10:10" ht="18.75" customHeight="1" x14ac:dyDescent="0.25">
      <c r="J2155" s="48"/>
    </row>
    <row r="2156" spans="10:10" ht="18.75" customHeight="1" x14ac:dyDescent="0.25">
      <c r="J2156" s="48"/>
    </row>
    <row r="2157" spans="10:10" ht="18.75" customHeight="1" x14ac:dyDescent="0.25">
      <c r="J2157" s="48"/>
    </row>
    <row r="2158" spans="10:10" ht="18.75" customHeight="1" x14ac:dyDescent="0.25">
      <c r="J2158" s="48"/>
    </row>
    <row r="2159" spans="10:10" ht="18.75" customHeight="1" x14ac:dyDescent="0.25">
      <c r="J2159" s="48"/>
    </row>
    <row r="2160" spans="10:10" ht="18.75" customHeight="1" x14ac:dyDescent="0.25">
      <c r="J2160" s="48"/>
    </row>
    <row r="2161" spans="10:10" ht="18.75" customHeight="1" x14ac:dyDescent="0.25">
      <c r="J2161" s="48"/>
    </row>
    <row r="2162" spans="10:10" ht="18.75" customHeight="1" x14ac:dyDescent="0.25">
      <c r="J2162" s="48"/>
    </row>
    <row r="2163" spans="10:10" ht="18.75" customHeight="1" x14ac:dyDescent="0.25">
      <c r="J2163" s="48"/>
    </row>
    <row r="2164" spans="10:10" ht="18.75" customHeight="1" x14ac:dyDescent="0.25">
      <c r="J2164" s="48"/>
    </row>
    <row r="2165" spans="10:10" ht="18.75" customHeight="1" x14ac:dyDescent="0.25">
      <c r="J2165" s="48"/>
    </row>
    <row r="2166" spans="10:10" ht="18.75" customHeight="1" x14ac:dyDescent="0.25">
      <c r="J2166" s="48"/>
    </row>
    <row r="2167" spans="10:10" ht="18.75" customHeight="1" x14ac:dyDescent="0.25">
      <c r="J2167" s="48"/>
    </row>
    <row r="2168" spans="10:10" ht="18.75" customHeight="1" x14ac:dyDescent="0.25">
      <c r="J2168" s="48"/>
    </row>
    <row r="2169" spans="10:10" ht="18.75" customHeight="1" x14ac:dyDescent="0.25">
      <c r="J2169" s="48"/>
    </row>
    <row r="2170" spans="10:10" ht="18.75" customHeight="1" x14ac:dyDescent="0.25">
      <c r="J2170" s="48"/>
    </row>
    <row r="2171" spans="10:10" ht="18.75" customHeight="1" x14ac:dyDescent="0.25">
      <c r="J2171" s="48"/>
    </row>
    <row r="2172" spans="10:10" ht="18.75" customHeight="1" x14ac:dyDescent="0.25">
      <c r="J2172" s="48"/>
    </row>
    <row r="2173" spans="10:10" ht="18.75" customHeight="1" x14ac:dyDescent="0.25">
      <c r="J2173" s="48"/>
    </row>
    <row r="2174" spans="10:10" ht="18.75" customHeight="1" x14ac:dyDescent="0.25">
      <c r="J2174" s="48"/>
    </row>
    <row r="2175" spans="10:10" ht="18.75" customHeight="1" x14ac:dyDescent="0.25">
      <c r="J2175" s="48"/>
    </row>
    <row r="2176" spans="10:10" ht="18.75" customHeight="1" x14ac:dyDescent="0.25">
      <c r="J2176" s="48"/>
    </row>
    <row r="2177" spans="10:10" ht="18.75" customHeight="1" x14ac:dyDescent="0.25">
      <c r="J2177" s="48"/>
    </row>
    <row r="2178" spans="10:10" ht="18.75" customHeight="1" x14ac:dyDescent="0.25">
      <c r="J2178" s="48"/>
    </row>
    <row r="2179" spans="10:10" ht="18.75" customHeight="1" x14ac:dyDescent="0.25">
      <c r="J2179" s="48"/>
    </row>
    <row r="2180" spans="10:10" ht="18.75" customHeight="1" x14ac:dyDescent="0.25">
      <c r="J2180" s="48"/>
    </row>
    <row r="2181" spans="10:10" ht="18.75" customHeight="1" x14ac:dyDescent="0.25">
      <c r="J2181" s="48"/>
    </row>
    <row r="2182" spans="10:10" ht="18.75" customHeight="1" x14ac:dyDescent="0.25">
      <c r="J2182" s="48"/>
    </row>
    <row r="2183" spans="10:10" ht="18.75" customHeight="1" x14ac:dyDescent="0.25">
      <c r="J2183" s="48"/>
    </row>
    <row r="2184" spans="10:10" ht="18.75" customHeight="1" x14ac:dyDescent="0.25">
      <c r="J2184" s="48"/>
    </row>
    <row r="2185" spans="10:10" ht="18.75" customHeight="1" x14ac:dyDescent="0.25">
      <c r="J2185" s="48"/>
    </row>
    <row r="2186" spans="10:10" ht="18.75" customHeight="1" x14ac:dyDescent="0.25">
      <c r="J2186" s="48"/>
    </row>
    <row r="2187" spans="10:10" ht="18.75" customHeight="1" x14ac:dyDescent="0.25">
      <c r="J2187" s="48"/>
    </row>
    <row r="2188" spans="10:10" ht="18.75" customHeight="1" x14ac:dyDescent="0.25">
      <c r="J2188" s="48"/>
    </row>
    <row r="2189" spans="10:10" ht="18.75" customHeight="1" x14ac:dyDescent="0.25">
      <c r="J2189" s="48"/>
    </row>
    <row r="2190" spans="10:10" ht="18.75" customHeight="1" x14ac:dyDescent="0.25">
      <c r="J2190" s="48"/>
    </row>
    <row r="2191" spans="10:10" ht="18.75" customHeight="1" x14ac:dyDescent="0.25">
      <c r="J2191" s="48"/>
    </row>
    <row r="2192" spans="10:10" ht="18.75" customHeight="1" x14ac:dyDescent="0.25">
      <c r="J2192" s="48"/>
    </row>
    <row r="2193" spans="10:10" ht="18.75" customHeight="1" x14ac:dyDescent="0.25">
      <c r="J2193" s="48"/>
    </row>
    <row r="2194" spans="10:10" ht="18.75" customHeight="1" x14ac:dyDescent="0.25">
      <c r="J2194" s="48"/>
    </row>
    <row r="2195" spans="10:10" ht="18.75" customHeight="1" x14ac:dyDescent="0.25">
      <c r="J2195" s="48"/>
    </row>
    <row r="2196" spans="10:10" ht="18.75" customHeight="1" x14ac:dyDescent="0.25">
      <c r="J2196" s="48"/>
    </row>
    <row r="2197" spans="10:10" ht="18.75" customHeight="1" x14ac:dyDescent="0.25">
      <c r="J2197" s="48"/>
    </row>
    <row r="2198" spans="10:10" ht="18.75" customHeight="1" x14ac:dyDescent="0.25">
      <c r="J2198" s="48"/>
    </row>
    <row r="2199" spans="10:10" ht="18.75" customHeight="1" x14ac:dyDescent="0.25">
      <c r="J2199" s="48"/>
    </row>
    <row r="2200" spans="10:10" ht="18.75" customHeight="1" x14ac:dyDescent="0.25">
      <c r="J2200" s="48"/>
    </row>
    <row r="2201" spans="10:10" ht="18.75" customHeight="1" x14ac:dyDescent="0.25">
      <c r="J2201" s="48"/>
    </row>
    <row r="2202" spans="10:10" ht="18.75" customHeight="1" x14ac:dyDescent="0.25">
      <c r="J2202" s="48"/>
    </row>
    <row r="2203" spans="10:10" ht="18.75" customHeight="1" x14ac:dyDescent="0.25">
      <c r="J2203" s="48"/>
    </row>
    <row r="2204" spans="10:10" ht="18.75" customHeight="1" x14ac:dyDescent="0.25">
      <c r="J2204" s="48"/>
    </row>
    <row r="2205" spans="10:10" ht="18.75" customHeight="1" x14ac:dyDescent="0.25">
      <c r="J2205" s="48"/>
    </row>
    <row r="2206" spans="10:10" ht="18.75" customHeight="1" x14ac:dyDescent="0.25">
      <c r="J2206" s="48"/>
    </row>
    <row r="2207" spans="10:10" ht="18.75" customHeight="1" x14ac:dyDescent="0.25">
      <c r="J2207" s="48"/>
    </row>
    <row r="2208" spans="10:10" ht="18.75" customHeight="1" x14ac:dyDescent="0.25">
      <c r="J2208" s="48"/>
    </row>
    <row r="2209" spans="10:10" ht="18.75" customHeight="1" x14ac:dyDescent="0.25">
      <c r="J2209" s="48"/>
    </row>
    <row r="2210" spans="10:10" ht="18.75" customHeight="1" x14ac:dyDescent="0.25">
      <c r="J2210" s="48"/>
    </row>
    <row r="2211" spans="10:10" ht="18.75" customHeight="1" x14ac:dyDescent="0.25">
      <c r="J2211" s="48"/>
    </row>
    <row r="2212" spans="10:10" ht="18.75" customHeight="1" x14ac:dyDescent="0.25">
      <c r="J2212" s="48"/>
    </row>
    <row r="2213" spans="10:10" ht="18.75" customHeight="1" x14ac:dyDescent="0.25">
      <c r="J2213" s="48"/>
    </row>
    <row r="2214" spans="10:10" ht="18.75" customHeight="1" x14ac:dyDescent="0.25">
      <c r="J2214" s="48"/>
    </row>
    <row r="2215" spans="10:10" ht="18.75" customHeight="1" x14ac:dyDescent="0.25">
      <c r="J2215" s="48"/>
    </row>
    <row r="2216" spans="10:10" ht="18.75" customHeight="1" x14ac:dyDescent="0.25">
      <c r="J2216" s="48"/>
    </row>
    <row r="2217" spans="10:10" ht="18.75" customHeight="1" x14ac:dyDescent="0.25">
      <c r="J2217" s="48"/>
    </row>
    <row r="2218" spans="10:10" ht="18.75" customHeight="1" x14ac:dyDescent="0.25">
      <c r="J2218" s="48"/>
    </row>
    <row r="2219" spans="10:10" ht="18.75" customHeight="1" x14ac:dyDescent="0.25">
      <c r="J2219" s="48"/>
    </row>
    <row r="2220" spans="10:10" ht="18.75" customHeight="1" x14ac:dyDescent="0.25">
      <c r="J2220" s="48"/>
    </row>
    <row r="2221" spans="10:10" ht="18.75" customHeight="1" x14ac:dyDescent="0.25">
      <c r="J2221" s="48"/>
    </row>
    <row r="2222" spans="10:10" ht="18.75" customHeight="1" x14ac:dyDescent="0.25">
      <c r="J2222" s="48"/>
    </row>
    <row r="2223" spans="10:10" ht="18.75" customHeight="1" x14ac:dyDescent="0.25">
      <c r="J2223" s="48"/>
    </row>
    <row r="2224" spans="10:10" ht="18.75" customHeight="1" x14ac:dyDescent="0.25">
      <c r="J2224" s="48"/>
    </row>
    <row r="2225" spans="10:10" ht="18.75" customHeight="1" x14ac:dyDescent="0.25">
      <c r="J2225" s="48"/>
    </row>
    <row r="2226" spans="10:10" ht="18.75" customHeight="1" x14ac:dyDescent="0.25">
      <c r="J2226" s="48"/>
    </row>
    <row r="2227" spans="10:10" ht="18.75" customHeight="1" x14ac:dyDescent="0.25">
      <c r="J2227" s="48"/>
    </row>
    <row r="2228" spans="10:10" ht="18.75" customHeight="1" x14ac:dyDescent="0.25">
      <c r="J2228" s="48"/>
    </row>
    <row r="2229" spans="10:10" ht="18.75" customHeight="1" x14ac:dyDescent="0.25">
      <c r="J2229" s="48"/>
    </row>
    <row r="2230" spans="10:10" ht="18.75" customHeight="1" x14ac:dyDescent="0.25">
      <c r="J2230" s="48"/>
    </row>
    <row r="2231" spans="10:10" ht="18.75" customHeight="1" x14ac:dyDescent="0.25">
      <c r="J2231" s="48"/>
    </row>
    <row r="2232" spans="10:10" ht="18.75" customHeight="1" x14ac:dyDescent="0.25">
      <c r="J2232" s="48"/>
    </row>
    <row r="2233" spans="10:10" ht="18.75" customHeight="1" x14ac:dyDescent="0.25">
      <c r="J2233" s="48"/>
    </row>
    <row r="2234" spans="10:10" ht="18.75" customHeight="1" x14ac:dyDescent="0.25">
      <c r="J2234" s="48"/>
    </row>
    <row r="2235" spans="10:10" ht="18.75" customHeight="1" x14ac:dyDescent="0.25">
      <c r="J2235" s="48"/>
    </row>
    <row r="2236" spans="10:10" ht="18.75" customHeight="1" x14ac:dyDescent="0.25">
      <c r="J2236" s="48"/>
    </row>
    <row r="2237" spans="10:10" ht="18.75" customHeight="1" x14ac:dyDescent="0.25">
      <c r="J2237" s="48"/>
    </row>
    <row r="2238" spans="10:10" ht="18.75" customHeight="1" x14ac:dyDescent="0.25">
      <c r="J2238" s="48"/>
    </row>
    <row r="2239" spans="10:10" ht="18.75" customHeight="1" x14ac:dyDescent="0.25">
      <c r="J2239" s="48"/>
    </row>
    <row r="2240" spans="10:10" ht="18.75" customHeight="1" x14ac:dyDescent="0.25">
      <c r="J2240" s="48"/>
    </row>
    <row r="2241" spans="10:10" ht="18.75" customHeight="1" x14ac:dyDescent="0.25">
      <c r="J2241" s="48"/>
    </row>
    <row r="2242" spans="10:10" ht="18.75" customHeight="1" x14ac:dyDescent="0.25">
      <c r="J2242" s="48"/>
    </row>
    <row r="2243" spans="10:10" ht="18.75" customHeight="1" x14ac:dyDescent="0.25">
      <c r="J2243" s="48"/>
    </row>
    <row r="2244" spans="10:10" ht="18.75" customHeight="1" x14ac:dyDescent="0.25">
      <c r="J2244" s="48"/>
    </row>
    <row r="2245" spans="10:10" ht="18.75" customHeight="1" x14ac:dyDescent="0.25">
      <c r="J2245" s="48"/>
    </row>
    <row r="2246" spans="10:10" ht="18.75" customHeight="1" x14ac:dyDescent="0.25">
      <c r="J2246" s="48"/>
    </row>
    <row r="2247" spans="10:10" ht="18.75" customHeight="1" x14ac:dyDescent="0.25">
      <c r="J2247" s="48"/>
    </row>
    <row r="2248" spans="10:10" ht="18.75" customHeight="1" x14ac:dyDescent="0.25">
      <c r="J2248" s="48"/>
    </row>
    <row r="2249" spans="10:10" ht="18.75" customHeight="1" x14ac:dyDescent="0.25">
      <c r="J2249" s="48"/>
    </row>
    <row r="2250" spans="10:10" ht="18.75" customHeight="1" x14ac:dyDescent="0.25">
      <c r="J2250" s="48"/>
    </row>
    <row r="2251" spans="10:10" ht="18.75" customHeight="1" x14ac:dyDescent="0.25">
      <c r="J2251" s="48"/>
    </row>
    <row r="2252" spans="10:10" ht="18.75" customHeight="1" x14ac:dyDescent="0.25">
      <c r="J2252" s="48"/>
    </row>
    <row r="2253" spans="10:10" ht="18.75" customHeight="1" x14ac:dyDescent="0.25">
      <c r="J2253" s="48"/>
    </row>
    <row r="2254" spans="10:10" ht="18.75" customHeight="1" x14ac:dyDescent="0.25">
      <c r="J2254" s="48"/>
    </row>
    <row r="2255" spans="10:10" ht="18.75" customHeight="1" x14ac:dyDescent="0.25">
      <c r="J2255" s="48"/>
    </row>
    <row r="2256" spans="10:10" ht="18.75" customHeight="1" x14ac:dyDescent="0.25">
      <c r="J2256" s="48"/>
    </row>
    <row r="2257" spans="10:10" ht="18.75" customHeight="1" x14ac:dyDescent="0.25">
      <c r="J2257" s="48"/>
    </row>
    <row r="2258" spans="10:10" ht="18.75" customHeight="1" x14ac:dyDescent="0.25">
      <c r="J2258" s="48"/>
    </row>
    <row r="2259" spans="10:10" ht="18.75" customHeight="1" x14ac:dyDescent="0.25">
      <c r="J2259" s="48"/>
    </row>
    <row r="2260" spans="10:10" ht="18.75" customHeight="1" x14ac:dyDescent="0.25">
      <c r="J2260" s="48"/>
    </row>
    <row r="2261" spans="10:10" ht="18.75" customHeight="1" x14ac:dyDescent="0.25">
      <c r="J2261" s="48"/>
    </row>
    <row r="2262" spans="10:10" ht="18.75" customHeight="1" x14ac:dyDescent="0.25">
      <c r="J2262" s="48"/>
    </row>
    <row r="2263" spans="10:10" ht="18.75" customHeight="1" x14ac:dyDescent="0.25">
      <c r="J2263" s="48"/>
    </row>
    <row r="2264" spans="10:10" ht="18.75" customHeight="1" x14ac:dyDescent="0.25">
      <c r="J2264" s="48"/>
    </row>
    <row r="2265" spans="10:10" ht="18.75" customHeight="1" x14ac:dyDescent="0.25">
      <c r="J2265" s="48"/>
    </row>
    <row r="2266" spans="10:10" ht="18.75" customHeight="1" x14ac:dyDescent="0.25">
      <c r="J2266" s="48"/>
    </row>
    <row r="2267" spans="10:10" ht="18.75" customHeight="1" x14ac:dyDescent="0.25">
      <c r="J2267" s="48"/>
    </row>
    <row r="2268" spans="10:10" ht="18.75" customHeight="1" x14ac:dyDescent="0.25">
      <c r="J2268" s="48"/>
    </row>
    <row r="2269" spans="10:10" ht="18.75" customHeight="1" x14ac:dyDescent="0.25">
      <c r="J2269" s="48"/>
    </row>
    <row r="2270" spans="10:10" ht="18.75" customHeight="1" x14ac:dyDescent="0.25">
      <c r="J2270" s="48"/>
    </row>
    <row r="2271" spans="10:10" ht="18.75" customHeight="1" x14ac:dyDescent="0.25">
      <c r="J2271" s="48"/>
    </row>
    <row r="2272" spans="10:10" ht="18.75" customHeight="1" x14ac:dyDescent="0.25">
      <c r="J2272" s="48"/>
    </row>
    <row r="2273" spans="10:10" ht="18.75" customHeight="1" x14ac:dyDescent="0.25">
      <c r="J2273" s="48"/>
    </row>
    <row r="2274" spans="10:10" ht="18.75" customHeight="1" x14ac:dyDescent="0.25">
      <c r="J2274" s="48"/>
    </row>
    <row r="2275" spans="10:10" ht="18.75" customHeight="1" x14ac:dyDescent="0.25">
      <c r="J2275" s="48"/>
    </row>
    <row r="2276" spans="10:10" ht="18.75" customHeight="1" x14ac:dyDescent="0.25">
      <c r="J2276" s="48"/>
    </row>
    <row r="2277" spans="10:10" ht="18.75" customHeight="1" x14ac:dyDescent="0.25">
      <c r="J2277" s="48"/>
    </row>
    <row r="2278" spans="10:10" ht="18.75" customHeight="1" x14ac:dyDescent="0.25">
      <c r="J2278" s="48"/>
    </row>
    <row r="2279" spans="10:10" ht="18.75" customHeight="1" x14ac:dyDescent="0.25">
      <c r="J2279" s="48"/>
    </row>
    <row r="2280" spans="10:10" ht="18.75" customHeight="1" x14ac:dyDescent="0.25">
      <c r="J2280" s="48"/>
    </row>
    <row r="2281" spans="10:10" ht="18.75" customHeight="1" x14ac:dyDescent="0.25">
      <c r="J2281" s="48"/>
    </row>
    <row r="2282" spans="10:10" ht="18.75" customHeight="1" x14ac:dyDescent="0.25">
      <c r="J2282" s="48"/>
    </row>
    <row r="2283" spans="10:10" ht="18.75" customHeight="1" x14ac:dyDescent="0.25">
      <c r="J2283" s="48"/>
    </row>
    <row r="2284" spans="10:10" ht="18.75" customHeight="1" x14ac:dyDescent="0.25">
      <c r="J2284" s="48"/>
    </row>
    <row r="2285" spans="10:10" ht="18.75" customHeight="1" x14ac:dyDescent="0.25">
      <c r="J2285" s="48"/>
    </row>
    <row r="2286" spans="10:10" ht="18.75" customHeight="1" x14ac:dyDescent="0.25">
      <c r="J2286" s="48"/>
    </row>
    <row r="2287" spans="10:10" ht="18.75" customHeight="1" x14ac:dyDescent="0.25">
      <c r="J2287" s="48"/>
    </row>
    <row r="2288" spans="10:10" ht="18.75" customHeight="1" x14ac:dyDescent="0.25">
      <c r="J2288" s="48"/>
    </row>
    <row r="2289" spans="10:10" ht="18.75" customHeight="1" x14ac:dyDescent="0.25">
      <c r="J2289" s="48"/>
    </row>
    <row r="2290" spans="10:10" ht="18.75" customHeight="1" x14ac:dyDescent="0.25">
      <c r="J2290" s="48"/>
    </row>
    <row r="2291" spans="10:10" ht="18.75" customHeight="1" x14ac:dyDescent="0.25">
      <c r="J2291" s="48"/>
    </row>
    <row r="2292" spans="10:10" ht="18.75" customHeight="1" x14ac:dyDescent="0.25">
      <c r="J2292" s="48"/>
    </row>
    <row r="2293" spans="10:10" ht="18.75" customHeight="1" x14ac:dyDescent="0.25">
      <c r="J2293" s="48"/>
    </row>
    <row r="2294" spans="10:10" ht="18.75" customHeight="1" x14ac:dyDescent="0.25">
      <c r="J2294" s="48"/>
    </row>
    <row r="2295" spans="10:10" ht="18.75" customHeight="1" x14ac:dyDescent="0.25">
      <c r="J2295" s="48"/>
    </row>
    <row r="2296" spans="10:10" ht="18.75" customHeight="1" x14ac:dyDescent="0.25">
      <c r="J2296" s="48"/>
    </row>
    <row r="2297" spans="10:10" ht="18.75" customHeight="1" x14ac:dyDescent="0.25">
      <c r="J2297" s="48"/>
    </row>
    <row r="2298" spans="10:10" ht="18.75" customHeight="1" x14ac:dyDescent="0.25">
      <c r="J2298" s="48"/>
    </row>
    <row r="2299" spans="10:10" ht="18.75" customHeight="1" x14ac:dyDescent="0.25">
      <c r="J2299" s="48"/>
    </row>
    <row r="2300" spans="10:10" ht="18.75" customHeight="1" x14ac:dyDescent="0.25">
      <c r="J2300" s="48"/>
    </row>
    <row r="2301" spans="10:10" ht="18.75" customHeight="1" x14ac:dyDescent="0.25">
      <c r="J2301" s="48"/>
    </row>
    <row r="2302" spans="10:10" ht="18.75" customHeight="1" x14ac:dyDescent="0.25">
      <c r="J2302" s="48"/>
    </row>
    <row r="2303" spans="10:10" ht="18.75" customHeight="1" x14ac:dyDescent="0.25">
      <c r="J2303" s="48"/>
    </row>
    <row r="2304" spans="10:10" ht="18.75" customHeight="1" x14ac:dyDescent="0.25">
      <c r="J2304" s="48"/>
    </row>
    <row r="2305" spans="10:10" ht="18.75" customHeight="1" x14ac:dyDescent="0.25">
      <c r="J2305" s="48"/>
    </row>
    <row r="2306" spans="10:10" ht="18.75" customHeight="1" x14ac:dyDescent="0.25">
      <c r="J2306" s="48"/>
    </row>
    <row r="2307" spans="10:10" ht="18.75" customHeight="1" x14ac:dyDescent="0.25">
      <c r="J2307" s="48"/>
    </row>
    <row r="2308" spans="10:10" ht="18.75" customHeight="1" x14ac:dyDescent="0.25">
      <c r="J2308" s="48"/>
    </row>
    <row r="2309" spans="10:10" ht="18.75" customHeight="1" x14ac:dyDescent="0.25">
      <c r="J2309" s="48"/>
    </row>
    <row r="2310" spans="10:10" ht="18.75" customHeight="1" x14ac:dyDescent="0.25">
      <c r="J2310" s="48"/>
    </row>
    <row r="2311" spans="10:10" ht="18.75" customHeight="1" x14ac:dyDescent="0.25">
      <c r="J2311" s="48"/>
    </row>
    <row r="2312" spans="10:10" ht="18.75" customHeight="1" x14ac:dyDescent="0.25">
      <c r="J2312" s="48"/>
    </row>
    <row r="2313" spans="10:10" ht="18.75" customHeight="1" x14ac:dyDescent="0.25">
      <c r="J2313" s="48"/>
    </row>
    <row r="2314" spans="10:10" ht="18.75" customHeight="1" x14ac:dyDescent="0.25">
      <c r="J2314" s="48"/>
    </row>
    <row r="2315" spans="10:10" ht="18.75" customHeight="1" x14ac:dyDescent="0.25">
      <c r="J2315" s="48"/>
    </row>
    <row r="2316" spans="10:10" ht="18.75" customHeight="1" x14ac:dyDescent="0.25">
      <c r="J2316" s="48"/>
    </row>
    <row r="2317" spans="10:10" ht="18.75" customHeight="1" x14ac:dyDescent="0.25">
      <c r="J2317" s="48"/>
    </row>
    <row r="2318" spans="10:10" ht="18.75" customHeight="1" x14ac:dyDescent="0.25">
      <c r="J2318" s="48"/>
    </row>
    <row r="2319" spans="10:10" ht="18.75" customHeight="1" x14ac:dyDescent="0.25">
      <c r="J2319" s="48"/>
    </row>
    <row r="2320" spans="10:10" ht="18.75" customHeight="1" x14ac:dyDescent="0.25">
      <c r="J2320" s="48"/>
    </row>
    <row r="2321" spans="10:10" ht="18.75" customHeight="1" x14ac:dyDescent="0.25">
      <c r="J2321" s="48"/>
    </row>
    <row r="2322" spans="10:10" ht="18.75" customHeight="1" x14ac:dyDescent="0.25">
      <c r="J2322" s="48"/>
    </row>
    <row r="2323" spans="10:10" ht="18.75" customHeight="1" x14ac:dyDescent="0.25">
      <c r="J2323" s="48"/>
    </row>
    <row r="2324" spans="10:10" ht="18.75" customHeight="1" x14ac:dyDescent="0.25">
      <c r="J2324" s="48"/>
    </row>
    <row r="2325" spans="10:10" ht="18.75" customHeight="1" x14ac:dyDescent="0.25">
      <c r="J2325" s="48"/>
    </row>
    <row r="2326" spans="10:10" ht="18.75" customHeight="1" x14ac:dyDescent="0.25">
      <c r="J2326" s="48"/>
    </row>
    <row r="2327" spans="10:10" ht="18.75" customHeight="1" x14ac:dyDescent="0.25">
      <c r="J2327" s="48"/>
    </row>
    <row r="2328" spans="10:10" ht="18.75" customHeight="1" x14ac:dyDescent="0.25">
      <c r="J2328" s="48"/>
    </row>
    <row r="2329" spans="10:10" ht="18.75" customHeight="1" x14ac:dyDescent="0.25">
      <c r="J2329" s="48"/>
    </row>
    <row r="2330" spans="10:10" ht="18.75" customHeight="1" x14ac:dyDescent="0.25">
      <c r="J2330" s="48"/>
    </row>
    <row r="2331" spans="10:10" ht="18.75" customHeight="1" x14ac:dyDescent="0.25">
      <c r="J2331" s="48"/>
    </row>
    <row r="2332" spans="10:10" ht="18.75" customHeight="1" x14ac:dyDescent="0.25">
      <c r="J2332" s="48"/>
    </row>
    <row r="2333" spans="10:10" ht="18.75" customHeight="1" x14ac:dyDescent="0.25">
      <c r="J2333" s="48"/>
    </row>
    <row r="2334" spans="10:10" ht="18.75" customHeight="1" x14ac:dyDescent="0.25">
      <c r="J2334" s="48"/>
    </row>
    <row r="2335" spans="10:10" ht="18.75" customHeight="1" x14ac:dyDescent="0.25">
      <c r="J2335" s="48"/>
    </row>
    <row r="2336" spans="10:10" ht="18.75" customHeight="1" x14ac:dyDescent="0.25">
      <c r="J2336" s="48"/>
    </row>
    <row r="2337" spans="10:10" ht="18.75" customHeight="1" x14ac:dyDescent="0.25">
      <c r="J2337" s="48"/>
    </row>
    <row r="2338" spans="10:10" ht="18.75" customHeight="1" x14ac:dyDescent="0.25">
      <c r="J2338" s="48"/>
    </row>
    <row r="2339" spans="10:10" ht="18.75" customHeight="1" x14ac:dyDescent="0.25">
      <c r="J2339" s="48"/>
    </row>
    <row r="2340" spans="10:10" ht="18.75" customHeight="1" x14ac:dyDescent="0.25">
      <c r="J2340" s="48"/>
    </row>
    <row r="2341" spans="10:10" ht="18.75" customHeight="1" x14ac:dyDescent="0.25">
      <c r="J2341" s="48"/>
    </row>
    <row r="2342" spans="10:10" ht="18.75" customHeight="1" x14ac:dyDescent="0.25">
      <c r="J2342" s="48"/>
    </row>
    <row r="2343" spans="10:10" ht="18.75" customHeight="1" x14ac:dyDescent="0.25">
      <c r="J2343" s="48"/>
    </row>
    <row r="2344" spans="10:10" ht="18.75" customHeight="1" x14ac:dyDescent="0.25">
      <c r="J2344" s="48"/>
    </row>
    <row r="2345" spans="10:10" ht="18.75" customHeight="1" x14ac:dyDescent="0.25">
      <c r="J2345" s="48"/>
    </row>
    <row r="2346" spans="10:10" ht="18.75" customHeight="1" x14ac:dyDescent="0.25">
      <c r="J2346" s="48"/>
    </row>
    <row r="2347" spans="10:10" ht="18.75" customHeight="1" x14ac:dyDescent="0.25">
      <c r="J2347" s="48"/>
    </row>
    <row r="2348" spans="10:10" ht="18.75" customHeight="1" x14ac:dyDescent="0.25">
      <c r="J2348" s="48"/>
    </row>
    <row r="2349" spans="10:10" ht="18.75" customHeight="1" x14ac:dyDescent="0.25">
      <c r="J2349" s="48"/>
    </row>
    <row r="2350" spans="10:10" ht="18.75" customHeight="1" x14ac:dyDescent="0.25">
      <c r="J2350" s="48"/>
    </row>
    <row r="2351" spans="10:10" ht="18.75" customHeight="1" x14ac:dyDescent="0.25">
      <c r="J2351" s="48"/>
    </row>
    <row r="2352" spans="10:10" ht="18.75" customHeight="1" x14ac:dyDescent="0.25">
      <c r="J2352" s="48"/>
    </row>
    <row r="2353" spans="10:10" ht="18.75" customHeight="1" x14ac:dyDescent="0.25">
      <c r="J2353" s="48"/>
    </row>
    <row r="2354" spans="10:10" ht="18.75" customHeight="1" x14ac:dyDescent="0.25">
      <c r="J2354" s="48"/>
    </row>
    <row r="2355" spans="10:10" ht="18.75" customHeight="1" x14ac:dyDescent="0.25">
      <c r="J2355" s="48"/>
    </row>
    <row r="2356" spans="10:10" ht="18.75" customHeight="1" x14ac:dyDescent="0.25">
      <c r="J2356" s="48"/>
    </row>
    <row r="2357" spans="10:10" ht="18.75" customHeight="1" x14ac:dyDescent="0.25">
      <c r="J2357" s="48"/>
    </row>
    <row r="2358" spans="10:10" ht="18.75" customHeight="1" x14ac:dyDescent="0.25">
      <c r="J2358" s="48"/>
    </row>
    <row r="2359" spans="10:10" ht="18.75" customHeight="1" x14ac:dyDescent="0.25">
      <c r="J2359" s="48"/>
    </row>
    <row r="2360" spans="10:10" ht="18.75" customHeight="1" x14ac:dyDescent="0.25">
      <c r="J2360" s="48"/>
    </row>
    <row r="2361" spans="10:10" ht="18.75" customHeight="1" x14ac:dyDescent="0.25">
      <c r="J2361" s="48"/>
    </row>
    <row r="2362" spans="10:10" ht="18.75" customHeight="1" x14ac:dyDescent="0.25">
      <c r="J2362" s="48"/>
    </row>
    <row r="2363" spans="10:10" ht="18.75" customHeight="1" x14ac:dyDescent="0.25">
      <c r="J2363" s="48"/>
    </row>
    <row r="2364" spans="10:10" ht="18.75" customHeight="1" x14ac:dyDescent="0.25">
      <c r="J2364" s="48"/>
    </row>
    <row r="2365" spans="10:10" ht="18.75" customHeight="1" x14ac:dyDescent="0.25">
      <c r="J2365" s="48"/>
    </row>
    <row r="2366" spans="10:10" ht="18.75" customHeight="1" x14ac:dyDescent="0.25">
      <c r="J2366" s="48"/>
    </row>
    <row r="2367" spans="10:10" ht="18.75" customHeight="1" x14ac:dyDescent="0.25">
      <c r="J2367" s="48"/>
    </row>
    <row r="2368" spans="10:10" ht="18.75" customHeight="1" x14ac:dyDescent="0.25">
      <c r="J2368" s="48"/>
    </row>
    <row r="2369" spans="10:10" ht="18.75" customHeight="1" x14ac:dyDescent="0.25">
      <c r="J2369" s="48"/>
    </row>
    <row r="2370" spans="10:10" ht="18.75" customHeight="1" x14ac:dyDescent="0.25">
      <c r="J2370" s="48"/>
    </row>
    <row r="2371" spans="10:10" ht="18.75" customHeight="1" x14ac:dyDescent="0.25">
      <c r="J2371" s="48"/>
    </row>
    <row r="2372" spans="10:10" ht="18.75" customHeight="1" x14ac:dyDescent="0.25">
      <c r="J2372" s="48"/>
    </row>
    <row r="2373" spans="10:10" ht="18.75" customHeight="1" x14ac:dyDescent="0.25">
      <c r="J2373" s="48"/>
    </row>
    <row r="2374" spans="10:10" ht="18.75" customHeight="1" x14ac:dyDescent="0.25">
      <c r="J2374" s="48"/>
    </row>
    <row r="2375" spans="10:10" ht="18.75" customHeight="1" x14ac:dyDescent="0.25">
      <c r="J2375" s="48"/>
    </row>
    <row r="2376" spans="10:10" ht="18.75" customHeight="1" x14ac:dyDescent="0.25">
      <c r="J2376" s="48"/>
    </row>
    <row r="2377" spans="10:10" ht="18.75" customHeight="1" x14ac:dyDescent="0.25">
      <c r="J2377" s="48"/>
    </row>
    <row r="2378" spans="10:10" ht="18.75" customHeight="1" x14ac:dyDescent="0.25">
      <c r="J2378" s="48"/>
    </row>
    <row r="2379" spans="10:10" ht="18.75" customHeight="1" x14ac:dyDescent="0.25">
      <c r="J2379" s="48"/>
    </row>
    <row r="2380" spans="10:10" ht="18.75" customHeight="1" x14ac:dyDescent="0.25">
      <c r="J2380" s="48"/>
    </row>
    <row r="2381" spans="10:10" ht="18.75" customHeight="1" x14ac:dyDescent="0.25">
      <c r="J2381" s="48"/>
    </row>
    <row r="2382" spans="10:10" ht="18.75" customHeight="1" x14ac:dyDescent="0.25">
      <c r="J2382" s="48"/>
    </row>
    <row r="2383" spans="10:10" ht="18.75" customHeight="1" x14ac:dyDescent="0.25">
      <c r="J2383" s="48"/>
    </row>
    <row r="2384" spans="10:10" ht="18.75" customHeight="1" x14ac:dyDescent="0.25">
      <c r="J2384" s="48"/>
    </row>
    <row r="2385" spans="10:10" ht="18.75" customHeight="1" x14ac:dyDescent="0.25">
      <c r="J2385" s="48"/>
    </row>
    <row r="2386" spans="10:10" ht="18.75" customHeight="1" x14ac:dyDescent="0.25">
      <c r="J2386" s="48"/>
    </row>
    <row r="2387" spans="10:10" ht="18.75" customHeight="1" x14ac:dyDescent="0.25">
      <c r="J2387" s="48"/>
    </row>
    <row r="2388" spans="10:10" ht="18.75" customHeight="1" x14ac:dyDescent="0.25">
      <c r="J2388" s="48"/>
    </row>
    <row r="2389" spans="10:10" ht="18.75" customHeight="1" x14ac:dyDescent="0.25">
      <c r="J2389" s="48"/>
    </row>
    <row r="2390" spans="10:10" ht="18.75" customHeight="1" x14ac:dyDescent="0.25">
      <c r="J2390" s="48"/>
    </row>
    <row r="2391" spans="10:10" ht="18.75" customHeight="1" x14ac:dyDescent="0.25">
      <c r="J2391" s="48"/>
    </row>
    <row r="2392" spans="10:10" ht="18.75" customHeight="1" x14ac:dyDescent="0.25">
      <c r="J2392" s="48"/>
    </row>
    <row r="2393" spans="10:10" ht="18.75" customHeight="1" x14ac:dyDescent="0.25">
      <c r="J2393" s="48"/>
    </row>
    <row r="2394" spans="10:10" ht="18.75" customHeight="1" x14ac:dyDescent="0.25">
      <c r="J2394" s="48"/>
    </row>
    <row r="2395" spans="10:10" ht="18.75" customHeight="1" x14ac:dyDescent="0.25">
      <c r="J2395" s="48"/>
    </row>
    <row r="2396" spans="10:10" ht="18.75" customHeight="1" x14ac:dyDescent="0.25">
      <c r="J2396" s="48"/>
    </row>
    <row r="2397" spans="10:10" ht="18.75" customHeight="1" x14ac:dyDescent="0.25">
      <c r="J2397" s="48"/>
    </row>
    <row r="2398" spans="10:10" ht="18.75" customHeight="1" x14ac:dyDescent="0.25">
      <c r="J2398" s="48"/>
    </row>
    <row r="2399" spans="10:10" ht="18.75" customHeight="1" x14ac:dyDescent="0.25">
      <c r="J2399" s="48"/>
    </row>
    <row r="2400" spans="10:10" ht="18.75" customHeight="1" x14ac:dyDescent="0.25">
      <c r="J2400" s="48"/>
    </row>
    <row r="2401" spans="10:10" ht="18.75" customHeight="1" x14ac:dyDescent="0.25">
      <c r="J2401" s="48"/>
    </row>
    <row r="2402" spans="10:10" ht="18.75" customHeight="1" x14ac:dyDescent="0.25">
      <c r="J2402" s="48"/>
    </row>
    <row r="2403" spans="10:10" ht="18.75" customHeight="1" x14ac:dyDescent="0.25">
      <c r="J2403" s="48"/>
    </row>
    <row r="2404" spans="10:10" ht="18.75" customHeight="1" x14ac:dyDescent="0.25">
      <c r="J2404" s="48"/>
    </row>
    <row r="2405" spans="10:10" ht="18.75" customHeight="1" x14ac:dyDescent="0.25">
      <c r="J2405" s="48"/>
    </row>
    <row r="2406" spans="10:10" ht="18.75" customHeight="1" x14ac:dyDescent="0.25">
      <c r="J2406" s="48"/>
    </row>
    <row r="2407" spans="10:10" ht="18.75" customHeight="1" x14ac:dyDescent="0.25">
      <c r="J2407" s="48"/>
    </row>
    <row r="2408" spans="10:10" ht="18.75" customHeight="1" x14ac:dyDescent="0.25">
      <c r="J2408" s="48"/>
    </row>
    <row r="2409" spans="10:10" ht="18.75" customHeight="1" x14ac:dyDescent="0.25">
      <c r="J2409" s="48"/>
    </row>
    <row r="2410" spans="10:10" ht="18.75" customHeight="1" x14ac:dyDescent="0.25">
      <c r="J2410" s="48"/>
    </row>
    <row r="2411" spans="10:10" ht="18.75" customHeight="1" x14ac:dyDescent="0.25">
      <c r="J2411" s="48"/>
    </row>
    <row r="2412" spans="10:10" ht="18.75" customHeight="1" x14ac:dyDescent="0.25">
      <c r="J2412" s="48"/>
    </row>
    <row r="2413" spans="10:10" ht="18.75" customHeight="1" x14ac:dyDescent="0.25">
      <c r="J2413" s="48"/>
    </row>
    <row r="2414" spans="10:10" ht="18.75" customHeight="1" x14ac:dyDescent="0.25">
      <c r="J2414" s="48"/>
    </row>
    <row r="2415" spans="10:10" ht="18.75" customHeight="1" x14ac:dyDescent="0.25">
      <c r="J2415" s="48"/>
    </row>
    <row r="2416" spans="10:10" ht="18.75" customHeight="1" x14ac:dyDescent="0.25">
      <c r="J2416" s="48"/>
    </row>
    <row r="2417" spans="10:10" ht="18.75" customHeight="1" x14ac:dyDescent="0.25">
      <c r="J2417" s="48"/>
    </row>
    <row r="2418" spans="10:10" ht="18.75" customHeight="1" x14ac:dyDescent="0.25">
      <c r="J2418" s="48"/>
    </row>
    <row r="2419" spans="10:10" ht="18.75" customHeight="1" x14ac:dyDescent="0.25">
      <c r="J2419" s="48"/>
    </row>
    <row r="2420" spans="10:10" ht="18.75" customHeight="1" x14ac:dyDescent="0.25">
      <c r="J2420" s="48"/>
    </row>
    <row r="2421" spans="10:10" ht="18.75" customHeight="1" x14ac:dyDescent="0.25">
      <c r="J2421" s="48"/>
    </row>
    <row r="2422" spans="10:10" ht="18.75" customHeight="1" x14ac:dyDescent="0.25">
      <c r="J2422" s="48"/>
    </row>
    <row r="2423" spans="10:10" ht="18.75" customHeight="1" x14ac:dyDescent="0.25">
      <c r="J2423" s="48"/>
    </row>
    <row r="2424" spans="10:10" ht="18.75" customHeight="1" x14ac:dyDescent="0.25">
      <c r="J2424" s="48"/>
    </row>
    <row r="2425" spans="10:10" ht="18.75" customHeight="1" x14ac:dyDescent="0.25">
      <c r="J2425" s="48"/>
    </row>
    <row r="2426" spans="10:10" ht="18.75" customHeight="1" x14ac:dyDescent="0.25">
      <c r="J2426" s="48"/>
    </row>
    <row r="2427" spans="10:10" ht="18.75" customHeight="1" x14ac:dyDescent="0.25">
      <c r="J2427" s="48"/>
    </row>
    <row r="2428" spans="10:10" ht="18.75" customHeight="1" x14ac:dyDescent="0.25">
      <c r="J2428" s="48"/>
    </row>
    <row r="2429" spans="10:10" ht="18.75" customHeight="1" x14ac:dyDescent="0.25">
      <c r="J2429" s="48"/>
    </row>
    <row r="2430" spans="10:10" ht="18.75" customHeight="1" x14ac:dyDescent="0.25">
      <c r="J2430" s="48"/>
    </row>
    <row r="2431" spans="10:10" ht="18.75" customHeight="1" x14ac:dyDescent="0.25">
      <c r="J2431" s="48"/>
    </row>
    <row r="2432" spans="10:10" ht="18.75" customHeight="1" x14ac:dyDescent="0.25">
      <c r="J2432" s="48"/>
    </row>
    <row r="2433" spans="10:10" ht="18.75" customHeight="1" x14ac:dyDescent="0.25">
      <c r="J2433" s="48"/>
    </row>
    <row r="2434" spans="10:10" ht="18.75" customHeight="1" x14ac:dyDescent="0.25">
      <c r="J2434" s="48"/>
    </row>
    <row r="2435" spans="10:10" ht="18.75" customHeight="1" x14ac:dyDescent="0.25">
      <c r="J2435" s="48"/>
    </row>
    <row r="2436" spans="10:10" ht="18.75" customHeight="1" x14ac:dyDescent="0.25">
      <c r="J2436" s="48"/>
    </row>
    <row r="2437" spans="10:10" ht="18.75" customHeight="1" x14ac:dyDescent="0.25">
      <c r="J2437" s="48"/>
    </row>
    <row r="2438" spans="10:10" ht="18.75" customHeight="1" x14ac:dyDescent="0.25">
      <c r="J2438" s="48"/>
    </row>
    <row r="2439" spans="10:10" ht="18.75" customHeight="1" x14ac:dyDescent="0.25">
      <c r="J2439" s="48"/>
    </row>
    <row r="2440" spans="10:10" ht="18.75" customHeight="1" x14ac:dyDescent="0.25">
      <c r="J2440" s="48"/>
    </row>
    <row r="2441" spans="10:10" ht="18.75" customHeight="1" x14ac:dyDescent="0.25">
      <c r="J2441" s="48"/>
    </row>
    <row r="2442" spans="10:10" ht="18.75" customHeight="1" x14ac:dyDescent="0.25">
      <c r="J2442" s="48"/>
    </row>
    <row r="2443" spans="10:10" ht="18.75" customHeight="1" x14ac:dyDescent="0.25">
      <c r="J2443" s="48"/>
    </row>
    <row r="2444" spans="10:10" ht="18.75" customHeight="1" x14ac:dyDescent="0.25">
      <c r="J2444" s="48"/>
    </row>
    <row r="2445" spans="10:10" ht="18.75" customHeight="1" x14ac:dyDescent="0.25">
      <c r="J2445" s="48"/>
    </row>
    <row r="2446" spans="10:10" ht="18.75" customHeight="1" x14ac:dyDescent="0.25">
      <c r="J2446" s="48"/>
    </row>
    <row r="2447" spans="10:10" ht="18.75" customHeight="1" x14ac:dyDescent="0.25">
      <c r="J2447" s="48"/>
    </row>
    <row r="2448" spans="10:10" ht="18.75" customHeight="1" x14ac:dyDescent="0.25">
      <c r="J2448" s="48"/>
    </row>
    <row r="2449" spans="10:10" ht="18.75" customHeight="1" x14ac:dyDescent="0.25">
      <c r="J2449" s="48"/>
    </row>
    <row r="2450" spans="10:10" ht="18.75" customHeight="1" x14ac:dyDescent="0.25">
      <c r="J2450" s="48"/>
    </row>
    <row r="2451" spans="10:10" ht="18.75" customHeight="1" x14ac:dyDescent="0.25">
      <c r="J2451" s="48"/>
    </row>
    <row r="2452" spans="10:10" ht="18.75" customHeight="1" x14ac:dyDescent="0.25">
      <c r="J2452" s="48"/>
    </row>
    <row r="2453" spans="10:10" ht="18.75" customHeight="1" x14ac:dyDescent="0.25">
      <c r="J2453" s="48"/>
    </row>
    <row r="2454" spans="10:10" ht="18.75" customHeight="1" x14ac:dyDescent="0.25">
      <c r="J2454" s="48"/>
    </row>
    <row r="2455" spans="10:10" ht="18.75" customHeight="1" x14ac:dyDescent="0.25">
      <c r="J2455" s="48"/>
    </row>
    <row r="2456" spans="10:10" ht="18.75" customHeight="1" x14ac:dyDescent="0.25">
      <c r="J2456" s="48"/>
    </row>
    <row r="2457" spans="10:10" ht="18.75" customHeight="1" x14ac:dyDescent="0.25">
      <c r="J2457" s="48"/>
    </row>
    <row r="2458" spans="10:10" ht="18.75" customHeight="1" x14ac:dyDescent="0.25">
      <c r="J2458" s="48"/>
    </row>
    <row r="2459" spans="10:10" ht="18.75" customHeight="1" x14ac:dyDescent="0.25">
      <c r="J2459" s="48"/>
    </row>
    <row r="2460" spans="10:10" ht="18.75" customHeight="1" x14ac:dyDescent="0.25">
      <c r="J2460" s="48"/>
    </row>
    <row r="2461" spans="10:10" ht="18.75" customHeight="1" x14ac:dyDescent="0.25">
      <c r="J2461" s="48"/>
    </row>
    <row r="2462" spans="10:10" ht="18.75" customHeight="1" x14ac:dyDescent="0.25">
      <c r="J2462" s="48"/>
    </row>
    <row r="2463" spans="10:10" ht="18.75" customHeight="1" x14ac:dyDescent="0.25">
      <c r="J2463" s="48"/>
    </row>
    <row r="2464" spans="10:10" ht="18.75" customHeight="1" x14ac:dyDescent="0.25">
      <c r="J2464" s="48"/>
    </row>
    <row r="2465" spans="10:10" ht="18.75" customHeight="1" x14ac:dyDescent="0.25">
      <c r="J2465" s="48"/>
    </row>
    <row r="2466" spans="10:10" ht="18.75" customHeight="1" x14ac:dyDescent="0.25">
      <c r="J2466" s="48"/>
    </row>
    <row r="2467" spans="10:10" ht="18.75" customHeight="1" x14ac:dyDescent="0.25">
      <c r="J2467" s="48"/>
    </row>
    <row r="2468" spans="10:10" ht="18.75" customHeight="1" x14ac:dyDescent="0.25">
      <c r="J2468" s="48"/>
    </row>
    <row r="2469" spans="10:10" ht="18.75" customHeight="1" x14ac:dyDescent="0.25">
      <c r="J2469" s="48"/>
    </row>
    <row r="2470" spans="10:10" ht="18.75" customHeight="1" x14ac:dyDescent="0.25">
      <c r="J2470" s="48"/>
    </row>
    <row r="2471" spans="10:10" ht="18.75" customHeight="1" x14ac:dyDescent="0.25">
      <c r="J2471" s="48"/>
    </row>
    <row r="2472" spans="10:10" ht="18.75" customHeight="1" x14ac:dyDescent="0.25">
      <c r="J2472" s="48"/>
    </row>
    <row r="2473" spans="10:10" ht="18.75" customHeight="1" x14ac:dyDescent="0.25">
      <c r="J2473" s="48"/>
    </row>
    <row r="2474" spans="10:10" ht="18.75" customHeight="1" x14ac:dyDescent="0.25">
      <c r="J2474" s="48"/>
    </row>
    <row r="2475" spans="10:10" ht="18.75" customHeight="1" x14ac:dyDescent="0.25">
      <c r="J2475" s="48"/>
    </row>
    <row r="2476" spans="10:10" ht="18.75" customHeight="1" x14ac:dyDescent="0.25">
      <c r="J2476" s="48"/>
    </row>
    <row r="2477" spans="10:10" ht="18.75" customHeight="1" x14ac:dyDescent="0.25">
      <c r="J2477" s="48"/>
    </row>
    <row r="2478" spans="10:10" ht="18.75" customHeight="1" x14ac:dyDescent="0.25">
      <c r="J2478" s="48"/>
    </row>
    <row r="2479" spans="10:10" ht="18.75" customHeight="1" x14ac:dyDescent="0.25">
      <c r="J2479" s="48"/>
    </row>
    <row r="2480" spans="10:10" ht="18.75" customHeight="1" x14ac:dyDescent="0.25">
      <c r="J2480" s="48"/>
    </row>
    <row r="2481" spans="10:10" ht="18.75" customHeight="1" x14ac:dyDescent="0.25">
      <c r="J2481" s="48"/>
    </row>
    <row r="2482" spans="10:10" ht="18.75" customHeight="1" x14ac:dyDescent="0.25">
      <c r="J2482" s="48"/>
    </row>
    <row r="2483" spans="10:10" ht="18.75" customHeight="1" x14ac:dyDescent="0.25">
      <c r="J2483" s="48"/>
    </row>
    <row r="2484" spans="10:10" ht="18.75" customHeight="1" x14ac:dyDescent="0.25">
      <c r="J2484" s="48"/>
    </row>
    <row r="2485" spans="10:10" ht="18.75" customHeight="1" x14ac:dyDescent="0.25">
      <c r="J2485" s="48"/>
    </row>
    <row r="2486" spans="10:10" ht="18.75" customHeight="1" x14ac:dyDescent="0.25">
      <c r="J2486" s="48"/>
    </row>
    <row r="2487" spans="10:10" ht="18.75" customHeight="1" x14ac:dyDescent="0.25">
      <c r="J2487" s="48"/>
    </row>
    <row r="2488" spans="10:10" ht="18.75" customHeight="1" x14ac:dyDescent="0.25">
      <c r="J2488" s="48"/>
    </row>
    <row r="2489" spans="10:10" ht="18.75" customHeight="1" x14ac:dyDescent="0.25">
      <c r="J2489" s="48"/>
    </row>
    <row r="2490" spans="10:10" ht="18.75" customHeight="1" x14ac:dyDescent="0.25">
      <c r="J2490" s="48"/>
    </row>
    <row r="2491" spans="10:10" ht="18.75" customHeight="1" x14ac:dyDescent="0.25">
      <c r="J2491" s="48"/>
    </row>
    <row r="2492" spans="10:10" ht="18.75" customHeight="1" x14ac:dyDescent="0.25">
      <c r="J2492" s="48"/>
    </row>
    <row r="2493" spans="10:10" ht="18.75" customHeight="1" x14ac:dyDescent="0.25">
      <c r="J2493" s="48"/>
    </row>
    <row r="2494" spans="10:10" ht="18.75" customHeight="1" x14ac:dyDescent="0.25">
      <c r="J2494" s="48"/>
    </row>
    <row r="2495" spans="10:10" ht="18.75" customHeight="1" x14ac:dyDescent="0.25">
      <c r="J2495" s="48"/>
    </row>
    <row r="2496" spans="10:10" ht="18.75" customHeight="1" x14ac:dyDescent="0.25">
      <c r="J2496" s="48"/>
    </row>
    <row r="2497" spans="10:10" ht="18.75" customHeight="1" x14ac:dyDescent="0.25">
      <c r="J2497" s="48"/>
    </row>
    <row r="2498" spans="10:10" ht="18.75" customHeight="1" x14ac:dyDescent="0.25">
      <c r="J2498" s="48"/>
    </row>
    <row r="2499" spans="10:10" ht="18.75" customHeight="1" x14ac:dyDescent="0.25">
      <c r="J2499" s="48"/>
    </row>
    <row r="2500" spans="10:10" ht="18.75" customHeight="1" x14ac:dyDescent="0.25">
      <c r="J2500" s="48"/>
    </row>
    <row r="2501" spans="10:10" ht="18.75" customHeight="1" x14ac:dyDescent="0.25">
      <c r="J2501" s="48"/>
    </row>
    <row r="2502" spans="10:10" ht="18.75" customHeight="1" x14ac:dyDescent="0.25">
      <c r="J2502" s="48"/>
    </row>
    <row r="2503" spans="10:10" ht="18.75" customHeight="1" x14ac:dyDescent="0.25">
      <c r="J2503" s="48"/>
    </row>
    <row r="2504" spans="10:10" ht="18.75" customHeight="1" x14ac:dyDescent="0.25">
      <c r="J2504" s="48"/>
    </row>
    <row r="2505" spans="10:10" ht="18.75" customHeight="1" x14ac:dyDescent="0.25">
      <c r="J2505" s="48"/>
    </row>
    <row r="2506" spans="10:10" ht="18.75" customHeight="1" x14ac:dyDescent="0.25">
      <c r="J2506" s="48"/>
    </row>
    <row r="2507" spans="10:10" ht="18.75" customHeight="1" x14ac:dyDescent="0.25">
      <c r="J2507" s="48"/>
    </row>
    <row r="2508" spans="10:10" ht="18.75" customHeight="1" x14ac:dyDescent="0.25">
      <c r="J2508" s="48"/>
    </row>
    <row r="2509" spans="10:10" ht="18.75" customHeight="1" x14ac:dyDescent="0.25">
      <c r="J2509" s="48"/>
    </row>
    <row r="2510" spans="10:10" ht="18.75" customHeight="1" x14ac:dyDescent="0.25">
      <c r="J2510" s="48"/>
    </row>
    <row r="2511" spans="10:10" ht="18.75" customHeight="1" x14ac:dyDescent="0.25">
      <c r="J2511" s="48"/>
    </row>
    <row r="2512" spans="10:10" ht="18.75" customHeight="1" x14ac:dyDescent="0.25">
      <c r="J2512" s="48"/>
    </row>
    <row r="2513" spans="10:10" ht="18.75" customHeight="1" x14ac:dyDescent="0.25">
      <c r="J2513" s="48"/>
    </row>
    <row r="2514" spans="10:10" ht="18.75" customHeight="1" x14ac:dyDescent="0.25">
      <c r="J2514" s="48"/>
    </row>
    <row r="2515" spans="10:10" ht="18.75" customHeight="1" x14ac:dyDescent="0.25">
      <c r="J2515" s="48"/>
    </row>
    <row r="2516" spans="10:10" ht="18.75" customHeight="1" x14ac:dyDescent="0.25">
      <c r="J2516" s="48"/>
    </row>
    <row r="2517" spans="10:10" ht="18.75" customHeight="1" x14ac:dyDescent="0.25">
      <c r="J2517" s="48"/>
    </row>
    <row r="2518" spans="10:10" ht="18.75" customHeight="1" x14ac:dyDescent="0.25">
      <c r="J2518" s="48"/>
    </row>
    <row r="2519" spans="10:10" ht="18.75" customHeight="1" x14ac:dyDescent="0.25">
      <c r="J2519" s="48"/>
    </row>
    <row r="2520" spans="10:10" ht="18.75" customHeight="1" x14ac:dyDescent="0.25">
      <c r="J2520" s="48"/>
    </row>
    <row r="2521" spans="10:10" ht="18.75" customHeight="1" x14ac:dyDescent="0.25">
      <c r="J2521" s="48"/>
    </row>
    <row r="2522" spans="10:10" ht="18.75" customHeight="1" x14ac:dyDescent="0.25">
      <c r="J2522" s="48"/>
    </row>
    <row r="2523" spans="10:10" ht="18.75" customHeight="1" x14ac:dyDescent="0.25">
      <c r="J2523" s="48"/>
    </row>
    <row r="2524" spans="10:10" ht="18.75" customHeight="1" x14ac:dyDescent="0.25">
      <c r="J2524" s="48"/>
    </row>
    <row r="2525" spans="10:10" ht="18.75" customHeight="1" x14ac:dyDescent="0.25">
      <c r="J2525" s="48"/>
    </row>
    <row r="2526" spans="10:10" ht="18.75" customHeight="1" x14ac:dyDescent="0.25">
      <c r="J2526" s="48"/>
    </row>
    <row r="2527" spans="10:10" ht="18.75" customHeight="1" x14ac:dyDescent="0.25">
      <c r="J2527" s="48"/>
    </row>
    <row r="2528" spans="10:10" ht="18.75" customHeight="1" x14ac:dyDescent="0.25">
      <c r="J2528" s="48"/>
    </row>
    <row r="2529" spans="10:10" ht="18.75" customHeight="1" x14ac:dyDescent="0.25">
      <c r="J2529" s="48"/>
    </row>
    <row r="2530" spans="10:10" ht="18.75" customHeight="1" x14ac:dyDescent="0.25">
      <c r="J2530" s="48"/>
    </row>
    <row r="2531" spans="10:10" ht="18.75" customHeight="1" x14ac:dyDescent="0.25">
      <c r="J2531" s="48"/>
    </row>
    <row r="2532" spans="10:10" ht="18.75" customHeight="1" x14ac:dyDescent="0.25">
      <c r="J2532" s="48"/>
    </row>
    <row r="2533" spans="10:10" ht="18.75" customHeight="1" x14ac:dyDescent="0.25">
      <c r="J2533" s="48"/>
    </row>
    <row r="2534" spans="10:10" ht="18.75" customHeight="1" x14ac:dyDescent="0.25">
      <c r="J2534" s="48"/>
    </row>
    <row r="2535" spans="10:10" ht="18.75" customHeight="1" x14ac:dyDescent="0.25">
      <c r="J2535" s="48"/>
    </row>
    <row r="2536" spans="10:10" ht="18.75" customHeight="1" x14ac:dyDescent="0.25">
      <c r="J2536" s="48"/>
    </row>
    <row r="2537" spans="10:10" ht="18.75" customHeight="1" x14ac:dyDescent="0.25">
      <c r="J2537" s="48"/>
    </row>
    <row r="2538" spans="10:10" ht="18.75" customHeight="1" x14ac:dyDescent="0.25">
      <c r="J2538" s="48"/>
    </row>
    <row r="2539" spans="10:10" ht="18.75" customHeight="1" x14ac:dyDescent="0.25">
      <c r="J2539" s="48"/>
    </row>
    <row r="2540" spans="10:10" ht="18.75" customHeight="1" x14ac:dyDescent="0.25">
      <c r="J2540" s="48"/>
    </row>
    <row r="2541" spans="10:10" ht="18.75" customHeight="1" x14ac:dyDescent="0.25">
      <c r="J2541" s="48"/>
    </row>
    <row r="2542" spans="10:10" ht="18.75" customHeight="1" x14ac:dyDescent="0.25">
      <c r="J2542" s="48"/>
    </row>
    <row r="2543" spans="10:10" ht="18.75" customHeight="1" x14ac:dyDescent="0.25">
      <c r="J2543" s="48"/>
    </row>
    <row r="2544" spans="10:10" ht="18.75" customHeight="1" x14ac:dyDescent="0.25">
      <c r="J2544" s="48"/>
    </row>
    <row r="2545" spans="10:10" ht="18.75" customHeight="1" x14ac:dyDescent="0.25">
      <c r="J2545" s="48"/>
    </row>
    <row r="2546" spans="10:10" ht="18.75" customHeight="1" x14ac:dyDescent="0.25">
      <c r="J2546" s="48"/>
    </row>
    <row r="2547" spans="10:10" ht="18.75" customHeight="1" x14ac:dyDescent="0.25">
      <c r="J2547" s="48"/>
    </row>
    <row r="2548" spans="10:10" ht="18.75" customHeight="1" x14ac:dyDescent="0.25">
      <c r="J2548" s="48"/>
    </row>
    <row r="2549" spans="10:10" ht="18.75" customHeight="1" x14ac:dyDescent="0.25">
      <c r="J2549" s="48"/>
    </row>
    <row r="2550" spans="10:10" ht="18.75" customHeight="1" x14ac:dyDescent="0.25">
      <c r="J2550" s="48"/>
    </row>
    <row r="2551" spans="10:10" ht="18.75" customHeight="1" x14ac:dyDescent="0.25">
      <c r="J2551" s="48"/>
    </row>
    <row r="2552" spans="10:10" ht="18.75" customHeight="1" x14ac:dyDescent="0.25">
      <c r="J2552" s="48"/>
    </row>
    <row r="2553" spans="10:10" ht="18.75" customHeight="1" x14ac:dyDescent="0.25">
      <c r="J2553" s="48"/>
    </row>
    <row r="2554" spans="10:10" ht="18.75" customHeight="1" x14ac:dyDescent="0.25">
      <c r="J2554" s="48"/>
    </row>
    <row r="2555" spans="10:10" ht="18.75" customHeight="1" x14ac:dyDescent="0.25">
      <c r="J2555" s="48"/>
    </row>
    <row r="2556" spans="10:10" ht="18.75" customHeight="1" x14ac:dyDescent="0.25">
      <c r="J2556" s="48"/>
    </row>
    <row r="2557" spans="10:10" ht="18.75" customHeight="1" x14ac:dyDescent="0.25">
      <c r="J2557" s="48"/>
    </row>
    <row r="2558" spans="10:10" ht="18.75" customHeight="1" x14ac:dyDescent="0.25">
      <c r="J2558" s="48"/>
    </row>
    <row r="2559" spans="10:10" ht="18.75" customHeight="1" x14ac:dyDescent="0.25">
      <c r="J2559" s="48"/>
    </row>
    <row r="2560" spans="10:10" ht="18.75" customHeight="1" x14ac:dyDescent="0.25">
      <c r="J2560" s="48"/>
    </row>
    <row r="2561" spans="10:10" ht="18.75" customHeight="1" x14ac:dyDescent="0.25">
      <c r="J2561" s="48"/>
    </row>
    <row r="2562" spans="10:10" ht="18.75" customHeight="1" x14ac:dyDescent="0.25">
      <c r="J2562" s="48"/>
    </row>
    <row r="2563" spans="10:10" ht="18.75" customHeight="1" x14ac:dyDescent="0.25">
      <c r="J2563" s="48"/>
    </row>
    <row r="2564" spans="10:10" ht="18.75" customHeight="1" x14ac:dyDescent="0.25">
      <c r="J2564" s="48"/>
    </row>
    <row r="2565" spans="10:10" ht="18.75" customHeight="1" x14ac:dyDescent="0.25">
      <c r="J2565" s="48"/>
    </row>
    <row r="2566" spans="10:10" ht="18.75" customHeight="1" x14ac:dyDescent="0.25">
      <c r="J2566" s="48"/>
    </row>
    <row r="2567" spans="10:10" ht="18.75" customHeight="1" x14ac:dyDescent="0.25">
      <c r="J2567" s="48"/>
    </row>
    <row r="2568" spans="10:10" ht="18.75" customHeight="1" x14ac:dyDescent="0.25">
      <c r="J2568" s="48"/>
    </row>
    <row r="2569" spans="10:10" ht="18.75" customHeight="1" x14ac:dyDescent="0.25">
      <c r="J2569" s="48"/>
    </row>
    <row r="2570" spans="10:10" ht="18.75" customHeight="1" x14ac:dyDescent="0.25">
      <c r="J2570" s="48"/>
    </row>
    <row r="2571" spans="10:10" ht="18.75" customHeight="1" x14ac:dyDescent="0.25">
      <c r="J2571" s="48"/>
    </row>
    <row r="2572" spans="10:10" ht="18.75" customHeight="1" x14ac:dyDescent="0.25">
      <c r="J2572" s="48"/>
    </row>
    <row r="2573" spans="10:10" ht="18.75" customHeight="1" x14ac:dyDescent="0.25">
      <c r="J2573" s="48"/>
    </row>
    <row r="2574" spans="10:10" ht="18.75" customHeight="1" x14ac:dyDescent="0.25">
      <c r="J2574" s="48"/>
    </row>
    <row r="2575" spans="10:10" ht="18.75" customHeight="1" x14ac:dyDescent="0.25">
      <c r="J2575" s="48"/>
    </row>
    <row r="2576" spans="10:10" ht="18.75" customHeight="1" x14ac:dyDescent="0.25">
      <c r="J2576" s="48"/>
    </row>
    <row r="2577" spans="10:10" ht="18.75" customHeight="1" x14ac:dyDescent="0.25">
      <c r="J2577" s="48"/>
    </row>
    <row r="2578" spans="10:10" ht="18.75" customHeight="1" x14ac:dyDescent="0.25">
      <c r="J2578" s="48"/>
    </row>
    <row r="2579" spans="10:10" ht="18.75" customHeight="1" x14ac:dyDescent="0.25">
      <c r="J2579" s="48"/>
    </row>
    <row r="2580" spans="10:10" ht="18.75" customHeight="1" x14ac:dyDescent="0.25">
      <c r="J2580" s="48"/>
    </row>
    <row r="2581" spans="10:10" ht="18.75" customHeight="1" x14ac:dyDescent="0.25">
      <c r="J2581" s="48"/>
    </row>
    <row r="2582" spans="10:10" ht="18.75" customHeight="1" x14ac:dyDescent="0.25">
      <c r="J2582" s="48"/>
    </row>
    <row r="2583" spans="10:10" ht="18.75" customHeight="1" x14ac:dyDescent="0.25">
      <c r="J2583" s="48"/>
    </row>
    <row r="2584" spans="10:10" ht="18.75" customHeight="1" x14ac:dyDescent="0.25">
      <c r="J2584" s="48"/>
    </row>
    <row r="2585" spans="10:10" ht="18.75" customHeight="1" x14ac:dyDescent="0.25">
      <c r="J2585" s="48"/>
    </row>
    <row r="2586" spans="10:10" ht="18.75" customHeight="1" x14ac:dyDescent="0.25">
      <c r="J2586" s="48"/>
    </row>
    <row r="2587" spans="10:10" ht="18.75" customHeight="1" x14ac:dyDescent="0.25">
      <c r="J2587" s="48"/>
    </row>
    <row r="2588" spans="10:10" ht="18.75" customHeight="1" x14ac:dyDescent="0.25">
      <c r="J2588" s="48"/>
    </row>
    <row r="2589" spans="10:10" ht="18.75" customHeight="1" x14ac:dyDescent="0.25">
      <c r="J2589" s="48"/>
    </row>
    <row r="2590" spans="10:10" ht="18.75" customHeight="1" x14ac:dyDescent="0.25">
      <c r="J2590" s="48"/>
    </row>
    <row r="2591" spans="10:10" ht="18.75" customHeight="1" x14ac:dyDescent="0.25">
      <c r="J2591" s="48"/>
    </row>
    <row r="2592" spans="10:10" ht="18.75" customHeight="1" x14ac:dyDescent="0.25">
      <c r="J2592" s="48"/>
    </row>
    <row r="2593" spans="10:10" ht="18.75" customHeight="1" x14ac:dyDescent="0.25">
      <c r="J2593" s="48"/>
    </row>
    <row r="2594" spans="10:10" ht="18.75" customHeight="1" x14ac:dyDescent="0.25">
      <c r="J2594" s="48"/>
    </row>
    <row r="2595" spans="10:10" ht="18.75" customHeight="1" x14ac:dyDescent="0.25">
      <c r="J2595" s="48"/>
    </row>
    <row r="2596" spans="10:10" ht="18.75" customHeight="1" x14ac:dyDescent="0.25">
      <c r="J2596" s="48"/>
    </row>
    <row r="2597" spans="10:10" ht="18.75" customHeight="1" x14ac:dyDescent="0.25">
      <c r="J2597" s="48"/>
    </row>
    <row r="2598" spans="10:10" ht="18.75" customHeight="1" x14ac:dyDescent="0.25">
      <c r="J2598" s="48"/>
    </row>
    <row r="2599" spans="10:10" ht="18.75" customHeight="1" x14ac:dyDescent="0.25">
      <c r="J2599" s="48"/>
    </row>
    <row r="2600" spans="10:10" ht="18.75" customHeight="1" x14ac:dyDescent="0.25">
      <c r="J2600" s="48"/>
    </row>
    <row r="2601" spans="10:10" ht="18.75" customHeight="1" x14ac:dyDescent="0.25">
      <c r="J2601" s="48"/>
    </row>
    <row r="2602" spans="10:10" ht="18.75" customHeight="1" x14ac:dyDescent="0.25">
      <c r="J2602" s="48"/>
    </row>
    <row r="2603" spans="10:10" ht="18.75" customHeight="1" x14ac:dyDescent="0.25">
      <c r="J2603" s="48"/>
    </row>
    <row r="2604" spans="10:10" ht="18.75" customHeight="1" x14ac:dyDescent="0.25">
      <c r="J2604" s="48"/>
    </row>
    <row r="2605" spans="10:10" ht="18.75" customHeight="1" x14ac:dyDescent="0.25">
      <c r="J2605" s="48"/>
    </row>
    <row r="2606" spans="10:10" ht="18.75" customHeight="1" x14ac:dyDescent="0.25">
      <c r="J2606" s="48"/>
    </row>
    <row r="2607" spans="10:10" ht="18.75" customHeight="1" x14ac:dyDescent="0.25">
      <c r="J2607" s="48"/>
    </row>
    <row r="2608" spans="10:10" ht="18.75" customHeight="1" x14ac:dyDescent="0.25">
      <c r="J2608" s="48"/>
    </row>
    <row r="2609" spans="10:10" ht="18.75" customHeight="1" x14ac:dyDescent="0.25">
      <c r="J2609" s="48"/>
    </row>
    <row r="2610" spans="10:10" ht="18.75" customHeight="1" x14ac:dyDescent="0.25">
      <c r="J2610" s="48"/>
    </row>
    <row r="2611" spans="10:10" ht="18.75" customHeight="1" x14ac:dyDescent="0.25">
      <c r="J2611" s="48"/>
    </row>
    <row r="2612" spans="10:10" ht="18.75" customHeight="1" x14ac:dyDescent="0.25">
      <c r="J2612" s="48"/>
    </row>
    <row r="2613" spans="10:10" ht="18.75" customHeight="1" x14ac:dyDescent="0.25">
      <c r="J2613" s="48"/>
    </row>
    <row r="2614" spans="10:10" ht="18.75" customHeight="1" x14ac:dyDescent="0.25">
      <c r="J2614" s="48"/>
    </row>
    <row r="2615" spans="10:10" ht="18.75" customHeight="1" x14ac:dyDescent="0.25">
      <c r="J2615" s="48"/>
    </row>
    <row r="2616" spans="10:10" ht="18.75" customHeight="1" x14ac:dyDescent="0.25">
      <c r="J2616" s="48"/>
    </row>
    <row r="2617" spans="10:10" ht="18.75" customHeight="1" x14ac:dyDescent="0.25">
      <c r="J2617" s="48"/>
    </row>
    <row r="2618" spans="10:10" ht="18.75" customHeight="1" x14ac:dyDescent="0.25">
      <c r="J2618" s="48"/>
    </row>
    <row r="2619" spans="10:10" ht="18.75" customHeight="1" x14ac:dyDescent="0.25">
      <c r="J2619" s="48"/>
    </row>
    <row r="2620" spans="10:10" ht="18.75" customHeight="1" x14ac:dyDescent="0.25">
      <c r="J2620" s="48"/>
    </row>
    <row r="2621" spans="10:10" ht="18.75" customHeight="1" x14ac:dyDescent="0.25">
      <c r="J2621" s="48"/>
    </row>
    <row r="2622" spans="10:10" ht="18.75" customHeight="1" x14ac:dyDescent="0.25">
      <c r="J2622" s="48"/>
    </row>
    <row r="2623" spans="10:10" ht="18.75" customHeight="1" x14ac:dyDescent="0.25">
      <c r="J2623" s="48"/>
    </row>
    <row r="2624" spans="10:10" ht="18.75" customHeight="1" x14ac:dyDescent="0.25">
      <c r="J2624" s="48"/>
    </row>
    <row r="2625" spans="10:10" ht="18.75" customHeight="1" x14ac:dyDescent="0.25">
      <c r="J2625" s="48"/>
    </row>
    <row r="2626" spans="10:10" ht="18.75" customHeight="1" x14ac:dyDescent="0.25">
      <c r="J2626" s="48"/>
    </row>
    <row r="2627" spans="10:10" ht="18.75" customHeight="1" x14ac:dyDescent="0.25">
      <c r="J2627" s="48"/>
    </row>
    <row r="2628" spans="10:10" ht="18.75" customHeight="1" x14ac:dyDescent="0.25">
      <c r="J2628" s="48"/>
    </row>
    <row r="2629" spans="10:10" ht="18.75" customHeight="1" x14ac:dyDescent="0.25">
      <c r="J2629" s="48"/>
    </row>
    <row r="2630" spans="10:10" ht="18.75" customHeight="1" x14ac:dyDescent="0.25">
      <c r="J2630" s="48"/>
    </row>
    <row r="2631" spans="10:10" ht="18.75" customHeight="1" x14ac:dyDescent="0.25">
      <c r="J2631" s="48"/>
    </row>
    <row r="2632" spans="10:10" ht="18.75" customHeight="1" x14ac:dyDescent="0.25">
      <c r="J2632" s="48"/>
    </row>
    <row r="2633" spans="10:10" ht="18.75" customHeight="1" x14ac:dyDescent="0.25">
      <c r="J2633" s="48"/>
    </row>
    <row r="2634" spans="10:10" ht="18.75" customHeight="1" x14ac:dyDescent="0.25">
      <c r="J2634" s="48"/>
    </row>
    <row r="2635" spans="10:10" ht="18.75" customHeight="1" x14ac:dyDescent="0.25">
      <c r="J2635" s="48"/>
    </row>
    <row r="2636" spans="10:10" ht="18.75" customHeight="1" x14ac:dyDescent="0.25">
      <c r="J2636" s="48"/>
    </row>
    <row r="2637" spans="10:10" ht="18.75" customHeight="1" x14ac:dyDescent="0.25">
      <c r="J2637" s="48"/>
    </row>
    <row r="2638" spans="10:10" ht="18.75" customHeight="1" x14ac:dyDescent="0.25">
      <c r="J2638" s="48"/>
    </row>
    <row r="2639" spans="10:10" ht="18.75" customHeight="1" x14ac:dyDescent="0.25">
      <c r="J2639" s="48"/>
    </row>
    <row r="2640" spans="10:10" ht="18.75" customHeight="1" x14ac:dyDescent="0.25">
      <c r="J2640" s="48"/>
    </row>
    <row r="2641" spans="10:10" ht="18.75" customHeight="1" x14ac:dyDescent="0.25">
      <c r="J2641" s="48"/>
    </row>
    <row r="2642" spans="10:10" ht="18.75" customHeight="1" x14ac:dyDescent="0.25">
      <c r="J2642" s="48"/>
    </row>
    <row r="2643" spans="10:10" ht="18.75" customHeight="1" x14ac:dyDescent="0.25">
      <c r="J2643" s="48"/>
    </row>
    <row r="2644" spans="10:10" ht="18.75" customHeight="1" x14ac:dyDescent="0.25">
      <c r="J2644" s="48"/>
    </row>
    <row r="2645" spans="10:10" ht="18.75" customHeight="1" x14ac:dyDescent="0.25">
      <c r="J2645" s="48"/>
    </row>
    <row r="2646" spans="10:10" ht="18.75" customHeight="1" x14ac:dyDescent="0.25">
      <c r="J2646" s="48"/>
    </row>
    <row r="2647" spans="10:10" ht="18.75" customHeight="1" x14ac:dyDescent="0.25">
      <c r="J2647" s="48"/>
    </row>
    <row r="2648" spans="10:10" ht="18.75" customHeight="1" x14ac:dyDescent="0.25">
      <c r="J2648" s="48"/>
    </row>
    <row r="2649" spans="10:10" ht="18.75" customHeight="1" x14ac:dyDescent="0.25">
      <c r="J2649" s="48"/>
    </row>
    <row r="2650" spans="10:10" ht="18.75" customHeight="1" x14ac:dyDescent="0.25">
      <c r="J2650" s="48"/>
    </row>
    <row r="2651" spans="10:10" ht="18.75" customHeight="1" x14ac:dyDescent="0.25">
      <c r="J2651" s="48"/>
    </row>
    <row r="2652" spans="10:10" ht="18.75" customHeight="1" x14ac:dyDescent="0.25">
      <c r="J2652" s="48"/>
    </row>
    <row r="2653" spans="10:10" ht="18.75" customHeight="1" x14ac:dyDescent="0.25">
      <c r="J2653" s="48"/>
    </row>
    <row r="2654" spans="10:10" ht="18.75" customHeight="1" x14ac:dyDescent="0.25">
      <c r="J2654" s="48"/>
    </row>
    <row r="2655" spans="10:10" ht="18.75" customHeight="1" x14ac:dyDescent="0.25">
      <c r="J2655" s="48"/>
    </row>
    <row r="2656" spans="10:10" ht="18.75" customHeight="1" x14ac:dyDescent="0.25">
      <c r="J2656" s="48"/>
    </row>
    <row r="2657" spans="10:10" ht="18.75" customHeight="1" x14ac:dyDescent="0.25">
      <c r="J2657" s="48"/>
    </row>
    <row r="2658" spans="10:10" ht="18.75" customHeight="1" x14ac:dyDescent="0.25">
      <c r="J2658" s="48"/>
    </row>
    <row r="2659" spans="10:10" ht="18.75" customHeight="1" x14ac:dyDescent="0.25">
      <c r="J2659" s="48"/>
    </row>
    <row r="2660" spans="10:10" ht="18.75" customHeight="1" x14ac:dyDescent="0.25">
      <c r="J2660" s="48"/>
    </row>
    <row r="2661" spans="10:10" ht="18.75" customHeight="1" x14ac:dyDescent="0.25">
      <c r="J2661" s="48"/>
    </row>
    <row r="2662" spans="10:10" ht="18.75" customHeight="1" x14ac:dyDescent="0.25">
      <c r="J2662" s="48"/>
    </row>
    <row r="2663" spans="10:10" ht="18.75" customHeight="1" x14ac:dyDescent="0.25">
      <c r="J2663" s="48"/>
    </row>
    <row r="2664" spans="10:10" ht="18.75" customHeight="1" x14ac:dyDescent="0.25">
      <c r="J2664" s="48"/>
    </row>
    <row r="2665" spans="10:10" ht="18.75" customHeight="1" x14ac:dyDescent="0.25">
      <c r="J2665" s="48"/>
    </row>
    <row r="2666" spans="10:10" ht="18.75" customHeight="1" x14ac:dyDescent="0.25">
      <c r="J2666" s="48"/>
    </row>
    <row r="2667" spans="10:10" ht="18.75" customHeight="1" x14ac:dyDescent="0.25">
      <c r="J2667" s="48"/>
    </row>
    <row r="2668" spans="10:10" ht="18.75" customHeight="1" x14ac:dyDescent="0.25">
      <c r="J2668" s="48"/>
    </row>
    <row r="2669" spans="10:10" ht="18.75" customHeight="1" x14ac:dyDescent="0.25">
      <c r="J2669" s="48"/>
    </row>
    <row r="2670" spans="10:10" ht="18.75" customHeight="1" x14ac:dyDescent="0.25">
      <c r="J2670" s="48"/>
    </row>
    <row r="2671" spans="10:10" ht="18.75" customHeight="1" x14ac:dyDescent="0.25">
      <c r="J2671" s="48"/>
    </row>
    <row r="2672" spans="10:10" ht="18.75" customHeight="1" x14ac:dyDescent="0.25">
      <c r="J2672" s="48"/>
    </row>
    <row r="2673" spans="10:10" ht="18.75" customHeight="1" x14ac:dyDescent="0.25">
      <c r="J2673" s="48"/>
    </row>
    <row r="2674" spans="10:10" ht="18.75" customHeight="1" x14ac:dyDescent="0.25">
      <c r="J2674" s="48"/>
    </row>
    <row r="2675" spans="10:10" ht="18.75" customHeight="1" x14ac:dyDescent="0.25">
      <c r="J2675" s="48"/>
    </row>
    <row r="2676" spans="10:10" ht="18.75" customHeight="1" x14ac:dyDescent="0.25">
      <c r="J2676" s="48"/>
    </row>
    <row r="2677" spans="10:10" ht="18.75" customHeight="1" x14ac:dyDescent="0.25">
      <c r="J2677" s="48"/>
    </row>
    <row r="2678" spans="10:10" ht="18.75" customHeight="1" x14ac:dyDescent="0.25">
      <c r="J2678" s="48"/>
    </row>
    <row r="2679" spans="10:10" ht="18.75" customHeight="1" x14ac:dyDescent="0.25">
      <c r="J2679" s="48"/>
    </row>
    <row r="2680" spans="10:10" ht="18.75" customHeight="1" x14ac:dyDescent="0.25">
      <c r="J2680" s="48"/>
    </row>
    <row r="2681" spans="10:10" ht="18.75" customHeight="1" x14ac:dyDescent="0.25">
      <c r="J2681" s="48"/>
    </row>
    <row r="2682" spans="10:10" ht="18.75" customHeight="1" x14ac:dyDescent="0.25">
      <c r="J2682" s="48"/>
    </row>
    <row r="2683" spans="10:10" ht="18.75" customHeight="1" x14ac:dyDescent="0.25">
      <c r="J2683" s="48"/>
    </row>
    <row r="2684" spans="10:10" ht="18.75" customHeight="1" x14ac:dyDescent="0.25">
      <c r="J2684" s="48"/>
    </row>
    <row r="2685" spans="10:10" ht="18.75" customHeight="1" x14ac:dyDescent="0.25">
      <c r="J2685" s="48"/>
    </row>
    <row r="2686" spans="10:10" ht="18.75" customHeight="1" x14ac:dyDescent="0.25">
      <c r="J2686" s="48"/>
    </row>
    <row r="2687" spans="10:10" ht="18.75" customHeight="1" x14ac:dyDescent="0.25">
      <c r="J2687" s="48"/>
    </row>
    <row r="2688" spans="10:10" ht="18.75" customHeight="1" x14ac:dyDescent="0.25">
      <c r="J2688" s="48"/>
    </row>
    <row r="2689" spans="10:10" ht="18.75" customHeight="1" x14ac:dyDescent="0.25">
      <c r="J2689" s="48"/>
    </row>
    <row r="2690" spans="10:10" ht="18.75" customHeight="1" x14ac:dyDescent="0.25">
      <c r="J2690" s="48"/>
    </row>
    <row r="2691" spans="10:10" ht="18.75" customHeight="1" x14ac:dyDescent="0.25">
      <c r="J2691" s="48"/>
    </row>
    <row r="2692" spans="10:10" ht="18.75" customHeight="1" x14ac:dyDescent="0.25">
      <c r="J2692" s="48"/>
    </row>
    <row r="2693" spans="10:10" ht="18.75" customHeight="1" x14ac:dyDescent="0.25">
      <c r="J2693" s="48"/>
    </row>
    <row r="2694" spans="10:10" ht="18.75" customHeight="1" x14ac:dyDescent="0.25">
      <c r="J2694" s="48"/>
    </row>
    <row r="2695" spans="10:10" ht="18.75" customHeight="1" x14ac:dyDescent="0.25">
      <c r="J2695" s="48"/>
    </row>
    <row r="2696" spans="10:10" ht="18.75" customHeight="1" x14ac:dyDescent="0.25">
      <c r="J2696" s="48"/>
    </row>
    <row r="2697" spans="10:10" ht="18.75" customHeight="1" x14ac:dyDescent="0.25">
      <c r="J2697" s="48"/>
    </row>
    <row r="2698" spans="10:10" ht="18.75" customHeight="1" x14ac:dyDescent="0.25">
      <c r="J2698" s="48"/>
    </row>
    <row r="2699" spans="10:10" ht="18.75" customHeight="1" x14ac:dyDescent="0.25">
      <c r="J2699" s="48"/>
    </row>
    <row r="2700" spans="10:10" ht="18.75" customHeight="1" x14ac:dyDescent="0.25">
      <c r="J2700" s="48"/>
    </row>
    <row r="2701" spans="10:10" ht="18.75" customHeight="1" x14ac:dyDescent="0.25">
      <c r="J2701" s="48"/>
    </row>
    <row r="2702" spans="10:10" ht="18.75" customHeight="1" x14ac:dyDescent="0.25">
      <c r="J2702" s="48"/>
    </row>
    <row r="2703" spans="10:10" ht="18.75" customHeight="1" x14ac:dyDescent="0.25">
      <c r="J2703" s="48"/>
    </row>
    <row r="2704" spans="10:10" ht="18.75" customHeight="1" x14ac:dyDescent="0.25">
      <c r="J2704" s="48"/>
    </row>
    <row r="2705" spans="10:10" ht="18.75" customHeight="1" x14ac:dyDescent="0.25">
      <c r="J2705" s="48"/>
    </row>
    <row r="2706" spans="10:10" ht="18.75" customHeight="1" x14ac:dyDescent="0.25">
      <c r="J2706" s="48"/>
    </row>
    <row r="2707" spans="10:10" ht="18.75" customHeight="1" x14ac:dyDescent="0.25">
      <c r="J2707" s="48"/>
    </row>
    <row r="2708" spans="10:10" ht="18.75" customHeight="1" x14ac:dyDescent="0.25">
      <c r="J2708" s="48"/>
    </row>
    <row r="2709" spans="10:10" ht="18.75" customHeight="1" x14ac:dyDescent="0.25">
      <c r="J2709" s="48"/>
    </row>
    <row r="2710" spans="10:10" ht="18.75" customHeight="1" x14ac:dyDescent="0.25">
      <c r="J2710" s="48"/>
    </row>
    <row r="2711" spans="10:10" ht="18.75" customHeight="1" x14ac:dyDescent="0.25">
      <c r="J2711" s="48"/>
    </row>
    <row r="2712" spans="10:10" ht="18.75" customHeight="1" x14ac:dyDescent="0.25">
      <c r="J2712" s="48"/>
    </row>
    <row r="2713" spans="10:10" ht="18.75" customHeight="1" x14ac:dyDescent="0.25">
      <c r="J2713" s="48"/>
    </row>
    <row r="2714" spans="10:10" ht="18.75" customHeight="1" x14ac:dyDescent="0.25">
      <c r="J2714" s="48"/>
    </row>
    <row r="2715" spans="10:10" ht="18.75" customHeight="1" x14ac:dyDescent="0.25">
      <c r="J2715" s="48"/>
    </row>
    <row r="2716" spans="10:10" ht="18.75" customHeight="1" x14ac:dyDescent="0.25">
      <c r="J2716" s="48"/>
    </row>
    <row r="2717" spans="10:10" ht="18.75" customHeight="1" x14ac:dyDescent="0.25">
      <c r="J2717" s="48"/>
    </row>
    <row r="2718" spans="10:10" ht="18.75" customHeight="1" x14ac:dyDescent="0.25">
      <c r="J2718" s="48"/>
    </row>
    <row r="2719" spans="10:10" ht="18.75" customHeight="1" x14ac:dyDescent="0.25">
      <c r="J2719" s="48"/>
    </row>
    <row r="2720" spans="10:10" ht="18.75" customHeight="1" x14ac:dyDescent="0.25">
      <c r="J2720" s="48"/>
    </row>
    <row r="2721" spans="10:10" ht="18.75" customHeight="1" x14ac:dyDescent="0.25">
      <c r="J2721" s="48"/>
    </row>
    <row r="2722" spans="10:10" ht="18.75" customHeight="1" x14ac:dyDescent="0.25">
      <c r="J2722" s="48"/>
    </row>
    <row r="2723" spans="10:10" ht="18.75" customHeight="1" x14ac:dyDescent="0.25">
      <c r="J2723" s="48"/>
    </row>
    <row r="2724" spans="10:10" ht="18.75" customHeight="1" x14ac:dyDescent="0.25">
      <c r="J2724" s="48"/>
    </row>
    <row r="2725" spans="10:10" ht="18.75" customHeight="1" x14ac:dyDescent="0.25">
      <c r="J2725" s="48"/>
    </row>
    <row r="2726" spans="10:10" ht="18.75" customHeight="1" x14ac:dyDescent="0.25">
      <c r="J2726" s="48"/>
    </row>
    <row r="2727" spans="10:10" ht="18.75" customHeight="1" x14ac:dyDescent="0.25">
      <c r="J2727" s="48"/>
    </row>
    <row r="2728" spans="10:10" ht="18.75" customHeight="1" x14ac:dyDescent="0.25">
      <c r="J2728" s="48"/>
    </row>
    <row r="2729" spans="10:10" ht="18.75" customHeight="1" x14ac:dyDescent="0.25">
      <c r="J2729" s="48"/>
    </row>
    <row r="2730" spans="10:10" ht="18.75" customHeight="1" x14ac:dyDescent="0.25">
      <c r="J2730" s="48"/>
    </row>
    <row r="2731" spans="10:10" ht="18.75" customHeight="1" x14ac:dyDescent="0.25">
      <c r="J2731" s="48"/>
    </row>
    <row r="2732" spans="10:10" ht="18.75" customHeight="1" x14ac:dyDescent="0.25">
      <c r="J2732" s="48"/>
    </row>
    <row r="2733" spans="10:10" ht="18.75" customHeight="1" x14ac:dyDescent="0.25">
      <c r="J2733" s="48"/>
    </row>
    <row r="2734" spans="10:10" ht="18.75" customHeight="1" x14ac:dyDescent="0.25">
      <c r="J2734" s="48"/>
    </row>
    <row r="2735" spans="10:10" ht="18.75" customHeight="1" x14ac:dyDescent="0.25">
      <c r="J2735" s="48"/>
    </row>
    <row r="2736" spans="10:10" ht="18.75" customHeight="1" x14ac:dyDescent="0.25">
      <c r="J2736" s="48"/>
    </row>
    <row r="2737" spans="10:10" ht="18.75" customHeight="1" x14ac:dyDescent="0.25">
      <c r="J2737" s="48"/>
    </row>
    <row r="2738" spans="10:10" ht="18.75" customHeight="1" x14ac:dyDescent="0.25">
      <c r="J2738" s="48"/>
    </row>
    <row r="2739" spans="10:10" ht="18.75" customHeight="1" x14ac:dyDescent="0.25">
      <c r="J2739" s="48"/>
    </row>
    <row r="2740" spans="10:10" ht="18.75" customHeight="1" x14ac:dyDescent="0.25">
      <c r="J2740" s="48"/>
    </row>
    <row r="2741" spans="10:10" ht="18.75" customHeight="1" x14ac:dyDescent="0.25">
      <c r="J2741" s="48"/>
    </row>
    <row r="2742" spans="10:10" ht="18.75" customHeight="1" x14ac:dyDescent="0.25">
      <c r="J2742" s="48"/>
    </row>
    <row r="2743" spans="10:10" ht="18.75" customHeight="1" x14ac:dyDescent="0.25">
      <c r="J2743" s="48"/>
    </row>
    <row r="2744" spans="10:10" ht="18.75" customHeight="1" x14ac:dyDescent="0.25">
      <c r="J2744" s="48"/>
    </row>
    <row r="2745" spans="10:10" ht="18.75" customHeight="1" x14ac:dyDescent="0.25">
      <c r="J2745" s="48"/>
    </row>
    <row r="2746" spans="10:10" ht="18.75" customHeight="1" x14ac:dyDescent="0.25">
      <c r="J2746" s="48"/>
    </row>
    <row r="2747" spans="10:10" ht="18.75" customHeight="1" x14ac:dyDescent="0.25">
      <c r="J2747" s="48"/>
    </row>
    <row r="2748" spans="10:10" ht="18.75" customHeight="1" x14ac:dyDescent="0.25">
      <c r="J2748" s="48"/>
    </row>
    <row r="2749" spans="10:10" ht="18.75" customHeight="1" x14ac:dyDescent="0.25">
      <c r="J2749" s="48"/>
    </row>
    <row r="2750" spans="10:10" ht="18.75" customHeight="1" x14ac:dyDescent="0.25">
      <c r="J2750" s="48"/>
    </row>
    <row r="2751" spans="10:10" ht="18.75" customHeight="1" x14ac:dyDescent="0.25">
      <c r="J2751" s="48"/>
    </row>
    <row r="2752" spans="10:10" ht="18.75" customHeight="1" x14ac:dyDescent="0.25">
      <c r="J2752" s="48"/>
    </row>
    <row r="2753" spans="10:10" ht="18.75" customHeight="1" x14ac:dyDescent="0.25">
      <c r="J2753" s="48"/>
    </row>
    <row r="2754" spans="10:10" ht="18.75" customHeight="1" x14ac:dyDescent="0.25">
      <c r="J2754" s="48"/>
    </row>
    <row r="2755" spans="10:10" ht="18.75" customHeight="1" x14ac:dyDescent="0.25">
      <c r="J2755" s="48"/>
    </row>
    <row r="2756" spans="10:10" ht="18.75" customHeight="1" x14ac:dyDescent="0.25">
      <c r="J2756" s="48"/>
    </row>
    <row r="2757" spans="10:10" ht="18.75" customHeight="1" x14ac:dyDescent="0.25">
      <c r="J2757" s="48"/>
    </row>
    <row r="2758" spans="10:10" ht="18.75" customHeight="1" x14ac:dyDescent="0.25">
      <c r="J2758" s="48"/>
    </row>
    <row r="2759" spans="10:10" ht="18.75" customHeight="1" x14ac:dyDescent="0.25">
      <c r="J2759" s="48"/>
    </row>
    <row r="2760" spans="10:10" ht="18.75" customHeight="1" x14ac:dyDescent="0.25">
      <c r="J2760" s="48"/>
    </row>
    <row r="2761" spans="10:10" ht="18.75" customHeight="1" x14ac:dyDescent="0.25">
      <c r="J2761" s="48"/>
    </row>
    <row r="2762" spans="10:10" ht="18.75" customHeight="1" x14ac:dyDescent="0.25">
      <c r="J2762" s="48"/>
    </row>
    <row r="2763" spans="10:10" ht="18.75" customHeight="1" x14ac:dyDescent="0.25">
      <c r="J2763" s="48"/>
    </row>
    <row r="2764" spans="10:10" ht="18.75" customHeight="1" x14ac:dyDescent="0.25">
      <c r="J2764" s="48"/>
    </row>
    <row r="2765" spans="10:10" ht="18.75" customHeight="1" x14ac:dyDescent="0.25">
      <c r="J2765" s="48"/>
    </row>
    <row r="2766" spans="10:10" ht="18.75" customHeight="1" x14ac:dyDescent="0.25">
      <c r="J2766" s="48"/>
    </row>
    <row r="2767" spans="10:10" ht="18.75" customHeight="1" x14ac:dyDescent="0.25">
      <c r="J2767" s="48"/>
    </row>
    <row r="2768" spans="10:10" ht="18.75" customHeight="1" x14ac:dyDescent="0.25">
      <c r="J2768" s="48"/>
    </row>
    <row r="2769" spans="10:10" ht="18.75" customHeight="1" x14ac:dyDescent="0.25">
      <c r="J2769" s="48"/>
    </row>
    <row r="2770" spans="10:10" ht="18.75" customHeight="1" x14ac:dyDescent="0.25">
      <c r="J2770" s="48"/>
    </row>
    <row r="2771" spans="10:10" ht="18.75" customHeight="1" x14ac:dyDescent="0.25">
      <c r="J2771" s="48"/>
    </row>
    <row r="2772" spans="10:10" ht="18.75" customHeight="1" x14ac:dyDescent="0.25">
      <c r="J2772" s="48"/>
    </row>
    <row r="2773" spans="10:10" ht="18.75" customHeight="1" x14ac:dyDescent="0.25">
      <c r="J2773" s="48"/>
    </row>
    <row r="2774" spans="10:10" ht="18.75" customHeight="1" x14ac:dyDescent="0.25">
      <c r="J2774" s="48"/>
    </row>
    <row r="2775" spans="10:10" ht="18.75" customHeight="1" x14ac:dyDescent="0.25">
      <c r="J2775" s="48"/>
    </row>
    <row r="2776" spans="10:10" ht="18.75" customHeight="1" x14ac:dyDescent="0.25">
      <c r="J2776" s="48"/>
    </row>
    <row r="2777" spans="10:10" ht="18.75" customHeight="1" x14ac:dyDescent="0.25">
      <c r="J2777" s="48"/>
    </row>
    <row r="2778" spans="10:10" ht="18.75" customHeight="1" x14ac:dyDescent="0.25">
      <c r="J2778" s="48"/>
    </row>
    <row r="2779" spans="10:10" ht="18.75" customHeight="1" x14ac:dyDescent="0.25">
      <c r="J2779" s="48"/>
    </row>
    <row r="2780" spans="10:10" ht="18.75" customHeight="1" x14ac:dyDescent="0.25">
      <c r="J2780" s="48"/>
    </row>
    <row r="2781" spans="10:10" ht="18.75" customHeight="1" x14ac:dyDescent="0.25">
      <c r="J2781" s="48"/>
    </row>
    <row r="2782" spans="10:10" ht="18.75" customHeight="1" x14ac:dyDescent="0.25">
      <c r="J2782" s="48"/>
    </row>
    <row r="2783" spans="10:10" ht="18.75" customHeight="1" x14ac:dyDescent="0.25">
      <c r="J2783" s="48"/>
    </row>
    <row r="2784" spans="10:10" ht="18.75" customHeight="1" x14ac:dyDescent="0.25">
      <c r="J2784" s="48"/>
    </row>
    <row r="2785" spans="10:10" ht="18.75" customHeight="1" x14ac:dyDescent="0.25">
      <c r="J2785" s="48"/>
    </row>
    <row r="2786" spans="10:10" ht="18.75" customHeight="1" x14ac:dyDescent="0.25">
      <c r="J2786" s="48"/>
    </row>
    <row r="2787" spans="10:10" ht="18.75" customHeight="1" x14ac:dyDescent="0.25">
      <c r="J2787" s="48"/>
    </row>
    <row r="2788" spans="10:10" ht="18.75" customHeight="1" x14ac:dyDescent="0.25">
      <c r="J2788" s="48"/>
    </row>
    <row r="2789" spans="10:10" ht="18.75" customHeight="1" x14ac:dyDescent="0.25">
      <c r="J2789" s="48"/>
    </row>
    <row r="2790" spans="10:10" ht="18.75" customHeight="1" x14ac:dyDescent="0.25">
      <c r="J2790" s="48"/>
    </row>
    <row r="2791" spans="10:10" ht="18.75" customHeight="1" x14ac:dyDescent="0.25">
      <c r="J2791" s="48"/>
    </row>
    <row r="2792" spans="10:10" ht="18.75" customHeight="1" x14ac:dyDescent="0.25">
      <c r="J2792" s="48"/>
    </row>
    <row r="2793" spans="10:10" ht="18.75" customHeight="1" x14ac:dyDescent="0.25">
      <c r="J2793" s="48"/>
    </row>
    <row r="2794" spans="10:10" ht="18.75" customHeight="1" x14ac:dyDescent="0.25">
      <c r="J2794" s="48"/>
    </row>
    <row r="2795" spans="10:10" ht="18.75" customHeight="1" x14ac:dyDescent="0.25">
      <c r="J2795" s="48"/>
    </row>
    <row r="2796" spans="10:10" ht="18.75" customHeight="1" x14ac:dyDescent="0.25">
      <c r="J2796" s="48"/>
    </row>
    <row r="2797" spans="10:10" ht="18.75" customHeight="1" x14ac:dyDescent="0.25">
      <c r="J2797" s="48"/>
    </row>
    <row r="2798" spans="10:10" ht="18.75" customHeight="1" x14ac:dyDescent="0.25">
      <c r="J2798" s="48"/>
    </row>
    <row r="2799" spans="10:10" ht="18.75" customHeight="1" x14ac:dyDescent="0.25">
      <c r="J2799" s="48"/>
    </row>
    <row r="2800" spans="10:10" ht="18.75" customHeight="1" x14ac:dyDescent="0.25">
      <c r="J2800" s="48"/>
    </row>
    <row r="2801" spans="10:10" ht="18.75" customHeight="1" x14ac:dyDescent="0.25">
      <c r="J2801" s="48"/>
    </row>
    <row r="2802" spans="10:10" ht="18.75" customHeight="1" x14ac:dyDescent="0.25">
      <c r="J2802" s="48"/>
    </row>
    <row r="2803" spans="10:10" ht="18.75" customHeight="1" x14ac:dyDescent="0.25">
      <c r="J2803" s="48"/>
    </row>
    <row r="2804" spans="10:10" ht="18.75" customHeight="1" x14ac:dyDescent="0.25">
      <c r="J2804" s="48"/>
    </row>
    <row r="2805" spans="10:10" ht="18.75" customHeight="1" x14ac:dyDescent="0.25">
      <c r="J2805" s="48"/>
    </row>
    <row r="2806" spans="10:10" ht="18.75" customHeight="1" x14ac:dyDescent="0.25">
      <c r="J2806" s="48"/>
    </row>
    <row r="2807" spans="10:10" ht="18.75" customHeight="1" x14ac:dyDescent="0.25">
      <c r="J2807" s="48"/>
    </row>
    <row r="2808" spans="10:10" ht="18.75" customHeight="1" x14ac:dyDescent="0.25">
      <c r="J2808" s="48"/>
    </row>
    <row r="2809" spans="10:10" ht="18.75" customHeight="1" x14ac:dyDescent="0.25">
      <c r="J2809" s="48"/>
    </row>
    <row r="2810" spans="10:10" ht="18.75" customHeight="1" x14ac:dyDescent="0.25">
      <c r="J2810" s="48"/>
    </row>
    <row r="2811" spans="10:10" ht="18.75" customHeight="1" x14ac:dyDescent="0.25">
      <c r="J2811" s="48"/>
    </row>
    <row r="2812" spans="10:10" ht="18.75" customHeight="1" x14ac:dyDescent="0.25">
      <c r="J2812" s="48"/>
    </row>
    <row r="2813" spans="10:10" ht="18.75" customHeight="1" x14ac:dyDescent="0.25">
      <c r="J2813" s="48"/>
    </row>
    <row r="2814" spans="10:10" ht="18.75" customHeight="1" x14ac:dyDescent="0.25">
      <c r="J2814" s="48"/>
    </row>
    <row r="2815" spans="10:10" ht="18.75" customHeight="1" x14ac:dyDescent="0.25">
      <c r="J2815" s="48"/>
    </row>
    <row r="2816" spans="10:10" ht="18.75" customHeight="1" x14ac:dyDescent="0.25">
      <c r="J2816" s="48"/>
    </row>
    <row r="2817" spans="10:10" ht="18.75" customHeight="1" x14ac:dyDescent="0.25">
      <c r="J2817" s="48"/>
    </row>
    <row r="2818" spans="10:10" ht="18.75" customHeight="1" x14ac:dyDescent="0.25">
      <c r="J2818" s="48"/>
    </row>
    <row r="2819" spans="10:10" ht="18.75" customHeight="1" x14ac:dyDescent="0.25">
      <c r="J2819" s="48"/>
    </row>
    <row r="2820" spans="10:10" ht="18.75" customHeight="1" x14ac:dyDescent="0.25">
      <c r="J2820" s="48"/>
    </row>
    <row r="2821" spans="10:10" ht="18.75" customHeight="1" x14ac:dyDescent="0.25">
      <c r="J2821" s="48"/>
    </row>
    <row r="2822" spans="10:10" ht="18.75" customHeight="1" x14ac:dyDescent="0.25">
      <c r="J2822" s="48"/>
    </row>
    <row r="2823" spans="10:10" ht="18.75" customHeight="1" x14ac:dyDescent="0.25">
      <c r="J2823" s="48"/>
    </row>
    <row r="2824" spans="10:10" ht="18.75" customHeight="1" x14ac:dyDescent="0.25">
      <c r="J2824" s="48"/>
    </row>
    <row r="2825" spans="10:10" ht="18.75" customHeight="1" x14ac:dyDescent="0.25">
      <c r="J2825" s="48"/>
    </row>
    <row r="2826" spans="10:10" ht="18.75" customHeight="1" x14ac:dyDescent="0.25">
      <c r="J2826" s="48"/>
    </row>
    <row r="2827" spans="10:10" ht="18.75" customHeight="1" x14ac:dyDescent="0.25">
      <c r="J2827" s="48"/>
    </row>
    <row r="2828" spans="10:10" ht="18.75" customHeight="1" x14ac:dyDescent="0.25">
      <c r="J2828" s="48"/>
    </row>
    <row r="2829" spans="10:10" ht="18.75" customHeight="1" x14ac:dyDescent="0.25">
      <c r="J2829" s="48"/>
    </row>
    <row r="2830" spans="10:10" ht="18.75" customHeight="1" x14ac:dyDescent="0.25">
      <c r="J2830" s="48"/>
    </row>
    <row r="2831" spans="10:10" ht="18.75" customHeight="1" x14ac:dyDescent="0.25">
      <c r="J2831" s="48"/>
    </row>
    <row r="2832" spans="10:10" ht="18.75" customHeight="1" x14ac:dyDescent="0.25">
      <c r="J2832" s="48"/>
    </row>
    <row r="2833" spans="10:10" ht="18.75" customHeight="1" x14ac:dyDescent="0.25">
      <c r="J2833" s="48"/>
    </row>
    <row r="2834" spans="10:10" ht="18.75" customHeight="1" x14ac:dyDescent="0.25">
      <c r="J2834" s="48"/>
    </row>
    <row r="2835" spans="10:10" ht="18.75" customHeight="1" x14ac:dyDescent="0.25">
      <c r="J2835" s="48"/>
    </row>
    <row r="2836" spans="10:10" ht="18.75" customHeight="1" x14ac:dyDescent="0.25">
      <c r="J2836" s="48"/>
    </row>
    <row r="2837" spans="10:10" ht="18.75" customHeight="1" x14ac:dyDescent="0.25">
      <c r="J2837" s="48"/>
    </row>
    <row r="2838" spans="10:10" ht="18.75" customHeight="1" x14ac:dyDescent="0.25">
      <c r="J2838" s="48"/>
    </row>
    <row r="2839" spans="10:10" ht="18.75" customHeight="1" x14ac:dyDescent="0.25">
      <c r="J2839" s="48"/>
    </row>
    <row r="2840" spans="10:10" ht="18.75" customHeight="1" x14ac:dyDescent="0.25">
      <c r="J2840" s="48"/>
    </row>
    <row r="2841" spans="10:10" ht="18.75" customHeight="1" x14ac:dyDescent="0.25">
      <c r="J2841" s="48"/>
    </row>
    <row r="2842" spans="10:10" ht="18.75" customHeight="1" x14ac:dyDescent="0.25">
      <c r="J2842" s="48"/>
    </row>
    <row r="2843" spans="10:10" ht="18.75" customHeight="1" x14ac:dyDescent="0.25">
      <c r="J2843" s="48"/>
    </row>
    <row r="2844" spans="10:10" ht="18.75" customHeight="1" x14ac:dyDescent="0.25">
      <c r="J2844" s="48"/>
    </row>
    <row r="2845" spans="10:10" ht="18.75" customHeight="1" x14ac:dyDescent="0.25">
      <c r="J2845" s="48"/>
    </row>
    <row r="2846" spans="10:10" ht="18.75" customHeight="1" x14ac:dyDescent="0.25">
      <c r="J2846" s="48"/>
    </row>
    <row r="2847" spans="10:10" ht="18.75" customHeight="1" x14ac:dyDescent="0.25">
      <c r="J2847" s="48"/>
    </row>
    <row r="2848" spans="10:10" ht="18.75" customHeight="1" x14ac:dyDescent="0.25">
      <c r="J2848" s="48"/>
    </row>
    <row r="2849" spans="10:10" ht="18.75" customHeight="1" x14ac:dyDescent="0.25">
      <c r="J2849" s="48"/>
    </row>
    <row r="2850" spans="10:10" ht="18.75" customHeight="1" x14ac:dyDescent="0.25">
      <c r="J2850" s="48"/>
    </row>
    <row r="2851" spans="10:10" ht="18.75" customHeight="1" x14ac:dyDescent="0.25">
      <c r="J2851" s="48"/>
    </row>
    <row r="2852" spans="10:10" ht="18.75" customHeight="1" x14ac:dyDescent="0.25">
      <c r="J2852" s="48"/>
    </row>
    <row r="2853" spans="10:10" ht="18.75" customHeight="1" x14ac:dyDescent="0.25">
      <c r="J2853" s="48"/>
    </row>
    <row r="2854" spans="10:10" ht="18.75" customHeight="1" x14ac:dyDescent="0.25">
      <c r="J2854" s="48"/>
    </row>
    <row r="2855" spans="10:10" ht="18.75" customHeight="1" x14ac:dyDescent="0.25">
      <c r="J2855" s="48"/>
    </row>
    <row r="2856" spans="10:10" ht="18.75" customHeight="1" x14ac:dyDescent="0.25">
      <c r="J2856" s="48"/>
    </row>
    <row r="2857" spans="10:10" ht="18.75" customHeight="1" x14ac:dyDescent="0.25">
      <c r="J2857" s="48"/>
    </row>
    <row r="2858" spans="10:10" ht="18.75" customHeight="1" x14ac:dyDescent="0.25">
      <c r="J2858" s="48"/>
    </row>
    <row r="2859" spans="10:10" ht="18.75" customHeight="1" x14ac:dyDescent="0.25">
      <c r="J2859" s="48"/>
    </row>
    <row r="2860" spans="10:10" ht="18.75" customHeight="1" x14ac:dyDescent="0.25">
      <c r="J2860" s="48"/>
    </row>
    <row r="2861" spans="10:10" ht="18.75" customHeight="1" x14ac:dyDescent="0.25">
      <c r="J2861" s="48"/>
    </row>
    <row r="2862" spans="10:10" ht="18.75" customHeight="1" x14ac:dyDescent="0.25">
      <c r="J2862" s="48"/>
    </row>
    <row r="2863" spans="10:10" ht="18.75" customHeight="1" x14ac:dyDescent="0.25">
      <c r="J2863" s="48"/>
    </row>
    <row r="2864" spans="10:10" ht="18.75" customHeight="1" x14ac:dyDescent="0.25">
      <c r="J2864" s="48"/>
    </row>
    <row r="2865" spans="10:10" ht="18.75" customHeight="1" x14ac:dyDescent="0.25">
      <c r="J2865" s="48"/>
    </row>
    <row r="2866" spans="10:10" ht="18.75" customHeight="1" x14ac:dyDescent="0.25">
      <c r="J2866" s="48"/>
    </row>
    <row r="2867" spans="10:10" ht="18.75" customHeight="1" x14ac:dyDescent="0.25">
      <c r="J2867" s="48"/>
    </row>
    <row r="2868" spans="10:10" ht="18.75" customHeight="1" x14ac:dyDescent="0.25">
      <c r="J2868" s="48"/>
    </row>
    <row r="2869" spans="10:10" ht="18.75" customHeight="1" x14ac:dyDescent="0.25">
      <c r="J2869" s="48"/>
    </row>
    <row r="2870" spans="10:10" ht="18.75" customHeight="1" x14ac:dyDescent="0.25">
      <c r="J2870" s="48"/>
    </row>
    <row r="2871" spans="10:10" ht="18.75" customHeight="1" x14ac:dyDescent="0.25">
      <c r="J2871" s="48"/>
    </row>
    <row r="2872" spans="10:10" ht="18.75" customHeight="1" x14ac:dyDescent="0.25">
      <c r="J2872" s="48"/>
    </row>
    <row r="2873" spans="10:10" ht="18.75" customHeight="1" x14ac:dyDescent="0.25">
      <c r="J2873" s="48"/>
    </row>
    <row r="2874" spans="10:10" ht="18.75" customHeight="1" x14ac:dyDescent="0.25">
      <c r="J2874" s="48"/>
    </row>
    <row r="2875" spans="10:10" ht="18.75" customHeight="1" x14ac:dyDescent="0.25">
      <c r="J2875" s="48"/>
    </row>
    <row r="2876" spans="10:10" ht="18.75" customHeight="1" x14ac:dyDescent="0.25">
      <c r="J2876" s="48"/>
    </row>
    <row r="2877" spans="10:10" ht="18.75" customHeight="1" x14ac:dyDescent="0.25">
      <c r="J2877" s="48"/>
    </row>
    <row r="2878" spans="10:10" ht="18.75" customHeight="1" x14ac:dyDescent="0.25">
      <c r="J2878" s="48"/>
    </row>
    <row r="2879" spans="10:10" ht="18.75" customHeight="1" x14ac:dyDescent="0.25">
      <c r="J2879" s="48"/>
    </row>
    <row r="2880" spans="10:10" ht="18.75" customHeight="1" x14ac:dyDescent="0.25">
      <c r="J2880" s="48"/>
    </row>
    <row r="2881" spans="10:10" ht="18.75" customHeight="1" x14ac:dyDescent="0.25">
      <c r="J2881" s="48"/>
    </row>
    <row r="2882" spans="10:10" ht="18.75" customHeight="1" x14ac:dyDescent="0.25">
      <c r="J2882" s="48"/>
    </row>
    <row r="2883" spans="10:10" ht="18.75" customHeight="1" x14ac:dyDescent="0.25">
      <c r="J2883" s="48"/>
    </row>
    <row r="2884" spans="10:10" ht="18.75" customHeight="1" x14ac:dyDescent="0.25">
      <c r="J2884" s="48"/>
    </row>
    <row r="2885" spans="10:10" ht="18.75" customHeight="1" x14ac:dyDescent="0.25">
      <c r="J2885" s="48"/>
    </row>
    <row r="2886" spans="10:10" ht="18.75" customHeight="1" x14ac:dyDescent="0.25">
      <c r="J2886" s="48"/>
    </row>
    <row r="2887" spans="10:10" ht="18.75" customHeight="1" x14ac:dyDescent="0.25">
      <c r="J2887" s="48"/>
    </row>
    <row r="2888" spans="10:10" ht="18.75" customHeight="1" x14ac:dyDescent="0.25">
      <c r="J2888" s="48"/>
    </row>
    <row r="2889" spans="10:10" ht="18.75" customHeight="1" x14ac:dyDescent="0.25">
      <c r="J2889" s="48"/>
    </row>
    <row r="2890" spans="10:10" ht="18.75" customHeight="1" x14ac:dyDescent="0.25">
      <c r="J2890" s="48"/>
    </row>
    <row r="2891" spans="10:10" ht="18.75" customHeight="1" x14ac:dyDescent="0.25">
      <c r="J2891" s="48"/>
    </row>
    <row r="2892" spans="10:10" ht="18.75" customHeight="1" x14ac:dyDescent="0.25">
      <c r="J2892" s="48"/>
    </row>
    <row r="2893" spans="10:10" ht="18.75" customHeight="1" x14ac:dyDescent="0.25">
      <c r="J2893" s="48"/>
    </row>
    <row r="2894" spans="10:10" ht="18.75" customHeight="1" x14ac:dyDescent="0.25">
      <c r="J2894" s="48"/>
    </row>
    <row r="2895" spans="10:10" ht="18.75" customHeight="1" x14ac:dyDescent="0.25">
      <c r="J2895" s="48"/>
    </row>
    <row r="2896" spans="10:10" ht="18.75" customHeight="1" x14ac:dyDescent="0.25">
      <c r="J2896" s="48"/>
    </row>
    <row r="2897" spans="10:10" ht="18.75" customHeight="1" x14ac:dyDescent="0.25">
      <c r="J2897" s="48"/>
    </row>
    <row r="2898" spans="10:10" ht="18.75" customHeight="1" x14ac:dyDescent="0.25">
      <c r="J2898" s="48"/>
    </row>
    <row r="2899" spans="10:10" ht="18.75" customHeight="1" x14ac:dyDescent="0.25">
      <c r="J2899" s="48"/>
    </row>
    <row r="2900" spans="10:10" ht="18.75" customHeight="1" x14ac:dyDescent="0.25">
      <c r="J2900" s="48"/>
    </row>
    <row r="2901" spans="10:10" ht="18.75" customHeight="1" x14ac:dyDescent="0.25">
      <c r="J2901" s="48"/>
    </row>
    <row r="2902" spans="10:10" ht="18.75" customHeight="1" x14ac:dyDescent="0.25">
      <c r="J2902" s="48"/>
    </row>
    <row r="2903" spans="10:10" ht="18.75" customHeight="1" x14ac:dyDescent="0.25">
      <c r="J2903" s="48"/>
    </row>
    <row r="2904" spans="10:10" ht="18.75" customHeight="1" x14ac:dyDescent="0.25">
      <c r="J2904" s="48"/>
    </row>
    <row r="2905" spans="10:10" ht="18.75" customHeight="1" x14ac:dyDescent="0.25">
      <c r="J2905" s="48"/>
    </row>
    <row r="2906" spans="10:10" ht="18.75" customHeight="1" x14ac:dyDescent="0.25">
      <c r="J2906" s="48"/>
    </row>
    <row r="2907" spans="10:10" ht="18.75" customHeight="1" x14ac:dyDescent="0.25">
      <c r="J2907" s="48"/>
    </row>
    <row r="2908" spans="10:10" ht="18.75" customHeight="1" x14ac:dyDescent="0.25">
      <c r="J2908" s="48"/>
    </row>
    <row r="2909" spans="10:10" ht="18.75" customHeight="1" x14ac:dyDescent="0.25">
      <c r="J2909" s="48"/>
    </row>
    <row r="2910" spans="10:10" ht="18.75" customHeight="1" x14ac:dyDescent="0.25">
      <c r="J2910" s="48"/>
    </row>
    <row r="2911" spans="10:10" ht="18.75" customHeight="1" x14ac:dyDescent="0.25">
      <c r="J2911" s="48"/>
    </row>
    <row r="2912" spans="10:10" ht="18.75" customHeight="1" x14ac:dyDescent="0.25">
      <c r="J2912" s="48"/>
    </row>
    <row r="2913" spans="10:10" ht="18.75" customHeight="1" x14ac:dyDescent="0.25">
      <c r="J2913" s="48"/>
    </row>
    <row r="2914" spans="10:10" ht="18.75" customHeight="1" x14ac:dyDescent="0.25">
      <c r="J2914" s="48"/>
    </row>
    <row r="2915" spans="10:10" ht="18.75" customHeight="1" x14ac:dyDescent="0.25">
      <c r="J2915" s="48"/>
    </row>
    <row r="2916" spans="10:10" ht="18.75" customHeight="1" x14ac:dyDescent="0.25">
      <c r="J2916" s="48"/>
    </row>
    <row r="2917" spans="10:10" ht="18.75" customHeight="1" x14ac:dyDescent="0.25">
      <c r="J2917" s="48"/>
    </row>
    <row r="2918" spans="10:10" ht="18.75" customHeight="1" x14ac:dyDescent="0.25">
      <c r="J2918" s="48"/>
    </row>
    <row r="2919" spans="10:10" ht="18.75" customHeight="1" x14ac:dyDescent="0.25">
      <c r="J2919" s="48"/>
    </row>
    <row r="2920" spans="10:10" ht="18.75" customHeight="1" x14ac:dyDescent="0.25">
      <c r="J2920" s="48"/>
    </row>
    <row r="2921" spans="10:10" ht="18.75" customHeight="1" x14ac:dyDescent="0.25">
      <c r="J2921" s="48"/>
    </row>
    <row r="2922" spans="10:10" ht="18.75" customHeight="1" x14ac:dyDescent="0.25">
      <c r="J2922" s="48"/>
    </row>
    <row r="2923" spans="10:10" ht="18.75" customHeight="1" x14ac:dyDescent="0.25">
      <c r="J2923" s="48"/>
    </row>
    <row r="2924" spans="10:10" ht="18.75" customHeight="1" x14ac:dyDescent="0.25">
      <c r="J2924" s="48"/>
    </row>
    <row r="2925" spans="10:10" ht="18.75" customHeight="1" x14ac:dyDescent="0.25">
      <c r="J2925" s="48"/>
    </row>
    <row r="2926" spans="10:10" ht="18.75" customHeight="1" x14ac:dyDescent="0.25">
      <c r="J2926" s="48"/>
    </row>
    <row r="2927" spans="10:10" ht="18.75" customHeight="1" x14ac:dyDescent="0.25">
      <c r="J2927" s="48"/>
    </row>
    <row r="2928" spans="10:10" ht="18.75" customHeight="1" x14ac:dyDescent="0.25">
      <c r="J2928" s="48"/>
    </row>
    <row r="2929" spans="10:10" ht="18.75" customHeight="1" x14ac:dyDescent="0.25">
      <c r="J2929" s="48"/>
    </row>
    <row r="2930" spans="10:10" ht="18.75" customHeight="1" x14ac:dyDescent="0.25">
      <c r="J2930" s="48"/>
    </row>
    <row r="2931" spans="10:10" ht="18.75" customHeight="1" x14ac:dyDescent="0.25">
      <c r="J2931" s="48"/>
    </row>
    <row r="2932" spans="10:10" ht="18.75" customHeight="1" x14ac:dyDescent="0.25">
      <c r="J2932" s="48"/>
    </row>
    <row r="2933" spans="10:10" ht="18.75" customHeight="1" x14ac:dyDescent="0.25">
      <c r="J2933" s="48"/>
    </row>
    <row r="2934" spans="10:10" ht="18.75" customHeight="1" x14ac:dyDescent="0.25">
      <c r="J2934" s="48"/>
    </row>
    <row r="2935" spans="10:10" ht="18.75" customHeight="1" x14ac:dyDescent="0.25">
      <c r="J2935" s="48"/>
    </row>
    <row r="2936" spans="10:10" ht="18.75" customHeight="1" x14ac:dyDescent="0.25">
      <c r="J2936" s="48"/>
    </row>
    <row r="2937" spans="10:10" ht="18.75" customHeight="1" x14ac:dyDescent="0.25">
      <c r="J2937" s="48"/>
    </row>
    <row r="2938" spans="10:10" ht="18.75" customHeight="1" x14ac:dyDescent="0.25">
      <c r="J2938" s="48"/>
    </row>
    <row r="2939" spans="10:10" ht="18.75" customHeight="1" x14ac:dyDescent="0.25">
      <c r="J2939" s="48"/>
    </row>
    <row r="2940" spans="10:10" ht="18.75" customHeight="1" x14ac:dyDescent="0.25">
      <c r="J2940" s="48"/>
    </row>
    <row r="2941" spans="10:10" ht="18.75" customHeight="1" x14ac:dyDescent="0.25">
      <c r="J2941" s="48"/>
    </row>
    <row r="2942" spans="10:10" ht="18.75" customHeight="1" x14ac:dyDescent="0.25">
      <c r="J2942" s="48"/>
    </row>
    <row r="2943" spans="10:10" ht="18.75" customHeight="1" x14ac:dyDescent="0.25">
      <c r="J2943" s="48"/>
    </row>
    <row r="2944" spans="10:10" ht="18.75" customHeight="1" x14ac:dyDescent="0.25">
      <c r="J2944" s="48"/>
    </row>
    <row r="2945" spans="10:10" ht="18.75" customHeight="1" x14ac:dyDescent="0.25">
      <c r="J2945" s="48"/>
    </row>
    <row r="2946" spans="10:10" ht="18.75" customHeight="1" x14ac:dyDescent="0.25">
      <c r="J2946" s="48"/>
    </row>
    <row r="2947" spans="10:10" ht="18.75" customHeight="1" x14ac:dyDescent="0.25">
      <c r="J2947" s="48"/>
    </row>
    <row r="2948" spans="10:10" ht="18.75" customHeight="1" x14ac:dyDescent="0.25">
      <c r="J2948" s="48"/>
    </row>
    <row r="2949" spans="10:10" ht="18.75" customHeight="1" x14ac:dyDescent="0.25">
      <c r="J2949" s="48"/>
    </row>
    <row r="2950" spans="10:10" ht="18.75" customHeight="1" x14ac:dyDescent="0.25">
      <c r="J2950" s="48"/>
    </row>
    <row r="2951" spans="10:10" ht="18.75" customHeight="1" x14ac:dyDescent="0.25">
      <c r="J2951" s="48"/>
    </row>
    <row r="2952" spans="10:10" ht="18.75" customHeight="1" x14ac:dyDescent="0.25">
      <c r="J2952" s="48"/>
    </row>
    <row r="2953" spans="10:10" ht="18.75" customHeight="1" x14ac:dyDescent="0.25">
      <c r="J2953" s="48"/>
    </row>
    <row r="2954" spans="10:10" ht="18.75" customHeight="1" x14ac:dyDescent="0.25">
      <c r="J2954" s="48"/>
    </row>
    <row r="2955" spans="10:10" ht="18.75" customHeight="1" x14ac:dyDescent="0.25">
      <c r="J2955" s="48"/>
    </row>
    <row r="2956" spans="10:10" ht="18.75" customHeight="1" x14ac:dyDescent="0.25">
      <c r="J2956" s="48"/>
    </row>
    <row r="2957" spans="10:10" ht="18.75" customHeight="1" x14ac:dyDescent="0.25">
      <c r="J2957" s="48"/>
    </row>
    <row r="2958" spans="10:10" ht="18.75" customHeight="1" x14ac:dyDescent="0.25">
      <c r="J2958" s="48"/>
    </row>
    <row r="2959" spans="10:10" ht="18.75" customHeight="1" x14ac:dyDescent="0.25">
      <c r="J2959" s="48"/>
    </row>
    <row r="2960" spans="10:10" ht="18.75" customHeight="1" x14ac:dyDescent="0.25">
      <c r="J2960" s="48"/>
    </row>
    <row r="2961" spans="10:10" ht="18.75" customHeight="1" x14ac:dyDescent="0.25">
      <c r="J2961" s="48"/>
    </row>
    <row r="2962" spans="10:10" ht="18.75" customHeight="1" x14ac:dyDescent="0.25">
      <c r="J2962" s="48"/>
    </row>
    <row r="2963" spans="10:10" ht="18.75" customHeight="1" x14ac:dyDescent="0.25">
      <c r="J2963" s="48"/>
    </row>
    <row r="2964" spans="10:10" ht="18.75" customHeight="1" x14ac:dyDescent="0.25">
      <c r="J2964" s="48"/>
    </row>
    <row r="2965" spans="10:10" ht="18.75" customHeight="1" x14ac:dyDescent="0.25">
      <c r="J2965" s="48"/>
    </row>
    <row r="2966" spans="10:10" ht="18.75" customHeight="1" x14ac:dyDescent="0.25">
      <c r="J2966" s="48"/>
    </row>
    <row r="2967" spans="10:10" ht="18.75" customHeight="1" x14ac:dyDescent="0.25">
      <c r="J2967" s="48"/>
    </row>
    <row r="2968" spans="10:10" ht="18.75" customHeight="1" x14ac:dyDescent="0.25">
      <c r="J2968" s="48"/>
    </row>
    <row r="2969" spans="10:10" ht="18.75" customHeight="1" x14ac:dyDescent="0.25">
      <c r="J2969" s="48"/>
    </row>
    <row r="2970" spans="10:10" ht="18.75" customHeight="1" x14ac:dyDescent="0.25">
      <c r="J2970" s="48"/>
    </row>
    <row r="2971" spans="10:10" ht="18.75" customHeight="1" x14ac:dyDescent="0.25">
      <c r="J2971" s="48"/>
    </row>
    <row r="2972" spans="10:10" ht="18.75" customHeight="1" x14ac:dyDescent="0.25">
      <c r="J2972" s="48"/>
    </row>
    <row r="2973" spans="10:10" ht="18.75" customHeight="1" x14ac:dyDescent="0.25">
      <c r="J2973" s="48"/>
    </row>
    <row r="2974" spans="10:10" ht="18.75" customHeight="1" x14ac:dyDescent="0.25">
      <c r="J2974" s="48"/>
    </row>
    <row r="2975" spans="10:10" ht="18.75" customHeight="1" x14ac:dyDescent="0.25">
      <c r="J2975" s="48"/>
    </row>
    <row r="2976" spans="10:10" ht="18.75" customHeight="1" x14ac:dyDescent="0.25">
      <c r="J2976" s="48"/>
    </row>
    <row r="2977" spans="10:10" ht="18.75" customHeight="1" x14ac:dyDescent="0.25">
      <c r="J2977" s="48"/>
    </row>
    <row r="2978" spans="10:10" ht="18.75" customHeight="1" x14ac:dyDescent="0.25">
      <c r="J2978" s="48"/>
    </row>
    <row r="2979" spans="10:10" ht="18.75" customHeight="1" x14ac:dyDescent="0.25">
      <c r="J2979" s="48"/>
    </row>
    <row r="2980" spans="10:10" ht="18.75" customHeight="1" x14ac:dyDescent="0.25">
      <c r="J2980" s="48"/>
    </row>
    <row r="2981" spans="10:10" ht="18.75" customHeight="1" x14ac:dyDescent="0.25">
      <c r="J2981" s="48"/>
    </row>
    <row r="2982" spans="10:10" ht="18.75" customHeight="1" x14ac:dyDescent="0.25">
      <c r="J2982" s="48"/>
    </row>
    <row r="2983" spans="10:10" ht="18.75" customHeight="1" x14ac:dyDescent="0.25">
      <c r="J2983" s="48"/>
    </row>
    <row r="2984" spans="10:10" ht="18.75" customHeight="1" x14ac:dyDescent="0.25">
      <c r="J2984" s="48"/>
    </row>
    <row r="2985" spans="10:10" ht="18.75" customHeight="1" x14ac:dyDescent="0.25">
      <c r="J2985" s="48"/>
    </row>
    <row r="2986" spans="10:10" ht="18.75" customHeight="1" x14ac:dyDescent="0.25">
      <c r="J2986" s="48"/>
    </row>
    <row r="2987" spans="10:10" ht="18.75" customHeight="1" x14ac:dyDescent="0.25">
      <c r="J2987" s="48"/>
    </row>
    <row r="2988" spans="10:10" ht="18.75" customHeight="1" x14ac:dyDescent="0.25">
      <c r="J2988" s="48"/>
    </row>
    <row r="2989" spans="10:10" ht="18.75" customHeight="1" x14ac:dyDescent="0.25">
      <c r="J2989" s="48"/>
    </row>
    <row r="2990" spans="10:10" ht="18.75" customHeight="1" x14ac:dyDescent="0.25">
      <c r="J2990" s="48"/>
    </row>
    <row r="2991" spans="10:10" ht="18.75" customHeight="1" x14ac:dyDescent="0.25">
      <c r="J2991" s="48"/>
    </row>
    <row r="2992" spans="10:10" ht="18.75" customHeight="1" x14ac:dyDescent="0.25">
      <c r="J2992" s="48"/>
    </row>
    <row r="2993" spans="10:10" ht="18.75" customHeight="1" x14ac:dyDescent="0.25">
      <c r="J2993" s="48"/>
    </row>
    <row r="2994" spans="10:10" ht="18.75" customHeight="1" x14ac:dyDescent="0.25">
      <c r="J2994" s="48"/>
    </row>
    <row r="2995" spans="10:10" ht="18.75" customHeight="1" x14ac:dyDescent="0.25">
      <c r="J2995" s="48"/>
    </row>
    <row r="2996" spans="10:10" ht="18.75" customHeight="1" x14ac:dyDescent="0.25">
      <c r="J2996" s="48"/>
    </row>
    <row r="2997" spans="10:10" ht="18.75" customHeight="1" x14ac:dyDescent="0.25">
      <c r="J2997" s="48"/>
    </row>
    <row r="2998" spans="10:10" ht="18.75" customHeight="1" x14ac:dyDescent="0.25">
      <c r="J2998" s="48"/>
    </row>
    <row r="2999" spans="10:10" ht="18.75" customHeight="1" x14ac:dyDescent="0.25">
      <c r="J2999" s="48"/>
    </row>
    <row r="3000" spans="10:10" ht="18.75" customHeight="1" x14ac:dyDescent="0.25">
      <c r="J3000" s="48"/>
    </row>
    <row r="3001" spans="10:10" ht="18.75" customHeight="1" x14ac:dyDescent="0.25">
      <c r="J3001" s="48"/>
    </row>
    <row r="3002" spans="10:10" ht="18.75" customHeight="1" x14ac:dyDescent="0.25">
      <c r="J3002" s="48"/>
    </row>
    <row r="3003" spans="10:10" ht="18.75" customHeight="1" x14ac:dyDescent="0.25">
      <c r="J3003" s="48"/>
    </row>
    <row r="3004" spans="10:10" ht="18.75" customHeight="1" x14ac:dyDescent="0.25">
      <c r="J3004" s="48"/>
    </row>
    <row r="3005" spans="10:10" ht="18.75" customHeight="1" x14ac:dyDescent="0.25">
      <c r="J3005" s="48"/>
    </row>
    <row r="3006" spans="10:10" ht="18.75" customHeight="1" x14ac:dyDescent="0.25">
      <c r="J3006" s="48"/>
    </row>
    <row r="3007" spans="10:10" ht="18.75" customHeight="1" x14ac:dyDescent="0.25">
      <c r="J3007" s="48"/>
    </row>
    <row r="3008" spans="10:10" ht="18.75" customHeight="1" x14ac:dyDescent="0.25">
      <c r="J3008" s="48"/>
    </row>
    <row r="3009" spans="10:10" ht="18.75" customHeight="1" x14ac:dyDescent="0.25">
      <c r="J3009" s="48"/>
    </row>
    <row r="3010" spans="10:10" ht="18.75" customHeight="1" x14ac:dyDescent="0.25">
      <c r="J3010" s="48"/>
    </row>
    <row r="3011" spans="10:10" ht="18.75" customHeight="1" x14ac:dyDescent="0.25">
      <c r="J3011" s="48"/>
    </row>
    <row r="3012" spans="10:10" ht="18.75" customHeight="1" x14ac:dyDescent="0.25">
      <c r="J3012" s="48"/>
    </row>
    <row r="3013" spans="10:10" ht="18.75" customHeight="1" x14ac:dyDescent="0.25">
      <c r="J3013" s="48"/>
    </row>
    <row r="3014" spans="10:10" ht="18.75" customHeight="1" x14ac:dyDescent="0.25">
      <c r="J3014" s="48"/>
    </row>
    <row r="3015" spans="10:10" ht="18.75" customHeight="1" x14ac:dyDescent="0.25">
      <c r="J3015" s="48"/>
    </row>
    <row r="3016" spans="10:10" ht="18.75" customHeight="1" x14ac:dyDescent="0.25">
      <c r="J3016" s="48"/>
    </row>
    <row r="3017" spans="10:10" ht="18.75" customHeight="1" x14ac:dyDescent="0.25">
      <c r="J3017" s="48"/>
    </row>
    <row r="3018" spans="10:10" ht="18.75" customHeight="1" x14ac:dyDescent="0.25">
      <c r="J3018" s="48"/>
    </row>
    <row r="3019" spans="10:10" ht="18.75" customHeight="1" x14ac:dyDescent="0.25">
      <c r="J3019" s="48"/>
    </row>
    <row r="3020" spans="10:10" ht="18.75" customHeight="1" x14ac:dyDescent="0.25">
      <c r="J3020" s="48"/>
    </row>
    <row r="3021" spans="10:10" ht="18.75" customHeight="1" x14ac:dyDescent="0.25">
      <c r="J3021" s="48"/>
    </row>
    <row r="3022" spans="10:10" ht="18.75" customHeight="1" x14ac:dyDescent="0.25">
      <c r="J3022" s="48"/>
    </row>
    <row r="3023" spans="10:10" ht="18.75" customHeight="1" x14ac:dyDescent="0.25">
      <c r="J3023" s="48"/>
    </row>
    <row r="3024" spans="10:10" ht="18.75" customHeight="1" x14ac:dyDescent="0.25">
      <c r="J3024" s="48"/>
    </row>
    <row r="3025" spans="10:10" ht="18.75" customHeight="1" x14ac:dyDescent="0.25">
      <c r="J3025" s="48"/>
    </row>
    <row r="3026" spans="10:10" ht="18.75" customHeight="1" x14ac:dyDescent="0.25">
      <c r="J3026" s="48"/>
    </row>
    <row r="3027" spans="10:10" ht="18.75" customHeight="1" x14ac:dyDescent="0.25">
      <c r="J3027" s="48"/>
    </row>
    <row r="3028" spans="10:10" ht="18.75" customHeight="1" x14ac:dyDescent="0.25">
      <c r="J3028" s="48"/>
    </row>
    <row r="3029" spans="10:10" ht="18.75" customHeight="1" x14ac:dyDescent="0.25">
      <c r="J3029" s="48"/>
    </row>
    <row r="3030" spans="10:10" ht="18.75" customHeight="1" x14ac:dyDescent="0.25">
      <c r="J3030" s="48"/>
    </row>
    <row r="3031" spans="10:10" ht="18.75" customHeight="1" x14ac:dyDescent="0.25">
      <c r="J3031" s="48"/>
    </row>
    <row r="3032" spans="10:10" ht="18.75" customHeight="1" x14ac:dyDescent="0.25">
      <c r="J3032" s="48"/>
    </row>
    <row r="3033" spans="10:10" ht="18.75" customHeight="1" x14ac:dyDescent="0.25">
      <c r="J3033" s="48"/>
    </row>
    <row r="3034" spans="10:10" ht="18.75" customHeight="1" x14ac:dyDescent="0.25">
      <c r="J3034" s="48"/>
    </row>
    <row r="3035" spans="10:10" ht="18.75" customHeight="1" x14ac:dyDescent="0.25">
      <c r="J3035" s="48"/>
    </row>
    <row r="3036" spans="10:10" ht="18.75" customHeight="1" x14ac:dyDescent="0.25">
      <c r="J3036" s="48"/>
    </row>
    <row r="3037" spans="10:10" ht="18.75" customHeight="1" x14ac:dyDescent="0.25">
      <c r="J3037" s="48"/>
    </row>
    <row r="3038" spans="10:10" ht="18.75" customHeight="1" x14ac:dyDescent="0.25">
      <c r="J3038" s="48"/>
    </row>
    <row r="3039" spans="10:10" ht="18.75" customHeight="1" x14ac:dyDescent="0.25">
      <c r="J3039" s="48"/>
    </row>
    <row r="3040" spans="10:10" ht="18.75" customHeight="1" x14ac:dyDescent="0.25">
      <c r="J3040" s="48"/>
    </row>
    <row r="3041" spans="10:10" ht="18.75" customHeight="1" x14ac:dyDescent="0.25">
      <c r="J3041" s="48"/>
    </row>
    <row r="3042" spans="10:10" ht="18.75" customHeight="1" x14ac:dyDescent="0.25">
      <c r="J3042" s="48"/>
    </row>
    <row r="3043" spans="10:10" ht="18.75" customHeight="1" x14ac:dyDescent="0.25">
      <c r="J3043" s="48"/>
    </row>
    <row r="3044" spans="10:10" ht="18.75" customHeight="1" x14ac:dyDescent="0.25">
      <c r="J3044" s="48"/>
    </row>
    <row r="3045" spans="10:10" ht="18.75" customHeight="1" x14ac:dyDescent="0.25">
      <c r="J3045" s="48"/>
    </row>
    <row r="3046" spans="10:10" ht="18.75" customHeight="1" x14ac:dyDescent="0.25">
      <c r="J3046" s="48"/>
    </row>
    <row r="3047" spans="10:10" ht="18.75" customHeight="1" x14ac:dyDescent="0.25">
      <c r="J3047" s="48"/>
    </row>
    <row r="3048" spans="10:10" ht="18.75" customHeight="1" x14ac:dyDescent="0.25">
      <c r="J3048" s="48"/>
    </row>
    <row r="3049" spans="10:10" ht="18.75" customHeight="1" x14ac:dyDescent="0.25">
      <c r="J3049" s="48"/>
    </row>
    <row r="3050" spans="10:10" ht="18.75" customHeight="1" x14ac:dyDescent="0.25">
      <c r="J3050" s="48"/>
    </row>
    <row r="3051" spans="10:10" ht="18.75" customHeight="1" x14ac:dyDescent="0.25">
      <c r="J3051" s="48"/>
    </row>
    <row r="3052" spans="10:10" ht="18.75" customHeight="1" x14ac:dyDescent="0.25">
      <c r="J3052" s="48"/>
    </row>
    <row r="3053" spans="10:10" ht="18.75" customHeight="1" x14ac:dyDescent="0.25">
      <c r="J3053" s="48"/>
    </row>
    <row r="3054" spans="10:10" ht="18.75" customHeight="1" x14ac:dyDescent="0.25">
      <c r="J3054" s="48"/>
    </row>
    <row r="3055" spans="10:10" ht="18.75" customHeight="1" x14ac:dyDescent="0.25">
      <c r="J3055" s="48"/>
    </row>
    <row r="3056" spans="10:10" ht="18.75" customHeight="1" x14ac:dyDescent="0.25">
      <c r="J3056" s="48"/>
    </row>
    <row r="3057" spans="10:10" ht="18.75" customHeight="1" x14ac:dyDescent="0.25">
      <c r="J3057" s="48"/>
    </row>
    <row r="3058" spans="10:10" ht="18.75" customHeight="1" x14ac:dyDescent="0.25">
      <c r="J3058" s="48"/>
    </row>
    <row r="3059" spans="10:10" ht="18.75" customHeight="1" x14ac:dyDescent="0.25">
      <c r="J3059" s="48"/>
    </row>
    <row r="3060" spans="10:10" ht="18.75" customHeight="1" x14ac:dyDescent="0.25">
      <c r="J3060" s="48"/>
    </row>
    <row r="3061" spans="10:10" ht="18.75" customHeight="1" x14ac:dyDescent="0.25">
      <c r="J3061" s="48"/>
    </row>
    <row r="3062" spans="10:10" ht="18.75" customHeight="1" x14ac:dyDescent="0.25">
      <c r="J3062" s="48"/>
    </row>
    <row r="3063" spans="10:10" ht="18.75" customHeight="1" x14ac:dyDescent="0.25">
      <c r="J3063" s="48"/>
    </row>
    <row r="3064" spans="10:10" ht="18.75" customHeight="1" x14ac:dyDescent="0.25">
      <c r="J3064" s="48"/>
    </row>
    <row r="3065" spans="10:10" ht="18.75" customHeight="1" x14ac:dyDescent="0.25">
      <c r="J3065" s="48"/>
    </row>
    <row r="3066" spans="10:10" ht="18.75" customHeight="1" x14ac:dyDescent="0.25">
      <c r="J3066" s="48"/>
    </row>
    <row r="3067" spans="10:10" ht="18.75" customHeight="1" x14ac:dyDescent="0.25">
      <c r="J3067" s="48"/>
    </row>
    <row r="3068" spans="10:10" ht="18.75" customHeight="1" x14ac:dyDescent="0.25">
      <c r="J3068" s="48"/>
    </row>
    <row r="3069" spans="10:10" ht="18.75" customHeight="1" x14ac:dyDescent="0.25">
      <c r="J3069" s="48"/>
    </row>
    <row r="3070" spans="10:10" ht="18.75" customHeight="1" x14ac:dyDescent="0.25">
      <c r="J3070" s="48"/>
    </row>
    <row r="3071" spans="10:10" ht="18.75" customHeight="1" x14ac:dyDescent="0.25">
      <c r="J3071" s="48"/>
    </row>
    <row r="3072" spans="10:10" ht="18.75" customHeight="1" x14ac:dyDescent="0.25">
      <c r="J3072" s="48"/>
    </row>
    <row r="3073" spans="10:10" ht="18.75" customHeight="1" x14ac:dyDescent="0.25">
      <c r="J3073" s="48"/>
    </row>
    <row r="3074" spans="10:10" ht="18.75" customHeight="1" x14ac:dyDescent="0.25">
      <c r="J3074" s="48"/>
    </row>
    <row r="3075" spans="10:10" ht="18.75" customHeight="1" x14ac:dyDescent="0.25">
      <c r="J3075" s="48"/>
    </row>
    <row r="3076" spans="10:10" ht="18.75" customHeight="1" x14ac:dyDescent="0.25">
      <c r="J3076" s="48"/>
    </row>
    <row r="3077" spans="10:10" ht="18.75" customHeight="1" x14ac:dyDescent="0.25">
      <c r="J3077" s="48"/>
    </row>
    <row r="3078" spans="10:10" ht="18.75" customHeight="1" x14ac:dyDescent="0.25">
      <c r="J3078" s="48"/>
    </row>
    <row r="3079" spans="10:10" ht="18.75" customHeight="1" x14ac:dyDescent="0.25">
      <c r="J3079" s="48"/>
    </row>
    <row r="3080" spans="10:10" ht="18.75" customHeight="1" x14ac:dyDescent="0.25">
      <c r="J3080" s="48"/>
    </row>
    <row r="3081" spans="10:10" ht="18.75" customHeight="1" x14ac:dyDescent="0.25">
      <c r="J3081" s="48"/>
    </row>
    <row r="3082" spans="10:10" ht="18.75" customHeight="1" x14ac:dyDescent="0.25">
      <c r="J3082" s="48"/>
    </row>
    <row r="3083" spans="10:10" ht="18.75" customHeight="1" x14ac:dyDescent="0.25">
      <c r="J3083" s="48"/>
    </row>
    <row r="3084" spans="10:10" ht="18.75" customHeight="1" x14ac:dyDescent="0.25">
      <c r="J3084" s="48"/>
    </row>
    <row r="3085" spans="10:10" ht="18.75" customHeight="1" x14ac:dyDescent="0.25">
      <c r="J3085" s="48"/>
    </row>
    <row r="3086" spans="10:10" ht="18.75" customHeight="1" x14ac:dyDescent="0.25">
      <c r="J3086" s="48"/>
    </row>
    <row r="3087" spans="10:10" ht="18.75" customHeight="1" x14ac:dyDescent="0.25">
      <c r="J3087" s="48"/>
    </row>
    <row r="3088" spans="10:10" ht="18.75" customHeight="1" x14ac:dyDescent="0.25">
      <c r="J3088" s="48"/>
    </row>
    <row r="3089" spans="10:10" ht="18.75" customHeight="1" x14ac:dyDescent="0.25">
      <c r="J3089" s="48"/>
    </row>
    <row r="3090" spans="10:10" ht="18.75" customHeight="1" x14ac:dyDescent="0.25">
      <c r="J3090" s="48"/>
    </row>
    <row r="3091" spans="10:10" ht="18.75" customHeight="1" x14ac:dyDescent="0.25">
      <c r="J3091" s="48"/>
    </row>
    <row r="3092" spans="10:10" ht="18.75" customHeight="1" x14ac:dyDescent="0.25">
      <c r="J3092" s="48"/>
    </row>
    <row r="3093" spans="10:10" ht="18.75" customHeight="1" x14ac:dyDescent="0.25">
      <c r="J3093" s="48"/>
    </row>
    <row r="3094" spans="10:10" ht="18.75" customHeight="1" x14ac:dyDescent="0.25">
      <c r="J3094" s="48"/>
    </row>
    <row r="3095" spans="10:10" ht="18.75" customHeight="1" x14ac:dyDescent="0.25">
      <c r="J3095" s="48"/>
    </row>
    <row r="3096" spans="10:10" ht="18.75" customHeight="1" x14ac:dyDescent="0.25">
      <c r="J3096" s="48"/>
    </row>
    <row r="3097" spans="10:10" ht="18.75" customHeight="1" x14ac:dyDescent="0.25">
      <c r="J3097" s="48"/>
    </row>
    <row r="3098" spans="10:10" ht="18.75" customHeight="1" x14ac:dyDescent="0.25">
      <c r="J3098" s="48"/>
    </row>
    <row r="3099" spans="10:10" ht="18.75" customHeight="1" x14ac:dyDescent="0.25">
      <c r="J3099" s="48"/>
    </row>
    <row r="3100" spans="10:10" ht="18.75" customHeight="1" x14ac:dyDescent="0.25">
      <c r="J3100" s="48"/>
    </row>
    <row r="3101" spans="10:10" ht="18.75" customHeight="1" x14ac:dyDescent="0.25">
      <c r="J3101" s="48"/>
    </row>
    <row r="3102" spans="10:10" ht="18.75" customHeight="1" x14ac:dyDescent="0.25">
      <c r="J3102" s="48"/>
    </row>
    <row r="3103" spans="10:10" ht="18.75" customHeight="1" x14ac:dyDescent="0.25">
      <c r="J3103" s="48"/>
    </row>
    <row r="3104" spans="10:10" ht="18.75" customHeight="1" x14ac:dyDescent="0.25">
      <c r="J3104" s="48"/>
    </row>
    <row r="3105" spans="10:10" ht="18.75" customHeight="1" x14ac:dyDescent="0.25">
      <c r="J3105" s="48"/>
    </row>
    <row r="3106" spans="10:10" ht="18.75" customHeight="1" x14ac:dyDescent="0.25">
      <c r="J3106" s="48"/>
    </row>
    <row r="3107" spans="10:10" ht="18.75" customHeight="1" x14ac:dyDescent="0.25">
      <c r="J3107" s="48"/>
    </row>
    <row r="3108" spans="10:10" ht="18.75" customHeight="1" x14ac:dyDescent="0.25">
      <c r="J3108" s="48"/>
    </row>
    <row r="3109" spans="10:10" ht="18.75" customHeight="1" x14ac:dyDescent="0.25">
      <c r="J3109" s="48"/>
    </row>
    <row r="3110" spans="10:10" ht="18.75" customHeight="1" x14ac:dyDescent="0.25">
      <c r="J3110" s="48"/>
    </row>
    <row r="3111" spans="10:10" ht="18.75" customHeight="1" x14ac:dyDescent="0.25">
      <c r="J3111" s="48"/>
    </row>
    <row r="3112" spans="10:10" ht="18.75" customHeight="1" x14ac:dyDescent="0.25">
      <c r="J3112" s="48"/>
    </row>
    <row r="3113" spans="10:10" ht="18.75" customHeight="1" x14ac:dyDescent="0.25">
      <c r="J3113" s="48"/>
    </row>
    <row r="3114" spans="10:10" ht="18.75" customHeight="1" x14ac:dyDescent="0.25">
      <c r="J3114" s="48"/>
    </row>
    <row r="3115" spans="10:10" ht="18.75" customHeight="1" x14ac:dyDescent="0.25">
      <c r="J3115" s="48"/>
    </row>
    <row r="3116" spans="10:10" ht="18.75" customHeight="1" x14ac:dyDescent="0.25">
      <c r="J3116" s="48"/>
    </row>
    <row r="3117" spans="10:10" ht="18.75" customHeight="1" x14ac:dyDescent="0.25">
      <c r="J3117" s="48"/>
    </row>
    <row r="3118" spans="10:10" ht="18.75" customHeight="1" x14ac:dyDescent="0.25">
      <c r="J3118" s="48"/>
    </row>
    <row r="3119" spans="10:10" ht="18.75" customHeight="1" x14ac:dyDescent="0.25">
      <c r="J3119" s="48"/>
    </row>
    <row r="3120" spans="10:10" ht="18.75" customHeight="1" x14ac:dyDescent="0.25">
      <c r="J3120" s="48"/>
    </row>
    <row r="3121" spans="10:10" ht="18.75" customHeight="1" x14ac:dyDescent="0.25">
      <c r="J3121" s="48"/>
    </row>
    <row r="3122" spans="10:10" ht="18.75" customHeight="1" x14ac:dyDescent="0.25">
      <c r="J3122" s="48"/>
    </row>
    <row r="3123" spans="10:10" ht="18.75" customHeight="1" x14ac:dyDescent="0.25">
      <c r="J3123" s="48"/>
    </row>
    <row r="3124" spans="10:10" ht="18.75" customHeight="1" x14ac:dyDescent="0.25">
      <c r="J3124" s="48"/>
    </row>
    <row r="3125" spans="10:10" ht="18.75" customHeight="1" x14ac:dyDescent="0.25">
      <c r="J3125" s="48"/>
    </row>
    <row r="3126" spans="10:10" ht="18.75" customHeight="1" x14ac:dyDescent="0.25">
      <c r="J3126" s="48"/>
    </row>
    <row r="3127" spans="10:10" ht="18.75" customHeight="1" x14ac:dyDescent="0.25">
      <c r="J3127" s="48"/>
    </row>
    <row r="3128" spans="10:10" ht="18.75" customHeight="1" x14ac:dyDescent="0.25">
      <c r="J3128" s="48"/>
    </row>
    <row r="3129" spans="10:10" ht="18.75" customHeight="1" x14ac:dyDescent="0.25">
      <c r="J3129" s="48"/>
    </row>
    <row r="3130" spans="10:10" ht="18.75" customHeight="1" x14ac:dyDescent="0.25">
      <c r="J3130" s="48"/>
    </row>
    <row r="3131" spans="10:10" ht="18.75" customHeight="1" x14ac:dyDescent="0.25">
      <c r="J3131" s="48"/>
    </row>
    <row r="3132" spans="10:10" ht="18.75" customHeight="1" x14ac:dyDescent="0.25">
      <c r="J3132" s="48"/>
    </row>
    <row r="3133" spans="10:10" ht="18.75" customHeight="1" x14ac:dyDescent="0.25">
      <c r="J3133" s="48"/>
    </row>
    <row r="3134" spans="10:10" ht="18.75" customHeight="1" x14ac:dyDescent="0.25">
      <c r="J3134" s="48"/>
    </row>
    <row r="3135" spans="10:10" ht="18.75" customHeight="1" x14ac:dyDescent="0.25">
      <c r="J3135" s="48"/>
    </row>
    <row r="3136" spans="10:10" ht="18.75" customHeight="1" x14ac:dyDescent="0.25">
      <c r="J3136" s="48"/>
    </row>
    <row r="3137" spans="10:10" ht="18.75" customHeight="1" x14ac:dyDescent="0.25">
      <c r="J3137" s="48"/>
    </row>
    <row r="3138" spans="10:10" ht="18.75" customHeight="1" x14ac:dyDescent="0.25">
      <c r="J3138" s="48"/>
    </row>
    <row r="3139" spans="10:10" ht="18.75" customHeight="1" x14ac:dyDescent="0.25">
      <c r="J3139" s="48"/>
    </row>
    <row r="3140" spans="10:10" ht="18.75" customHeight="1" x14ac:dyDescent="0.25">
      <c r="J3140" s="48"/>
    </row>
    <row r="3141" spans="10:10" ht="18.75" customHeight="1" x14ac:dyDescent="0.25">
      <c r="J3141" s="48"/>
    </row>
    <row r="3142" spans="10:10" ht="18.75" customHeight="1" x14ac:dyDescent="0.25">
      <c r="J3142" s="48"/>
    </row>
    <row r="3143" spans="10:10" ht="18.75" customHeight="1" x14ac:dyDescent="0.25">
      <c r="J3143" s="48"/>
    </row>
    <row r="3144" spans="10:10" ht="18.75" customHeight="1" x14ac:dyDescent="0.25">
      <c r="J3144" s="48"/>
    </row>
    <row r="3145" spans="10:10" ht="18.75" customHeight="1" x14ac:dyDescent="0.25">
      <c r="J3145" s="48"/>
    </row>
    <row r="3146" spans="10:10" ht="18.75" customHeight="1" x14ac:dyDescent="0.25">
      <c r="J3146" s="48"/>
    </row>
    <row r="3147" spans="10:10" ht="18.75" customHeight="1" x14ac:dyDescent="0.25">
      <c r="J3147" s="48"/>
    </row>
    <row r="3148" spans="10:10" ht="18.75" customHeight="1" x14ac:dyDescent="0.25">
      <c r="J3148" s="48"/>
    </row>
    <row r="3149" spans="10:10" ht="18.75" customHeight="1" x14ac:dyDescent="0.25">
      <c r="J3149" s="48"/>
    </row>
    <row r="3150" spans="10:10" ht="18.75" customHeight="1" x14ac:dyDescent="0.25">
      <c r="J3150" s="48"/>
    </row>
    <row r="3151" spans="10:10" ht="18.75" customHeight="1" x14ac:dyDescent="0.25">
      <c r="J3151" s="48"/>
    </row>
    <row r="3152" spans="10:10" ht="18.75" customHeight="1" x14ac:dyDescent="0.25">
      <c r="J3152" s="48"/>
    </row>
    <row r="3153" spans="10:10" ht="18.75" customHeight="1" x14ac:dyDescent="0.25">
      <c r="J3153" s="48"/>
    </row>
    <row r="3154" spans="10:10" ht="18.75" customHeight="1" x14ac:dyDescent="0.25">
      <c r="J3154" s="48"/>
    </row>
    <row r="3155" spans="10:10" ht="18.75" customHeight="1" x14ac:dyDescent="0.25">
      <c r="J3155" s="48"/>
    </row>
    <row r="3156" spans="10:10" ht="18.75" customHeight="1" x14ac:dyDescent="0.25">
      <c r="J3156" s="48"/>
    </row>
    <row r="3157" spans="10:10" ht="18.75" customHeight="1" x14ac:dyDescent="0.25">
      <c r="J3157" s="48"/>
    </row>
    <row r="3158" spans="10:10" ht="18.75" customHeight="1" x14ac:dyDescent="0.25">
      <c r="J3158" s="48"/>
    </row>
    <row r="3159" spans="10:10" ht="18.75" customHeight="1" x14ac:dyDescent="0.25">
      <c r="J3159" s="48"/>
    </row>
    <row r="3160" spans="10:10" ht="18.75" customHeight="1" x14ac:dyDescent="0.25">
      <c r="J3160" s="48"/>
    </row>
    <row r="3161" spans="10:10" ht="18.75" customHeight="1" x14ac:dyDescent="0.25">
      <c r="J3161" s="48"/>
    </row>
    <row r="3162" spans="10:10" ht="18.75" customHeight="1" x14ac:dyDescent="0.25">
      <c r="J3162" s="48"/>
    </row>
    <row r="3163" spans="10:10" ht="18.75" customHeight="1" x14ac:dyDescent="0.25">
      <c r="J3163" s="48"/>
    </row>
    <row r="3164" spans="10:10" ht="18.75" customHeight="1" x14ac:dyDescent="0.25">
      <c r="J3164" s="48"/>
    </row>
    <row r="3165" spans="10:10" ht="18.75" customHeight="1" x14ac:dyDescent="0.25">
      <c r="J3165" s="48"/>
    </row>
    <row r="3166" spans="10:10" ht="18.75" customHeight="1" x14ac:dyDescent="0.25">
      <c r="J3166" s="48"/>
    </row>
    <row r="3167" spans="10:10" ht="18.75" customHeight="1" x14ac:dyDescent="0.25">
      <c r="J3167" s="48"/>
    </row>
    <row r="3168" spans="10:10" ht="18.75" customHeight="1" x14ac:dyDescent="0.25">
      <c r="J3168" s="48"/>
    </row>
    <row r="3169" spans="10:10" ht="18.75" customHeight="1" x14ac:dyDescent="0.25">
      <c r="J3169" s="48"/>
    </row>
    <row r="3170" spans="10:10" ht="18.75" customHeight="1" x14ac:dyDescent="0.25">
      <c r="J3170" s="48"/>
    </row>
    <row r="3171" spans="10:10" ht="18.75" customHeight="1" x14ac:dyDescent="0.25">
      <c r="J3171" s="48"/>
    </row>
    <row r="3172" spans="10:10" ht="18.75" customHeight="1" x14ac:dyDescent="0.25">
      <c r="J3172" s="48"/>
    </row>
    <row r="3173" spans="10:10" ht="18.75" customHeight="1" x14ac:dyDescent="0.25">
      <c r="J3173" s="48"/>
    </row>
    <row r="3174" spans="10:10" ht="18.75" customHeight="1" x14ac:dyDescent="0.25">
      <c r="J3174" s="48"/>
    </row>
    <row r="3175" spans="10:10" ht="18.75" customHeight="1" x14ac:dyDescent="0.25">
      <c r="J3175" s="48"/>
    </row>
    <row r="3176" spans="10:10" ht="18.75" customHeight="1" x14ac:dyDescent="0.25">
      <c r="J3176" s="48"/>
    </row>
    <row r="3177" spans="10:10" ht="18.75" customHeight="1" x14ac:dyDescent="0.25">
      <c r="J3177" s="48"/>
    </row>
    <row r="3178" spans="10:10" ht="18.75" customHeight="1" x14ac:dyDescent="0.25">
      <c r="J3178" s="48"/>
    </row>
    <row r="3179" spans="10:10" ht="18.75" customHeight="1" x14ac:dyDescent="0.25">
      <c r="J3179" s="48"/>
    </row>
    <row r="3180" spans="10:10" ht="18.75" customHeight="1" x14ac:dyDescent="0.25">
      <c r="J3180" s="48"/>
    </row>
    <row r="3181" spans="10:10" ht="18.75" customHeight="1" x14ac:dyDescent="0.25">
      <c r="J3181" s="48"/>
    </row>
    <row r="3182" spans="10:10" ht="18.75" customHeight="1" x14ac:dyDescent="0.25">
      <c r="J3182" s="48"/>
    </row>
    <row r="3183" spans="10:10" ht="18.75" customHeight="1" x14ac:dyDescent="0.25">
      <c r="J3183" s="48"/>
    </row>
    <row r="3184" spans="10:10" ht="18.75" customHeight="1" x14ac:dyDescent="0.25">
      <c r="J3184" s="48"/>
    </row>
    <row r="3185" spans="10:10" ht="18.75" customHeight="1" x14ac:dyDescent="0.25">
      <c r="J3185" s="48"/>
    </row>
    <row r="3186" spans="10:10" ht="18.75" customHeight="1" x14ac:dyDescent="0.25">
      <c r="J3186" s="48"/>
    </row>
    <row r="3187" spans="10:10" ht="18.75" customHeight="1" x14ac:dyDescent="0.25">
      <c r="J3187" s="48"/>
    </row>
    <row r="3188" spans="10:10" ht="18.75" customHeight="1" x14ac:dyDescent="0.25">
      <c r="J3188" s="48"/>
    </row>
    <row r="3189" spans="10:10" ht="18.75" customHeight="1" x14ac:dyDescent="0.25">
      <c r="J3189" s="48"/>
    </row>
    <row r="3190" spans="10:10" ht="18.75" customHeight="1" x14ac:dyDescent="0.25">
      <c r="J3190" s="48"/>
    </row>
    <row r="3191" spans="10:10" ht="18.75" customHeight="1" x14ac:dyDescent="0.25">
      <c r="J3191" s="48"/>
    </row>
    <row r="3192" spans="10:10" ht="18.75" customHeight="1" x14ac:dyDescent="0.25">
      <c r="J3192" s="48"/>
    </row>
    <row r="3193" spans="10:10" ht="18.75" customHeight="1" x14ac:dyDescent="0.25">
      <c r="J3193" s="48"/>
    </row>
    <row r="3194" spans="10:10" ht="18.75" customHeight="1" x14ac:dyDescent="0.25">
      <c r="J3194" s="48"/>
    </row>
    <row r="3195" spans="10:10" ht="18.75" customHeight="1" x14ac:dyDescent="0.25">
      <c r="J3195" s="48"/>
    </row>
    <row r="3196" spans="10:10" ht="18.75" customHeight="1" x14ac:dyDescent="0.25">
      <c r="J3196" s="48"/>
    </row>
    <row r="3197" spans="10:10" ht="18.75" customHeight="1" x14ac:dyDescent="0.25">
      <c r="J3197" s="48"/>
    </row>
    <row r="3198" spans="10:10" ht="18.75" customHeight="1" x14ac:dyDescent="0.25">
      <c r="J3198" s="48"/>
    </row>
    <row r="3199" spans="10:10" ht="18.75" customHeight="1" x14ac:dyDescent="0.25">
      <c r="J3199" s="48"/>
    </row>
    <row r="3200" spans="10:10" ht="18.75" customHeight="1" x14ac:dyDescent="0.25">
      <c r="J3200" s="48"/>
    </row>
    <row r="3201" spans="10:10" ht="18.75" customHeight="1" x14ac:dyDescent="0.25">
      <c r="J3201" s="48"/>
    </row>
    <row r="3202" spans="10:10" ht="18.75" customHeight="1" x14ac:dyDescent="0.25">
      <c r="J3202" s="48"/>
    </row>
    <row r="3203" spans="10:10" ht="18.75" customHeight="1" x14ac:dyDescent="0.25">
      <c r="J3203" s="48"/>
    </row>
    <row r="3204" spans="10:10" ht="18.75" customHeight="1" x14ac:dyDescent="0.25">
      <c r="J3204" s="48"/>
    </row>
    <row r="3205" spans="10:10" ht="18.75" customHeight="1" x14ac:dyDescent="0.25">
      <c r="J3205" s="48"/>
    </row>
    <row r="3206" spans="10:10" ht="18.75" customHeight="1" x14ac:dyDescent="0.25">
      <c r="J3206" s="48"/>
    </row>
    <row r="3207" spans="10:10" ht="18.75" customHeight="1" x14ac:dyDescent="0.25">
      <c r="J3207" s="48"/>
    </row>
    <row r="3208" spans="10:10" ht="18.75" customHeight="1" x14ac:dyDescent="0.25">
      <c r="J3208" s="48"/>
    </row>
    <row r="3209" spans="10:10" ht="18.75" customHeight="1" x14ac:dyDescent="0.25">
      <c r="J3209" s="48"/>
    </row>
    <row r="3210" spans="10:10" ht="18.75" customHeight="1" x14ac:dyDescent="0.25">
      <c r="J3210" s="48"/>
    </row>
    <row r="3211" spans="10:10" ht="18.75" customHeight="1" x14ac:dyDescent="0.25">
      <c r="J3211" s="48"/>
    </row>
    <row r="3212" spans="10:10" ht="18.75" customHeight="1" x14ac:dyDescent="0.25">
      <c r="J3212" s="48"/>
    </row>
    <row r="3213" spans="10:10" ht="18.75" customHeight="1" x14ac:dyDescent="0.25">
      <c r="J3213" s="48"/>
    </row>
    <row r="3214" spans="10:10" ht="18.75" customHeight="1" x14ac:dyDescent="0.25">
      <c r="J3214" s="48"/>
    </row>
    <row r="3215" spans="10:10" ht="18.75" customHeight="1" x14ac:dyDescent="0.25">
      <c r="J3215" s="48"/>
    </row>
    <row r="3216" spans="10:10" ht="18.75" customHeight="1" x14ac:dyDescent="0.25">
      <c r="J3216" s="48"/>
    </row>
    <row r="3217" spans="10:10" ht="18.75" customHeight="1" x14ac:dyDescent="0.25">
      <c r="J3217" s="48"/>
    </row>
    <row r="3218" spans="10:10" ht="18.75" customHeight="1" x14ac:dyDescent="0.25">
      <c r="J3218" s="48"/>
    </row>
    <row r="3219" spans="10:10" ht="18.75" customHeight="1" x14ac:dyDescent="0.25">
      <c r="J3219" s="48"/>
    </row>
    <row r="3220" spans="10:10" ht="18.75" customHeight="1" x14ac:dyDescent="0.25">
      <c r="J3220" s="48"/>
    </row>
    <row r="3221" spans="10:10" ht="18.75" customHeight="1" x14ac:dyDescent="0.25">
      <c r="J3221" s="48"/>
    </row>
    <row r="3222" spans="10:10" ht="18.75" customHeight="1" x14ac:dyDescent="0.25">
      <c r="J3222" s="48"/>
    </row>
    <row r="3223" spans="10:10" ht="18.75" customHeight="1" x14ac:dyDescent="0.25">
      <c r="J3223" s="48"/>
    </row>
    <row r="3224" spans="10:10" ht="18.75" customHeight="1" x14ac:dyDescent="0.25">
      <c r="J3224" s="48"/>
    </row>
    <row r="3225" spans="10:10" ht="18.75" customHeight="1" x14ac:dyDescent="0.25">
      <c r="J3225" s="48"/>
    </row>
    <row r="3226" spans="10:10" ht="18.75" customHeight="1" x14ac:dyDescent="0.25">
      <c r="J3226" s="48"/>
    </row>
    <row r="3227" spans="10:10" ht="18.75" customHeight="1" x14ac:dyDescent="0.25">
      <c r="J3227" s="48"/>
    </row>
    <row r="3228" spans="10:10" ht="18.75" customHeight="1" x14ac:dyDescent="0.25">
      <c r="J3228" s="48"/>
    </row>
    <row r="3229" spans="10:10" ht="18.75" customHeight="1" x14ac:dyDescent="0.25">
      <c r="J3229" s="48"/>
    </row>
    <row r="3230" spans="10:10" ht="18.75" customHeight="1" x14ac:dyDescent="0.25">
      <c r="J3230" s="48"/>
    </row>
    <row r="3231" spans="10:10" ht="18.75" customHeight="1" x14ac:dyDescent="0.25">
      <c r="J3231" s="48"/>
    </row>
    <row r="3232" spans="10:10" ht="18.75" customHeight="1" x14ac:dyDescent="0.25">
      <c r="J3232" s="48"/>
    </row>
    <row r="3233" spans="10:10" ht="18.75" customHeight="1" x14ac:dyDescent="0.25">
      <c r="J3233" s="48"/>
    </row>
    <row r="3234" spans="10:10" ht="18.75" customHeight="1" x14ac:dyDescent="0.25">
      <c r="J3234" s="48"/>
    </row>
    <row r="3235" spans="10:10" ht="18.75" customHeight="1" x14ac:dyDescent="0.25">
      <c r="J3235" s="48"/>
    </row>
    <row r="3236" spans="10:10" ht="18.75" customHeight="1" x14ac:dyDescent="0.25">
      <c r="J3236" s="48"/>
    </row>
    <row r="3237" spans="10:10" ht="18.75" customHeight="1" x14ac:dyDescent="0.25">
      <c r="J3237" s="48"/>
    </row>
    <row r="3238" spans="10:10" ht="18.75" customHeight="1" x14ac:dyDescent="0.25">
      <c r="J3238" s="48"/>
    </row>
    <row r="3239" spans="10:10" ht="18.75" customHeight="1" x14ac:dyDescent="0.25">
      <c r="J3239" s="48"/>
    </row>
    <row r="3240" spans="10:10" ht="18.75" customHeight="1" x14ac:dyDescent="0.25">
      <c r="J3240" s="48"/>
    </row>
    <row r="3241" spans="10:10" ht="18.75" customHeight="1" x14ac:dyDescent="0.25">
      <c r="J3241" s="48"/>
    </row>
    <row r="3242" spans="10:10" ht="18.75" customHeight="1" x14ac:dyDescent="0.25">
      <c r="J3242" s="48"/>
    </row>
    <row r="3243" spans="10:10" ht="18.75" customHeight="1" x14ac:dyDescent="0.25">
      <c r="J3243" s="48"/>
    </row>
    <row r="3244" spans="10:10" ht="18.75" customHeight="1" x14ac:dyDescent="0.25">
      <c r="J3244" s="48"/>
    </row>
    <row r="3245" spans="10:10" ht="18.75" customHeight="1" x14ac:dyDescent="0.25">
      <c r="J3245" s="48"/>
    </row>
    <row r="3246" spans="10:10" ht="18.75" customHeight="1" x14ac:dyDescent="0.25">
      <c r="J3246" s="48"/>
    </row>
    <row r="3247" spans="10:10" ht="18.75" customHeight="1" x14ac:dyDescent="0.25">
      <c r="J3247" s="48"/>
    </row>
    <row r="3248" spans="10:10" ht="18.75" customHeight="1" x14ac:dyDescent="0.25">
      <c r="J3248" s="48"/>
    </row>
    <row r="3249" spans="10:10" ht="18.75" customHeight="1" x14ac:dyDescent="0.25">
      <c r="J3249" s="48"/>
    </row>
    <row r="3250" spans="10:10" ht="18.75" customHeight="1" x14ac:dyDescent="0.25">
      <c r="J3250" s="48"/>
    </row>
    <row r="3251" spans="10:10" ht="18.75" customHeight="1" x14ac:dyDescent="0.25">
      <c r="J3251" s="48"/>
    </row>
    <row r="3252" spans="10:10" ht="18.75" customHeight="1" x14ac:dyDescent="0.25">
      <c r="J3252" s="48"/>
    </row>
    <row r="3253" spans="10:10" ht="18.75" customHeight="1" x14ac:dyDescent="0.25">
      <c r="J3253" s="48"/>
    </row>
    <row r="3254" spans="10:10" ht="18.75" customHeight="1" x14ac:dyDescent="0.25">
      <c r="J3254" s="48"/>
    </row>
    <row r="3255" spans="10:10" ht="18.75" customHeight="1" x14ac:dyDescent="0.25">
      <c r="J3255" s="48"/>
    </row>
    <row r="3256" spans="10:10" ht="18.75" customHeight="1" x14ac:dyDescent="0.25">
      <c r="J3256" s="48"/>
    </row>
    <row r="3257" spans="10:10" ht="18.75" customHeight="1" x14ac:dyDescent="0.25">
      <c r="J3257" s="48"/>
    </row>
    <row r="3258" spans="10:10" ht="18.75" customHeight="1" x14ac:dyDescent="0.25">
      <c r="J3258" s="48"/>
    </row>
    <row r="3259" spans="10:10" ht="18.75" customHeight="1" x14ac:dyDescent="0.25">
      <c r="J3259" s="48"/>
    </row>
    <row r="3260" spans="10:10" ht="18.75" customHeight="1" x14ac:dyDescent="0.25">
      <c r="J3260" s="48"/>
    </row>
    <row r="3261" spans="10:10" ht="18.75" customHeight="1" x14ac:dyDescent="0.25">
      <c r="J3261" s="48"/>
    </row>
    <row r="3262" spans="10:10" ht="18.75" customHeight="1" x14ac:dyDescent="0.25">
      <c r="J3262" s="48"/>
    </row>
    <row r="3263" spans="10:10" ht="18.75" customHeight="1" x14ac:dyDescent="0.25">
      <c r="J3263" s="48"/>
    </row>
    <row r="3264" spans="10:10" ht="18.75" customHeight="1" x14ac:dyDescent="0.25">
      <c r="J3264" s="48"/>
    </row>
    <row r="3265" spans="10:10" ht="18.75" customHeight="1" x14ac:dyDescent="0.25">
      <c r="J3265" s="48"/>
    </row>
    <row r="3266" spans="10:10" ht="18.75" customHeight="1" x14ac:dyDescent="0.25">
      <c r="J3266" s="48"/>
    </row>
    <row r="3267" spans="10:10" ht="18.75" customHeight="1" x14ac:dyDescent="0.25">
      <c r="J3267" s="48"/>
    </row>
    <row r="3268" spans="10:10" ht="18.75" customHeight="1" x14ac:dyDescent="0.25">
      <c r="J3268" s="48"/>
    </row>
    <row r="3269" spans="10:10" ht="18.75" customHeight="1" x14ac:dyDescent="0.25">
      <c r="J3269" s="48"/>
    </row>
    <row r="3270" spans="10:10" ht="18.75" customHeight="1" x14ac:dyDescent="0.25">
      <c r="J3270" s="48"/>
    </row>
    <row r="3271" spans="10:10" ht="18.75" customHeight="1" x14ac:dyDescent="0.25">
      <c r="J3271" s="48"/>
    </row>
    <row r="3272" spans="10:10" ht="18.75" customHeight="1" x14ac:dyDescent="0.25">
      <c r="J3272" s="48"/>
    </row>
    <row r="3273" spans="10:10" ht="18.75" customHeight="1" x14ac:dyDescent="0.25">
      <c r="J3273" s="48"/>
    </row>
    <row r="3274" spans="10:10" ht="18.75" customHeight="1" x14ac:dyDescent="0.25">
      <c r="J3274" s="48"/>
    </row>
    <row r="3275" spans="10:10" ht="18.75" customHeight="1" x14ac:dyDescent="0.25">
      <c r="J3275" s="48"/>
    </row>
    <row r="3276" spans="10:10" ht="18.75" customHeight="1" x14ac:dyDescent="0.25">
      <c r="J3276" s="48"/>
    </row>
    <row r="3277" spans="10:10" ht="18.75" customHeight="1" x14ac:dyDescent="0.25">
      <c r="J3277" s="48"/>
    </row>
    <row r="3278" spans="10:10" ht="18.75" customHeight="1" x14ac:dyDescent="0.25">
      <c r="J3278" s="48"/>
    </row>
    <row r="3279" spans="10:10" ht="18.75" customHeight="1" x14ac:dyDescent="0.25">
      <c r="J3279" s="48"/>
    </row>
    <row r="3280" spans="10:10" ht="18.75" customHeight="1" x14ac:dyDescent="0.25">
      <c r="J3280" s="48"/>
    </row>
    <row r="3281" spans="10:10" ht="18.75" customHeight="1" x14ac:dyDescent="0.25">
      <c r="J3281" s="48"/>
    </row>
    <row r="3282" spans="10:10" ht="18.75" customHeight="1" x14ac:dyDescent="0.25">
      <c r="J3282" s="48"/>
    </row>
    <row r="3283" spans="10:10" ht="18.75" customHeight="1" x14ac:dyDescent="0.25">
      <c r="J3283" s="48"/>
    </row>
    <row r="3284" spans="10:10" ht="18.75" customHeight="1" x14ac:dyDescent="0.25">
      <c r="J3284" s="48"/>
    </row>
    <row r="3285" spans="10:10" ht="18.75" customHeight="1" x14ac:dyDescent="0.25">
      <c r="J3285" s="48"/>
    </row>
    <row r="3286" spans="10:10" ht="18.75" customHeight="1" x14ac:dyDescent="0.25">
      <c r="J3286" s="48"/>
    </row>
    <row r="3287" spans="10:10" ht="18.75" customHeight="1" x14ac:dyDescent="0.25">
      <c r="J3287" s="48"/>
    </row>
    <row r="3288" spans="10:10" ht="18.75" customHeight="1" x14ac:dyDescent="0.25">
      <c r="J3288" s="48"/>
    </row>
    <row r="3289" spans="10:10" ht="18.75" customHeight="1" x14ac:dyDescent="0.25">
      <c r="J3289" s="48"/>
    </row>
    <row r="3290" spans="10:10" ht="18.75" customHeight="1" x14ac:dyDescent="0.25">
      <c r="J3290" s="48"/>
    </row>
    <row r="3291" spans="10:10" ht="18.75" customHeight="1" x14ac:dyDescent="0.25">
      <c r="J3291" s="48"/>
    </row>
    <row r="3292" spans="10:10" ht="18.75" customHeight="1" x14ac:dyDescent="0.25">
      <c r="J3292" s="48"/>
    </row>
    <row r="3293" spans="10:10" ht="18.75" customHeight="1" x14ac:dyDescent="0.25">
      <c r="J3293" s="48"/>
    </row>
    <row r="3294" spans="10:10" ht="18.75" customHeight="1" x14ac:dyDescent="0.25">
      <c r="J3294" s="48"/>
    </row>
    <row r="3295" spans="10:10" ht="18.75" customHeight="1" x14ac:dyDescent="0.25">
      <c r="J3295" s="48"/>
    </row>
    <row r="3296" spans="10:10" ht="18.75" customHeight="1" x14ac:dyDescent="0.25">
      <c r="J3296" s="48"/>
    </row>
    <row r="3297" spans="10:10" ht="18.75" customHeight="1" x14ac:dyDescent="0.25">
      <c r="J3297" s="48"/>
    </row>
    <row r="3298" spans="10:10" ht="18.75" customHeight="1" x14ac:dyDescent="0.25">
      <c r="J3298" s="48"/>
    </row>
    <row r="3299" spans="10:10" ht="18.75" customHeight="1" x14ac:dyDescent="0.25">
      <c r="J3299" s="48"/>
    </row>
    <row r="3300" spans="10:10" ht="18.75" customHeight="1" x14ac:dyDescent="0.25">
      <c r="J3300" s="48"/>
    </row>
    <row r="3301" spans="10:10" ht="18.75" customHeight="1" x14ac:dyDescent="0.25">
      <c r="J3301" s="48"/>
    </row>
    <row r="3302" spans="10:10" ht="18.75" customHeight="1" x14ac:dyDescent="0.25">
      <c r="J3302" s="48"/>
    </row>
    <row r="3303" spans="10:10" ht="18.75" customHeight="1" x14ac:dyDescent="0.25">
      <c r="J3303" s="48"/>
    </row>
    <row r="3304" spans="10:10" ht="18.75" customHeight="1" x14ac:dyDescent="0.25">
      <c r="J3304" s="48"/>
    </row>
    <row r="3305" spans="10:10" ht="18.75" customHeight="1" x14ac:dyDescent="0.25">
      <c r="J3305" s="48"/>
    </row>
    <row r="3306" spans="10:10" ht="18.75" customHeight="1" x14ac:dyDescent="0.25">
      <c r="J3306" s="48"/>
    </row>
    <row r="3307" spans="10:10" ht="18.75" customHeight="1" x14ac:dyDescent="0.25">
      <c r="J3307" s="48"/>
    </row>
    <row r="3308" spans="10:10" ht="18.75" customHeight="1" x14ac:dyDescent="0.25">
      <c r="J3308" s="48"/>
    </row>
    <row r="3309" spans="10:10" ht="18.75" customHeight="1" x14ac:dyDescent="0.25">
      <c r="J3309" s="48"/>
    </row>
    <row r="3310" spans="10:10" ht="18.75" customHeight="1" x14ac:dyDescent="0.25">
      <c r="J3310" s="48"/>
    </row>
    <row r="3311" spans="10:10" ht="18.75" customHeight="1" x14ac:dyDescent="0.25">
      <c r="J3311" s="48"/>
    </row>
    <row r="3312" spans="10:10" ht="18.75" customHeight="1" x14ac:dyDescent="0.25">
      <c r="J3312" s="48"/>
    </row>
    <row r="3313" spans="10:10" ht="18.75" customHeight="1" x14ac:dyDescent="0.25">
      <c r="J3313" s="48"/>
    </row>
    <row r="3314" spans="10:10" ht="18.75" customHeight="1" x14ac:dyDescent="0.25">
      <c r="J3314" s="48"/>
    </row>
    <row r="3315" spans="10:10" ht="18.75" customHeight="1" x14ac:dyDescent="0.25">
      <c r="J3315" s="48"/>
    </row>
    <row r="3316" spans="10:10" ht="18.75" customHeight="1" x14ac:dyDescent="0.25">
      <c r="J3316" s="48"/>
    </row>
    <row r="3317" spans="10:10" ht="18.75" customHeight="1" x14ac:dyDescent="0.25">
      <c r="J3317" s="48"/>
    </row>
    <row r="3318" spans="10:10" ht="18.75" customHeight="1" x14ac:dyDescent="0.25">
      <c r="J3318" s="48"/>
    </row>
    <row r="3319" spans="10:10" ht="18.75" customHeight="1" x14ac:dyDescent="0.25">
      <c r="J3319" s="48"/>
    </row>
    <row r="3320" spans="10:10" ht="18.75" customHeight="1" x14ac:dyDescent="0.25">
      <c r="J3320" s="48"/>
    </row>
    <row r="3321" spans="10:10" ht="18.75" customHeight="1" x14ac:dyDescent="0.25">
      <c r="J3321" s="48"/>
    </row>
    <row r="3322" spans="10:10" ht="18.75" customHeight="1" x14ac:dyDescent="0.25">
      <c r="J3322" s="48"/>
    </row>
    <row r="3323" spans="10:10" ht="18.75" customHeight="1" x14ac:dyDescent="0.25">
      <c r="J3323" s="48"/>
    </row>
    <row r="3324" spans="10:10" ht="18.75" customHeight="1" x14ac:dyDescent="0.25">
      <c r="J3324" s="48"/>
    </row>
    <row r="3325" spans="10:10" ht="18.75" customHeight="1" x14ac:dyDescent="0.25">
      <c r="J3325" s="48"/>
    </row>
    <row r="3326" spans="10:10" ht="18.75" customHeight="1" x14ac:dyDescent="0.25">
      <c r="J3326" s="48"/>
    </row>
    <row r="3327" spans="10:10" ht="18.75" customHeight="1" x14ac:dyDescent="0.25">
      <c r="J3327" s="48"/>
    </row>
    <row r="3328" spans="10:10" ht="18.75" customHeight="1" x14ac:dyDescent="0.25">
      <c r="J3328" s="48"/>
    </row>
    <row r="3329" spans="10:10" ht="18.75" customHeight="1" x14ac:dyDescent="0.25">
      <c r="J3329" s="48"/>
    </row>
    <row r="3330" spans="10:10" ht="18.75" customHeight="1" x14ac:dyDescent="0.25">
      <c r="J3330" s="48"/>
    </row>
    <row r="3331" spans="10:10" ht="18.75" customHeight="1" x14ac:dyDescent="0.25">
      <c r="J3331" s="48"/>
    </row>
    <row r="3332" spans="10:10" ht="18.75" customHeight="1" x14ac:dyDescent="0.25">
      <c r="J3332" s="48"/>
    </row>
    <row r="3333" spans="10:10" ht="18.75" customHeight="1" x14ac:dyDescent="0.25">
      <c r="J3333" s="48"/>
    </row>
    <row r="3334" spans="10:10" ht="18.75" customHeight="1" x14ac:dyDescent="0.25">
      <c r="J3334" s="48"/>
    </row>
    <row r="3335" spans="10:10" ht="18.75" customHeight="1" x14ac:dyDescent="0.25">
      <c r="J3335" s="48"/>
    </row>
    <row r="3336" spans="10:10" ht="18.75" customHeight="1" x14ac:dyDescent="0.25">
      <c r="J3336" s="48"/>
    </row>
    <row r="3337" spans="10:10" ht="18.75" customHeight="1" x14ac:dyDescent="0.25">
      <c r="J3337" s="48"/>
    </row>
    <row r="3338" spans="10:10" ht="18.75" customHeight="1" x14ac:dyDescent="0.25">
      <c r="J3338" s="48"/>
    </row>
    <row r="3339" spans="10:10" ht="18.75" customHeight="1" x14ac:dyDescent="0.25">
      <c r="J3339" s="48"/>
    </row>
    <row r="3340" spans="10:10" ht="18.75" customHeight="1" x14ac:dyDescent="0.25">
      <c r="J3340" s="48"/>
    </row>
    <row r="3341" spans="10:10" ht="18.75" customHeight="1" x14ac:dyDescent="0.25">
      <c r="J3341" s="48"/>
    </row>
    <row r="3342" spans="10:10" ht="18.75" customHeight="1" x14ac:dyDescent="0.25">
      <c r="J3342" s="48"/>
    </row>
    <row r="3343" spans="10:10" ht="18.75" customHeight="1" x14ac:dyDescent="0.25">
      <c r="J3343" s="48"/>
    </row>
    <row r="3344" spans="10:10" ht="18.75" customHeight="1" x14ac:dyDescent="0.25">
      <c r="J3344" s="48"/>
    </row>
    <row r="3345" spans="10:10" ht="18.75" customHeight="1" x14ac:dyDescent="0.25">
      <c r="J3345" s="48"/>
    </row>
    <row r="3346" spans="10:10" ht="18.75" customHeight="1" x14ac:dyDescent="0.25">
      <c r="J3346" s="48"/>
    </row>
    <row r="3347" spans="10:10" ht="18.75" customHeight="1" x14ac:dyDescent="0.25">
      <c r="J3347" s="48"/>
    </row>
    <row r="3348" spans="10:10" ht="18.75" customHeight="1" x14ac:dyDescent="0.25">
      <c r="J3348" s="48"/>
    </row>
    <row r="3349" spans="10:10" ht="18.75" customHeight="1" x14ac:dyDescent="0.25">
      <c r="J3349" s="48"/>
    </row>
    <row r="3350" spans="10:10" ht="18.75" customHeight="1" x14ac:dyDescent="0.25">
      <c r="J3350" s="48"/>
    </row>
    <row r="3351" spans="10:10" ht="18.75" customHeight="1" x14ac:dyDescent="0.25">
      <c r="J3351" s="48"/>
    </row>
    <row r="3352" spans="10:10" ht="18.75" customHeight="1" x14ac:dyDescent="0.25">
      <c r="J3352" s="48"/>
    </row>
    <row r="3353" spans="10:10" ht="18.75" customHeight="1" x14ac:dyDescent="0.25">
      <c r="J3353" s="48"/>
    </row>
    <row r="3354" spans="10:10" ht="18.75" customHeight="1" x14ac:dyDescent="0.25">
      <c r="J3354" s="48"/>
    </row>
    <row r="3355" spans="10:10" ht="18.75" customHeight="1" x14ac:dyDescent="0.25">
      <c r="J3355" s="48"/>
    </row>
    <row r="3356" spans="10:10" ht="18.75" customHeight="1" x14ac:dyDescent="0.25">
      <c r="J3356" s="48"/>
    </row>
    <row r="3357" spans="10:10" ht="18.75" customHeight="1" x14ac:dyDescent="0.25">
      <c r="J3357" s="48"/>
    </row>
    <row r="3358" spans="10:10" ht="18.75" customHeight="1" x14ac:dyDescent="0.25">
      <c r="J3358" s="48"/>
    </row>
    <row r="3359" spans="10:10" ht="18.75" customHeight="1" x14ac:dyDescent="0.25">
      <c r="J3359" s="48"/>
    </row>
    <row r="3360" spans="10:10" ht="18.75" customHeight="1" x14ac:dyDescent="0.25">
      <c r="J3360" s="48"/>
    </row>
    <row r="3361" spans="10:10" ht="18.75" customHeight="1" x14ac:dyDescent="0.25">
      <c r="J3361" s="48"/>
    </row>
    <row r="3362" spans="10:10" ht="18.75" customHeight="1" x14ac:dyDescent="0.25">
      <c r="J3362" s="48"/>
    </row>
    <row r="3363" spans="10:10" ht="18.75" customHeight="1" x14ac:dyDescent="0.25">
      <c r="J3363" s="48"/>
    </row>
    <row r="3364" spans="10:10" ht="18.75" customHeight="1" x14ac:dyDescent="0.25">
      <c r="J3364" s="48"/>
    </row>
    <row r="3365" spans="10:10" ht="18.75" customHeight="1" x14ac:dyDescent="0.25">
      <c r="J3365" s="48"/>
    </row>
    <row r="3366" spans="10:10" ht="18.75" customHeight="1" x14ac:dyDescent="0.25">
      <c r="J3366" s="48"/>
    </row>
    <row r="3367" spans="10:10" ht="18.75" customHeight="1" x14ac:dyDescent="0.25">
      <c r="J3367" s="48"/>
    </row>
    <row r="3368" spans="10:10" ht="18.75" customHeight="1" x14ac:dyDescent="0.25">
      <c r="J3368" s="48"/>
    </row>
    <row r="3369" spans="10:10" ht="18.75" customHeight="1" x14ac:dyDescent="0.25">
      <c r="J3369" s="48"/>
    </row>
    <row r="3370" spans="10:10" ht="18.75" customHeight="1" x14ac:dyDescent="0.25">
      <c r="J3370" s="48"/>
    </row>
    <row r="3371" spans="10:10" ht="18.75" customHeight="1" x14ac:dyDescent="0.25">
      <c r="J3371" s="48"/>
    </row>
    <row r="3372" spans="10:10" ht="18.75" customHeight="1" x14ac:dyDescent="0.25">
      <c r="J3372" s="48"/>
    </row>
    <row r="3373" spans="10:10" ht="18.75" customHeight="1" x14ac:dyDescent="0.25">
      <c r="J3373" s="48"/>
    </row>
    <row r="3374" spans="10:10" ht="18.75" customHeight="1" x14ac:dyDescent="0.25">
      <c r="J3374" s="48"/>
    </row>
    <row r="3375" spans="10:10" ht="18.75" customHeight="1" x14ac:dyDescent="0.25">
      <c r="J3375" s="48"/>
    </row>
    <row r="3376" spans="10:10" ht="18.75" customHeight="1" x14ac:dyDescent="0.25">
      <c r="J3376" s="48"/>
    </row>
    <row r="3377" spans="10:10" ht="18.75" customHeight="1" x14ac:dyDescent="0.25">
      <c r="J3377" s="48"/>
    </row>
    <row r="3378" spans="10:10" ht="18.75" customHeight="1" x14ac:dyDescent="0.25">
      <c r="J3378" s="48"/>
    </row>
    <row r="3379" spans="10:10" ht="18.75" customHeight="1" x14ac:dyDescent="0.25">
      <c r="J3379" s="48"/>
    </row>
    <row r="3380" spans="10:10" ht="18.75" customHeight="1" x14ac:dyDescent="0.25">
      <c r="J3380" s="48"/>
    </row>
    <row r="3381" spans="10:10" ht="18.75" customHeight="1" x14ac:dyDescent="0.25">
      <c r="J3381" s="48"/>
    </row>
    <row r="3382" spans="10:10" ht="18.75" customHeight="1" x14ac:dyDescent="0.25">
      <c r="J3382" s="48"/>
    </row>
    <row r="3383" spans="10:10" ht="18.75" customHeight="1" x14ac:dyDescent="0.25">
      <c r="J3383" s="48"/>
    </row>
    <row r="3384" spans="10:10" ht="18.75" customHeight="1" x14ac:dyDescent="0.25">
      <c r="J3384" s="48"/>
    </row>
    <row r="3385" spans="10:10" ht="18.75" customHeight="1" x14ac:dyDescent="0.25">
      <c r="J3385" s="48"/>
    </row>
    <row r="3386" spans="10:10" ht="18.75" customHeight="1" x14ac:dyDescent="0.25">
      <c r="J3386" s="48"/>
    </row>
    <row r="3387" spans="10:10" ht="18.75" customHeight="1" x14ac:dyDescent="0.25">
      <c r="J3387" s="48"/>
    </row>
    <row r="3388" spans="10:10" ht="18.75" customHeight="1" x14ac:dyDescent="0.25">
      <c r="J3388" s="48"/>
    </row>
    <row r="3389" spans="10:10" ht="18.75" customHeight="1" x14ac:dyDescent="0.25">
      <c r="J3389" s="48"/>
    </row>
    <row r="3390" spans="10:10" ht="18.75" customHeight="1" x14ac:dyDescent="0.25">
      <c r="J3390" s="48"/>
    </row>
    <row r="3391" spans="10:10" ht="18.75" customHeight="1" x14ac:dyDescent="0.25">
      <c r="J3391" s="48"/>
    </row>
    <row r="3392" spans="10:10" ht="18.75" customHeight="1" x14ac:dyDescent="0.25">
      <c r="J3392" s="48"/>
    </row>
    <row r="3393" spans="10:10" ht="18.75" customHeight="1" x14ac:dyDescent="0.25">
      <c r="J3393" s="48"/>
    </row>
    <row r="3394" spans="10:10" ht="18.75" customHeight="1" x14ac:dyDescent="0.25">
      <c r="J3394" s="48"/>
    </row>
    <row r="3395" spans="10:10" ht="18.75" customHeight="1" x14ac:dyDescent="0.25">
      <c r="J3395" s="48"/>
    </row>
    <row r="3396" spans="10:10" ht="18.75" customHeight="1" x14ac:dyDescent="0.25">
      <c r="J3396" s="48"/>
    </row>
    <row r="3397" spans="10:10" ht="18.75" customHeight="1" x14ac:dyDescent="0.25">
      <c r="J3397" s="48"/>
    </row>
    <row r="3398" spans="10:10" ht="18.75" customHeight="1" x14ac:dyDescent="0.25">
      <c r="J3398" s="48"/>
    </row>
    <row r="3399" spans="10:10" ht="18.75" customHeight="1" x14ac:dyDescent="0.25">
      <c r="J3399" s="48"/>
    </row>
    <row r="3400" spans="10:10" ht="18.75" customHeight="1" x14ac:dyDescent="0.25">
      <c r="J3400" s="48"/>
    </row>
    <row r="3401" spans="10:10" ht="18.75" customHeight="1" x14ac:dyDescent="0.25">
      <c r="J3401" s="48"/>
    </row>
    <row r="3402" spans="10:10" ht="18.75" customHeight="1" x14ac:dyDescent="0.25">
      <c r="J3402" s="48"/>
    </row>
    <row r="3403" spans="10:10" ht="18.75" customHeight="1" x14ac:dyDescent="0.25">
      <c r="J3403" s="48"/>
    </row>
    <row r="3404" spans="10:10" ht="18.75" customHeight="1" x14ac:dyDescent="0.25">
      <c r="J3404" s="48"/>
    </row>
    <row r="3405" spans="10:10" ht="18.75" customHeight="1" x14ac:dyDescent="0.25">
      <c r="J3405" s="48"/>
    </row>
    <row r="3406" spans="10:10" ht="18.75" customHeight="1" x14ac:dyDescent="0.25">
      <c r="J3406" s="48"/>
    </row>
    <row r="3407" spans="10:10" ht="18.75" customHeight="1" x14ac:dyDescent="0.25">
      <c r="J3407" s="48"/>
    </row>
    <row r="3408" spans="10:10" ht="18.75" customHeight="1" x14ac:dyDescent="0.25">
      <c r="J3408" s="48"/>
    </row>
    <row r="3409" spans="10:10" ht="18.75" customHeight="1" x14ac:dyDescent="0.25">
      <c r="J3409" s="48"/>
    </row>
    <row r="3410" spans="10:10" ht="18.75" customHeight="1" x14ac:dyDescent="0.25">
      <c r="J3410" s="48"/>
    </row>
    <row r="3411" spans="10:10" ht="18.75" customHeight="1" x14ac:dyDescent="0.25">
      <c r="J3411" s="48"/>
    </row>
    <row r="3412" spans="10:10" ht="18.75" customHeight="1" x14ac:dyDescent="0.25">
      <c r="J3412" s="48"/>
    </row>
    <row r="3413" spans="10:10" ht="18.75" customHeight="1" x14ac:dyDescent="0.25">
      <c r="J3413" s="48"/>
    </row>
    <row r="3414" spans="10:10" ht="18.75" customHeight="1" x14ac:dyDescent="0.25">
      <c r="J3414" s="48"/>
    </row>
    <row r="3415" spans="10:10" ht="18.75" customHeight="1" x14ac:dyDescent="0.25">
      <c r="J3415" s="48"/>
    </row>
    <row r="3416" spans="10:10" ht="18.75" customHeight="1" x14ac:dyDescent="0.25">
      <c r="J3416" s="48"/>
    </row>
    <row r="3417" spans="10:10" ht="18.75" customHeight="1" x14ac:dyDescent="0.25">
      <c r="J3417" s="48"/>
    </row>
    <row r="3418" spans="10:10" ht="18.75" customHeight="1" x14ac:dyDescent="0.25">
      <c r="J3418" s="48"/>
    </row>
    <row r="3419" spans="10:10" ht="18.75" customHeight="1" x14ac:dyDescent="0.25">
      <c r="J3419" s="48"/>
    </row>
    <row r="3420" spans="10:10" ht="18.75" customHeight="1" x14ac:dyDescent="0.25">
      <c r="J3420" s="48"/>
    </row>
    <row r="3421" spans="10:10" ht="18.75" customHeight="1" x14ac:dyDescent="0.25">
      <c r="J3421" s="48"/>
    </row>
    <row r="3422" spans="10:10" ht="18.75" customHeight="1" x14ac:dyDescent="0.25">
      <c r="J3422" s="48"/>
    </row>
    <row r="3423" spans="10:10" ht="18.75" customHeight="1" x14ac:dyDescent="0.25">
      <c r="J3423" s="48"/>
    </row>
    <row r="3424" spans="10:10" ht="18.75" customHeight="1" x14ac:dyDescent="0.25">
      <c r="J3424" s="48"/>
    </row>
    <row r="3425" spans="10:10" ht="18.75" customHeight="1" x14ac:dyDescent="0.25">
      <c r="J3425" s="48"/>
    </row>
    <row r="3426" spans="10:10" ht="18.75" customHeight="1" x14ac:dyDescent="0.25">
      <c r="J3426" s="48"/>
    </row>
    <row r="3427" spans="10:10" ht="18.75" customHeight="1" x14ac:dyDescent="0.25">
      <c r="J3427" s="48"/>
    </row>
    <row r="3428" spans="10:10" ht="18.75" customHeight="1" x14ac:dyDescent="0.25">
      <c r="J3428" s="48"/>
    </row>
    <row r="3429" spans="10:10" ht="18.75" customHeight="1" x14ac:dyDescent="0.25">
      <c r="J3429" s="48"/>
    </row>
    <row r="3430" spans="10:10" ht="18.75" customHeight="1" x14ac:dyDescent="0.25">
      <c r="J3430" s="48"/>
    </row>
    <row r="3431" spans="10:10" ht="18.75" customHeight="1" x14ac:dyDescent="0.25">
      <c r="J3431" s="48"/>
    </row>
    <row r="3432" spans="10:10" ht="18.75" customHeight="1" x14ac:dyDescent="0.25">
      <c r="J3432" s="48"/>
    </row>
    <row r="3433" spans="10:10" ht="18.75" customHeight="1" x14ac:dyDescent="0.25">
      <c r="J3433" s="48"/>
    </row>
    <row r="3434" spans="10:10" ht="18.75" customHeight="1" x14ac:dyDescent="0.25">
      <c r="J3434" s="48"/>
    </row>
    <row r="3435" spans="10:10" ht="18.75" customHeight="1" x14ac:dyDescent="0.25">
      <c r="J3435" s="48"/>
    </row>
    <row r="3436" spans="10:10" ht="18.75" customHeight="1" x14ac:dyDescent="0.25">
      <c r="J3436" s="48"/>
    </row>
    <row r="3437" spans="10:10" ht="18.75" customHeight="1" x14ac:dyDescent="0.25">
      <c r="J3437" s="48"/>
    </row>
    <row r="3438" spans="10:10" ht="18.75" customHeight="1" x14ac:dyDescent="0.25">
      <c r="J3438" s="48"/>
    </row>
    <row r="3439" spans="10:10" ht="18.75" customHeight="1" x14ac:dyDescent="0.25">
      <c r="J3439" s="48"/>
    </row>
    <row r="3440" spans="10:10" ht="18.75" customHeight="1" x14ac:dyDescent="0.25">
      <c r="J3440" s="48"/>
    </row>
    <row r="3441" spans="10:10" ht="18.75" customHeight="1" x14ac:dyDescent="0.25">
      <c r="J3441" s="48"/>
    </row>
    <row r="3442" spans="10:10" ht="18.75" customHeight="1" x14ac:dyDescent="0.25">
      <c r="J3442" s="48"/>
    </row>
    <row r="3443" spans="10:10" ht="18.75" customHeight="1" x14ac:dyDescent="0.25">
      <c r="J3443" s="48"/>
    </row>
    <row r="3444" spans="10:10" ht="18.75" customHeight="1" x14ac:dyDescent="0.25">
      <c r="J3444" s="48"/>
    </row>
    <row r="3445" spans="10:10" ht="18.75" customHeight="1" x14ac:dyDescent="0.25">
      <c r="J3445" s="48"/>
    </row>
    <row r="3446" spans="10:10" ht="18.75" customHeight="1" x14ac:dyDescent="0.25">
      <c r="J3446" s="48"/>
    </row>
    <row r="3447" spans="10:10" ht="18.75" customHeight="1" x14ac:dyDescent="0.25">
      <c r="J3447" s="48"/>
    </row>
    <row r="3448" spans="10:10" ht="18.75" customHeight="1" x14ac:dyDescent="0.25">
      <c r="J3448" s="48"/>
    </row>
    <row r="3449" spans="10:10" ht="18.75" customHeight="1" x14ac:dyDescent="0.25">
      <c r="J3449" s="48"/>
    </row>
    <row r="3450" spans="10:10" ht="18.75" customHeight="1" x14ac:dyDescent="0.25">
      <c r="J3450" s="48"/>
    </row>
    <row r="3451" spans="10:10" ht="18.75" customHeight="1" x14ac:dyDescent="0.25">
      <c r="J3451" s="48"/>
    </row>
    <row r="3452" spans="10:10" ht="18.75" customHeight="1" x14ac:dyDescent="0.25">
      <c r="J3452" s="48"/>
    </row>
    <row r="3453" spans="10:10" ht="18.75" customHeight="1" x14ac:dyDescent="0.25">
      <c r="J3453" s="48"/>
    </row>
    <row r="3454" spans="10:10" ht="18.75" customHeight="1" x14ac:dyDescent="0.25">
      <c r="J3454" s="48"/>
    </row>
    <row r="3455" spans="10:10" ht="18.75" customHeight="1" x14ac:dyDescent="0.25">
      <c r="J3455" s="48"/>
    </row>
    <row r="3456" spans="10:10" ht="18.75" customHeight="1" x14ac:dyDescent="0.25">
      <c r="J3456" s="48"/>
    </row>
    <row r="3457" spans="10:10" ht="18.75" customHeight="1" x14ac:dyDescent="0.25">
      <c r="J3457" s="48"/>
    </row>
    <row r="3458" spans="10:10" ht="18.75" customHeight="1" x14ac:dyDescent="0.25">
      <c r="J3458" s="48"/>
    </row>
    <row r="3459" spans="10:10" ht="18.75" customHeight="1" x14ac:dyDescent="0.25">
      <c r="J3459" s="48"/>
    </row>
    <row r="3460" spans="10:10" ht="18.75" customHeight="1" x14ac:dyDescent="0.25">
      <c r="J3460" s="48"/>
    </row>
    <row r="3461" spans="10:10" ht="18.75" customHeight="1" x14ac:dyDescent="0.25">
      <c r="J3461" s="48"/>
    </row>
    <row r="3462" spans="10:10" ht="18.75" customHeight="1" x14ac:dyDescent="0.25">
      <c r="J3462" s="48"/>
    </row>
    <row r="3463" spans="10:10" ht="18.75" customHeight="1" x14ac:dyDescent="0.25">
      <c r="J3463" s="48"/>
    </row>
    <row r="3464" spans="10:10" ht="18.75" customHeight="1" x14ac:dyDescent="0.25">
      <c r="J3464" s="48"/>
    </row>
    <row r="3465" spans="10:10" ht="18.75" customHeight="1" x14ac:dyDescent="0.25">
      <c r="J3465" s="48"/>
    </row>
    <row r="3466" spans="10:10" ht="18.75" customHeight="1" x14ac:dyDescent="0.25">
      <c r="J3466" s="48"/>
    </row>
    <row r="3467" spans="10:10" ht="18.75" customHeight="1" x14ac:dyDescent="0.25">
      <c r="J3467" s="48"/>
    </row>
    <row r="3468" spans="10:10" ht="18.75" customHeight="1" x14ac:dyDescent="0.25">
      <c r="J3468" s="48"/>
    </row>
    <row r="3469" spans="10:10" ht="18.75" customHeight="1" x14ac:dyDescent="0.25">
      <c r="J3469" s="48"/>
    </row>
    <row r="3470" spans="10:10" ht="18.75" customHeight="1" x14ac:dyDescent="0.25">
      <c r="J3470" s="48"/>
    </row>
    <row r="3471" spans="10:10" ht="18.75" customHeight="1" x14ac:dyDescent="0.25">
      <c r="J3471" s="48"/>
    </row>
    <row r="3472" spans="10:10" ht="18.75" customHeight="1" x14ac:dyDescent="0.25">
      <c r="J3472" s="48"/>
    </row>
    <row r="3473" spans="10:10" ht="18.75" customHeight="1" x14ac:dyDescent="0.25">
      <c r="J3473" s="48"/>
    </row>
    <row r="3474" spans="10:10" ht="18.75" customHeight="1" x14ac:dyDescent="0.25">
      <c r="J3474" s="48"/>
    </row>
    <row r="3475" spans="10:10" ht="18.75" customHeight="1" x14ac:dyDescent="0.25">
      <c r="J3475" s="48"/>
    </row>
    <row r="3476" spans="10:10" ht="18.75" customHeight="1" x14ac:dyDescent="0.25">
      <c r="J3476" s="48"/>
    </row>
    <row r="3477" spans="10:10" ht="18.75" customHeight="1" x14ac:dyDescent="0.25">
      <c r="J3477" s="48"/>
    </row>
    <row r="3478" spans="10:10" ht="18.75" customHeight="1" x14ac:dyDescent="0.25">
      <c r="J3478" s="48"/>
    </row>
    <row r="3479" spans="10:10" ht="18.75" customHeight="1" x14ac:dyDescent="0.25">
      <c r="J3479" s="48"/>
    </row>
    <row r="3480" spans="10:10" ht="18.75" customHeight="1" x14ac:dyDescent="0.25">
      <c r="J3480" s="48"/>
    </row>
    <row r="3481" spans="10:10" ht="18.75" customHeight="1" x14ac:dyDescent="0.25">
      <c r="J3481" s="48"/>
    </row>
    <row r="3482" spans="10:10" ht="18.75" customHeight="1" x14ac:dyDescent="0.25">
      <c r="J3482" s="48"/>
    </row>
    <row r="3483" spans="10:10" ht="18.75" customHeight="1" x14ac:dyDescent="0.25">
      <c r="J3483" s="48"/>
    </row>
    <row r="3484" spans="10:10" ht="18.75" customHeight="1" x14ac:dyDescent="0.25">
      <c r="J3484" s="48"/>
    </row>
    <row r="3485" spans="10:10" ht="18.75" customHeight="1" x14ac:dyDescent="0.25">
      <c r="J3485" s="48"/>
    </row>
    <row r="3486" spans="10:10" ht="18.75" customHeight="1" x14ac:dyDescent="0.25">
      <c r="J3486" s="48"/>
    </row>
    <row r="3487" spans="10:10" ht="18.75" customHeight="1" x14ac:dyDescent="0.25">
      <c r="J3487" s="48"/>
    </row>
    <row r="3488" spans="10:10" ht="18.75" customHeight="1" x14ac:dyDescent="0.25">
      <c r="J3488" s="48"/>
    </row>
    <row r="3489" spans="10:10" ht="18.75" customHeight="1" x14ac:dyDescent="0.25">
      <c r="J3489" s="48"/>
    </row>
    <row r="3490" spans="10:10" ht="18.75" customHeight="1" x14ac:dyDescent="0.25">
      <c r="J3490" s="48"/>
    </row>
    <row r="3491" spans="10:10" ht="18.75" customHeight="1" x14ac:dyDescent="0.25">
      <c r="J3491" s="48"/>
    </row>
    <row r="3492" spans="10:10" ht="18.75" customHeight="1" x14ac:dyDescent="0.25">
      <c r="J3492" s="48"/>
    </row>
    <row r="3493" spans="10:10" ht="18.75" customHeight="1" x14ac:dyDescent="0.25">
      <c r="J3493" s="48"/>
    </row>
    <row r="3494" spans="10:10" ht="18.75" customHeight="1" x14ac:dyDescent="0.25">
      <c r="J3494" s="48"/>
    </row>
    <row r="3495" spans="10:10" ht="18.75" customHeight="1" x14ac:dyDescent="0.25">
      <c r="J3495" s="48"/>
    </row>
    <row r="3496" spans="10:10" ht="18.75" customHeight="1" x14ac:dyDescent="0.25">
      <c r="J3496" s="48"/>
    </row>
    <row r="3497" spans="10:10" ht="18.75" customHeight="1" x14ac:dyDescent="0.25">
      <c r="J3497" s="48"/>
    </row>
    <row r="3498" spans="10:10" ht="18.75" customHeight="1" x14ac:dyDescent="0.25">
      <c r="J3498" s="48"/>
    </row>
    <row r="3499" spans="10:10" ht="18.75" customHeight="1" x14ac:dyDescent="0.25">
      <c r="J3499" s="48"/>
    </row>
    <row r="3500" spans="10:10" ht="18.75" customHeight="1" x14ac:dyDescent="0.25">
      <c r="J3500" s="48"/>
    </row>
    <row r="3501" spans="10:10" ht="18.75" customHeight="1" x14ac:dyDescent="0.25">
      <c r="J3501" s="48"/>
    </row>
    <row r="3502" spans="10:10" ht="18.75" customHeight="1" x14ac:dyDescent="0.25">
      <c r="J3502" s="48"/>
    </row>
    <row r="3503" spans="10:10" ht="18.75" customHeight="1" x14ac:dyDescent="0.25">
      <c r="J3503" s="48"/>
    </row>
    <row r="3504" spans="10:10" ht="18.75" customHeight="1" x14ac:dyDescent="0.25">
      <c r="J3504" s="48"/>
    </row>
    <row r="3505" spans="10:10" ht="18.75" customHeight="1" x14ac:dyDescent="0.25">
      <c r="J3505" s="48"/>
    </row>
    <row r="3506" spans="10:10" ht="18.75" customHeight="1" x14ac:dyDescent="0.25">
      <c r="J3506" s="48"/>
    </row>
    <row r="3507" spans="10:10" ht="18.75" customHeight="1" x14ac:dyDescent="0.25">
      <c r="J3507" s="48"/>
    </row>
    <row r="3508" spans="10:10" ht="18.75" customHeight="1" x14ac:dyDescent="0.25">
      <c r="J3508" s="48"/>
    </row>
    <row r="3509" spans="10:10" ht="18.75" customHeight="1" x14ac:dyDescent="0.25">
      <c r="J3509" s="48"/>
    </row>
    <row r="3510" spans="10:10" ht="18.75" customHeight="1" x14ac:dyDescent="0.25">
      <c r="J3510" s="48"/>
    </row>
    <row r="3511" spans="10:10" ht="18.75" customHeight="1" x14ac:dyDescent="0.25">
      <c r="J3511" s="48"/>
    </row>
    <row r="3512" spans="10:10" ht="18.75" customHeight="1" x14ac:dyDescent="0.25">
      <c r="J3512" s="48"/>
    </row>
    <row r="3513" spans="10:10" ht="18.75" customHeight="1" x14ac:dyDescent="0.25">
      <c r="J3513" s="48"/>
    </row>
    <row r="3514" spans="10:10" ht="18.75" customHeight="1" x14ac:dyDescent="0.25">
      <c r="J3514" s="48"/>
    </row>
    <row r="3515" spans="10:10" ht="18.75" customHeight="1" x14ac:dyDescent="0.25">
      <c r="J3515" s="48"/>
    </row>
    <row r="3516" spans="10:10" ht="18.75" customHeight="1" x14ac:dyDescent="0.25">
      <c r="J3516" s="48"/>
    </row>
    <row r="3517" spans="10:10" ht="18.75" customHeight="1" x14ac:dyDescent="0.25">
      <c r="J3517" s="48"/>
    </row>
    <row r="3518" spans="10:10" ht="18.75" customHeight="1" x14ac:dyDescent="0.25">
      <c r="J3518" s="48"/>
    </row>
    <row r="3519" spans="10:10" ht="18.75" customHeight="1" x14ac:dyDescent="0.25">
      <c r="J3519" s="48"/>
    </row>
    <row r="3520" spans="10:10" ht="18.75" customHeight="1" x14ac:dyDescent="0.25">
      <c r="J3520" s="48"/>
    </row>
    <row r="3521" spans="10:10" ht="18.75" customHeight="1" x14ac:dyDescent="0.25">
      <c r="J3521" s="48"/>
    </row>
    <row r="3522" spans="10:10" ht="18.75" customHeight="1" x14ac:dyDescent="0.25">
      <c r="J3522" s="48"/>
    </row>
    <row r="3523" spans="10:10" ht="18.75" customHeight="1" x14ac:dyDescent="0.25">
      <c r="J3523" s="48"/>
    </row>
    <row r="3524" spans="10:10" ht="18.75" customHeight="1" x14ac:dyDescent="0.25">
      <c r="J3524" s="48"/>
    </row>
    <row r="3525" spans="10:10" ht="18.75" customHeight="1" x14ac:dyDescent="0.25">
      <c r="J3525" s="48"/>
    </row>
    <row r="3526" spans="10:10" ht="18.75" customHeight="1" x14ac:dyDescent="0.25">
      <c r="J3526" s="48"/>
    </row>
    <row r="3527" spans="10:10" ht="18.75" customHeight="1" x14ac:dyDescent="0.25">
      <c r="J3527" s="48"/>
    </row>
    <row r="3528" spans="10:10" ht="18.75" customHeight="1" x14ac:dyDescent="0.25">
      <c r="J3528" s="48"/>
    </row>
    <row r="3529" spans="10:10" ht="18.75" customHeight="1" x14ac:dyDescent="0.25">
      <c r="J3529" s="48"/>
    </row>
    <row r="3530" spans="10:10" ht="18.75" customHeight="1" x14ac:dyDescent="0.25">
      <c r="J3530" s="48"/>
    </row>
    <row r="3531" spans="10:10" ht="18.75" customHeight="1" x14ac:dyDescent="0.25">
      <c r="J3531" s="48"/>
    </row>
    <row r="3532" spans="10:10" ht="18.75" customHeight="1" x14ac:dyDescent="0.25">
      <c r="J3532" s="48"/>
    </row>
    <row r="3533" spans="10:10" ht="18.75" customHeight="1" x14ac:dyDescent="0.25">
      <c r="J3533" s="48"/>
    </row>
    <row r="3534" spans="10:10" ht="18.75" customHeight="1" x14ac:dyDescent="0.25">
      <c r="J3534" s="48"/>
    </row>
    <row r="3535" spans="10:10" ht="18.75" customHeight="1" x14ac:dyDescent="0.25">
      <c r="J3535" s="48"/>
    </row>
    <row r="3536" spans="10:10" ht="18.75" customHeight="1" x14ac:dyDescent="0.25">
      <c r="J3536" s="48"/>
    </row>
    <row r="3537" spans="10:10" ht="18.75" customHeight="1" x14ac:dyDescent="0.25">
      <c r="J3537" s="48"/>
    </row>
    <row r="3538" spans="10:10" ht="18.75" customHeight="1" x14ac:dyDescent="0.25">
      <c r="J3538" s="48"/>
    </row>
    <row r="3539" spans="10:10" ht="18.75" customHeight="1" x14ac:dyDescent="0.25">
      <c r="J3539" s="48"/>
    </row>
    <row r="3540" spans="10:10" ht="18.75" customHeight="1" x14ac:dyDescent="0.25">
      <c r="J3540" s="48"/>
    </row>
    <row r="3541" spans="10:10" ht="18.75" customHeight="1" x14ac:dyDescent="0.25">
      <c r="J3541" s="48"/>
    </row>
    <row r="3542" spans="10:10" ht="18.75" customHeight="1" x14ac:dyDescent="0.25">
      <c r="J3542" s="48"/>
    </row>
    <row r="3543" spans="10:10" ht="18.75" customHeight="1" x14ac:dyDescent="0.25">
      <c r="J3543" s="48"/>
    </row>
    <row r="3544" spans="10:10" ht="18.75" customHeight="1" x14ac:dyDescent="0.25">
      <c r="J3544" s="48"/>
    </row>
    <row r="3545" spans="10:10" ht="18.75" customHeight="1" x14ac:dyDescent="0.25">
      <c r="J3545" s="48"/>
    </row>
    <row r="3546" spans="10:10" ht="18.75" customHeight="1" x14ac:dyDescent="0.25">
      <c r="J3546" s="48"/>
    </row>
    <row r="3547" spans="10:10" ht="18.75" customHeight="1" x14ac:dyDescent="0.25">
      <c r="J3547" s="48"/>
    </row>
    <row r="3548" spans="10:10" ht="18.75" customHeight="1" x14ac:dyDescent="0.25">
      <c r="J3548" s="48"/>
    </row>
    <row r="3549" spans="10:10" ht="18.75" customHeight="1" x14ac:dyDescent="0.25">
      <c r="J3549" s="48"/>
    </row>
    <row r="3550" spans="10:10" ht="18.75" customHeight="1" x14ac:dyDescent="0.25">
      <c r="J3550" s="48"/>
    </row>
    <row r="3551" spans="10:10" ht="18.75" customHeight="1" x14ac:dyDescent="0.25">
      <c r="J3551" s="48"/>
    </row>
    <row r="3552" spans="10:10" ht="18.75" customHeight="1" x14ac:dyDescent="0.25">
      <c r="J3552" s="48"/>
    </row>
    <row r="3553" spans="10:10" ht="18.75" customHeight="1" x14ac:dyDescent="0.25">
      <c r="J3553" s="48"/>
    </row>
    <row r="3554" spans="10:10" ht="18.75" customHeight="1" x14ac:dyDescent="0.25">
      <c r="J3554" s="48"/>
    </row>
    <row r="3555" spans="10:10" ht="18.75" customHeight="1" x14ac:dyDescent="0.25">
      <c r="J3555" s="48"/>
    </row>
    <row r="3556" spans="10:10" ht="18.75" customHeight="1" x14ac:dyDescent="0.25">
      <c r="J3556" s="48"/>
    </row>
    <row r="3557" spans="10:10" ht="18.75" customHeight="1" x14ac:dyDescent="0.25">
      <c r="J3557" s="48"/>
    </row>
    <row r="3558" spans="10:10" ht="18.75" customHeight="1" x14ac:dyDescent="0.25">
      <c r="J3558" s="48"/>
    </row>
    <row r="3559" spans="10:10" ht="18.75" customHeight="1" x14ac:dyDescent="0.25">
      <c r="J3559" s="48"/>
    </row>
    <row r="3560" spans="10:10" ht="18.75" customHeight="1" x14ac:dyDescent="0.25">
      <c r="J3560" s="48"/>
    </row>
    <row r="3561" spans="10:10" ht="18.75" customHeight="1" x14ac:dyDescent="0.25">
      <c r="J3561" s="48"/>
    </row>
    <row r="3562" spans="10:10" ht="18.75" customHeight="1" x14ac:dyDescent="0.25">
      <c r="J3562" s="48"/>
    </row>
    <row r="3563" spans="10:10" ht="18.75" customHeight="1" x14ac:dyDescent="0.25">
      <c r="J3563" s="48"/>
    </row>
    <row r="3564" spans="10:10" ht="18.75" customHeight="1" x14ac:dyDescent="0.25">
      <c r="J3564" s="48"/>
    </row>
    <row r="3565" spans="10:10" ht="18.75" customHeight="1" x14ac:dyDescent="0.25">
      <c r="J3565" s="48"/>
    </row>
    <row r="3566" spans="10:10" ht="18.75" customHeight="1" x14ac:dyDescent="0.25">
      <c r="J3566" s="48"/>
    </row>
    <row r="3567" spans="10:10" ht="18.75" customHeight="1" x14ac:dyDescent="0.25">
      <c r="J3567" s="48"/>
    </row>
    <row r="3568" spans="10:10" ht="18.75" customHeight="1" x14ac:dyDescent="0.25">
      <c r="J3568" s="48"/>
    </row>
    <row r="3569" spans="10:10" ht="18.75" customHeight="1" x14ac:dyDescent="0.25">
      <c r="J3569" s="48"/>
    </row>
    <row r="3570" spans="10:10" ht="18.75" customHeight="1" x14ac:dyDescent="0.25">
      <c r="J3570" s="48"/>
    </row>
    <row r="3571" spans="10:10" ht="18.75" customHeight="1" x14ac:dyDescent="0.25">
      <c r="J3571" s="48"/>
    </row>
    <row r="3572" spans="10:10" ht="18.75" customHeight="1" x14ac:dyDescent="0.25">
      <c r="J3572" s="48"/>
    </row>
    <row r="3573" spans="10:10" ht="18.75" customHeight="1" x14ac:dyDescent="0.25">
      <c r="J3573" s="48"/>
    </row>
    <row r="3574" spans="10:10" ht="18.75" customHeight="1" x14ac:dyDescent="0.25">
      <c r="J3574" s="48"/>
    </row>
    <row r="3575" spans="10:10" ht="18.75" customHeight="1" x14ac:dyDescent="0.25">
      <c r="J3575" s="48"/>
    </row>
    <row r="3576" spans="10:10" ht="18.75" customHeight="1" x14ac:dyDescent="0.25">
      <c r="J3576" s="48"/>
    </row>
    <row r="3577" spans="10:10" ht="18.75" customHeight="1" x14ac:dyDescent="0.25">
      <c r="J3577" s="48"/>
    </row>
    <row r="3578" spans="10:10" ht="18.75" customHeight="1" x14ac:dyDescent="0.25">
      <c r="J3578" s="48"/>
    </row>
    <row r="3579" spans="10:10" ht="18.75" customHeight="1" x14ac:dyDescent="0.25">
      <c r="J3579" s="48"/>
    </row>
    <row r="3580" spans="10:10" ht="18.75" customHeight="1" x14ac:dyDescent="0.25">
      <c r="J3580" s="48"/>
    </row>
    <row r="3581" spans="10:10" ht="18.75" customHeight="1" x14ac:dyDescent="0.25">
      <c r="J3581" s="48"/>
    </row>
    <row r="3582" spans="10:10" ht="18.75" customHeight="1" x14ac:dyDescent="0.25">
      <c r="J3582" s="48"/>
    </row>
    <row r="3583" spans="10:10" ht="18.75" customHeight="1" x14ac:dyDescent="0.25">
      <c r="J3583" s="48"/>
    </row>
    <row r="3584" spans="10:10" ht="18.75" customHeight="1" x14ac:dyDescent="0.25">
      <c r="J3584" s="48"/>
    </row>
    <row r="3585" spans="10:10" ht="18.75" customHeight="1" x14ac:dyDescent="0.25">
      <c r="J3585" s="48"/>
    </row>
    <row r="3586" spans="10:10" ht="18.75" customHeight="1" x14ac:dyDescent="0.25">
      <c r="J3586" s="48"/>
    </row>
    <row r="3587" spans="10:10" ht="18.75" customHeight="1" x14ac:dyDescent="0.25">
      <c r="J3587" s="48"/>
    </row>
    <row r="3588" spans="10:10" ht="18.75" customHeight="1" x14ac:dyDescent="0.25">
      <c r="J3588" s="48"/>
    </row>
    <row r="3589" spans="10:10" ht="18.75" customHeight="1" x14ac:dyDescent="0.25">
      <c r="J3589" s="48"/>
    </row>
    <row r="3590" spans="10:10" ht="18.75" customHeight="1" x14ac:dyDescent="0.25">
      <c r="J3590" s="48"/>
    </row>
    <row r="3591" spans="10:10" ht="18.75" customHeight="1" x14ac:dyDescent="0.25">
      <c r="J3591" s="48"/>
    </row>
    <row r="3592" spans="10:10" ht="18.75" customHeight="1" x14ac:dyDescent="0.25">
      <c r="J3592" s="48"/>
    </row>
    <row r="3593" spans="10:10" ht="18.75" customHeight="1" x14ac:dyDescent="0.25">
      <c r="J3593" s="48"/>
    </row>
    <row r="3594" spans="10:10" ht="18.75" customHeight="1" x14ac:dyDescent="0.25">
      <c r="J3594" s="48"/>
    </row>
    <row r="3595" spans="10:10" ht="18.75" customHeight="1" x14ac:dyDescent="0.25">
      <c r="J3595" s="48"/>
    </row>
    <row r="3596" spans="10:10" ht="18.75" customHeight="1" x14ac:dyDescent="0.25">
      <c r="J3596" s="48"/>
    </row>
    <row r="3597" spans="10:10" ht="18.75" customHeight="1" x14ac:dyDescent="0.25">
      <c r="J3597" s="48"/>
    </row>
    <row r="3598" spans="10:10" ht="18.75" customHeight="1" x14ac:dyDescent="0.25">
      <c r="J3598" s="48"/>
    </row>
    <row r="3599" spans="10:10" ht="18.75" customHeight="1" x14ac:dyDescent="0.25">
      <c r="J3599" s="48"/>
    </row>
    <row r="3600" spans="10:10" ht="18.75" customHeight="1" x14ac:dyDescent="0.25">
      <c r="J3600" s="48"/>
    </row>
    <row r="3601" spans="10:10" ht="18.75" customHeight="1" x14ac:dyDescent="0.25">
      <c r="J3601" s="48"/>
    </row>
    <row r="3602" spans="10:10" ht="18.75" customHeight="1" x14ac:dyDescent="0.25">
      <c r="J3602" s="48"/>
    </row>
    <row r="3603" spans="10:10" ht="18.75" customHeight="1" x14ac:dyDescent="0.25">
      <c r="J3603" s="48"/>
    </row>
    <row r="3604" spans="10:10" ht="18.75" customHeight="1" x14ac:dyDescent="0.25">
      <c r="J3604" s="48"/>
    </row>
    <row r="3605" spans="10:10" ht="18.75" customHeight="1" x14ac:dyDescent="0.25">
      <c r="J3605" s="48"/>
    </row>
    <row r="3606" spans="10:10" ht="18.75" customHeight="1" x14ac:dyDescent="0.25">
      <c r="J3606" s="48"/>
    </row>
    <row r="3607" spans="10:10" ht="18.75" customHeight="1" x14ac:dyDescent="0.25">
      <c r="J3607" s="48"/>
    </row>
    <row r="3608" spans="10:10" ht="18.75" customHeight="1" x14ac:dyDescent="0.25">
      <c r="J3608" s="48"/>
    </row>
    <row r="3609" spans="10:10" ht="18.75" customHeight="1" x14ac:dyDescent="0.25">
      <c r="J3609" s="48"/>
    </row>
    <row r="3610" spans="10:10" ht="18.75" customHeight="1" x14ac:dyDescent="0.25">
      <c r="J3610" s="48"/>
    </row>
    <row r="3611" spans="10:10" ht="18.75" customHeight="1" x14ac:dyDescent="0.25">
      <c r="J3611" s="48"/>
    </row>
    <row r="3612" spans="10:10" ht="18.75" customHeight="1" x14ac:dyDescent="0.25">
      <c r="J3612" s="48"/>
    </row>
    <row r="3613" spans="10:10" ht="18.75" customHeight="1" x14ac:dyDescent="0.25">
      <c r="J3613" s="48"/>
    </row>
    <row r="3614" spans="10:10" ht="18.75" customHeight="1" x14ac:dyDescent="0.25">
      <c r="J3614" s="48"/>
    </row>
    <row r="3615" spans="10:10" ht="18.75" customHeight="1" x14ac:dyDescent="0.25">
      <c r="J3615" s="48"/>
    </row>
    <row r="3616" spans="10:10" ht="18.75" customHeight="1" x14ac:dyDescent="0.25">
      <c r="J3616" s="48"/>
    </row>
    <row r="3617" spans="10:10" ht="18.75" customHeight="1" x14ac:dyDescent="0.25">
      <c r="J3617" s="48"/>
    </row>
    <row r="3618" spans="10:10" ht="18.75" customHeight="1" x14ac:dyDescent="0.25">
      <c r="J3618" s="48"/>
    </row>
    <row r="3619" spans="10:10" ht="18.75" customHeight="1" x14ac:dyDescent="0.25">
      <c r="J3619" s="48"/>
    </row>
    <row r="3620" spans="10:10" ht="18.75" customHeight="1" x14ac:dyDescent="0.25">
      <c r="J3620" s="48"/>
    </row>
    <row r="3621" spans="10:10" ht="18.75" customHeight="1" x14ac:dyDescent="0.25">
      <c r="J3621" s="48"/>
    </row>
    <row r="3622" spans="10:10" ht="18.75" customHeight="1" x14ac:dyDescent="0.25">
      <c r="J3622" s="48"/>
    </row>
    <row r="3623" spans="10:10" ht="18.75" customHeight="1" x14ac:dyDescent="0.25">
      <c r="J3623" s="48"/>
    </row>
    <row r="3624" spans="10:10" ht="18.75" customHeight="1" x14ac:dyDescent="0.25">
      <c r="J3624" s="48"/>
    </row>
    <row r="3625" spans="10:10" ht="18.75" customHeight="1" x14ac:dyDescent="0.25">
      <c r="J3625" s="48"/>
    </row>
    <row r="3626" spans="10:10" ht="18.75" customHeight="1" x14ac:dyDescent="0.25">
      <c r="J3626" s="48"/>
    </row>
    <row r="3627" spans="10:10" ht="18.75" customHeight="1" x14ac:dyDescent="0.25">
      <c r="J3627" s="48"/>
    </row>
    <row r="3628" spans="10:10" ht="18.75" customHeight="1" x14ac:dyDescent="0.25">
      <c r="J3628" s="48"/>
    </row>
    <row r="3629" spans="10:10" ht="18.75" customHeight="1" x14ac:dyDescent="0.25">
      <c r="J3629" s="48"/>
    </row>
    <row r="3630" spans="10:10" ht="18.75" customHeight="1" x14ac:dyDescent="0.25">
      <c r="J3630" s="48"/>
    </row>
    <row r="3631" spans="10:10" ht="18.75" customHeight="1" x14ac:dyDescent="0.25">
      <c r="J3631" s="48"/>
    </row>
    <row r="3632" spans="10:10" ht="18.75" customHeight="1" x14ac:dyDescent="0.25">
      <c r="J3632" s="48"/>
    </row>
    <row r="3633" spans="10:10" ht="18.75" customHeight="1" x14ac:dyDescent="0.25">
      <c r="J3633" s="48"/>
    </row>
    <row r="3634" spans="10:10" ht="18.75" customHeight="1" x14ac:dyDescent="0.25">
      <c r="J3634" s="48"/>
    </row>
    <row r="3635" spans="10:10" ht="18.75" customHeight="1" x14ac:dyDescent="0.25">
      <c r="J3635" s="48"/>
    </row>
    <row r="3636" spans="10:10" ht="18.75" customHeight="1" x14ac:dyDescent="0.25">
      <c r="J3636" s="48"/>
    </row>
    <row r="3637" spans="10:10" ht="18.75" customHeight="1" x14ac:dyDescent="0.25">
      <c r="J3637" s="48"/>
    </row>
    <row r="3638" spans="10:10" ht="18.75" customHeight="1" x14ac:dyDescent="0.25">
      <c r="J3638" s="48"/>
    </row>
    <row r="3639" spans="10:10" ht="18.75" customHeight="1" x14ac:dyDescent="0.25">
      <c r="J3639" s="48"/>
    </row>
    <row r="3640" spans="10:10" ht="18.75" customHeight="1" x14ac:dyDescent="0.25">
      <c r="J3640" s="48"/>
    </row>
    <row r="3641" spans="10:10" ht="18.75" customHeight="1" x14ac:dyDescent="0.25">
      <c r="J3641" s="48"/>
    </row>
    <row r="3642" spans="10:10" ht="18.75" customHeight="1" x14ac:dyDescent="0.25">
      <c r="J3642" s="48"/>
    </row>
    <row r="3643" spans="10:10" ht="18.75" customHeight="1" x14ac:dyDescent="0.25">
      <c r="J3643" s="48"/>
    </row>
    <row r="3644" spans="10:10" ht="18.75" customHeight="1" x14ac:dyDescent="0.25">
      <c r="J3644" s="48"/>
    </row>
    <row r="3645" spans="10:10" ht="18.75" customHeight="1" x14ac:dyDescent="0.25">
      <c r="J3645" s="48"/>
    </row>
    <row r="3646" spans="10:10" ht="18.75" customHeight="1" x14ac:dyDescent="0.25">
      <c r="J3646" s="48"/>
    </row>
    <row r="3647" spans="10:10" ht="18.75" customHeight="1" x14ac:dyDescent="0.25">
      <c r="J3647" s="48"/>
    </row>
    <row r="3648" spans="10:10" ht="18.75" customHeight="1" x14ac:dyDescent="0.25">
      <c r="J3648" s="48"/>
    </row>
    <row r="3649" spans="10:10" ht="18.75" customHeight="1" x14ac:dyDescent="0.25">
      <c r="J3649" s="48"/>
    </row>
    <row r="3650" spans="10:10" ht="18.75" customHeight="1" x14ac:dyDescent="0.25">
      <c r="J3650" s="48"/>
    </row>
    <row r="3651" spans="10:10" ht="18.75" customHeight="1" x14ac:dyDescent="0.25">
      <c r="J3651" s="48"/>
    </row>
    <row r="3652" spans="10:10" ht="18.75" customHeight="1" x14ac:dyDescent="0.25">
      <c r="J3652" s="48"/>
    </row>
    <row r="3653" spans="10:10" ht="18.75" customHeight="1" x14ac:dyDescent="0.25">
      <c r="J3653" s="48"/>
    </row>
    <row r="3654" spans="10:10" ht="18.75" customHeight="1" x14ac:dyDescent="0.25">
      <c r="J3654" s="48"/>
    </row>
    <row r="3655" spans="10:10" ht="18.75" customHeight="1" x14ac:dyDescent="0.25">
      <c r="J3655" s="48"/>
    </row>
    <row r="3656" spans="10:10" ht="18.75" customHeight="1" x14ac:dyDescent="0.25">
      <c r="J3656" s="48"/>
    </row>
    <row r="3657" spans="10:10" ht="18.75" customHeight="1" x14ac:dyDescent="0.25">
      <c r="J3657" s="48"/>
    </row>
    <row r="3658" spans="10:10" ht="18.75" customHeight="1" x14ac:dyDescent="0.25">
      <c r="J3658" s="48"/>
    </row>
    <row r="3659" spans="10:10" ht="18.75" customHeight="1" x14ac:dyDescent="0.25">
      <c r="J3659" s="48"/>
    </row>
    <row r="3660" spans="10:10" ht="18.75" customHeight="1" x14ac:dyDescent="0.25">
      <c r="J3660" s="48"/>
    </row>
    <row r="3661" spans="10:10" ht="18.75" customHeight="1" x14ac:dyDescent="0.25">
      <c r="J3661" s="48"/>
    </row>
    <row r="3662" spans="10:10" ht="18.75" customHeight="1" x14ac:dyDescent="0.25">
      <c r="J3662" s="48"/>
    </row>
    <row r="3663" spans="10:10" ht="18.75" customHeight="1" x14ac:dyDescent="0.25">
      <c r="J3663" s="48"/>
    </row>
    <row r="3664" spans="10:10" ht="18.75" customHeight="1" x14ac:dyDescent="0.25">
      <c r="J3664" s="48"/>
    </row>
    <row r="3665" spans="10:10" ht="18.75" customHeight="1" x14ac:dyDescent="0.25">
      <c r="J3665" s="48"/>
    </row>
    <row r="3666" spans="10:10" ht="18.75" customHeight="1" x14ac:dyDescent="0.25">
      <c r="J3666" s="48"/>
    </row>
    <row r="3667" spans="10:10" ht="18.75" customHeight="1" x14ac:dyDescent="0.25">
      <c r="J3667" s="48"/>
    </row>
    <row r="3668" spans="10:10" ht="18.75" customHeight="1" x14ac:dyDescent="0.25">
      <c r="J3668" s="48"/>
    </row>
    <row r="3669" spans="10:10" ht="18.75" customHeight="1" x14ac:dyDescent="0.25">
      <c r="J3669" s="48"/>
    </row>
    <row r="3670" spans="10:10" ht="18.75" customHeight="1" x14ac:dyDescent="0.25">
      <c r="J3670" s="48"/>
    </row>
    <row r="3671" spans="10:10" ht="18.75" customHeight="1" x14ac:dyDescent="0.25">
      <c r="J3671" s="48"/>
    </row>
    <row r="3672" spans="10:10" ht="18.75" customHeight="1" x14ac:dyDescent="0.25">
      <c r="J3672" s="48"/>
    </row>
    <row r="3673" spans="10:10" ht="18.75" customHeight="1" x14ac:dyDescent="0.25">
      <c r="J3673" s="48"/>
    </row>
    <row r="3674" spans="10:10" ht="18.75" customHeight="1" x14ac:dyDescent="0.25">
      <c r="J3674" s="48"/>
    </row>
    <row r="3675" spans="10:10" ht="18.75" customHeight="1" x14ac:dyDescent="0.25">
      <c r="J3675" s="48"/>
    </row>
    <row r="3676" spans="10:10" ht="18.75" customHeight="1" x14ac:dyDescent="0.25">
      <c r="J3676" s="48"/>
    </row>
    <row r="3677" spans="10:10" ht="18.75" customHeight="1" x14ac:dyDescent="0.25">
      <c r="J3677" s="48"/>
    </row>
    <row r="3678" spans="10:10" ht="18.75" customHeight="1" x14ac:dyDescent="0.25">
      <c r="J3678" s="48"/>
    </row>
    <row r="3679" spans="10:10" ht="18.75" customHeight="1" x14ac:dyDescent="0.25">
      <c r="J3679" s="48"/>
    </row>
    <row r="3680" spans="10:10" ht="18.75" customHeight="1" x14ac:dyDescent="0.25">
      <c r="J3680" s="48"/>
    </row>
    <row r="3681" spans="10:10" ht="18.75" customHeight="1" x14ac:dyDescent="0.25">
      <c r="J3681" s="48"/>
    </row>
    <row r="3682" spans="10:10" ht="18.75" customHeight="1" x14ac:dyDescent="0.25">
      <c r="J3682" s="48"/>
    </row>
    <row r="3683" spans="10:10" ht="18.75" customHeight="1" x14ac:dyDescent="0.25">
      <c r="J3683" s="48"/>
    </row>
    <row r="3684" spans="10:10" ht="18.75" customHeight="1" x14ac:dyDescent="0.25">
      <c r="J3684" s="48"/>
    </row>
    <row r="3685" spans="10:10" ht="18.75" customHeight="1" x14ac:dyDescent="0.25">
      <c r="J3685" s="48"/>
    </row>
    <row r="3686" spans="10:10" ht="18.75" customHeight="1" x14ac:dyDescent="0.25">
      <c r="J3686" s="48"/>
    </row>
    <row r="3687" spans="10:10" ht="18.75" customHeight="1" x14ac:dyDescent="0.25">
      <c r="J3687" s="48"/>
    </row>
    <row r="3688" spans="10:10" ht="18.75" customHeight="1" x14ac:dyDescent="0.25">
      <c r="J3688" s="48"/>
    </row>
    <row r="3689" spans="10:10" ht="18.75" customHeight="1" x14ac:dyDescent="0.25">
      <c r="J3689" s="48"/>
    </row>
    <row r="3690" spans="10:10" ht="18.75" customHeight="1" x14ac:dyDescent="0.25">
      <c r="J3690" s="48"/>
    </row>
    <row r="3691" spans="10:10" ht="18.75" customHeight="1" x14ac:dyDescent="0.25">
      <c r="J3691" s="48"/>
    </row>
    <row r="3692" spans="10:10" ht="18.75" customHeight="1" x14ac:dyDescent="0.25">
      <c r="J3692" s="48"/>
    </row>
    <row r="3693" spans="10:10" ht="18.75" customHeight="1" x14ac:dyDescent="0.25">
      <c r="J3693" s="48"/>
    </row>
    <row r="3694" spans="10:10" ht="18.75" customHeight="1" x14ac:dyDescent="0.25">
      <c r="J3694" s="48"/>
    </row>
    <row r="3695" spans="10:10" ht="18.75" customHeight="1" x14ac:dyDescent="0.25">
      <c r="J3695" s="48"/>
    </row>
    <row r="3696" spans="10:10" ht="18.75" customHeight="1" x14ac:dyDescent="0.25">
      <c r="J3696" s="48"/>
    </row>
    <row r="3697" spans="10:10" ht="18.75" customHeight="1" x14ac:dyDescent="0.25">
      <c r="J3697" s="48"/>
    </row>
    <row r="3698" spans="10:10" ht="18.75" customHeight="1" x14ac:dyDescent="0.25">
      <c r="J3698" s="48"/>
    </row>
    <row r="3699" spans="10:10" ht="18.75" customHeight="1" x14ac:dyDescent="0.25">
      <c r="J3699" s="48"/>
    </row>
    <row r="3700" spans="10:10" ht="18.75" customHeight="1" x14ac:dyDescent="0.25">
      <c r="J3700" s="48"/>
    </row>
    <row r="3701" spans="10:10" ht="18.75" customHeight="1" x14ac:dyDescent="0.25">
      <c r="J3701" s="48"/>
    </row>
    <row r="3702" spans="10:10" ht="18.75" customHeight="1" x14ac:dyDescent="0.25">
      <c r="J3702" s="48"/>
    </row>
    <row r="3703" spans="10:10" ht="18.75" customHeight="1" x14ac:dyDescent="0.25">
      <c r="J3703" s="48"/>
    </row>
    <row r="3704" spans="10:10" ht="18.75" customHeight="1" x14ac:dyDescent="0.25">
      <c r="J3704" s="48"/>
    </row>
    <row r="3705" spans="10:10" ht="18.75" customHeight="1" x14ac:dyDescent="0.25">
      <c r="J3705" s="48"/>
    </row>
    <row r="3706" spans="10:10" ht="18.75" customHeight="1" x14ac:dyDescent="0.25">
      <c r="J3706" s="48"/>
    </row>
    <row r="3707" spans="10:10" ht="18.75" customHeight="1" x14ac:dyDescent="0.25">
      <c r="J3707" s="48"/>
    </row>
    <row r="3708" spans="10:10" ht="18.75" customHeight="1" x14ac:dyDescent="0.25">
      <c r="J3708" s="48"/>
    </row>
    <row r="3709" spans="10:10" ht="18.75" customHeight="1" x14ac:dyDescent="0.25">
      <c r="J3709" s="48"/>
    </row>
    <row r="3710" spans="10:10" ht="18.75" customHeight="1" x14ac:dyDescent="0.25">
      <c r="J3710" s="48"/>
    </row>
    <row r="3711" spans="10:10" ht="18.75" customHeight="1" x14ac:dyDescent="0.25">
      <c r="J3711" s="48"/>
    </row>
    <row r="3712" spans="10:10" ht="18.75" customHeight="1" x14ac:dyDescent="0.25">
      <c r="J3712" s="48"/>
    </row>
    <row r="3713" spans="10:10" ht="18.75" customHeight="1" x14ac:dyDescent="0.25">
      <c r="J3713" s="48"/>
    </row>
    <row r="3714" spans="10:10" ht="18.75" customHeight="1" x14ac:dyDescent="0.25">
      <c r="J3714" s="48"/>
    </row>
    <row r="3715" spans="10:10" ht="18.75" customHeight="1" x14ac:dyDescent="0.25">
      <c r="J3715" s="48"/>
    </row>
    <row r="3716" spans="10:10" ht="18.75" customHeight="1" x14ac:dyDescent="0.25">
      <c r="J3716" s="48"/>
    </row>
    <row r="3717" spans="10:10" ht="18.75" customHeight="1" x14ac:dyDescent="0.25">
      <c r="J3717" s="48"/>
    </row>
    <row r="3718" spans="10:10" ht="18.75" customHeight="1" x14ac:dyDescent="0.25">
      <c r="J3718" s="48"/>
    </row>
    <row r="3719" spans="10:10" ht="18.75" customHeight="1" x14ac:dyDescent="0.25">
      <c r="J3719" s="48"/>
    </row>
    <row r="3720" spans="10:10" ht="18.75" customHeight="1" x14ac:dyDescent="0.25">
      <c r="J3720" s="48"/>
    </row>
    <row r="3721" spans="10:10" ht="18.75" customHeight="1" x14ac:dyDescent="0.25">
      <c r="J3721" s="48"/>
    </row>
    <row r="3722" spans="10:10" ht="18.75" customHeight="1" x14ac:dyDescent="0.25">
      <c r="J3722" s="48"/>
    </row>
    <row r="3723" spans="10:10" ht="18.75" customHeight="1" x14ac:dyDescent="0.25">
      <c r="J3723" s="48"/>
    </row>
    <row r="3724" spans="10:10" ht="18.75" customHeight="1" x14ac:dyDescent="0.25">
      <c r="J3724" s="48"/>
    </row>
    <row r="3725" spans="10:10" ht="18.75" customHeight="1" x14ac:dyDescent="0.25">
      <c r="J3725" s="48"/>
    </row>
    <row r="3726" spans="10:10" ht="18.75" customHeight="1" x14ac:dyDescent="0.25">
      <c r="J3726" s="48"/>
    </row>
    <row r="3727" spans="10:10" ht="18.75" customHeight="1" x14ac:dyDescent="0.25">
      <c r="J3727" s="48"/>
    </row>
    <row r="3728" spans="10:10" ht="18.75" customHeight="1" x14ac:dyDescent="0.25">
      <c r="J3728" s="48"/>
    </row>
    <row r="3729" spans="10:10" ht="18.75" customHeight="1" x14ac:dyDescent="0.25">
      <c r="J3729" s="48"/>
    </row>
    <row r="3730" spans="10:10" ht="18.75" customHeight="1" x14ac:dyDescent="0.25">
      <c r="J3730" s="48"/>
    </row>
    <row r="3731" spans="10:10" ht="18.75" customHeight="1" x14ac:dyDescent="0.25">
      <c r="J3731" s="48"/>
    </row>
    <row r="3732" spans="10:10" ht="18.75" customHeight="1" x14ac:dyDescent="0.25">
      <c r="J3732" s="48"/>
    </row>
    <row r="3733" spans="10:10" ht="18.75" customHeight="1" x14ac:dyDescent="0.25">
      <c r="J3733" s="48"/>
    </row>
    <row r="3734" spans="10:10" ht="18.75" customHeight="1" x14ac:dyDescent="0.25">
      <c r="J3734" s="48"/>
    </row>
    <row r="3735" spans="10:10" ht="18.75" customHeight="1" x14ac:dyDescent="0.25">
      <c r="J3735" s="48"/>
    </row>
    <row r="3736" spans="10:10" ht="18.75" customHeight="1" x14ac:dyDescent="0.25">
      <c r="J3736" s="48"/>
    </row>
    <row r="3737" spans="10:10" ht="18.75" customHeight="1" x14ac:dyDescent="0.25">
      <c r="J3737" s="48"/>
    </row>
    <row r="3738" spans="10:10" ht="18.75" customHeight="1" x14ac:dyDescent="0.25">
      <c r="J3738" s="48"/>
    </row>
    <row r="3739" spans="10:10" ht="18.75" customHeight="1" x14ac:dyDescent="0.25">
      <c r="J3739" s="48"/>
    </row>
    <row r="3740" spans="10:10" ht="18.75" customHeight="1" x14ac:dyDescent="0.25">
      <c r="J3740" s="48"/>
    </row>
    <row r="3741" spans="10:10" ht="18.75" customHeight="1" x14ac:dyDescent="0.25">
      <c r="J3741" s="48"/>
    </row>
    <row r="3742" spans="10:10" ht="18.75" customHeight="1" x14ac:dyDescent="0.25">
      <c r="J3742" s="48"/>
    </row>
    <row r="3743" spans="10:10" ht="18.75" customHeight="1" x14ac:dyDescent="0.25">
      <c r="J3743" s="48"/>
    </row>
    <row r="3744" spans="10:10" ht="18.75" customHeight="1" x14ac:dyDescent="0.25">
      <c r="J3744" s="48"/>
    </row>
    <row r="3745" spans="10:10" ht="18.75" customHeight="1" x14ac:dyDescent="0.25">
      <c r="J3745" s="48"/>
    </row>
    <row r="3746" spans="10:10" ht="18.75" customHeight="1" x14ac:dyDescent="0.25">
      <c r="J3746" s="48"/>
    </row>
    <row r="3747" spans="10:10" ht="18.75" customHeight="1" x14ac:dyDescent="0.25">
      <c r="J3747" s="48"/>
    </row>
    <row r="3748" spans="10:10" ht="18.75" customHeight="1" x14ac:dyDescent="0.25">
      <c r="J3748" s="48"/>
    </row>
    <row r="3749" spans="10:10" ht="18.75" customHeight="1" x14ac:dyDescent="0.25">
      <c r="J3749" s="48"/>
    </row>
    <row r="3750" spans="10:10" ht="18.75" customHeight="1" x14ac:dyDescent="0.25">
      <c r="J3750" s="48"/>
    </row>
    <row r="3751" spans="10:10" ht="18.75" customHeight="1" x14ac:dyDescent="0.25">
      <c r="J3751" s="48"/>
    </row>
    <row r="3752" spans="10:10" ht="18.75" customHeight="1" x14ac:dyDescent="0.25">
      <c r="J3752" s="48"/>
    </row>
    <row r="3753" spans="10:10" ht="18.75" customHeight="1" x14ac:dyDescent="0.25">
      <c r="J3753" s="48"/>
    </row>
    <row r="3754" spans="10:10" ht="18.75" customHeight="1" x14ac:dyDescent="0.25">
      <c r="J3754" s="48"/>
    </row>
    <row r="3755" spans="10:10" ht="18.75" customHeight="1" x14ac:dyDescent="0.25">
      <c r="J3755" s="48"/>
    </row>
    <row r="3756" spans="10:10" ht="18.75" customHeight="1" x14ac:dyDescent="0.25">
      <c r="J3756" s="48"/>
    </row>
    <row r="3757" spans="10:10" ht="18.75" customHeight="1" x14ac:dyDescent="0.25">
      <c r="J3757" s="48"/>
    </row>
    <row r="3758" spans="10:10" ht="18.75" customHeight="1" x14ac:dyDescent="0.25">
      <c r="J3758" s="48"/>
    </row>
    <row r="3759" spans="10:10" ht="18.75" customHeight="1" x14ac:dyDescent="0.25">
      <c r="J3759" s="48"/>
    </row>
    <row r="3760" spans="10:10" ht="18.75" customHeight="1" x14ac:dyDescent="0.25">
      <c r="J3760" s="48"/>
    </row>
    <row r="3761" spans="10:10" ht="18.75" customHeight="1" x14ac:dyDescent="0.25">
      <c r="J3761" s="48"/>
    </row>
    <row r="3762" spans="10:10" ht="18.75" customHeight="1" x14ac:dyDescent="0.25">
      <c r="J3762" s="48"/>
    </row>
    <row r="3763" spans="10:10" ht="18.75" customHeight="1" x14ac:dyDescent="0.25">
      <c r="J3763" s="48"/>
    </row>
    <row r="3764" spans="10:10" ht="18.75" customHeight="1" x14ac:dyDescent="0.25">
      <c r="J3764" s="48"/>
    </row>
    <row r="3765" spans="10:10" ht="18.75" customHeight="1" x14ac:dyDescent="0.25">
      <c r="J3765" s="48"/>
    </row>
    <row r="3766" spans="10:10" ht="18.75" customHeight="1" x14ac:dyDescent="0.25">
      <c r="J3766" s="48"/>
    </row>
    <row r="3767" spans="10:10" ht="18.75" customHeight="1" x14ac:dyDescent="0.25">
      <c r="J3767" s="48"/>
    </row>
    <row r="3768" spans="10:10" ht="18.75" customHeight="1" x14ac:dyDescent="0.25">
      <c r="J3768" s="48"/>
    </row>
    <row r="3769" spans="10:10" ht="18.75" customHeight="1" x14ac:dyDescent="0.25">
      <c r="J3769" s="48"/>
    </row>
    <row r="3770" spans="10:10" ht="18.75" customHeight="1" x14ac:dyDescent="0.25">
      <c r="J3770" s="48"/>
    </row>
    <row r="3771" spans="10:10" ht="18.75" customHeight="1" x14ac:dyDescent="0.25">
      <c r="J3771" s="48"/>
    </row>
    <row r="3772" spans="10:10" ht="18.75" customHeight="1" x14ac:dyDescent="0.25">
      <c r="J3772" s="48"/>
    </row>
    <row r="3773" spans="10:10" ht="18.75" customHeight="1" x14ac:dyDescent="0.25">
      <c r="J3773" s="48"/>
    </row>
    <row r="3774" spans="10:10" ht="18.75" customHeight="1" x14ac:dyDescent="0.25">
      <c r="J3774" s="48"/>
    </row>
    <row r="3775" spans="10:10" ht="18.75" customHeight="1" x14ac:dyDescent="0.25">
      <c r="J3775" s="48"/>
    </row>
    <row r="3776" spans="10:10" ht="18.75" customHeight="1" x14ac:dyDescent="0.25">
      <c r="J3776" s="48"/>
    </row>
    <row r="3777" spans="10:10" ht="18.75" customHeight="1" x14ac:dyDescent="0.25">
      <c r="J3777" s="48"/>
    </row>
    <row r="3778" spans="10:10" ht="18.75" customHeight="1" x14ac:dyDescent="0.25">
      <c r="J3778" s="48"/>
    </row>
    <row r="3779" spans="10:10" ht="18.75" customHeight="1" x14ac:dyDescent="0.25">
      <c r="J3779" s="48"/>
    </row>
    <row r="3780" spans="10:10" ht="18.75" customHeight="1" x14ac:dyDescent="0.25">
      <c r="J3780" s="48"/>
    </row>
    <row r="3781" spans="10:10" ht="18.75" customHeight="1" x14ac:dyDescent="0.25">
      <c r="J3781" s="48"/>
    </row>
    <row r="3782" spans="10:10" ht="18.75" customHeight="1" x14ac:dyDescent="0.25">
      <c r="J3782" s="48"/>
    </row>
    <row r="3783" spans="10:10" ht="18.75" customHeight="1" x14ac:dyDescent="0.25">
      <c r="J3783" s="48"/>
    </row>
    <row r="3784" spans="10:10" ht="18.75" customHeight="1" x14ac:dyDescent="0.25">
      <c r="J3784" s="48"/>
    </row>
    <row r="3785" spans="10:10" ht="18.75" customHeight="1" x14ac:dyDescent="0.25">
      <c r="J3785" s="48"/>
    </row>
    <row r="3786" spans="10:10" ht="18.75" customHeight="1" x14ac:dyDescent="0.25">
      <c r="J3786" s="48"/>
    </row>
    <row r="3787" spans="10:10" ht="18.75" customHeight="1" x14ac:dyDescent="0.25">
      <c r="J3787" s="48"/>
    </row>
    <row r="3788" spans="10:10" ht="18.75" customHeight="1" x14ac:dyDescent="0.25">
      <c r="J3788" s="48"/>
    </row>
    <row r="3789" spans="10:10" ht="18.75" customHeight="1" x14ac:dyDescent="0.25">
      <c r="J3789" s="48"/>
    </row>
    <row r="3790" spans="10:10" ht="18.75" customHeight="1" x14ac:dyDescent="0.25">
      <c r="J3790" s="48"/>
    </row>
    <row r="3791" spans="10:10" ht="18.75" customHeight="1" x14ac:dyDescent="0.25">
      <c r="J3791" s="48"/>
    </row>
    <row r="3792" spans="10:10" ht="18.75" customHeight="1" x14ac:dyDescent="0.25">
      <c r="J3792" s="48"/>
    </row>
    <row r="3793" spans="10:10" ht="18.75" customHeight="1" x14ac:dyDescent="0.25">
      <c r="J3793" s="48"/>
    </row>
    <row r="3794" spans="10:10" ht="18.75" customHeight="1" x14ac:dyDescent="0.25">
      <c r="J3794" s="48"/>
    </row>
    <row r="3795" spans="10:10" ht="18.75" customHeight="1" x14ac:dyDescent="0.25">
      <c r="J3795" s="48"/>
    </row>
    <row r="3796" spans="10:10" ht="18.75" customHeight="1" x14ac:dyDescent="0.25">
      <c r="J3796" s="48"/>
    </row>
    <row r="3797" spans="10:10" ht="18.75" customHeight="1" x14ac:dyDescent="0.25">
      <c r="J3797" s="48"/>
    </row>
    <row r="3798" spans="10:10" ht="18.75" customHeight="1" x14ac:dyDescent="0.25">
      <c r="J3798" s="48"/>
    </row>
    <row r="3799" spans="10:10" ht="18.75" customHeight="1" x14ac:dyDescent="0.25">
      <c r="J3799" s="48"/>
    </row>
    <row r="3800" spans="10:10" ht="18.75" customHeight="1" x14ac:dyDescent="0.25">
      <c r="J3800" s="48"/>
    </row>
    <row r="3801" spans="10:10" ht="18.75" customHeight="1" x14ac:dyDescent="0.25">
      <c r="J3801" s="48"/>
    </row>
    <row r="3802" spans="10:10" ht="18.75" customHeight="1" x14ac:dyDescent="0.25">
      <c r="J3802" s="48"/>
    </row>
    <row r="3803" spans="10:10" ht="18.75" customHeight="1" x14ac:dyDescent="0.25">
      <c r="J3803" s="48"/>
    </row>
    <row r="3804" spans="10:10" ht="18.75" customHeight="1" x14ac:dyDescent="0.25">
      <c r="J3804" s="48"/>
    </row>
    <row r="3805" spans="10:10" ht="18.75" customHeight="1" x14ac:dyDescent="0.25">
      <c r="J3805" s="48"/>
    </row>
    <row r="3806" spans="10:10" ht="18.75" customHeight="1" x14ac:dyDescent="0.25">
      <c r="J3806" s="48"/>
    </row>
    <row r="3807" spans="10:10" ht="18.75" customHeight="1" x14ac:dyDescent="0.25">
      <c r="J3807" s="48"/>
    </row>
    <row r="3808" spans="10:10" ht="18.75" customHeight="1" x14ac:dyDescent="0.25">
      <c r="J3808" s="48"/>
    </row>
    <row r="3809" spans="10:10" ht="18.75" customHeight="1" x14ac:dyDescent="0.25">
      <c r="J3809" s="48"/>
    </row>
    <row r="3810" spans="10:10" ht="18.75" customHeight="1" x14ac:dyDescent="0.25">
      <c r="J3810" s="48"/>
    </row>
    <row r="3811" spans="10:10" ht="18.75" customHeight="1" x14ac:dyDescent="0.25">
      <c r="J3811" s="48"/>
    </row>
    <row r="3812" spans="10:10" ht="18.75" customHeight="1" x14ac:dyDescent="0.25">
      <c r="J3812" s="48"/>
    </row>
    <row r="3813" spans="10:10" ht="18.75" customHeight="1" x14ac:dyDescent="0.25">
      <c r="J3813" s="48"/>
    </row>
    <row r="3814" spans="10:10" ht="18.75" customHeight="1" x14ac:dyDescent="0.25">
      <c r="J3814" s="48"/>
    </row>
    <row r="3815" spans="10:10" ht="18.75" customHeight="1" x14ac:dyDescent="0.25">
      <c r="J3815" s="48"/>
    </row>
    <row r="3816" spans="10:10" ht="18.75" customHeight="1" x14ac:dyDescent="0.25">
      <c r="J3816" s="48"/>
    </row>
    <row r="3817" spans="10:10" ht="18.75" customHeight="1" x14ac:dyDescent="0.25">
      <c r="J3817" s="48"/>
    </row>
    <row r="3818" spans="10:10" ht="18.75" customHeight="1" x14ac:dyDescent="0.25">
      <c r="J3818" s="48"/>
    </row>
    <row r="3819" spans="10:10" ht="18.75" customHeight="1" x14ac:dyDescent="0.25">
      <c r="J3819" s="48"/>
    </row>
    <row r="3820" spans="10:10" ht="18.75" customHeight="1" x14ac:dyDescent="0.25">
      <c r="J3820" s="48"/>
    </row>
    <row r="3821" spans="10:10" ht="18.75" customHeight="1" x14ac:dyDescent="0.25">
      <c r="J3821" s="48"/>
    </row>
    <row r="3822" spans="10:10" ht="18.75" customHeight="1" x14ac:dyDescent="0.25">
      <c r="J3822" s="48"/>
    </row>
    <row r="3823" spans="10:10" ht="18.75" customHeight="1" x14ac:dyDescent="0.25">
      <c r="J3823" s="48"/>
    </row>
    <row r="3824" spans="10:10" ht="18.75" customHeight="1" x14ac:dyDescent="0.25">
      <c r="J3824" s="48"/>
    </row>
    <row r="3825" spans="10:10" ht="18.75" customHeight="1" x14ac:dyDescent="0.25">
      <c r="J3825" s="48"/>
    </row>
    <row r="3826" spans="10:10" ht="18.75" customHeight="1" x14ac:dyDescent="0.25">
      <c r="J3826" s="48"/>
    </row>
    <row r="3827" spans="10:10" ht="18.75" customHeight="1" x14ac:dyDescent="0.25">
      <c r="J3827" s="48"/>
    </row>
    <row r="3828" spans="10:10" ht="18.75" customHeight="1" x14ac:dyDescent="0.25">
      <c r="J3828" s="48"/>
    </row>
    <row r="3829" spans="10:10" ht="18.75" customHeight="1" x14ac:dyDescent="0.25">
      <c r="J3829" s="48"/>
    </row>
    <row r="3830" spans="10:10" ht="18.75" customHeight="1" x14ac:dyDescent="0.25">
      <c r="J3830" s="48"/>
    </row>
    <row r="3831" spans="10:10" ht="18.75" customHeight="1" x14ac:dyDescent="0.25">
      <c r="J3831" s="48"/>
    </row>
    <row r="3832" spans="10:10" ht="18.75" customHeight="1" x14ac:dyDescent="0.25">
      <c r="J3832" s="48"/>
    </row>
    <row r="3833" spans="10:10" ht="18.75" customHeight="1" x14ac:dyDescent="0.25">
      <c r="J3833" s="48"/>
    </row>
    <row r="3834" spans="10:10" ht="18.75" customHeight="1" x14ac:dyDescent="0.25">
      <c r="J3834" s="48"/>
    </row>
    <row r="3835" spans="10:10" ht="18.75" customHeight="1" x14ac:dyDescent="0.25">
      <c r="J3835" s="48"/>
    </row>
    <row r="3836" spans="10:10" ht="18.75" customHeight="1" x14ac:dyDescent="0.25">
      <c r="J3836" s="48"/>
    </row>
    <row r="3837" spans="10:10" ht="18.75" customHeight="1" x14ac:dyDescent="0.25">
      <c r="J3837" s="48"/>
    </row>
    <row r="3838" spans="10:10" ht="18.75" customHeight="1" x14ac:dyDescent="0.25">
      <c r="J3838" s="48"/>
    </row>
    <row r="3839" spans="10:10" ht="18.75" customHeight="1" x14ac:dyDescent="0.25">
      <c r="J3839" s="48"/>
    </row>
    <row r="3840" spans="10:10" ht="18.75" customHeight="1" x14ac:dyDescent="0.25">
      <c r="J3840" s="48"/>
    </row>
    <row r="3841" spans="10:10" ht="18.75" customHeight="1" x14ac:dyDescent="0.25">
      <c r="J3841" s="48"/>
    </row>
    <row r="3842" spans="10:10" ht="18.75" customHeight="1" x14ac:dyDescent="0.25">
      <c r="J3842" s="48"/>
    </row>
    <row r="3843" spans="10:10" ht="18.75" customHeight="1" x14ac:dyDescent="0.25">
      <c r="J3843" s="48"/>
    </row>
    <row r="3844" spans="10:10" ht="18.75" customHeight="1" x14ac:dyDescent="0.25">
      <c r="J3844" s="48"/>
    </row>
    <row r="3845" spans="10:10" ht="18.75" customHeight="1" x14ac:dyDescent="0.25">
      <c r="J3845" s="48"/>
    </row>
    <row r="3846" spans="10:10" ht="18.75" customHeight="1" x14ac:dyDescent="0.25">
      <c r="J3846" s="48"/>
    </row>
    <row r="3847" spans="10:10" ht="18.75" customHeight="1" x14ac:dyDescent="0.25">
      <c r="J3847" s="48"/>
    </row>
    <row r="3848" spans="10:10" ht="18.75" customHeight="1" x14ac:dyDescent="0.25">
      <c r="J3848" s="48"/>
    </row>
    <row r="3849" spans="10:10" ht="18.75" customHeight="1" x14ac:dyDescent="0.25">
      <c r="J3849" s="48"/>
    </row>
    <row r="3850" spans="10:10" ht="18.75" customHeight="1" x14ac:dyDescent="0.25">
      <c r="J3850" s="48"/>
    </row>
    <row r="3851" spans="10:10" ht="18.75" customHeight="1" x14ac:dyDescent="0.25">
      <c r="J3851" s="48"/>
    </row>
    <row r="3852" spans="10:10" ht="18.75" customHeight="1" x14ac:dyDescent="0.25">
      <c r="J3852" s="48"/>
    </row>
    <row r="3853" spans="10:10" ht="18.75" customHeight="1" x14ac:dyDescent="0.25">
      <c r="J3853" s="48"/>
    </row>
    <row r="3854" spans="10:10" ht="18.75" customHeight="1" x14ac:dyDescent="0.25">
      <c r="J3854" s="48"/>
    </row>
    <row r="3855" spans="10:10" ht="18.75" customHeight="1" x14ac:dyDescent="0.25">
      <c r="J3855" s="48"/>
    </row>
    <row r="3856" spans="10:10" ht="18.75" customHeight="1" x14ac:dyDescent="0.25">
      <c r="J3856" s="48"/>
    </row>
    <row r="3857" spans="10:10" ht="18.75" customHeight="1" x14ac:dyDescent="0.25">
      <c r="J3857" s="48"/>
    </row>
    <row r="3858" spans="10:10" ht="18.75" customHeight="1" x14ac:dyDescent="0.25">
      <c r="J3858" s="48"/>
    </row>
    <row r="3859" spans="10:10" ht="18.75" customHeight="1" x14ac:dyDescent="0.25">
      <c r="J3859" s="48"/>
    </row>
    <row r="3860" spans="10:10" ht="18.75" customHeight="1" x14ac:dyDescent="0.25">
      <c r="J3860" s="48"/>
    </row>
    <row r="3861" spans="10:10" ht="18.75" customHeight="1" x14ac:dyDescent="0.25">
      <c r="J3861" s="48"/>
    </row>
    <row r="3862" spans="10:10" ht="18.75" customHeight="1" x14ac:dyDescent="0.25">
      <c r="J3862" s="48"/>
    </row>
    <row r="3863" spans="10:10" ht="18.75" customHeight="1" x14ac:dyDescent="0.25">
      <c r="J3863" s="48"/>
    </row>
    <row r="3864" spans="10:10" ht="18.75" customHeight="1" x14ac:dyDescent="0.25">
      <c r="J3864" s="48"/>
    </row>
    <row r="3865" spans="10:10" ht="18.75" customHeight="1" x14ac:dyDescent="0.25">
      <c r="J3865" s="48"/>
    </row>
    <row r="3866" spans="10:10" ht="18.75" customHeight="1" x14ac:dyDescent="0.25">
      <c r="J3866" s="48"/>
    </row>
    <row r="3867" spans="10:10" ht="18.75" customHeight="1" x14ac:dyDescent="0.25">
      <c r="J3867" s="48"/>
    </row>
    <row r="3868" spans="10:10" ht="18.75" customHeight="1" x14ac:dyDescent="0.25">
      <c r="J3868" s="48"/>
    </row>
    <row r="3869" spans="10:10" ht="18.75" customHeight="1" x14ac:dyDescent="0.25">
      <c r="J3869" s="48"/>
    </row>
    <row r="3870" spans="10:10" ht="18.75" customHeight="1" x14ac:dyDescent="0.25">
      <c r="J3870" s="48"/>
    </row>
    <row r="3871" spans="10:10" ht="18.75" customHeight="1" x14ac:dyDescent="0.25">
      <c r="J3871" s="48"/>
    </row>
    <row r="3872" spans="10:10" ht="18.75" customHeight="1" x14ac:dyDescent="0.25">
      <c r="J3872" s="48"/>
    </row>
    <row r="3873" spans="10:10" ht="18.75" customHeight="1" x14ac:dyDescent="0.25">
      <c r="J3873" s="48"/>
    </row>
    <row r="3874" spans="10:10" ht="18.75" customHeight="1" x14ac:dyDescent="0.25">
      <c r="J3874" s="48"/>
    </row>
    <row r="3875" spans="10:10" ht="18.75" customHeight="1" x14ac:dyDescent="0.25">
      <c r="J3875" s="48"/>
    </row>
    <row r="3876" spans="10:10" ht="18.75" customHeight="1" x14ac:dyDescent="0.25">
      <c r="J3876" s="48"/>
    </row>
    <row r="3877" spans="10:10" ht="18.75" customHeight="1" x14ac:dyDescent="0.25">
      <c r="J3877" s="48"/>
    </row>
    <row r="3878" spans="10:10" ht="18.75" customHeight="1" x14ac:dyDescent="0.25">
      <c r="J3878" s="48"/>
    </row>
    <row r="3879" spans="10:10" ht="18.75" customHeight="1" x14ac:dyDescent="0.25">
      <c r="J3879" s="48"/>
    </row>
    <row r="3880" spans="10:10" ht="18.75" customHeight="1" x14ac:dyDescent="0.25">
      <c r="J3880" s="48"/>
    </row>
    <row r="3881" spans="10:10" ht="18.75" customHeight="1" x14ac:dyDescent="0.25">
      <c r="J3881" s="48"/>
    </row>
    <row r="3882" spans="10:10" ht="18.75" customHeight="1" x14ac:dyDescent="0.25">
      <c r="J3882" s="48"/>
    </row>
    <row r="3883" spans="10:10" ht="18.75" customHeight="1" x14ac:dyDescent="0.25">
      <c r="J3883" s="48"/>
    </row>
    <row r="3884" spans="10:10" ht="18.75" customHeight="1" x14ac:dyDescent="0.25">
      <c r="J3884" s="48"/>
    </row>
    <row r="3885" spans="10:10" ht="18.75" customHeight="1" x14ac:dyDescent="0.25">
      <c r="J3885" s="48"/>
    </row>
    <row r="3886" spans="10:10" ht="18.75" customHeight="1" x14ac:dyDescent="0.25">
      <c r="J3886" s="48"/>
    </row>
    <row r="3887" spans="10:10" ht="18.75" customHeight="1" x14ac:dyDescent="0.25">
      <c r="J3887" s="48"/>
    </row>
    <row r="3888" spans="10:10" ht="18.75" customHeight="1" x14ac:dyDescent="0.25">
      <c r="J3888" s="48"/>
    </row>
    <row r="3889" spans="10:10" ht="18.75" customHeight="1" x14ac:dyDescent="0.25">
      <c r="J3889" s="48"/>
    </row>
    <row r="3890" spans="10:10" ht="18.75" customHeight="1" x14ac:dyDescent="0.25">
      <c r="J3890" s="48"/>
    </row>
    <row r="3891" spans="10:10" ht="18.75" customHeight="1" x14ac:dyDescent="0.25">
      <c r="J3891" s="48"/>
    </row>
    <row r="3892" spans="10:10" ht="18.75" customHeight="1" x14ac:dyDescent="0.25">
      <c r="J3892" s="48"/>
    </row>
    <row r="3893" spans="10:10" ht="18.75" customHeight="1" x14ac:dyDescent="0.25">
      <c r="J3893" s="48"/>
    </row>
    <row r="3894" spans="10:10" ht="18.75" customHeight="1" x14ac:dyDescent="0.25">
      <c r="J3894" s="48"/>
    </row>
    <row r="3895" spans="10:10" ht="18.75" customHeight="1" x14ac:dyDescent="0.25">
      <c r="J3895" s="48"/>
    </row>
    <row r="3896" spans="10:10" ht="18.75" customHeight="1" x14ac:dyDescent="0.25">
      <c r="J3896" s="48"/>
    </row>
    <row r="3897" spans="10:10" ht="18.75" customHeight="1" x14ac:dyDescent="0.25">
      <c r="J3897" s="48"/>
    </row>
    <row r="3898" spans="10:10" ht="18.75" customHeight="1" x14ac:dyDescent="0.25">
      <c r="J3898" s="48"/>
    </row>
    <row r="3899" spans="10:10" ht="18.75" customHeight="1" x14ac:dyDescent="0.25">
      <c r="J3899" s="48"/>
    </row>
    <row r="3900" spans="10:10" ht="18.75" customHeight="1" x14ac:dyDescent="0.25">
      <c r="J3900" s="48"/>
    </row>
    <row r="3901" spans="10:10" ht="18.75" customHeight="1" x14ac:dyDescent="0.25">
      <c r="J3901" s="48"/>
    </row>
    <row r="3902" spans="10:10" ht="18.75" customHeight="1" x14ac:dyDescent="0.25">
      <c r="J3902" s="48"/>
    </row>
    <row r="3903" spans="10:10" ht="18.75" customHeight="1" x14ac:dyDescent="0.25">
      <c r="J3903" s="48"/>
    </row>
    <row r="3904" spans="10:10" ht="18.75" customHeight="1" x14ac:dyDescent="0.25">
      <c r="J3904" s="48"/>
    </row>
    <row r="3905" spans="10:10" ht="18.75" customHeight="1" x14ac:dyDescent="0.25">
      <c r="J3905" s="48"/>
    </row>
    <row r="3906" spans="10:10" ht="18.75" customHeight="1" x14ac:dyDescent="0.25">
      <c r="J3906" s="48"/>
    </row>
    <row r="3907" spans="10:10" ht="18.75" customHeight="1" x14ac:dyDescent="0.25">
      <c r="J3907" s="48"/>
    </row>
    <row r="3908" spans="10:10" ht="18.75" customHeight="1" x14ac:dyDescent="0.25">
      <c r="J3908" s="48"/>
    </row>
    <row r="3909" spans="10:10" ht="18.75" customHeight="1" x14ac:dyDescent="0.25">
      <c r="J3909" s="48"/>
    </row>
    <row r="3910" spans="10:10" ht="18.75" customHeight="1" x14ac:dyDescent="0.25">
      <c r="J3910" s="48"/>
    </row>
    <row r="3911" spans="10:10" ht="18.75" customHeight="1" x14ac:dyDescent="0.25">
      <c r="J3911" s="48"/>
    </row>
    <row r="3912" spans="10:10" ht="18.75" customHeight="1" x14ac:dyDescent="0.25">
      <c r="J3912" s="48"/>
    </row>
    <row r="3913" spans="10:10" ht="18.75" customHeight="1" x14ac:dyDescent="0.25">
      <c r="J3913" s="48"/>
    </row>
    <row r="3914" spans="10:10" ht="18.75" customHeight="1" x14ac:dyDescent="0.25">
      <c r="J3914" s="48"/>
    </row>
    <row r="3915" spans="10:10" ht="18.75" customHeight="1" x14ac:dyDescent="0.25">
      <c r="J3915" s="48"/>
    </row>
    <row r="3916" spans="10:10" ht="18.75" customHeight="1" x14ac:dyDescent="0.25">
      <c r="J3916" s="48"/>
    </row>
    <row r="3917" spans="10:10" ht="18.75" customHeight="1" x14ac:dyDescent="0.25">
      <c r="J3917" s="48"/>
    </row>
    <row r="3918" spans="10:10" ht="18.75" customHeight="1" x14ac:dyDescent="0.25">
      <c r="J3918" s="48"/>
    </row>
    <row r="3919" spans="10:10" ht="18.75" customHeight="1" x14ac:dyDescent="0.25">
      <c r="J3919" s="48"/>
    </row>
    <row r="3920" spans="10:10" ht="18.75" customHeight="1" x14ac:dyDescent="0.25">
      <c r="J3920" s="48"/>
    </row>
    <row r="3921" spans="10:10" ht="18.75" customHeight="1" x14ac:dyDescent="0.25">
      <c r="J3921" s="48"/>
    </row>
    <row r="3922" spans="10:10" ht="18.75" customHeight="1" x14ac:dyDescent="0.25">
      <c r="J3922" s="48"/>
    </row>
    <row r="3923" spans="10:10" ht="18.75" customHeight="1" x14ac:dyDescent="0.25">
      <c r="J3923" s="48"/>
    </row>
    <row r="3924" spans="10:10" ht="18.75" customHeight="1" x14ac:dyDescent="0.25">
      <c r="J3924" s="48"/>
    </row>
    <row r="3925" spans="10:10" ht="18.75" customHeight="1" x14ac:dyDescent="0.25">
      <c r="J3925" s="48"/>
    </row>
    <row r="3926" spans="10:10" ht="18.75" customHeight="1" x14ac:dyDescent="0.25">
      <c r="J3926" s="48"/>
    </row>
    <row r="3927" spans="10:10" ht="18.75" customHeight="1" x14ac:dyDescent="0.25">
      <c r="J3927" s="48"/>
    </row>
    <row r="3928" spans="10:10" ht="18.75" customHeight="1" x14ac:dyDescent="0.25">
      <c r="J3928" s="48"/>
    </row>
    <row r="3929" spans="10:10" ht="18.75" customHeight="1" x14ac:dyDescent="0.25">
      <c r="J3929" s="48"/>
    </row>
    <row r="3930" spans="10:10" ht="18.75" customHeight="1" x14ac:dyDescent="0.25">
      <c r="J3930" s="48"/>
    </row>
    <row r="3931" spans="10:10" ht="18.75" customHeight="1" x14ac:dyDescent="0.25">
      <c r="J3931" s="48"/>
    </row>
    <row r="3932" spans="10:10" ht="18.75" customHeight="1" x14ac:dyDescent="0.25">
      <c r="J3932" s="48"/>
    </row>
    <row r="3933" spans="10:10" ht="18.75" customHeight="1" x14ac:dyDescent="0.25">
      <c r="J3933" s="48"/>
    </row>
    <row r="3934" spans="10:10" ht="18.75" customHeight="1" x14ac:dyDescent="0.25">
      <c r="J3934" s="48"/>
    </row>
    <row r="3935" spans="10:10" ht="18.75" customHeight="1" x14ac:dyDescent="0.25">
      <c r="J3935" s="48"/>
    </row>
    <row r="3936" spans="10:10" ht="18.75" customHeight="1" x14ac:dyDescent="0.25">
      <c r="J3936" s="48"/>
    </row>
    <row r="3937" spans="10:10" ht="18.75" customHeight="1" x14ac:dyDescent="0.25">
      <c r="J3937" s="48"/>
    </row>
    <row r="3938" spans="10:10" ht="18.75" customHeight="1" x14ac:dyDescent="0.25">
      <c r="J3938" s="48"/>
    </row>
    <row r="3939" spans="10:10" ht="18.75" customHeight="1" x14ac:dyDescent="0.25">
      <c r="J3939" s="48"/>
    </row>
    <row r="3940" spans="10:10" ht="18.75" customHeight="1" x14ac:dyDescent="0.25">
      <c r="J3940" s="48"/>
    </row>
    <row r="3941" spans="10:10" ht="18.75" customHeight="1" x14ac:dyDescent="0.25">
      <c r="J3941" s="48"/>
    </row>
    <row r="3942" spans="10:10" ht="18.75" customHeight="1" x14ac:dyDescent="0.25">
      <c r="J3942" s="48"/>
    </row>
    <row r="3943" spans="10:10" ht="18.75" customHeight="1" x14ac:dyDescent="0.25">
      <c r="J3943" s="48"/>
    </row>
    <row r="3944" spans="10:10" ht="18.75" customHeight="1" x14ac:dyDescent="0.25">
      <c r="J3944" s="48"/>
    </row>
    <row r="3945" spans="10:10" ht="18.75" customHeight="1" x14ac:dyDescent="0.25">
      <c r="J3945" s="48"/>
    </row>
    <row r="3946" spans="10:10" ht="18.75" customHeight="1" x14ac:dyDescent="0.25">
      <c r="J3946" s="48"/>
    </row>
    <row r="3947" spans="10:10" ht="18.75" customHeight="1" x14ac:dyDescent="0.25">
      <c r="J3947" s="48"/>
    </row>
    <row r="3948" spans="10:10" ht="18.75" customHeight="1" x14ac:dyDescent="0.25">
      <c r="J3948" s="48"/>
    </row>
    <row r="3949" spans="10:10" ht="18.75" customHeight="1" x14ac:dyDescent="0.25">
      <c r="J3949" s="48"/>
    </row>
    <row r="3950" spans="10:10" ht="18.75" customHeight="1" x14ac:dyDescent="0.25">
      <c r="J3950" s="48"/>
    </row>
    <row r="3951" spans="10:10" ht="18.75" customHeight="1" x14ac:dyDescent="0.25">
      <c r="J3951" s="48"/>
    </row>
    <row r="3952" spans="10:10" ht="18.75" customHeight="1" x14ac:dyDescent="0.25">
      <c r="J3952" s="48"/>
    </row>
    <row r="3953" spans="10:10" ht="18.75" customHeight="1" x14ac:dyDescent="0.25">
      <c r="J3953" s="48"/>
    </row>
    <row r="3954" spans="10:10" ht="18.75" customHeight="1" x14ac:dyDescent="0.25">
      <c r="J3954" s="48"/>
    </row>
    <row r="3955" spans="10:10" ht="18.75" customHeight="1" x14ac:dyDescent="0.25">
      <c r="J3955" s="48"/>
    </row>
    <row r="3956" spans="10:10" ht="18.75" customHeight="1" x14ac:dyDescent="0.25">
      <c r="J3956" s="48"/>
    </row>
    <row r="3957" spans="10:10" ht="18.75" customHeight="1" x14ac:dyDescent="0.25">
      <c r="J3957" s="48"/>
    </row>
    <row r="3958" spans="10:10" ht="18.75" customHeight="1" x14ac:dyDescent="0.25">
      <c r="J3958" s="48"/>
    </row>
    <row r="3959" spans="10:10" ht="18.75" customHeight="1" x14ac:dyDescent="0.25">
      <c r="J3959" s="48"/>
    </row>
    <row r="3960" spans="10:10" ht="18.75" customHeight="1" x14ac:dyDescent="0.25">
      <c r="J3960" s="48"/>
    </row>
    <row r="3961" spans="10:10" ht="18.75" customHeight="1" x14ac:dyDescent="0.25">
      <c r="J3961" s="48"/>
    </row>
    <row r="3962" spans="10:10" ht="18.75" customHeight="1" x14ac:dyDescent="0.25">
      <c r="J3962" s="48"/>
    </row>
    <row r="3963" spans="10:10" ht="18.75" customHeight="1" x14ac:dyDescent="0.25">
      <c r="J3963" s="48"/>
    </row>
    <row r="3964" spans="10:10" ht="18.75" customHeight="1" x14ac:dyDescent="0.25">
      <c r="J3964" s="48"/>
    </row>
    <row r="3965" spans="10:10" ht="18.75" customHeight="1" x14ac:dyDescent="0.25">
      <c r="J3965" s="48"/>
    </row>
    <row r="3966" spans="10:10" ht="18.75" customHeight="1" x14ac:dyDescent="0.25">
      <c r="J3966" s="48"/>
    </row>
    <row r="3967" spans="10:10" ht="18.75" customHeight="1" x14ac:dyDescent="0.25">
      <c r="J3967" s="48"/>
    </row>
    <row r="3968" spans="10:10" ht="18.75" customHeight="1" x14ac:dyDescent="0.25">
      <c r="J3968" s="48"/>
    </row>
    <row r="3969" spans="10:10" ht="18.75" customHeight="1" x14ac:dyDescent="0.25">
      <c r="J3969" s="48"/>
    </row>
    <row r="3970" spans="10:10" ht="18.75" customHeight="1" x14ac:dyDescent="0.25">
      <c r="J3970" s="48"/>
    </row>
    <row r="3971" spans="10:10" ht="18.75" customHeight="1" x14ac:dyDescent="0.25">
      <c r="J3971" s="48"/>
    </row>
    <row r="3972" spans="10:10" ht="18.75" customHeight="1" x14ac:dyDescent="0.25">
      <c r="J3972" s="48"/>
    </row>
    <row r="3973" spans="10:10" ht="18.75" customHeight="1" x14ac:dyDescent="0.25">
      <c r="J3973" s="48"/>
    </row>
    <row r="3974" spans="10:10" ht="18.75" customHeight="1" x14ac:dyDescent="0.25">
      <c r="J3974" s="48"/>
    </row>
    <row r="3975" spans="10:10" ht="18.75" customHeight="1" x14ac:dyDescent="0.25">
      <c r="J3975" s="48"/>
    </row>
    <row r="3976" spans="10:10" ht="18.75" customHeight="1" x14ac:dyDescent="0.25">
      <c r="J3976" s="48"/>
    </row>
    <row r="3977" spans="10:10" ht="18.75" customHeight="1" x14ac:dyDescent="0.25">
      <c r="J3977" s="48"/>
    </row>
    <row r="3978" spans="10:10" ht="18.75" customHeight="1" x14ac:dyDescent="0.25">
      <c r="J3978" s="48"/>
    </row>
    <row r="3979" spans="10:10" ht="18.75" customHeight="1" x14ac:dyDescent="0.25">
      <c r="J3979" s="48"/>
    </row>
    <row r="3980" spans="10:10" ht="18.75" customHeight="1" x14ac:dyDescent="0.25">
      <c r="J3980" s="48"/>
    </row>
    <row r="3981" spans="10:10" ht="18.75" customHeight="1" x14ac:dyDescent="0.25">
      <c r="J3981" s="48"/>
    </row>
    <row r="3982" spans="10:10" ht="18.75" customHeight="1" x14ac:dyDescent="0.25">
      <c r="J3982" s="48"/>
    </row>
    <row r="3983" spans="10:10" ht="18.75" customHeight="1" x14ac:dyDescent="0.25">
      <c r="J3983" s="48"/>
    </row>
    <row r="3984" spans="10:10" ht="18.75" customHeight="1" x14ac:dyDescent="0.25">
      <c r="J3984" s="48"/>
    </row>
    <row r="3985" spans="10:10" ht="18.75" customHeight="1" x14ac:dyDescent="0.25">
      <c r="J3985" s="48"/>
    </row>
    <row r="3986" spans="10:10" ht="18.75" customHeight="1" x14ac:dyDescent="0.25">
      <c r="J3986" s="48"/>
    </row>
    <row r="3987" spans="10:10" ht="18.75" customHeight="1" x14ac:dyDescent="0.25">
      <c r="J3987" s="48"/>
    </row>
    <row r="3988" spans="10:10" ht="18.75" customHeight="1" x14ac:dyDescent="0.25">
      <c r="J3988" s="48"/>
    </row>
    <row r="3989" spans="10:10" ht="18.75" customHeight="1" x14ac:dyDescent="0.25">
      <c r="J3989" s="48"/>
    </row>
    <row r="3990" spans="10:10" ht="18.75" customHeight="1" x14ac:dyDescent="0.25">
      <c r="J3990" s="48"/>
    </row>
    <row r="3991" spans="10:10" ht="18.75" customHeight="1" x14ac:dyDescent="0.25">
      <c r="J3991" s="48"/>
    </row>
    <row r="3992" spans="10:10" ht="18.75" customHeight="1" x14ac:dyDescent="0.25">
      <c r="J3992" s="48"/>
    </row>
    <row r="3993" spans="10:10" ht="18.75" customHeight="1" x14ac:dyDescent="0.25">
      <c r="J3993" s="48"/>
    </row>
    <row r="3994" spans="10:10" ht="18.75" customHeight="1" x14ac:dyDescent="0.25">
      <c r="J3994" s="48"/>
    </row>
    <row r="3995" spans="10:10" ht="18.75" customHeight="1" x14ac:dyDescent="0.25">
      <c r="J3995" s="48"/>
    </row>
    <row r="3996" spans="10:10" ht="18.75" customHeight="1" x14ac:dyDescent="0.25">
      <c r="J3996" s="48"/>
    </row>
    <row r="3997" spans="10:10" ht="18.75" customHeight="1" x14ac:dyDescent="0.25">
      <c r="J3997" s="48"/>
    </row>
    <row r="3998" spans="10:10" ht="18.75" customHeight="1" x14ac:dyDescent="0.25">
      <c r="J3998" s="48"/>
    </row>
    <row r="3999" spans="10:10" ht="18.75" customHeight="1" x14ac:dyDescent="0.25">
      <c r="J3999" s="48"/>
    </row>
    <row r="4000" spans="10:10" ht="18.75" customHeight="1" x14ac:dyDescent="0.25">
      <c r="J4000" s="48"/>
    </row>
    <row r="4001" spans="10:10" ht="18.75" customHeight="1" x14ac:dyDescent="0.25">
      <c r="J4001" s="48"/>
    </row>
    <row r="4002" spans="10:10" ht="18.75" customHeight="1" x14ac:dyDescent="0.25">
      <c r="J4002" s="48"/>
    </row>
    <row r="4003" spans="10:10" ht="18.75" customHeight="1" x14ac:dyDescent="0.25">
      <c r="J4003" s="48"/>
    </row>
    <row r="4004" spans="10:10" ht="18.75" customHeight="1" x14ac:dyDescent="0.25">
      <c r="J4004" s="48"/>
    </row>
    <row r="4005" spans="10:10" ht="18.75" customHeight="1" x14ac:dyDescent="0.25">
      <c r="J4005" s="48"/>
    </row>
    <row r="4006" spans="10:10" ht="18.75" customHeight="1" x14ac:dyDescent="0.25">
      <c r="J4006" s="48"/>
    </row>
    <row r="4007" spans="10:10" ht="18.75" customHeight="1" x14ac:dyDescent="0.25">
      <c r="J4007" s="48"/>
    </row>
    <row r="4008" spans="10:10" ht="18.75" customHeight="1" x14ac:dyDescent="0.25">
      <c r="J4008" s="48"/>
    </row>
    <row r="4009" spans="10:10" ht="18.75" customHeight="1" x14ac:dyDescent="0.25">
      <c r="J4009" s="48"/>
    </row>
    <row r="4010" spans="10:10" ht="18.75" customHeight="1" x14ac:dyDescent="0.25">
      <c r="J4010" s="48"/>
    </row>
    <row r="4011" spans="10:10" ht="18.75" customHeight="1" x14ac:dyDescent="0.25">
      <c r="J4011" s="48"/>
    </row>
    <row r="4012" spans="10:10" ht="18.75" customHeight="1" x14ac:dyDescent="0.25">
      <c r="J4012" s="48"/>
    </row>
    <row r="4013" spans="10:10" ht="18.75" customHeight="1" x14ac:dyDescent="0.25">
      <c r="J4013" s="48"/>
    </row>
    <row r="4014" spans="10:10" ht="18.75" customHeight="1" x14ac:dyDescent="0.25">
      <c r="J4014" s="48"/>
    </row>
    <row r="4015" spans="10:10" ht="18.75" customHeight="1" x14ac:dyDescent="0.25">
      <c r="J4015" s="48"/>
    </row>
    <row r="4016" spans="10:10" ht="18.75" customHeight="1" x14ac:dyDescent="0.25">
      <c r="J4016" s="48"/>
    </row>
    <row r="4017" spans="10:10" ht="18.75" customHeight="1" x14ac:dyDescent="0.25">
      <c r="J4017" s="48"/>
    </row>
    <row r="4018" spans="10:10" ht="18.75" customHeight="1" x14ac:dyDescent="0.25">
      <c r="J4018" s="48"/>
    </row>
    <row r="4019" spans="10:10" ht="18.75" customHeight="1" x14ac:dyDescent="0.25">
      <c r="J4019" s="48"/>
    </row>
    <row r="4020" spans="10:10" ht="18.75" customHeight="1" x14ac:dyDescent="0.25">
      <c r="J4020" s="48"/>
    </row>
    <row r="4021" spans="10:10" ht="18.75" customHeight="1" x14ac:dyDescent="0.25">
      <c r="J4021" s="48"/>
    </row>
    <row r="4022" spans="10:10" ht="18.75" customHeight="1" x14ac:dyDescent="0.25">
      <c r="J4022" s="48"/>
    </row>
    <row r="4023" spans="10:10" ht="18.75" customHeight="1" x14ac:dyDescent="0.25">
      <c r="J4023" s="48"/>
    </row>
    <row r="4024" spans="10:10" ht="18.75" customHeight="1" x14ac:dyDescent="0.25">
      <c r="J4024" s="48"/>
    </row>
    <row r="4025" spans="10:10" ht="18.75" customHeight="1" x14ac:dyDescent="0.25">
      <c r="J4025" s="48"/>
    </row>
    <row r="4026" spans="10:10" ht="18.75" customHeight="1" x14ac:dyDescent="0.25">
      <c r="J4026" s="48"/>
    </row>
    <row r="4027" spans="10:10" ht="18.75" customHeight="1" x14ac:dyDescent="0.25">
      <c r="J4027" s="48"/>
    </row>
    <row r="4028" spans="10:10" ht="18.75" customHeight="1" x14ac:dyDescent="0.25">
      <c r="J4028" s="48"/>
    </row>
    <row r="4029" spans="10:10" ht="18.75" customHeight="1" x14ac:dyDescent="0.25">
      <c r="J4029" s="48"/>
    </row>
    <row r="4030" spans="10:10" ht="18.75" customHeight="1" x14ac:dyDescent="0.25">
      <c r="J4030" s="48"/>
    </row>
    <row r="4031" spans="10:10" ht="18.75" customHeight="1" x14ac:dyDescent="0.25">
      <c r="J4031" s="48"/>
    </row>
    <row r="4032" spans="10:10" ht="18.75" customHeight="1" x14ac:dyDescent="0.25">
      <c r="J4032" s="48"/>
    </row>
    <row r="4033" spans="10:10" ht="18.75" customHeight="1" x14ac:dyDescent="0.25">
      <c r="J4033" s="48"/>
    </row>
    <row r="4034" spans="10:10" ht="18.75" customHeight="1" x14ac:dyDescent="0.25">
      <c r="J4034" s="48"/>
    </row>
    <row r="4035" spans="10:10" ht="18.75" customHeight="1" x14ac:dyDescent="0.25">
      <c r="J4035" s="48"/>
    </row>
    <row r="4036" spans="10:10" ht="18.75" customHeight="1" x14ac:dyDescent="0.25">
      <c r="J4036" s="48"/>
    </row>
    <row r="4037" spans="10:10" ht="18.75" customHeight="1" x14ac:dyDescent="0.25">
      <c r="J4037" s="48"/>
    </row>
    <row r="4038" spans="10:10" ht="18.75" customHeight="1" x14ac:dyDescent="0.25">
      <c r="J4038" s="48"/>
    </row>
    <row r="4039" spans="10:10" ht="18.75" customHeight="1" x14ac:dyDescent="0.25">
      <c r="J4039" s="48"/>
    </row>
    <row r="4040" spans="10:10" ht="18.75" customHeight="1" x14ac:dyDescent="0.25">
      <c r="J4040" s="48"/>
    </row>
    <row r="4041" spans="10:10" ht="18.75" customHeight="1" x14ac:dyDescent="0.25">
      <c r="J4041" s="48"/>
    </row>
    <row r="4042" spans="10:10" ht="18.75" customHeight="1" x14ac:dyDescent="0.25">
      <c r="J4042" s="48"/>
    </row>
    <row r="4043" spans="10:10" ht="18.75" customHeight="1" x14ac:dyDescent="0.25">
      <c r="J4043" s="48"/>
    </row>
    <row r="4044" spans="10:10" ht="18.75" customHeight="1" x14ac:dyDescent="0.25">
      <c r="J4044" s="48"/>
    </row>
    <row r="4045" spans="10:10" ht="18.75" customHeight="1" x14ac:dyDescent="0.25">
      <c r="J4045" s="48"/>
    </row>
    <row r="4046" spans="10:10" ht="18.75" customHeight="1" x14ac:dyDescent="0.25">
      <c r="J4046" s="48"/>
    </row>
    <row r="4047" spans="10:10" ht="18.75" customHeight="1" x14ac:dyDescent="0.25">
      <c r="J4047" s="48"/>
    </row>
    <row r="4048" spans="10:10" ht="18.75" customHeight="1" x14ac:dyDescent="0.25">
      <c r="J4048" s="48"/>
    </row>
    <row r="4049" spans="10:10" ht="18.75" customHeight="1" x14ac:dyDescent="0.25">
      <c r="J4049" s="48"/>
    </row>
    <row r="4050" spans="10:10" ht="18.75" customHeight="1" x14ac:dyDescent="0.25">
      <c r="J4050" s="48"/>
    </row>
    <row r="4051" spans="10:10" ht="18.75" customHeight="1" x14ac:dyDescent="0.25">
      <c r="J4051" s="48"/>
    </row>
    <row r="4052" spans="10:10" ht="18.75" customHeight="1" x14ac:dyDescent="0.25">
      <c r="J4052" s="48"/>
    </row>
    <row r="4053" spans="10:10" ht="18.75" customHeight="1" x14ac:dyDescent="0.25">
      <c r="J4053" s="48"/>
    </row>
    <row r="4054" spans="10:10" ht="18.75" customHeight="1" x14ac:dyDescent="0.25">
      <c r="J4054" s="48"/>
    </row>
    <row r="4055" spans="10:10" ht="18.75" customHeight="1" x14ac:dyDescent="0.25">
      <c r="J4055" s="48"/>
    </row>
    <row r="4056" spans="10:10" ht="18.75" customHeight="1" x14ac:dyDescent="0.25">
      <c r="J4056" s="48"/>
    </row>
    <row r="4057" spans="10:10" ht="18.75" customHeight="1" x14ac:dyDescent="0.25">
      <c r="J4057" s="48"/>
    </row>
    <row r="4058" spans="10:10" ht="18.75" customHeight="1" x14ac:dyDescent="0.25">
      <c r="J4058" s="48"/>
    </row>
    <row r="4059" spans="10:10" ht="18.75" customHeight="1" x14ac:dyDescent="0.25">
      <c r="J4059" s="48"/>
    </row>
    <row r="4060" spans="10:10" ht="18.75" customHeight="1" x14ac:dyDescent="0.25">
      <c r="J4060" s="48"/>
    </row>
    <row r="4061" spans="10:10" ht="18.75" customHeight="1" x14ac:dyDescent="0.25">
      <c r="J4061" s="48"/>
    </row>
    <row r="4062" spans="10:10" ht="18.75" customHeight="1" x14ac:dyDescent="0.25">
      <c r="J4062" s="48"/>
    </row>
    <row r="4063" spans="10:10" ht="18.75" customHeight="1" x14ac:dyDescent="0.25">
      <c r="J4063" s="48"/>
    </row>
    <row r="4064" spans="10:10" ht="18.75" customHeight="1" x14ac:dyDescent="0.25">
      <c r="J4064" s="48"/>
    </row>
    <row r="4065" spans="10:10" ht="18.75" customHeight="1" x14ac:dyDescent="0.25">
      <c r="J4065" s="48"/>
    </row>
    <row r="4066" spans="10:10" ht="18.75" customHeight="1" x14ac:dyDescent="0.25">
      <c r="J4066" s="48"/>
    </row>
    <row r="4067" spans="10:10" ht="18.75" customHeight="1" x14ac:dyDescent="0.25">
      <c r="J4067" s="48"/>
    </row>
    <row r="4068" spans="10:10" ht="18.75" customHeight="1" x14ac:dyDescent="0.25">
      <c r="J4068" s="48"/>
    </row>
    <row r="4069" spans="10:10" ht="18.75" customHeight="1" x14ac:dyDescent="0.25">
      <c r="J4069" s="48"/>
    </row>
    <row r="4070" spans="10:10" ht="18.75" customHeight="1" x14ac:dyDescent="0.25">
      <c r="J4070" s="48"/>
    </row>
    <row r="4071" spans="10:10" ht="18.75" customHeight="1" x14ac:dyDescent="0.25">
      <c r="J4071" s="48"/>
    </row>
    <row r="4072" spans="10:10" ht="18.75" customHeight="1" x14ac:dyDescent="0.25">
      <c r="J4072" s="48"/>
    </row>
    <row r="4073" spans="10:10" ht="18.75" customHeight="1" x14ac:dyDescent="0.25">
      <c r="J4073" s="48"/>
    </row>
    <row r="4074" spans="10:10" ht="18.75" customHeight="1" x14ac:dyDescent="0.25">
      <c r="J4074" s="48"/>
    </row>
    <row r="4075" spans="10:10" ht="18.75" customHeight="1" x14ac:dyDescent="0.25">
      <c r="J4075" s="48"/>
    </row>
    <row r="4076" spans="10:10" ht="18.75" customHeight="1" x14ac:dyDescent="0.25">
      <c r="J4076" s="48"/>
    </row>
    <row r="4077" spans="10:10" ht="18.75" customHeight="1" x14ac:dyDescent="0.25">
      <c r="J4077" s="48"/>
    </row>
    <row r="4078" spans="10:10" ht="18.75" customHeight="1" x14ac:dyDescent="0.25">
      <c r="J4078" s="48"/>
    </row>
    <row r="4079" spans="10:10" ht="18.75" customHeight="1" x14ac:dyDescent="0.25">
      <c r="J4079" s="48"/>
    </row>
    <row r="4080" spans="10:10" ht="18.75" customHeight="1" x14ac:dyDescent="0.25">
      <c r="J4080" s="48"/>
    </row>
    <row r="4081" spans="10:10" ht="18.75" customHeight="1" x14ac:dyDescent="0.25">
      <c r="J4081" s="48"/>
    </row>
    <row r="4082" spans="10:10" ht="18.75" customHeight="1" x14ac:dyDescent="0.25">
      <c r="J4082" s="48"/>
    </row>
    <row r="4083" spans="10:10" ht="18.75" customHeight="1" x14ac:dyDescent="0.25">
      <c r="J4083" s="48"/>
    </row>
    <row r="4084" spans="10:10" ht="18.75" customHeight="1" x14ac:dyDescent="0.25">
      <c r="J4084" s="48"/>
    </row>
    <row r="4085" spans="10:10" ht="18.75" customHeight="1" x14ac:dyDescent="0.25">
      <c r="J4085" s="48"/>
    </row>
    <row r="4086" spans="10:10" ht="18.75" customHeight="1" x14ac:dyDescent="0.25">
      <c r="J4086" s="48"/>
    </row>
    <row r="4087" spans="10:10" ht="18.75" customHeight="1" x14ac:dyDescent="0.25">
      <c r="J4087" s="48"/>
    </row>
    <row r="4088" spans="10:10" ht="18.75" customHeight="1" x14ac:dyDescent="0.25">
      <c r="J4088" s="48"/>
    </row>
    <row r="4089" spans="10:10" ht="18.75" customHeight="1" x14ac:dyDescent="0.25">
      <c r="J4089" s="48"/>
    </row>
    <row r="4090" spans="10:10" ht="18.75" customHeight="1" x14ac:dyDescent="0.25">
      <c r="J4090" s="48"/>
    </row>
    <row r="4091" spans="10:10" ht="18.75" customHeight="1" x14ac:dyDescent="0.25">
      <c r="J4091" s="48"/>
    </row>
    <row r="4092" spans="10:10" ht="18.75" customHeight="1" x14ac:dyDescent="0.25">
      <c r="J4092" s="48"/>
    </row>
    <row r="4093" spans="10:10" ht="18.75" customHeight="1" x14ac:dyDescent="0.25">
      <c r="J4093" s="48"/>
    </row>
    <row r="4094" spans="10:10" ht="18.75" customHeight="1" x14ac:dyDescent="0.25">
      <c r="J4094" s="48"/>
    </row>
    <row r="4095" spans="10:10" ht="18.75" customHeight="1" x14ac:dyDescent="0.25">
      <c r="J4095" s="48"/>
    </row>
    <row r="4096" spans="10:10" ht="18.75" customHeight="1" x14ac:dyDescent="0.25">
      <c r="J4096" s="48"/>
    </row>
    <row r="4097" spans="10:10" ht="18.75" customHeight="1" x14ac:dyDescent="0.25">
      <c r="J4097" s="48"/>
    </row>
    <row r="4098" spans="10:10" ht="18.75" customHeight="1" x14ac:dyDescent="0.25">
      <c r="J4098" s="48"/>
    </row>
    <row r="4099" spans="10:10" ht="18.75" customHeight="1" x14ac:dyDescent="0.25">
      <c r="J4099" s="48"/>
    </row>
    <row r="4100" spans="10:10" ht="18.75" customHeight="1" x14ac:dyDescent="0.25">
      <c r="J4100" s="48"/>
    </row>
    <row r="4101" spans="10:10" ht="18.75" customHeight="1" x14ac:dyDescent="0.25">
      <c r="J4101" s="48"/>
    </row>
    <row r="4102" spans="10:10" ht="18.75" customHeight="1" x14ac:dyDescent="0.25">
      <c r="J4102" s="48"/>
    </row>
    <row r="4103" spans="10:10" ht="18.75" customHeight="1" x14ac:dyDescent="0.25">
      <c r="J4103" s="48"/>
    </row>
    <row r="4104" spans="10:10" ht="18.75" customHeight="1" x14ac:dyDescent="0.25">
      <c r="J4104" s="48"/>
    </row>
    <row r="4105" spans="10:10" ht="18.75" customHeight="1" x14ac:dyDescent="0.25">
      <c r="J4105" s="48"/>
    </row>
    <row r="4106" spans="10:10" ht="18.75" customHeight="1" x14ac:dyDescent="0.25">
      <c r="J4106" s="48"/>
    </row>
    <row r="4107" spans="10:10" ht="18.75" customHeight="1" x14ac:dyDescent="0.25">
      <c r="J4107" s="48"/>
    </row>
    <row r="4108" spans="10:10" ht="18.75" customHeight="1" x14ac:dyDescent="0.25">
      <c r="J4108" s="48"/>
    </row>
    <row r="4109" spans="10:10" ht="18.75" customHeight="1" x14ac:dyDescent="0.25">
      <c r="J4109" s="48"/>
    </row>
    <row r="4110" spans="10:10" ht="18.75" customHeight="1" x14ac:dyDescent="0.25">
      <c r="J4110" s="48"/>
    </row>
    <row r="4111" spans="10:10" ht="18.75" customHeight="1" x14ac:dyDescent="0.25">
      <c r="J4111" s="48"/>
    </row>
    <row r="4112" spans="10:10" ht="18.75" customHeight="1" x14ac:dyDescent="0.25">
      <c r="J4112" s="48"/>
    </row>
    <row r="4113" spans="10:10" ht="18.75" customHeight="1" x14ac:dyDescent="0.25">
      <c r="J4113" s="48"/>
    </row>
    <row r="4114" spans="10:10" ht="18.75" customHeight="1" x14ac:dyDescent="0.25">
      <c r="J4114" s="48"/>
    </row>
    <row r="4115" spans="10:10" ht="18.75" customHeight="1" x14ac:dyDescent="0.25">
      <c r="J4115" s="48"/>
    </row>
    <row r="4116" spans="10:10" ht="18.75" customHeight="1" x14ac:dyDescent="0.25">
      <c r="J4116" s="48"/>
    </row>
    <row r="4117" spans="10:10" ht="18.75" customHeight="1" x14ac:dyDescent="0.25">
      <c r="J4117" s="48"/>
    </row>
    <row r="4118" spans="10:10" ht="18.75" customHeight="1" x14ac:dyDescent="0.25">
      <c r="J4118" s="48"/>
    </row>
    <row r="4119" spans="10:10" ht="18.75" customHeight="1" x14ac:dyDescent="0.25">
      <c r="J4119" s="48"/>
    </row>
    <row r="4120" spans="10:10" ht="18.75" customHeight="1" x14ac:dyDescent="0.25">
      <c r="J4120" s="48"/>
    </row>
    <row r="4121" spans="10:10" ht="18.75" customHeight="1" x14ac:dyDescent="0.25">
      <c r="J4121" s="48"/>
    </row>
    <row r="4122" spans="10:10" ht="18.75" customHeight="1" x14ac:dyDescent="0.25">
      <c r="J4122" s="48"/>
    </row>
    <row r="4123" spans="10:10" ht="18.75" customHeight="1" x14ac:dyDescent="0.25">
      <c r="J4123" s="48"/>
    </row>
    <row r="4124" spans="10:10" ht="18.75" customHeight="1" x14ac:dyDescent="0.25">
      <c r="J4124" s="48"/>
    </row>
    <row r="4125" spans="10:10" ht="18.75" customHeight="1" x14ac:dyDescent="0.25">
      <c r="J4125" s="48"/>
    </row>
    <row r="4126" spans="10:10" ht="18.75" customHeight="1" x14ac:dyDescent="0.25">
      <c r="J4126" s="48"/>
    </row>
    <row r="4127" spans="10:10" ht="18.75" customHeight="1" x14ac:dyDescent="0.25">
      <c r="J4127" s="48"/>
    </row>
    <row r="4128" spans="10:10" ht="18.75" customHeight="1" x14ac:dyDescent="0.25">
      <c r="J4128" s="48"/>
    </row>
    <row r="4129" spans="10:10" ht="18.75" customHeight="1" x14ac:dyDescent="0.25">
      <c r="J4129" s="48"/>
    </row>
    <row r="4130" spans="10:10" ht="18.75" customHeight="1" x14ac:dyDescent="0.25">
      <c r="J4130" s="48"/>
    </row>
    <row r="4131" spans="10:10" ht="18.75" customHeight="1" x14ac:dyDescent="0.25">
      <c r="J4131" s="48"/>
    </row>
    <row r="4132" spans="10:10" ht="18.75" customHeight="1" x14ac:dyDescent="0.25">
      <c r="J4132" s="48"/>
    </row>
    <row r="4133" spans="10:10" ht="18.75" customHeight="1" x14ac:dyDescent="0.25">
      <c r="J4133" s="48"/>
    </row>
    <row r="4134" spans="10:10" ht="18.75" customHeight="1" x14ac:dyDescent="0.25">
      <c r="J4134" s="48"/>
    </row>
    <row r="4135" spans="10:10" ht="18.75" customHeight="1" x14ac:dyDescent="0.25">
      <c r="J4135" s="48"/>
    </row>
    <row r="4136" spans="10:10" ht="18.75" customHeight="1" x14ac:dyDescent="0.25">
      <c r="J4136" s="48"/>
    </row>
    <row r="4137" spans="10:10" ht="18.75" customHeight="1" x14ac:dyDescent="0.25">
      <c r="J4137" s="48"/>
    </row>
    <row r="4138" spans="10:10" ht="18.75" customHeight="1" x14ac:dyDescent="0.25">
      <c r="J4138" s="48"/>
    </row>
    <row r="4139" spans="10:10" ht="18.75" customHeight="1" x14ac:dyDescent="0.25">
      <c r="J4139" s="48"/>
    </row>
    <row r="4140" spans="10:10" ht="18.75" customHeight="1" x14ac:dyDescent="0.25">
      <c r="J4140" s="48"/>
    </row>
    <row r="4141" spans="10:10" ht="18.75" customHeight="1" x14ac:dyDescent="0.25">
      <c r="J4141" s="48"/>
    </row>
    <row r="4142" spans="10:10" ht="18.75" customHeight="1" x14ac:dyDescent="0.25">
      <c r="J4142" s="48"/>
    </row>
    <row r="4143" spans="10:10" ht="18.75" customHeight="1" x14ac:dyDescent="0.25">
      <c r="J4143" s="48"/>
    </row>
    <row r="4144" spans="10:10" ht="18.75" customHeight="1" x14ac:dyDescent="0.25">
      <c r="J4144" s="48"/>
    </row>
    <row r="4145" spans="10:10" ht="18.75" customHeight="1" x14ac:dyDescent="0.25">
      <c r="J4145" s="48"/>
    </row>
    <row r="4146" spans="10:10" ht="18.75" customHeight="1" x14ac:dyDescent="0.25">
      <c r="J4146" s="48"/>
    </row>
    <row r="4147" spans="10:10" ht="18.75" customHeight="1" x14ac:dyDescent="0.25">
      <c r="J4147" s="48"/>
    </row>
    <row r="4148" spans="10:10" ht="18.75" customHeight="1" x14ac:dyDescent="0.25">
      <c r="J4148" s="48"/>
    </row>
    <row r="4149" spans="10:10" ht="18.75" customHeight="1" x14ac:dyDescent="0.25">
      <c r="J4149" s="48"/>
    </row>
    <row r="4150" spans="10:10" ht="18.75" customHeight="1" x14ac:dyDescent="0.25">
      <c r="J4150" s="48"/>
    </row>
    <row r="4151" spans="10:10" ht="18.75" customHeight="1" x14ac:dyDescent="0.25">
      <c r="J4151" s="48"/>
    </row>
    <row r="4152" spans="10:10" ht="18.75" customHeight="1" x14ac:dyDescent="0.25">
      <c r="J4152" s="48"/>
    </row>
    <row r="4153" spans="10:10" ht="18.75" customHeight="1" x14ac:dyDescent="0.25">
      <c r="J4153" s="48"/>
    </row>
    <row r="4154" spans="10:10" ht="18.75" customHeight="1" x14ac:dyDescent="0.25">
      <c r="J4154" s="48"/>
    </row>
    <row r="4155" spans="10:10" ht="18.75" customHeight="1" x14ac:dyDescent="0.25">
      <c r="J4155" s="48"/>
    </row>
    <row r="4156" spans="10:10" ht="18.75" customHeight="1" x14ac:dyDescent="0.25">
      <c r="J4156" s="48"/>
    </row>
    <row r="4157" spans="10:10" ht="18.75" customHeight="1" x14ac:dyDescent="0.25">
      <c r="J4157" s="48"/>
    </row>
    <row r="4158" spans="10:10" ht="18.75" customHeight="1" x14ac:dyDescent="0.25">
      <c r="J4158" s="48"/>
    </row>
    <row r="4159" spans="10:10" ht="18.75" customHeight="1" x14ac:dyDescent="0.25">
      <c r="J4159" s="48"/>
    </row>
    <row r="4160" spans="10:10" ht="18.75" customHeight="1" x14ac:dyDescent="0.25">
      <c r="J4160" s="48"/>
    </row>
    <row r="4161" spans="10:10" ht="18.75" customHeight="1" x14ac:dyDescent="0.25">
      <c r="J4161" s="48"/>
    </row>
    <row r="4162" spans="10:10" ht="18.75" customHeight="1" x14ac:dyDescent="0.25">
      <c r="J4162" s="48"/>
    </row>
    <row r="4163" spans="10:10" ht="18.75" customHeight="1" x14ac:dyDescent="0.25">
      <c r="J4163" s="48"/>
    </row>
    <row r="4164" spans="10:10" ht="18.75" customHeight="1" x14ac:dyDescent="0.25">
      <c r="J4164" s="48"/>
    </row>
    <row r="4165" spans="10:10" ht="18.75" customHeight="1" x14ac:dyDescent="0.25">
      <c r="J4165" s="48"/>
    </row>
    <row r="4166" spans="10:10" ht="18.75" customHeight="1" x14ac:dyDescent="0.25">
      <c r="J4166" s="48"/>
    </row>
    <row r="4167" spans="10:10" ht="18.75" customHeight="1" x14ac:dyDescent="0.25">
      <c r="J4167" s="48"/>
    </row>
    <row r="4168" spans="10:10" ht="18.75" customHeight="1" x14ac:dyDescent="0.25">
      <c r="J4168" s="48"/>
    </row>
    <row r="4169" spans="10:10" ht="18.75" customHeight="1" x14ac:dyDescent="0.25">
      <c r="J4169" s="48"/>
    </row>
    <row r="4170" spans="10:10" ht="18.75" customHeight="1" x14ac:dyDescent="0.25">
      <c r="J4170" s="48"/>
    </row>
    <row r="4171" spans="10:10" ht="18.75" customHeight="1" x14ac:dyDescent="0.25">
      <c r="J4171" s="48"/>
    </row>
    <row r="4172" spans="10:10" ht="18.75" customHeight="1" x14ac:dyDescent="0.25">
      <c r="J4172" s="48"/>
    </row>
    <row r="4173" spans="10:10" ht="18.75" customHeight="1" x14ac:dyDescent="0.25">
      <c r="J4173" s="48"/>
    </row>
    <row r="4174" spans="10:10" ht="18.75" customHeight="1" x14ac:dyDescent="0.25">
      <c r="J4174" s="48"/>
    </row>
    <row r="4175" spans="10:10" ht="18.75" customHeight="1" x14ac:dyDescent="0.25">
      <c r="J4175" s="48"/>
    </row>
    <row r="4176" spans="10:10" ht="18.75" customHeight="1" x14ac:dyDescent="0.25">
      <c r="J4176" s="48"/>
    </row>
    <row r="4177" spans="10:10" ht="18.75" customHeight="1" x14ac:dyDescent="0.25">
      <c r="J4177" s="48"/>
    </row>
    <row r="4178" spans="10:10" ht="18.75" customHeight="1" x14ac:dyDescent="0.25">
      <c r="J4178" s="48"/>
    </row>
    <row r="4179" spans="10:10" ht="18.75" customHeight="1" x14ac:dyDescent="0.25">
      <c r="J4179" s="48"/>
    </row>
    <row r="4180" spans="10:10" ht="18.75" customHeight="1" x14ac:dyDescent="0.25">
      <c r="J4180" s="48"/>
    </row>
    <row r="4181" spans="10:10" ht="18.75" customHeight="1" x14ac:dyDescent="0.25">
      <c r="J4181" s="48"/>
    </row>
    <row r="4182" spans="10:10" ht="18.75" customHeight="1" x14ac:dyDescent="0.25">
      <c r="J4182" s="48"/>
    </row>
    <row r="4183" spans="10:10" ht="18.75" customHeight="1" x14ac:dyDescent="0.25">
      <c r="J4183" s="48"/>
    </row>
    <row r="4184" spans="10:10" ht="18.75" customHeight="1" x14ac:dyDescent="0.25">
      <c r="J4184" s="48"/>
    </row>
    <row r="4185" spans="10:10" ht="18.75" customHeight="1" x14ac:dyDescent="0.25">
      <c r="J4185" s="48"/>
    </row>
    <row r="4186" spans="10:10" ht="18.75" customHeight="1" x14ac:dyDescent="0.25">
      <c r="J4186" s="48"/>
    </row>
    <row r="4187" spans="10:10" ht="18.75" customHeight="1" x14ac:dyDescent="0.25">
      <c r="J4187" s="48"/>
    </row>
    <row r="4188" spans="10:10" ht="18.75" customHeight="1" x14ac:dyDescent="0.25">
      <c r="J4188" s="48"/>
    </row>
    <row r="4189" spans="10:10" ht="18.75" customHeight="1" x14ac:dyDescent="0.25">
      <c r="J4189" s="48"/>
    </row>
    <row r="4190" spans="10:10" ht="18.75" customHeight="1" x14ac:dyDescent="0.25">
      <c r="J4190" s="48"/>
    </row>
    <row r="4191" spans="10:10" ht="18.75" customHeight="1" x14ac:dyDescent="0.25">
      <c r="J4191" s="48"/>
    </row>
    <row r="4192" spans="10:10" ht="18.75" customHeight="1" x14ac:dyDescent="0.25">
      <c r="J4192" s="48"/>
    </row>
    <row r="4193" spans="10:10" ht="18.75" customHeight="1" x14ac:dyDescent="0.25">
      <c r="J4193" s="48"/>
    </row>
    <row r="4194" spans="10:10" ht="18.75" customHeight="1" x14ac:dyDescent="0.25">
      <c r="J4194" s="48"/>
    </row>
    <row r="4195" spans="10:10" ht="18.75" customHeight="1" x14ac:dyDescent="0.25">
      <c r="J4195" s="48"/>
    </row>
    <row r="4196" spans="10:10" ht="18.75" customHeight="1" x14ac:dyDescent="0.25">
      <c r="J4196" s="48"/>
    </row>
    <row r="4197" spans="10:10" ht="18.75" customHeight="1" x14ac:dyDescent="0.25">
      <c r="J4197" s="48"/>
    </row>
    <row r="4198" spans="10:10" ht="18.75" customHeight="1" x14ac:dyDescent="0.25">
      <c r="J4198" s="48"/>
    </row>
    <row r="4199" spans="10:10" ht="18.75" customHeight="1" x14ac:dyDescent="0.25">
      <c r="J4199" s="48"/>
    </row>
    <row r="4200" spans="10:10" ht="18.75" customHeight="1" x14ac:dyDescent="0.25">
      <c r="J4200" s="48"/>
    </row>
    <row r="4201" spans="10:10" ht="18.75" customHeight="1" x14ac:dyDescent="0.25">
      <c r="J4201" s="48"/>
    </row>
    <row r="4202" spans="10:10" ht="18.75" customHeight="1" x14ac:dyDescent="0.25">
      <c r="J4202" s="48"/>
    </row>
    <row r="4203" spans="10:10" ht="18.75" customHeight="1" x14ac:dyDescent="0.25">
      <c r="J4203" s="48"/>
    </row>
    <row r="4204" spans="10:10" ht="18.75" customHeight="1" x14ac:dyDescent="0.25">
      <c r="J4204" s="48"/>
    </row>
    <row r="4205" spans="10:10" ht="18.75" customHeight="1" x14ac:dyDescent="0.25">
      <c r="J4205" s="48"/>
    </row>
    <row r="4206" spans="10:10" ht="18.75" customHeight="1" x14ac:dyDescent="0.25">
      <c r="J4206" s="48"/>
    </row>
    <row r="4207" spans="10:10" ht="18.75" customHeight="1" x14ac:dyDescent="0.25">
      <c r="J4207" s="48"/>
    </row>
    <row r="4208" spans="10:10" ht="18.75" customHeight="1" x14ac:dyDescent="0.25">
      <c r="J4208" s="48"/>
    </row>
    <row r="4209" spans="10:10" ht="18.75" customHeight="1" x14ac:dyDescent="0.25">
      <c r="J4209" s="48"/>
    </row>
    <row r="4210" spans="10:10" ht="18.75" customHeight="1" x14ac:dyDescent="0.25">
      <c r="J4210" s="48"/>
    </row>
    <row r="4211" spans="10:10" ht="18.75" customHeight="1" x14ac:dyDescent="0.25">
      <c r="J4211" s="48"/>
    </row>
    <row r="4212" spans="10:10" ht="18.75" customHeight="1" x14ac:dyDescent="0.25">
      <c r="J4212" s="48"/>
    </row>
    <row r="4213" spans="10:10" ht="18.75" customHeight="1" x14ac:dyDescent="0.25">
      <c r="J4213" s="48"/>
    </row>
    <row r="4214" spans="10:10" ht="18.75" customHeight="1" x14ac:dyDescent="0.25">
      <c r="J4214" s="48"/>
    </row>
    <row r="4215" spans="10:10" ht="18.75" customHeight="1" x14ac:dyDescent="0.25">
      <c r="J4215" s="48"/>
    </row>
    <row r="4216" spans="10:10" ht="18.75" customHeight="1" x14ac:dyDescent="0.25">
      <c r="J4216" s="48"/>
    </row>
    <row r="4217" spans="10:10" ht="18.75" customHeight="1" x14ac:dyDescent="0.25">
      <c r="J4217" s="48"/>
    </row>
    <row r="4218" spans="10:10" ht="18.75" customHeight="1" x14ac:dyDescent="0.25">
      <c r="J4218" s="48"/>
    </row>
    <row r="4219" spans="10:10" ht="18.75" customHeight="1" x14ac:dyDescent="0.25">
      <c r="J4219" s="48"/>
    </row>
    <row r="4220" spans="10:10" ht="18.75" customHeight="1" x14ac:dyDescent="0.25">
      <c r="J4220" s="48"/>
    </row>
    <row r="4221" spans="10:10" ht="18.75" customHeight="1" x14ac:dyDescent="0.25">
      <c r="J4221" s="48"/>
    </row>
    <row r="4222" spans="10:10" ht="18.75" customHeight="1" x14ac:dyDescent="0.25">
      <c r="J4222" s="48"/>
    </row>
    <row r="4223" spans="10:10" ht="18.75" customHeight="1" x14ac:dyDescent="0.25">
      <c r="J4223" s="48"/>
    </row>
    <row r="4224" spans="10:10" ht="18.75" customHeight="1" x14ac:dyDescent="0.25">
      <c r="J4224" s="48"/>
    </row>
    <row r="4225" spans="10:10" ht="18.75" customHeight="1" x14ac:dyDescent="0.25">
      <c r="J4225" s="48"/>
    </row>
    <row r="4226" spans="10:10" ht="18.75" customHeight="1" x14ac:dyDescent="0.25">
      <c r="J4226" s="48"/>
    </row>
    <row r="4227" spans="10:10" ht="18.75" customHeight="1" x14ac:dyDescent="0.25">
      <c r="J4227" s="48"/>
    </row>
    <row r="4228" spans="10:10" ht="18.75" customHeight="1" x14ac:dyDescent="0.25">
      <c r="J4228" s="48"/>
    </row>
    <row r="4229" spans="10:10" ht="18.75" customHeight="1" x14ac:dyDescent="0.25">
      <c r="J4229" s="48"/>
    </row>
    <row r="4230" spans="10:10" ht="18.75" customHeight="1" x14ac:dyDescent="0.25">
      <c r="J4230" s="48"/>
    </row>
    <row r="4231" spans="10:10" ht="18.75" customHeight="1" x14ac:dyDescent="0.25">
      <c r="J4231" s="48"/>
    </row>
    <row r="4232" spans="10:10" ht="18.75" customHeight="1" x14ac:dyDescent="0.25">
      <c r="J4232" s="48"/>
    </row>
    <row r="4233" spans="10:10" ht="18.75" customHeight="1" x14ac:dyDescent="0.25">
      <c r="J4233" s="48"/>
    </row>
    <row r="4234" spans="10:10" ht="18.75" customHeight="1" x14ac:dyDescent="0.25">
      <c r="J4234" s="48"/>
    </row>
    <row r="4235" spans="10:10" ht="18.75" customHeight="1" x14ac:dyDescent="0.25">
      <c r="J4235" s="48"/>
    </row>
    <row r="4236" spans="10:10" ht="18.75" customHeight="1" x14ac:dyDescent="0.25">
      <c r="J4236" s="48"/>
    </row>
    <row r="4237" spans="10:10" ht="18.75" customHeight="1" x14ac:dyDescent="0.25">
      <c r="J4237" s="48"/>
    </row>
    <row r="4238" spans="10:10" ht="18.75" customHeight="1" x14ac:dyDescent="0.25">
      <c r="J4238" s="48"/>
    </row>
    <row r="4239" spans="10:10" ht="18.75" customHeight="1" x14ac:dyDescent="0.25">
      <c r="J4239" s="48"/>
    </row>
    <row r="4240" spans="10:10" ht="18.75" customHeight="1" x14ac:dyDescent="0.25">
      <c r="J4240" s="48"/>
    </row>
    <row r="4241" spans="10:10" ht="18.75" customHeight="1" x14ac:dyDescent="0.25">
      <c r="J4241" s="48"/>
    </row>
    <row r="4242" spans="10:10" ht="18.75" customHeight="1" x14ac:dyDescent="0.25">
      <c r="J4242" s="48"/>
    </row>
    <row r="4243" spans="10:10" ht="18.75" customHeight="1" x14ac:dyDescent="0.25">
      <c r="J4243" s="48"/>
    </row>
    <row r="4244" spans="10:10" ht="18.75" customHeight="1" x14ac:dyDescent="0.25">
      <c r="J4244" s="48"/>
    </row>
    <row r="4245" spans="10:10" ht="18.75" customHeight="1" x14ac:dyDescent="0.25">
      <c r="J4245" s="48"/>
    </row>
    <row r="4246" spans="10:10" ht="18.75" customHeight="1" x14ac:dyDescent="0.25">
      <c r="J4246" s="48"/>
    </row>
    <row r="4247" spans="10:10" ht="18.75" customHeight="1" x14ac:dyDescent="0.25">
      <c r="J4247" s="48"/>
    </row>
    <row r="4248" spans="10:10" ht="18.75" customHeight="1" x14ac:dyDescent="0.25">
      <c r="J4248" s="48"/>
    </row>
    <row r="4249" spans="10:10" ht="18.75" customHeight="1" x14ac:dyDescent="0.25">
      <c r="J4249" s="48"/>
    </row>
    <row r="4250" spans="10:10" ht="18.75" customHeight="1" x14ac:dyDescent="0.25">
      <c r="J4250" s="48"/>
    </row>
    <row r="4251" spans="10:10" ht="18.75" customHeight="1" x14ac:dyDescent="0.25">
      <c r="J4251" s="48"/>
    </row>
    <row r="4252" spans="10:10" ht="18.75" customHeight="1" x14ac:dyDescent="0.25">
      <c r="J4252" s="48"/>
    </row>
    <row r="4253" spans="10:10" ht="18.75" customHeight="1" x14ac:dyDescent="0.25">
      <c r="J4253" s="48"/>
    </row>
    <row r="4254" spans="10:10" ht="18.75" customHeight="1" x14ac:dyDescent="0.25">
      <c r="J4254" s="48"/>
    </row>
    <row r="4255" spans="10:10" ht="18.75" customHeight="1" x14ac:dyDescent="0.25">
      <c r="J4255" s="48"/>
    </row>
    <row r="4256" spans="10:10" ht="18.75" customHeight="1" x14ac:dyDescent="0.25">
      <c r="J4256" s="48"/>
    </row>
    <row r="4257" spans="10:10" ht="18.75" customHeight="1" x14ac:dyDescent="0.25">
      <c r="J4257" s="48"/>
    </row>
    <row r="4258" spans="10:10" ht="18.75" customHeight="1" x14ac:dyDescent="0.25">
      <c r="J4258" s="48"/>
    </row>
    <row r="4259" spans="10:10" ht="18.75" customHeight="1" x14ac:dyDescent="0.25">
      <c r="J4259" s="48"/>
    </row>
    <row r="4260" spans="10:10" ht="18.75" customHeight="1" x14ac:dyDescent="0.25">
      <c r="J4260" s="48"/>
    </row>
    <row r="4261" spans="10:10" ht="18.75" customHeight="1" x14ac:dyDescent="0.25">
      <c r="J4261" s="48"/>
    </row>
    <row r="4262" spans="10:10" ht="18.75" customHeight="1" x14ac:dyDescent="0.25">
      <c r="J4262" s="48"/>
    </row>
    <row r="4263" spans="10:10" ht="18.75" customHeight="1" x14ac:dyDescent="0.25">
      <c r="J4263" s="48"/>
    </row>
    <row r="4264" spans="10:10" ht="18.75" customHeight="1" x14ac:dyDescent="0.25">
      <c r="J4264" s="48"/>
    </row>
    <row r="4265" spans="10:10" ht="18.75" customHeight="1" x14ac:dyDescent="0.25">
      <c r="J4265" s="48"/>
    </row>
    <row r="4266" spans="10:10" ht="18.75" customHeight="1" x14ac:dyDescent="0.25">
      <c r="J4266" s="48"/>
    </row>
    <row r="4267" spans="10:10" ht="18.75" customHeight="1" x14ac:dyDescent="0.25">
      <c r="J4267" s="48"/>
    </row>
    <row r="4268" spans="10:10" ht="18.75" customHeight="1" x14ac:dyDescent="0.25">
      <c r="J4268" s="48"/>
    </row>
    <row r="4269" spans="10:10" ht="18.75" customHeight="1" x14ac:dyDescent="0.25">
      <c r="J4269" s="48"/>
    </row>
    <row r="4270" spans="10:10" ht="18.75" customHeight="1" x14ac:dyDescent="0.25">
      <c r="J4270" s="48"/>
    </row>
    <row r="4271" spans="10:10" ht="18.75" customHeight="1" x14ac:dyDescent="0.25">
      <c r="J4271" s="48"/>
    </row>
    <row r="4272" spans="10:10" ht="18.75" customHeight="1" x14ac:dyDescent="0.25">
      <c r="J4272" s="48"/>
    </row>
    <row r="4273" spans="10:10" ht="18.75" customHeight="1" x14ac:dyDescent="0.25">
      <c r="J4273" s="48"/>
    </row>
    <row r="4274" spans="10:10" ht="18.75" customHeight="1" x14ac:dyDescent="0.25">
      <c r="J4274" s="48"/>
    </row>
    <row r="4275" spans="10:10" ht="18.75" customHeight="1" x14ac:dyDescent="0.25">
      <c r="J4275" s="48"/>
    </row>
    <row r="4276" spans="10:10" ht="18.75" customHeight="1" x14ac:dyDescent="0.25">
      <c r="J4276" s="48"/>
    </row>
    <row r="4277" spans="10:10" ht="18.75" customHeight="1" x14ac:dyDescent="0.25">
      <c r="J4277" s="48"/>
    </row>
    <row r="4278" spans="10:10" ht="18.75" customHeight="1" x14ac:dyDescent="0.25">
      <c r="J4278" s="48"/>
    </row>
    <row r="4279" spans="10:10" ht="18.75" customHeight="1" x14ac:dyDescent="0.25">
      <c r="J4279" s="48"/>
    </row>
    <row r="4280" spans="10:10" ht="18.75" customHeight="1" x14ac:dyDescent="0.25">
      <c r="J4280" s="48"/>
    </row>
    <row r="4281" spans="10:10" ht="18.75" customHeight="1" x14ac:dyDescent="0.25">
      <c r="J4281" s="48"/>
    </row>
    <row r="4282" spans="10:10" ht="18.75" customHeight="1" x14ac:dyDescent="0.25">
      <c r="J4282" s="48"/>
    </row>
    <row r="4283" spans="10:10" ht="18.75" customHeight="1" x14ac:dyDescent="0.25">
      <c r="J4283" s="48"/>
    </row>
    <row r="4284" spans="10:10" ht="18.75" customHeight="1" x14ac:dyDescent="0.25">
      <c r="J4284" s="48"/>
    </row>
    <row r="4285" spans="10:10" ht="18.75" customHeight="1" x14ac:dyDescent="0.25">
      <c r="J4285" s="48"/>
    </row>
    <row r="4286" spans="10:10" ht="18.75" customHeight="1" x14ac:dyDescent="0.25">
      <c r="J4286" s="48"/>
    </row>
    <row r="4287" spans="10:10" ht="18.75" customHeight="1" x14ac:dyDescent="0.25">
      <c r="J4287" s="48"/>
    </row>
    <row r="4288" spans="10:10" ht="18.75" customHeight="1" x14ac:dyDescent="0.25">
      <c r="J4288" s="48"/>
    </row>
    <row r="4289" spans="10:10" ht="18.75" customHeight="1" x14ac:dyDescent="0.25">
      <c r="J4289" s="48"/>
    </row>
    <row r="4290" spans="10:10" ht="18.75" customHeight="1" x14ac:dyDescent="0.25">
      <c r="J4290" s="48"/>
    </row>
    <row r="4291" spans="10:10" ht="18.75" customHeight="1" x14ac:dyDescent="0.25">
      <c r="J4291" s="48"/>
    </row>
    <row r="4292" spans="10:10" ht="18.75" customHeight="1" x14ac:dyDescent="0.25">
      <c r="J4292" s="48"/>
    </row>
    <row r="4293" spans="10:10" ht="18.75" customHeight="1" x14ac:dyDescent="0.25">
      <c r="J4293" s="48"/>
    </row>
    <row r="4294" spans="10:10" ht="18.75" customHeight="1" x14ac:dyDescent="0.25">
      <c r="J4294" s="48"/>
    </row>
    <row r="4295" spans="10:10" ht="18.75" customHeight="1" x14ac:dyDescent="0.25">
      <c r="J4295" s="48"/>
    </row>
    <row r="4296" spans="10:10" ht="18.75" customHeight="1" x14ac:dyDescent="0.25">
      <c r="J4296" s="48"/>
    </row>
    <row r="4297" spans="10:10" ht="18.75" customHeight="1" x14ac:dyDescent="0.25">
      <c r="J4297" s="48"/>
    </row>
    <row r="4298" spans="10:10" ht="18.75" customHeight="1" x14ac:dyDescent="0.25">
      <c r="J4298" s="48"/>
    </row>
    <row r="4299" spans="10:10" ht="18.75" customHeight="1" x14ac:dyDescent="0.25">
      <c r="J4299" s="48"/>
    </row>
    <row r="4300" spans="10:10" ht="18.75" customHeight="1" x14ac:dyDescent="0.25">
      <c r="J4300" s="48"/>
    </row>
    <row r="4301" spans="10:10" ht="18.75" customHeight="1" x14ac:dyDescent="0.25">
      <c r="J4301" s="48"/>
    </row>
    <row r="4302" spans="10:10" ht="18.75" customHeight="1" x14ac:dyDescent="0.25">
      <c r="J4302" s="48"/>
    </row>
    <row r="4303" spans="10:10" ht="18.75" customHeight="1" x14ac:dyDescent="0.25">
      <c r="J4303" s="48"/>
    </row>
    <row r="4304" spans="10:10" ht="18.75" customHeight="1" x14ac:dyDescent="0.25">
      <c r="J4304" s="48"/>
    </row>
    <row r="4305" spans="10:10" ht="18.75" customHeight="1" x14ac:dyDescent="0.25">
      <c r="J4305" s="48"/>
    </row>
    <row r="4306" spans="10:10" ht="18.75" customHeight="1" x14ac:dyDescent="0.25">
      <c r="J4306" s="48"/>
    </row>
    <row r="4307" spans="10:10" ht="18.75" customHeight="1" x14ac:dyDescent="0.25">
      <c r="J4307" s="48"/>
    </row>
    <row r="4308" spans="10:10" ht="18.75" customHeight="1" x14ac:dyDescent="0.25">
      <c r="J4308" s="48"/>
    </row>
    <row r="4309" spans="10:10" ht="18.75" customHeight="1" x14ac:dyDescent="0.25">
      <c r="J4309" s="48"/>
    </row>
    <row r="4310" spans="10:10" ht="18.75" customHeight="1" x14ac:dyDescent="0.25">
      <c r="J4310" s="48"/>
    </row>
    <row r="4311" spans="10:10" ht="18.75" customHeight="1" x14ac:dyDescent="0.25">
      <c r="J4311" s="48"/>
    </row>
    <row r="4312" spans="10:10" ht="18.75" customHeight="1" x14ac:dyDescent="0.25">
      <c r="J4312" s="48"/>
    </row>
    <row r="4313" spans="10:10" ht="18.75" customHeight="1" x14ac:dyDescent="0.25">
      <c r="J4313" s="48"/>
    </row>
    <row r="4314" spans="10:10" ht="18.75" customHeight="1" x14ac:dyDescent="0.25">
      <c r="J4314" s="48"/>
    </row>
    <row r="4315" spans="10:10" ht="18.75" customHeight="1" x14ac:dyDescent="0.25">
      <c r="J4315" s="48"/>
    </row>
    <row r="4316" spans="10:10" ht="18.75" customHeight="1" x14ac:dyDescent="0.25">
      <c r="J4316" s="48"/>
    </row>
    <row r="4317" spans="10:10" ht="18.75" customHeight="1" x14ac:dyDescent="0.25">
      <c r="J4317" s="48"/>
    </row>
    <row r="4318" spans="10:10" ht="18.75" customHeight="1" x14ac:dyDescent="0.25">
      <c r="J4318" s="48"/>
    </row>
    <row r="4319" spans="10:10" ht="18.75" customHeight="1" x14ac:dyDescent="0.25">
      <c r="J4319" s="48"/>
    </row>
    <row r="4320" spans="10:10" ht="18.75" customHeight="1" x14ac:dyDescent="0.25">
      <c r="J4320" s="48"/>
    </row>
    <row r="4321" spans="10:10" ht="18.75" customHeight="1" x14ac:dyDescent="0.25">
      <c r="J4321" s="48"/>
    </row>
    <row r="4322" spans="10:10" ht="18.75" customHeight="1" x14ac:dyDescent="0.25">
      <c r="J4322" s="48"/>
    </row>
    <row r="4323" spans="10:10" ht="18.75" customHeight="1" x14ac:dyDescent="0.25">
      <c r="J4323" s="48"/>
    </row>
    <row r="4324" spans="10:10" ht="18.75" customHeight="1" x14ac:dyDescent="0.25">
      <c r="J4324" s="48"/>
    </row>
    <row r="4325" spans="10:10" ht="18.75" customHeight="1" x14ac:dyDescent="0.25">
      <c r="J4325" s="48"/>
    </row>
    <row r="4326" spans="10:10" ht="18.75" customHeight="1" x14ac:dyDescent="0.25">
      <c r="J4326" s="48"/>
    </row>
    <row r="4327" spans="10:10" ht="18.75" customHeight="1" x14ac:dyDescent="0.25">
      <c r="J4327" s="48"/>
    </row>
    <row r="4328" spans="10:10" ht="18.75" customHeight="1" x14ac:dyDescent="0.25">
      <c r="J4328" s="48"/>
    </row>
    <row r="4329" spans="10:10" ht="18.75" customHeight="1" x14ac:dyDescent="0.25">
      <c r="J4329" s="48"/>
    </row>
    <row r="4330" spans="10:10" ht="18.75" customHeight="1" x14ac:dyDescent="0.25">
      <c r="J4330" s="48"/>
    </row>
    <row r="4331" spans="10:10" ht="18.75" customHeight="1" x14ac:dyDescent="0.25">
      <c r="J4331" s="48"/>
    </row>
    <row r="4332" spans="10:10" ht="18.75" customHeight="1" x14ac:dyDescent="0.25">
      <c r="J4332" s="48"/>
    </row>
    <row r="4333" spans="10:10" ht="18.75" customHeight="1" x14ac:dyDescent="0.25">
      <c r="J4333" s="48"/>
    </row>
    <row r="4334" spans="10:10" ht="18.75" customHeight="1" x14ac:dyDescent="0.25">
      <c r="J4334" s="48"/>
    </row>
    <row r="4335" spans="10:10" ht="18.75" customHeight="1" x14ac:dyDescent="0.25">
      <c r="J4335" s="48"/>
    </row>
    <row r="4336" spans="10:10" ht="18.75" customHeight="1" x14ac:dyDescent="0.25">
      <c r="J4336" s="48"/>
    </row>
    <row r="4337" spans="10:10" ht="18.75" customHeight="1" x14ac:dyDescent="0.25">
      <c r="J4337" s="48"/>
    </row>
    <row r="4338" spans="10:10" ht="18.75" customHeight="1" x14ac:dyDescent="0.25">
      <c r="J4338" s="48"/>
    </row>
    <row r="4339" spans="10:10" ht="18.75" customHeight="1" x14ac:dyDescent="0.25">
      <c r="J4339" s="48"/>
    </row>
    <row r="4340" spans="10:10" ht="18.75" customHeight="1" x14ac:dyDescent="0.25">
      <c r="J4340" s="48"/>
    </row>
    <row r="4341" spans="10:10" ht="18.75" customHeight="1" x14ac:dyDescent="0.25">
      <c r="J4341" s="48"/>
    </row>
    <row r="4342" spans="10:10" ht="18.75" customHeight="1" x14ac:dyDescent="0.25">
      <c r="J4342" s="48"/>
    </row>
    <row r="4343" spans="10:10" ht="18.75" customHeight="1" x14ac:dyDescent="0.25">
      <c r="J4343" s="48"/>
    </row>
    <row r="4344" spans="10:10" ht="18.75" customHeight="1" x14ac:dyDescent="0.25">
      <c r="J4344" s="48"/>
    </row>
    <row r="4345" spans="10:10" ht="18.75" customHeight="1" x14ac:dyDescent="0.25">
      <c r="J4345" s="48"/>
    </row>
    <row r="4346" spans="10:10" ht="18.75" customHeight="1" x14ac:dyDescent="0.25">
      <c r="J4346" s="48"/>
    </row>
    <row r="4347" spans="10:10" ht="18.75" customHeight="1" x14ac:dyDescent="0.25">
      <c r="J4347" s="48"/>
    </row>
    <row r="4348" spans="10:10" ht="18.75" customHeight="1" x14ac:dyDescent="0.25">
      <c r="J4348" s="48"/>
    </row>
    <row r="4349" spans="10:10" ht="18.75" customHeight="1" x14ac:dyDescent="0.25">
      <c r="J4349" s="48"/>
    </row>
    <row r="4350" spans="10:10" ht="18.75" customHeight="1" x14ac:dyDescent="0.25">
      <c r="J4350" s="48"/>
    </row>
    <row r="4351" spans="10:10" ht="18.75" customHeight="1" x14ac:dyDescent="0.25">
      <c r="J4351" s="48"/>
    </row>
    <row r="4352" spans="10:10" ht="18.75" customHeight="1" x14ac:dyDescent="0.25">
      <c r="J4352" s="48"/>
    </row>
    <row r="4353" spans="10:10" ht="18.75" customHeight="1" x14ac:dyDescent="0.25">
      <c r="J4353" s="48"/>
    </row>
    <row r="4354" spans="10:10" ht="18.75" customHeight="1" x14ac:dyDescent="0.25">
      <c r="J4354" s="48"/>
    </row>
    <row r="4355" spans="10:10" ht="18.75" customHeight="1" x14ac:dyDescent="0.25">
      <c r="J4355" s="48"/>
    </row>
    <row r="4356" spans="10:10" ht="18.75" customHeight="1" x14ac:dyDescent="0.25">
      <c r="J4356" s="48"/>
    </row>
    <row r="4357" spans="10:10" ht="18.75" customHeight="1" x14ac:dyDescent="0.25">
      <c r="J4357" s="48"/>
    </row>
    <row r="4358" spans="10:10" ht="18.75" customHeight="1" x14ac:dyDescent="0.25">
      <c r="J4358" s="48"/>
    </row>
    <row r="4359" spans="10:10" ht="18.75" customHeight="1" x14ac:dyDescent="0.25">
      <c r="J4359" s="48"/>
    </row>
    <row r="4360" spans="10:10" ht="18.75" customHeight="1" x14ac:dyDescent="0.25">
      <c r="J4360" s="48"/>
    </row>
    <row r="4361" spans="10:10" ht="18.75" customHeight="1" x14ac:dyDescent="0.25">
      <c r="J4361" s="48"/>
    </row>
    <row r="4362" spans="10:10" ht="18.75" customHeight="1" x14ac:dyDescent="0.25">
      <c r="J4362" s="48"/>
    </row>
    <row r="4363" spans="10:10" ht="18.75" customHeight="1" x14ac:dyDescent="0.25">
      <c r="J4363" s="48"/>
    </row>
    <row r="4364" spans="10:10" ht="18.75" customHeight="1" x14ac:dyDescent="0.25">
      <c r="J4364" s="48"/>
    </row>
    <row r="4365" spans="10:10" ht="18.75" customHeight="1" x14ac:dyDescent="0.25">
      <c r="J4365" s="48"/>
    </row>
    <row r="4366" spans="10:10" ht="18.75" customHeight="1" x14ac:dyDescent="0.25">
      <c r="J4366" s="48"/>
    </row>
    <row r="4367" spans="10:10" ht="18.75" customHeight="1" x14ac:dyDescent="0.25">
      <c r="J4367" s="48"/>
    </row>
    <row r="4368" spans="10:10" ht="18.75" customHeight="1" x14ac:dyDescent="0.25">
      <c r="J4368" s="48"/>
    </row>
    <row r="4369" spans="10:10" ht="18.75" customHeight="1" x14ac:dyDescent="0.25">
      <c r="J4369" s="48"/>
    </row>
    <row r="4370" spans="10:10" ht="18.75" customHeight="1" x14ac:dyDescent="0.25">
      <c r="J4370" s="48"/>
    </row>
    <row r="4371" spans="10:10" ht="18.75" customHeight="1" x14ac:dyDescent="0.25">
      <c r="J4371" s="48"/>
    </row>
    <row r="4372" spans="10:10" ht="18.75" customHeight="1" x14ac:dyDescent="0.25">
      <c r="J4372" s="48"/>
    </row>
    <row r="4373" spans="10:10" ht="18.75" customHeight="1" x14ac:dyDescent="0.25">
      <c r="J4373" s="48"/>
    </row>
    <row r="4374" spans="10:10" ht="18.75" customHeight="1" x14ac:dyDescent="0.25">
      <c r="J4374" s="48"/>
    </row>
    <row r="4375" spans="10:10" ht="18.75" customHeight="1" x14ac:dyDescent="0.25">
      <c r="J4375" s="48"/>
    </row>
    <row r="4376" spans="10:10" ht="18.75" customHeight="1" x14ac:dyDescent="0.25">
      <c r="J4376" s="48"/>
    </row>
    <row r="4377" spans="10:10" ht="18.75" customHeight="1" x14ac:dyDescent="0.25">
      <c r="J4377" s="48"/>
    </row>
    <row r="4378" spans="10:10" ht="18.75" customHeight="1" x14ac:dyDescent="0.25">
      <c r="J4378" s="48"/>
    </row>
    <row r="4379" spans="10:10" ht="18.75" customHeight="1" x14ac:dyDescent="0.25">
      <c r="J4379" s="48"/>
    </row>
    <row r="4380" spans="10:10" ht="18.75" customHeight="1" x14ac:dyDescent="0.25">
      <c r="J4380" s="48"/>
    </row>
    <row r="4381" spans="10:10" ht="18.75" customHeight="1" x14ac:dyDescent="0.25">
      <c r="J4381" s="48"/>
    </row>
    <row r="4382" spans="10:10" ht="18.75" customHeight="1" x14ac:dyDescent="0.25">
      <c r="J4382" s="48"/>
    </row>
    <row r="4383" spans="10:10" ht="18.75" customHeight="1" x14ac:dyDescent="0.25">
      <c r="J4383" s="48"/>
    </row>
    <row r="4384" spans="10:10" ht="18.75" customHeight="1" x14ac:dyDescent="0.25">
      <c r="J4384" s="48"/>
    </row>
    <row r="4385" spans="10:10" ht="18.75" customHeight="1" x14ac:dyDescent="0.25">
      <c r="J4385" s="48"/>
    </row>
    <row r="4386" spans="10:10" ht="18.75" customHeight="1" x14ac:dyDescent="0.25">
      <c r="J4386" s="48"/>
    </row>
    <row r="4387" spans="10:10" ht="18.75" customHeight="1" x14ac:dyDescent="0.25">
      <c r="J4387" s="48"/>
    </row>
    <row r="4388" spans="10:10" ht="18.75" customHeight="1" x14ac:dyDescent="0.25">
      <c r="J4388" s="48"/>
    </row>
    <row r="4389" spans="10:10" ht="18.75" customHeight="1" x14ac:dyDescent="0.25">
      <c r="J4389" s="48"/>
    </row>
    <row r="4390" spans="10:10" ht="18.75" customHeight="1" x14ac:dyDescent="0.25">
      <c r="J4390" s="48"/>
    </row>
    <row r="4391" spans="10:10" ht="18.75" customHeight="1" x14ac:dyDescent="0.25">
      <c r="J4391" s="48"/>
    </row>
    <row r="4392" spans="10:10" ht="18.75" customHeight="1" x14ac:dyDescent="0.25">
      <c r="J4392" s="48"/>
    </row>
    <row r="4393" spans="10:10" ht="18.75" customHeight="1" x14ac:dyDescent="0.25">
      <c r="J4393" s="48"/>
    </row>
    <row r="4394" spans="10:10" ht="18.75" customHeight="1" x14ac:dyDescent="0.25">
      <c r="J4394" s="48"/>
    </row>
    <row r="4395" spans="10:10" ht="18.75" customHeight="1" x14ac:dyDescent="0.25">
      <c r="J4395" s="48"/>
    </row>
    <row r="4396" spans="10:10" ht="18.75" customHeight="1" x14ac:dyDescent="0.25">
      <c r="J4396" s="48"/>
    </row>
    <row r="4397" spans="10:10" ht="18.75" customHeight="1" x14ac:dyDescent="0.25">
      <c r="J4397" s="48"/>
    </row>
    <row r="4398" spans="10:10" ht="18.75" customHeight="1" x14ac:dyDescent="0.25">
      <c r="J4398" s="48"/>
    </row>
    <row r="4399" spans="10:10" ht="18.75" customHeight="1" x14ac:dyDescent="0.25">
      <c r="J4399" s="48"/>
    </row>
    <row r="4400" spans="10:10" ht="18.75" customHeight="1" x14ac:dyDescent="0.25">
      <c r="J4400" s="48"/>
    </row>
    <row r="4401" spans="10:10" ht="18.75" customHeight="1" x14ac:dyDescent="0.25">
      <c r="J4401" s="48"/>
    </row>
    <row r="4402" spans="10:10" ht="18.75" customHeight="1" x14ac:dyDescent="0.25">
      <c r="J4402" s="48"/>
    </row>
    <row r="4403" spans="10:10" ht="18.75" customHeight="1" x14ac:dyDescent="0.25">
      <c r="J4403" s="48"/>
    </row>
    <row r="4404" spans="10:10" ht="18.75" customHeight="1" x14ac:dyDescent="0.25">
      <c r="J4404" s="48"/>
    </row>
    <row r="4405" spans="10:10" ht="18.75" customHeight="1" x14ac:dyDescent="0.25">
      <c r="J4405" s="48"/>
    </row>
    <row r="4406" spans="10:10" ht="18.75" customHeight="1" x14ac:dyDescent="0.25">
      <c r="J4406" s="48"/>
    </row>
    <row r="4407" spans="10:10" ht="18.75" customHeight="1" x14ac:dyDescent="0.25">
      <c r="J4407" s="48"/>
    </row>
    <row r="4408" spans="10:10" ht="18.75" customHeight="1" x14ac:dyDescent="0.25">
      <c r="J4408" s="48"/>
    </row>
    <row r="4409" spans="10:10" ht="18.75" customHeight="1" x14ac:dyDescent="0.25">
      <c r="J4409" s="48"/>
    </row>
    <row r="4410" spans="10:10" ht="18.75" customHeight="1" x14ac:dyDescent="0.25">
      <c r="J4410" s="48"/>
    </row>
    <row r="4411" spans="10:10" ht="18.75" customHeight="1" x14ac:dyDescent="0.25">
      <c r="J4411" s="48"/>
    </row>
    <row r="4412" spans="10:10" ht="18.75" customHeight="1" x14ac:dyDescent="0.25">
      <c r="J4412" s="48"/>
    </row>
    <row r="4413" spans="10:10" ht="18.75" customHeight="1" x14ac:dyDescent="0.25">
      <c r="J4413" s="48"/>
    </row>
    <row r="4414" spans="10:10" ht="18.75" customHeight="1" x14ac:dyDescent="0.25">
      <c r="J4414" s="48"/>
    </row>
    <row r="4415" spans="10:10" ht="18.75" customHeight="1" x14ac:dyDescent="0.25">
      <c r="J4415" s="48"/>
    </row>
    <row r="4416" spans="10:10" ht="18.75" customHeight="1" x14ac:dyDescent="0.25">
      <c r="J4416" s="48"/>
    </row>
    <row r="4417" spans="10:10" ht="18.75" customHeight="1" x14ac:dyDescent="0.25">
      <c r="J4417" s="48"/>
    </row>
    <row r="4418" spans="10:10" ht="18.75" customHeight="1" x14ac:dyDescent="0.25">
      <c r="J4418" s="48"/>
    </row>
    <row r="4419" spans="10:10" ht="18.75" customHeight="1" x14ac:dyDescent="0.25">
      <c r="J4419" s="48"/>
    </row>
    <row r="4420" spans="10:10" ht="18.75" customHeight="1" x14ac:dyDescent="0.25">
      <c r="J4420" s="48"/>
    </row>
    <row r="4421" spans="10:10" ht="18.75" customHeight="1" x14ac:dyDescent="0.25">
      <c r="J4421" s="48"/>
    </row>
    <row r="4422" spans="10:10" ht="18.75" customHeight="1" x14ac:dyDescent="0.25">
      <c r="J4422" s="48"/>
    </row>
    <row r="4423" spans="10:10" ht="18.75" customHeight="1" x14ac:dyDescent="0.25">
      <c r="J4423" s="48"/>
    </row>
    <row r="4424" spans="10:10" ht="18.75" customHeight="1" x14ac:dyDescent="0.25">
      <c r="J4424" s="48"/>
    </row>
    <row r="4425" spans="10:10" ht="18.75" customHeight="1" x14ac:dyDescent="0.25">
      <c r="J4425" s="48"/>
    </row>
    <row r="4426" spans="10:10" ht="18.75" customHeight="1" x14ac:dyDescent="0.25">
      <c r="J4426" s="48"/>
    </row>
    <row r="4427" spans="10:10" ht="18.75" customHeight="1" x14ac:dyDescent="0.25">
      <c r="J4427" s="48"/>
    </row>
    <row r="4428" spans="10:10" ht="18.75" customHeight="1" x14ac:dyDescent="0.25">
      <c r="J4428" s="48"/>
    </row>
    <row r="4429" spans="10:10" ht="18.75" customHeight="1" x14ac:dyDescent="0.25">
      <c r="J4429" s="48"/>
    </row>
    <row r="4430" spans="10:10" ht="18.75" customHeight="1" x14ac:dyDescent="0.25">
      <c r="J4430" s="48"/>
    </row>
    <row r="4431" spans="10:10" ht="18.75" customHeight="1" x14ac:dyDescent="0.25">
      <c r="J4431" s="48"/>
    </row>
    <row r="4432" spans="10:10" ht="18.75" customHeight="1" x14ac:dyDescent="0.25">
      <c r="J4432" s="48"/>
    </row>
    <row r="4433" spans="10:10" ht="18.75" customHeight="1" x14ac:dyDescent="0.25">
      <c r="J4433" s="48"/>
    </row>
    <row r="4434" spans="10:10" ht="18.75" customHeight="1" x14ac:dyDescent="0.25">
      <c r="J4434" s="48"/>
    </row>
    <row r="4435" spans="10:10" ht="18.75" customHeight="1" x14ac:dyDescent="0.25">
      <c r="J4435" s="48"/>
    </row>
    <row r="4436" spans="10:10" ht="18.75" customHeight="1" x14ac:dyDescent="0.25">
      <c r="J4436" s="48"/>
    </row>
    <row r="4437" spans="10:10" ht="18.75" customHeight="1" x14ac:dyDescent="0.25">
      <c r="J4437" s="48"/>
    </row>
    <row r="4438" spans="10:10" ht="18.75" customHeight="1" x14ac:dyDescent="0.25">
      <c r="J4438" s="48"/>
    </row>
    <row r="4439" spans="10:10" ht="18.75" customHeight="1" x14ac:dyDescent="0.25">
      <c r="J4439" s="48"/>
    </row>
    <row r="4440" spans="10:10" ht="18.75" customHeight="1" x14ac:dyDescent="0.25">
      <c r="J4440" s="48"/>
    </row>
    <row r="4441" spans="10:10" ht="18.75" customHeight="1" x14ac:dyDescent="0.25">
      <c r="J4441" s="48"/>
    </row>
    <row r="4442" spans="10:10" ht="18.75" customHeight="1" x14ac:dyDescent="0.25">
      <c r="J4442" s="48"/>
    </row>
    <row r="4443" spans="10:10" ht="18.75" customHeight="1" x14ac:dyDescent="0.25">
      <c r="J4443" s="48"/>
    </row>
    <row r="4444" spans="10:10" ht="18.75" customHeight="1" x14ac:dyDescent="0.25">
      <c r="J4444" s="48"/>
    </row>
    <row r="4445" spans="10:10" ht="18.75" customHeight="1" x14ac:dyDescent="0.25">
      <c r="J4445" s="48"/>
    </row>
    <row r="4446" spans="10:10" ht="18.75" customHeight="1" x14ac:dyDescent="0.25">
      <c r="J4446" s="48"/>
    </row>
    <row r="4447" spans="10:10" ht="18.75" customHeight="1" x14ac:dyDescent="0.25">
      <c r="J4447" s="48"/>
    </row>
    <row r="4448" spans="10:10" ht="18.75" customHeight="1" x14ac:dyDescent="0.25">
      <c r="J4448" s="48"/>
    </row>
    <row r="4449" spans="10:10" ht="18.75" customHeight="1" x14ac:dyDescent="0.25">
      <c r="J4449" s="48"/>
    </row>
    <row r="4450" spans="10:10" ht="18.75" customHeight="1" x14ac:dyDescent="0.25">
      <c r="J4450" s="48"/>
    </row>
    <row r="4451" spans="10:10" ht="18.75" customHeight="1" x14ac:dyDescent="0.25">
      <c r="J4451" s="48"/>
    </row>
    <row r="4452" spans="10:10" ht="18.75" customHeight="1" x14ac:dyDescent="0.25">
      <c r="J4452" s="48"/>
    </row>
    <row r="4453" spans="10:10" ht="18.75" customHeight="1" x14ac:dyDescent="0.25">
      <c r="J4453" s="48"/>
    </row>
    <row r="4454" spans="10:10" ht="18.75" customHeight="1" x14ac:dyDescent="0.25">
      <c r="J4454" s="48"/>
    </row>
    <row r="4455" spans="10:10" ht="18.75" customHeight="1" x14ac:dyDescent="0.25">
      <c r="J4455" s="48"/>
    </row>
    <row r="4456" spans="10:10" ht="18.75" customHeight="1" x14ac:dyDescent="0.25">
      <c r="J4456" s="48"/>
    </row>
    <row r="4457" spans="10:10" ht="18.75" customHeight="1" x14ac:dyDescent="0.25">
      <c r="J4457" s="48"/>
    </row>
    <row r="4458" spans="10:10" ht="18.75" customHeight="1" x14ac:dyDescent="0.25">
      <c r="J4458" s="48"/>
    </row>
    <row r="4459" spans="10:10" ht="18.75" customHeight="1" x14ac:dyDescent="0.25">
      <c r="J4459" s="48"/>
    </row>
    <row r="4460" spans="10:10" ht="18.75" customHeight="1" x14ac:dyDescent="0.25">
      <c r="J4460" s="48"/>
    </row>
    <row r="4461" spans="10:10" ht="18.75" customHeight="1" x14ac:dyDescent="0.25">
      <c r="J4461" s="48"/>
    </row>
    <row r="4462" spans="10:10" ht="18.75" customHeight="1" x14ac:dyDescent="0.25">
      <c r="J4462" s="48"/>
    </row>
    <row r="4463" spans="10:10" ht="18.75" customHeight="1" x14ac:dyDescent="0.25">
      <c r="J4463" s="48"/>
    </row>
    <row r="4464" spans="10:10" ht="18.75" customHeight="1" x14ac:dyDescent="0.25">
      <c r="J4464" s="48"/>
    </row>
    <row r="4465" spans="10:10" ht="18.75" customHeight="1" x14ac:dyDescent="0.25">
      <c r="J4465" s="48"/>
    </row>
    <row r="4466" spans="10:10" ht="18.75" customHeight="1" x14ac:dyDescent="0.25">
      <c r="J4466" s="48"/>
    </row>
    <row r="4467" spans="10:10" ht="18.75" customHeight="1" x14ac:dyDescent="0.25">
      <c r="J4467" s="48"/>
    </row>
    <row r="4468" spans="10:10" ht="18.75" customHeight="1" x14ac:dyDescent="0.25">
      <c r="J4468" s="48"/>
    </row>
    <row r="4469" spans="10:10" ht="18.75" customHeight="1" x14ac:dyDescent="0.25">
      <c r="J4469" s="48"/>
    </row>
    <row r="4470" spans="10:10" ht="18.75" customHeight="1" x14ac:dyDescent="0.25">
      <c r="J4470" s="48"/>
    </row>
    <row r="4471" spans="10:10" ht="18.75" customHeight="1" x14ac:dyDescent="0.25">
      <c r="J4471" s="48"/>
    </row>
    <row r="4472" spans="10:10" ht="18.75" customHeight="1" x14ac:dyDescent="0.25">
      <c r="J4472" s="48"/>
    </row>
    <row r="4473" spans="10:10" ht="18.75" customHeight="1" x14ac:dyDescent="0.25">
      <c r="J4473" s="48"/>
    </row>
    <row r="4474" spans="10:10" ht="18.75" customHeight="1" x14ac:dyDescent="0.25">
      <c r="J4474" s="48"/>
    </row>
    <row r="4475" spans="10:10" ht="18.75" customHeight="1" x14ac:dyDescent="0.25">
      <c r="J4475" s="48"/>
    </row>
    <row r="4476" spans="10:10" ht="18.75" customHeight="1" x14ac:dyDescent="0.25">
      <c r="J4476" s="48"/>
    </row>
    <row r="4477" spans="10:10" ht="18.75" customHeight="1" x14ac:dyDescent="0.25">
      <c r="J4477" s="48"/>
    </row>
    <row r="4478" spans="10:10" ht="18.75" customHeight="1" x14ac:dyDescent="0.25">
      <c r="J4478" s="48"/>
    </row>
    <row r="4479" spans="10:10" ht="18.75" customHeight="1" x14ac:dyDescent="0.25">
      <c r="J4479" s="48"/>
    </row>
    <row r="4480" spans="10:10" ht="18.75" customHeight="1" x14ac:dyDescent="0.25">
      <c r="J4480" s="48"/>
    </row>
    <row r="4481" spans="10:10" ht="18.75" customHeight="1" x14ac:dyDescent="0.25">
      <c r="J4481" s="48"/>
    </row>
    <row r="4482" spans="10:10" ht="18.75" customHeight="1" x14ac:dyDescent="0.25">
      <c r="J4482" s="48"/>
    </row>
    <row r="4483" spans="10:10" ht="18.75" customHeight="1" x14ac:dyDescent="0.25">
      <c r="J4483" s="48"/>
    </row>
    <row r="4484" spans="10:10" ht="18.75" customHeight="1" x14ac:dyDescent="0.25">
      <c r="J4484" s="48"/>
    </row>
    <row r="4485" spans="10:10" ht="18.75" customHeight="1" x14ac:dyDescent="0.25">
      <c r="J4485" s="48"/>
    </row>
    <row r="4486" spans="10:10" ht="18.75" customHeight="1" x14ac:dyDescent="0.25">
      <c r="J4486" s="48"/>
    </row>
    <row r="4487" spans="10:10" ht="18.75" customHeight="1" x14ac:dyDescent="0.25">
      <c r="J4487" s="48"/>
    </row>
    <row r="4488" spans="10:10" ht="18.75" customHeight="1" x14ac:dyDescent="0.25">
      <c r="J4488" s="48"/>
    </row>
    <row r="4489" spans="10:10" ht="18.75" customHeight="1" x14ac:dyDescent="0.25">
      <c r="J4489" s="48"/>
    </row>
    <row r="4490" spans="10:10" ht="18.75" customHeight="1" x14ac:dyDescent="0.25">
      <c r="J4490" s="48"/>
    </row>
    <row r="4491" spans="10:10" ht="18.75" customHeight="1" x14ac:dyDescent="0.25">
      <c r="J4491" s="48"/>
    </row>
    <row r="4492" spans="10:10" ht="18.75" customHeight="1" x14ac:dyDescent="0.25">
      <c r="J4492" s="48"/>
    </row>
    <row r="4493" spans="10:10" ht="18.75" customHeight="1" x14ac:dyDescent="0.25">
      <c r="J4493" s="48"/>
    </row>
    <row r="4494" spans="10:10" ht="18.75" customHeight="1" x14ac:dyDescent="0.25">
      <c r="J4494" s="48"/>
    </row>
    <row r="4495" spans="10:10" ht="18.75" customHeight="1" x14ac:dyDescent="0.25">
      <c r="J4495" s="48"/>
    </row>
    <row r="4496" spans="10:10" ht="18.75" customHeight="1" x14ac:dyDescent="0.25">
      <c r="J4496" s="48"/>
    </row>
    <row r="4497" spans="10:10" ht="18.75" customHeight="1" x14ac:dyDescent="0.25">
      <c r="J4497" s="48"/>
    </row>
    <row r="4498" spans="10:10" ht="18.75" customHeight="1" x14ac:dyDescent="0.25">
      <c r="J4498" s="48"/>
    </row>
    <row r="4499" spans="10:10" ht="18.75" customHeight="1" x14ac:dyDescent="0.25">
      <c r="J4499" s="48"/>
    </row>
    <row r="4500" spans="10:10" ht="18.75" customHeight="1" x14ac:dyDescent="0.25">
      <c r="J4500" s="48"/>
    </row>
    <row r="4501" spans="10:10" ht="18.75" customHeight="1" x14ac:dyDescent="0.25">
      <c r="J4501" s="48"/>
    </row>
    <row r="4502" spans="10:10" ht="18.75" customHeight="1" x14ac:dyDescent="0.25">
      <c r="J4502" s="48"/>
    </row>
    <row r="4503" spans="10:10" ht="18.75" customHeight="1" x14ac:dyDescent="0.25">
      <c r="J4503" s="48"/>
    </row>
    <row r="4504" spans="10:10" ht="18.75" customHeight="1" x14ac:dyDescent="0.25">
      <c r="J4504" s="48"/>
    </row>
    <row r="4505" spans="10:10" ht="18.75" customHeight="1" x14ac:dyDescent="0.25">
      <c r="J4505" s="48"/>
    </row>
    <row r="4506" spans="10:10" ht="18.75" customHeight="1" x14ac:dyDescent="0.25">
      <c r="J4506" s="48"/>
    </row>
    <row r="4507" spans="10:10" ht="18.75" customHeight="1" x14ac:dyDescent="0.25">
      <c r="J4507" s="48"/>
    </row>
    <row r="4508" spans="10:10" ht="18.75" customHeight="1" x14ac:dyDescent="0.25">
      <c r="J4508" s="48"/>
    </row>
    <row r="4509" spans="10:10" ht="18.75" customHeight="1" x14ac:dyDescent="0.25">
      <c r="J4509" s="48"/>
    </row>
    <row r="4510" spans="10:10" ht="18.75" customHeight="1" x14ac:dyDescent="0.25">
      <c r="J4510" s="48"/>
    </row>
    <row r="4511" spans="10:10" ht="18.75" customHeight="1" x14ac:dyDescent="0.25">
      <c r="J4511" s="48"/>
    </row>
    <row r="4512" spans="10:10" ht="18.75" customHeight="1" x14ac:dyDescent="0.25">
      <c r="J4512" s="48"/>
    </row>
    <row r="4513" spans="10:10" ht="18.75" customHeight="1" x14ac:dyDescent="0.25">
      <c r="J4513" s="48"/>
    </row>
    <row r="4514" spans="10:10" ht="18.75" customHeight="1" x14ac:dyDescent="0.25">
      <c r="J4514" s="48"/>
    </row>
    <row r="4515" spans="10:10" ht="18.75" customHeight="1" x14ac:dyDescent="0.25">
      <c r="J4515" s="48"/>
    </row>
    <row r="4516" spans="10:10" ht="18.75" customHeight="1" x14ac:dyDescent="0.25">
      <c r="J4516" s="48"/>
    </row>
    <row r="4517" spans="10:10" ht="18.75" customHeight="1" x14ac:dyDescent="0.25">
      <c r="J4517" s="48"/>
    </row>
    <row r="4518" spans="10:10" ht="18.75" customHeight="1" x14ac:dyDescent="0.25">
      <c r="J4518" s="48"/>
    </row>
    <row r="4519" spans="10:10" ht="18.75" customHeight="1" x14ac:dyDescent="0.25">
      <c r="J4519" s="48"/>
    </row>
    <row r="4520" spans="10:10" ht="18.75" customHeight="1" x14ac:dyDescent="0.25">
      <c r="J4520" s="48"/>
    </row>
    <row r="4521" spans="10:10" ht="18.75" customHeight="1" x14ac:dyDescent="0.25">
      <c r="J4521" s="48"/>
    </row>
    <row r="4522" spans="10:10" ht="18.75" customHeight="1" x14ac:dyDescent="0.25">
      <c r="J4522" s="48"/>
    </row>
    <row r="4523" spans="10:10" ht="18.75" customHeight="1" x14ac:dyDescent="0.25">
      <c r="J4523" s="48"/>
    </row>
    <row r="4524" spans="10:10" ht="18.75" customHeight="1" x14ac:dyDescent="0.25">
      <c r="J4524" s="48"/>
    </row>
    <row r="4525" spans="10:10" ht="18.75" customHeight="1" x14ac:dyDescent="0.25">
      <c r="J4525" s="48"/>
    </row>
    <row r="4526" spans="10:10" ht="18.75" customHeight="1" x14ac:dyDescent="0.25">
      <c r="J4526" s="48"/>
    </row>
    <row r="4527" spans="10:10" ht="18.75" customHeight="1" x14ac:dyDescent="0.25">
      <c r="J4527" s="48"/>
    </row>
    <row r="4528" spans="10:10" ht="18.75" customHeight="1" x14ac:dyDescent="0.25">
      <c r="J4528" s="48"/>
    </row>
    <row r="4529" spans="10:10" ht="18.75" customHeight="1" x14ac:dyDescent="0.25">
      <c r="J4529" s="48"/>
    </row>
    <row r="4530" spans="10:10" ht="18.75" customHeight="1" x14ac:dyDescent="0.25">
      <c r="J4530" s="48"/>
    </row>
    <row r="4531" spans="10:10" ht="18.75" customHeight="1" x14ac:dyDescent="0.25">
      <c r="J4531" s="48"/>
    </row>
    <row r="4532" spans="10:10" ht="18.75" customHeight="1" x14ac:dyDescent="0.25">
      <c r="J4532" s="48"/>
    </row>
    <row r="4533" spans="10:10" ht="18.75" customHeight="1" x14ac:dyDescent="0.25">
      <c r="J4533" s="48"/>
    </row>
    <row r="4534" spans="10:10" ht="18.75" customHeight="1" x14ac:dyDescent="0.25">
      <c r="J4534" s="48"/>
    </row>
    <row r="4535" spans="10:10" ht="18.75" customHeight="1" x14ac:dyDescent="0.25">
      <c r="J4535" s="48"/>
    </row>
    <row r="4536" spans="10:10" ht="18.75" customHeight="1" x14ac:dyDescent="0.25">
      <c r="J4536" s="48"/>
    </row>
    <row r="4537" spans="10:10" ht="18.75" customHeight="1" x14ac:dyDescent="0.25">
      <c r="J4537" s="48"/>
    </row>
    <row r="4538" spans="10:10" ht="18.75" customHeight="1" x14ac:dyDescent="0.25">
      <c r="J4538" s="48"/>
    </row>
    <row r="4539" spans="10:10" ht="18.75" customHeight="1" x14ac:dyDescent="0.25">
      <c r="J4539" s="48"/>
    </row>
    <row r="4540" spans="10:10" ht="18.75" customHeight="1" x14ac:dyDescent="0.25">
      <c r="J4540" s="48"/>
    </row>
    <row r="4541" spans="10:10" ht="18.75" customHeight="1" x14ac:dyDescent="0.25">
      <c r="J4541" s="48"/>
    </row>
    <row r="4542" spans="10:10" ht="18.75" customHeight="1" x14ac:dyDescent="0.25">
      <c r="J4542" s="48"/>
    </row>
    <row r="4543" spans="10:10" ht="18.75" customHeight="1" x14ac:dyDescent="0.25">
      <c r="J4543" s="48"/>
    </row>
    <row r="4544" spans="10:10" ht="18.75" customHeight="1" x14ac:dyDescent="0.25">
      <c r="J4544" s="48"/>
    </row>
    <row r="4545" spans="10:10" ht="18.75" customHeight="1" x14ac:dyDescent="0.25">
      <c r="J4545" s="48"/>
    </row>
    <row r="4546" spans="10:10" ht="18.75" customHeight="1" x14ac:dyDescent="0.25">
      <c r="J4546" s="48"/>
    </row>
    <row r="4547" spans="10:10" ht="18.75" customHeight="1" x14ac:dyDescent="0.25">
      <c r="J4547" s="48"/>
    </row>
    <row r="4548" spans="10:10" ht="18.75" customHeight="1" x14ac:dyDescent="0.25">
      <c r="J4548" s="48"/>
    </row>
    <row r="4549" spans="10:10" ht="18.75" customHeight="1" x14ac:dyDescent="0.25">
      <c r="J4549" s="48"/>
    </row>
    <row r="4550" spans="10:10" ht="18.75" customHeight="1" x14ac:dyDescent="0.25">
      <c r="J4550" s="48"/>
    </row>
    <row r="4551" spans="10:10" ht="18.75" customHeight="1" x14ac:dyDescent="0.25">
      <c r="J4551" s="48"/>
    </row>
    <row r="4552" spans="10:10" ht="18.75" customHeight="1" x14ac:dyDescent="0.25">
      <c r="J4552" s="48"/>
    </row>
    <row r="4553" spans="10:10" ht="18.75" customHeight="1" x14ac:dyDescent="0.25">
      <c r="J4553" s="48"/>
    </row>
    <row r="4554" spans="10:10" ht="18.75" customHeight="1" x14ac:dyDescent="0.25">
      <c r="J4554" s="48"/>
    </row>
    <row r="4555" spans="10:10" ht="18.75" customHeight="1" x14ac:dyDescent="0.25">
      <c r="J4555" s="48"/>
    </row>
    <row r="4556" spans="10:10" ht="18.75" customHeight="1" x14ac:dyDescent="0.25">
      <c r="J4556" s="48"/>
    </row>
    <row r="4557" spans="10:10" ht="18.75" customHeight="1" x14ac:dyDescent="0.25">
      <c r="J4557" s="48"/>
    </row>
    <row r="4558" spans="10:10" ht="18.75" customHeight="1" x14ac:dyDescent="0.25">
      <c r="J4558" s="48"/>
    </row>
    <row r="4559" spans="10:10" ht="18.75" customHeight="1" x14ac:dyDescent="0.25">
      <c r="J4559" s="48"/>
    </row>
    <row r="4560" spans="10:10" ht="18.75" customHeight="1" x14ac:dyDescent="0.25">
      <c r="J4560" s="48"/>
    </row>
    <row r="4561" spans="10:10" ht="18.75" customHeight="1" x14ac:dyDescent="0.25">
      <c r="J4561" s="48"/>
    </row>
    <row r="4562" spans="10:10" ht="18.75" customHeight="1" x14ac:dyDescent="0.25">
      <c r="J4562" s="48"/>
    </row>
    <row r="4563" spans="10:10" ht="18.75" customHeight="1" x14ac:dyDescent="0.25">
      <c r="J4563" s="48"/>
    </row>
    <row r="4564" spans="10:10" ht="18.75" customHeight="1" x14ac:dyDescent="0.25">
      <c r="J4564" s="48"/>
    </row>
    <row r="4565" spans="10:10" ht="18.75" customHeight="1" x14ac:dyDescent="0.25">
      <c r="J4565" s="48"/>
    </row>
    <row r="4566" spans="10:10" ht="18.75" customHeight="1" x14ac:dyDescent="0.25">
      <c r="J4566" s="48"/>
    </row>
    <row r="4567" spans="10:10" ht="18.75" customHeight="1" x14ac:dyDescent="0.25">
      <c r="J4567" s="48"/>
    </row>
    <row r="4568" spans="10:10" ht="18.75" customHeight="1" x14ac:dyDescent="0.25">
      <c r="J4568" s="48"/>
    </row>
    <row r="4569" spans="10:10" ht="18.75" customHeight="1" x14ac:dyDescent="0.25">
      <c r="J4569" s="48"/>
    </row>
    <row r="4570" spans="10:10" ht="18.75" customHeight="1" x14ac:dyDescent="0.25">
      <c r="J4570" s="48"/>
    </row>
    <row r="4571" spans="10:10" ht="18.75" customHeight="1" x14ac:dyDescent="0.25">
      <c r="J4571" s="48"/>
    </row>
    <row r="4572" spans="10:10" ht="18.75" customHeight="1" x14ac:dyDescent="0.25">
      <c r="J4572" s="48"/>
    </row>
    <row r="4573" spans="10:10" ht="18.75" customHeight="1" x14ac:dyDescent="0.25">
      <c r="J4573" s="48"/>
    </row>
    <row r="4574" spans="10:10" ht="18.75" customHeight="1" x14ac:dyDescent="0.25">
      <c r="J4574" s="48"/>
    </row>
    <row r="4575" spans="10:10" ht="18.75" customHeight="1" x14ac:dyDescent="0.25">
      <c r="J4575" s="48"/>
    </row>
    <row r="4576" spans="10:10" ht="18.75" customHeight="1" x14ac:dyDescent="0.25">
      <c r="J4576" s="48"/>
    </row>
    <row r="4577" spans="10:10" ht="18.75" customHeight="1" x14ac:dyDescent="0.25">
      <c r="J4577" s="48"/>
    </row>
    <row r="4578" spans="10:10" ht="18.75" customHeight="1" x14ac:dyDescent="0.25">
      <c r="J4578" s="48"/>
    </row>
    <row r="4579" spans="10:10" ht="18.75" customHeight="1" x14ac:dyDescent="0.25">
      <c r="J4579" s="48"/>
    </row>
    <row r="4580" spans="10:10" ht="18.75" customHeight="1" x14ac:dyDescent="0.25">
      <c r="J4580" s="48"/>
    </row>
    <row r="4581" spans="10:10" ht="18.75" customHeight="1" x14ac:dyDescent="0.25">
      <c r="J4581" s="48"/>
    </row>
    <row r="4582" spans="10:10" ht="18.75" customHeight="1" x14ac:dyDescent="0.25">
      <c r="J4582" s="48"/>
    </row>
    <row r="4583" spans="10:10" ht="18.75" customHeight="1" x14ac:dyDescent="0.25">
      <c r="J4583" s="48"/>
    </row>
    <row r="4584" spans="10:10" ht="18.75" customHeight="1" x14ac:dyDescent="0.25">
      <c r="J4584" s="48"/>
    </row>
    <row r="4585" spans="10:10" ht="18.75" customHeight="1" x14ac:dyDescent="0.25">
      <c r="J4585" s="48"/>
    </row>
    <row r="4586" spans="10:10" ht="18.75" customHeight="1" x14ac:dyDescent="0.25">
      <c r="J4586" s="48"/>
    </row>
    <row r="4587" spans="10:10" ht="18.75" customHeight="1" x14ac:dyDescent="0.25">
      <c r="J4587" s="48"/>
    </row>
    <row r="4588" spans="10:10" ht="18.75" customHeight="1" x14ac:dyDescent="0.25">
      <c r="J4588" s="48"/>
    </row>
    <row r="4589" spans="10:10" ht="18.75" customHeight="1" x14ac:dyDescent="0.25">
      <c r="J4589" s="48"/>
    </row>
    <row r="4590" spans="10:10" ht="18.75" customHeight="1" x14ac:dyDescent="0.25">
      <c r="J4590" s="48"/>
    </row>
    <row r="4591" spans="10:10" ht="18.75" customHeight="1" x14ac:dyDescent="0.25">
      <c r="J4591" s="48"/>
    </row>
    <row r="4592" spans="10:10" ht="18.75" customHeight="1" x14ac:dyDescent="0.25">
      <c r="J4592" s="48"/>
    </row>
    <row r="4593" spans="10:10" ht="18.75" customHeight="1" x14ac:dyDescent="0.25">
      <c r="J4593" s="48"/>
    </row>
    <row r="4594" spans="10:10" ht="18.75" customHeight="1" x14ac:dyDescent="0.25">
      <c r="J4594" s="48"/>
    </row>
    <row r="4595" spans="10:10" ht="18.75" customHeight="1" x14ac:dyDescent="0.25">
      <c r="J4595" s="48"/>
    </row>
    <row r="4596" spans="10:10" ht="18.75" customHeight="1" x14ac:dyDescent="0.25">
      <c r="J4596" s="48"/>
    </row>
    <row r="4597" spans="10:10" ht="18.75" customHeight="1" x14ac:dyDescent="0.25">
      <c r="J4597" s="48"/>
    </row>
    <row r="4598" spans="10:10" ht="18.75" customHeight="1" x14ac:dyDescent="0.25">
      <c r="J4598" s="48"/>
    </row>
    <row r="4599" spans="10:10" ht="18.75" customHeight="1" x14ac:dyDescent="0.25">
      <c r="J4599" s="48"/>
    </row>
    <row r="4600" spans="10:10" ht="18.75" customHeight="1" x14ac:dyDescent="0.25">
      <c r="J4600" s="48"/>
    </row>
    <row r="4601" spans="10:10" ht="18.75" customHeight="1" x14ac:dyDescent="0.25">
      <c r="J4601" s="48"/>
    </row>
    <row r="4602" spans="10:10" ht="18.75" customHeight="1" x14ac:dyDescent="0.25">
      <c r="J4602" s="48"/>
    </row>
    <row r="4603" spans="10:10" ht="18.75" customHeight="1" x14ac:dyDescent="0.25">
      <c r="J4603" s="48"/>
    </row>
    <row r="4604" spans="10:10" ht="18.75" customHeight="1" x14ac:dyDescent="0.25">
      <c r="J4604" s="48"/>
    </row>
    <row r="4605" spans="10:10" ht="18.75" customHeight="1" x14ac:dyDescent="0.25">
      <c r="J4605" s="48"/>
    </row>
    <row r="4606" spans="10:10" ht="18.75" customHeight="1" x14ac:dyDescent="0.25">
      <c r="J4606" s="48"/>
    </row>
    <row r="4607" spans="10:10" ht="18.75" customHeight="1" x14ac:dyDescent="0.25">
      <c r="J4607" s="48"/>
    </row>
    <row r="4608" spans="10:10" ht="18.75" customHeight="1" x14ac:dyDescent="0.25">
      <c r="J4608" s="48"/>
    </row>
    <row r="4609" spans="10:10" ht="18.75" customHeight="1" x14ac:dyDescent="0.25">
      <c r="J4609" s="48"/>
    </row>
    <row r="4610" spans="10:10" ht="18.75" customHeight="1" x14ac:dyDescent="0.25">
      <c r="J4610" s="48"/>
    </row>
    <row r="4611" spans="10:10" ht="18.75" customHeight="1" x14ac:dyDescent="0.25">
      <c r="J4611" s="48"/>
    </row>
    <row r="4612" spans="10:10" ht="18.75" customHeight="1" x14ac:dyDescent="0.25">
      <c r="J4612" s="48"/>
    </row>
    <row r="4613" spans="10:10" ht="18.75" customHeight="1" x14ac:dyDescent="0.25">
      <c r="J4613" s="48"/>
    </row>
    <row r="4614" spans="10:10" ht="18.75" customHeight="1" x14ac:dyDescent="0.25">
      <c r="J4614" s="48"/>
    </row>
    <row r="4615" spans="10:10" ht="18.75" customHeight="1" x14ac:dyDescent="0.25">
      <c r="J4615" s="48"/>
    </row>
    <row r="4616" spans="10:10" ht="18.75" customHeight="1" x14ac:dyDescent="0.25">
      <c r="J4616" s="48"/>
    </row>
    <row r="4617" spans="10:10" ht="18.75" customHeight="1" x14ac:dyDescent="0.25">
      <c r="J4617" s="48"/>
    </row>
    <row r="4618" spans="10:10" ht="18.75" customHeight="1" x14ac:dyDescent="0.25">
      <c r="J4618" s="48"/>
    </row>
    <row r="4619" spans="10:10" ht="18.75" customHeight="1" x14ac:dyDescent="0.25">
      <c r="J4619" s="48"/>
    </row>
    <row r="4620" spans="10:10" ht="18.75" customHeight="1" x14ac:dyDescent="0.25">
      <c r="J4620" s="48"/>
    </row>
    <row r="4621" spans="10:10" ht="18.75" customHeight="1" x14ac:dyDescent="0.25">
      <c r="J4621" s="48"/>
    </row>
    <row r="4622" spans="10:10" ht="18.75" customHeight="1" x14ac:dyDescent="0.25">
      <c r="J4622" s="48"/>
    </row>
    <row r="4623" spans="10:10" ht="18.75" customHeight="1" x14ac:dyDescent="0.25">
      <c r="J4623" s="48"/>
    </row>
    <row r="4624" spans="10:10" ht="18.75" customHeight="1" x14ac:dyDescent="0.25">
      <c r="J4624" s="48"/>
    </row>
    <row r="4625" spans="10:10" ht="18.75" customHeight="1" x14ac:dyDescent="0.25">
      <c r="J4625" s="48"/>
    </row>
    <row r="4626" spans="10:10" ht="18.75" customHeight="1" x14ac:dyDescent="0.25">
      <c r="J4626" s="48"/>
    </row>
    <row r="4627" spans="10:10" ht="18.75" customHeight="1" x14ac:dyDescent="0.25">
      <c r="J4627" s="48"/>
    </row>
    <row r="4628" spans="10:10" ht="18.75" customHeight="1" x14ac:dyDescent="0.25">
      <c r="J4628" s="48"/>
    </row>
    <row r="4629" spans="10:10" ht="18.75" customHeight="1" x14ac:dyDescent="0.25">
      <c r="J4629" s="48"/>
    </row>
    <row r="4630" spans="10:10" ht="18.75" customHeight="1" x14ac:dyDescent="0.25">
      <c r="J4630" s="48"/>
    </row>
    <row r="4631" spans="10:10" ht="18.75" customHeight="1" x14ac:dyDescent="0.25">
      <c r="J4631" s="48"/>
    </row>
    <row r="4632" spans="10:10" ht="18.75" customHeight="1" x14ac:dyDescent="0.25">
      <c r="J4632" s="48"/>
    </row>
    <row r="4633" spans="10:10" ht="18.75" customHeight="1" x14ac:dyDescent="0.25">
      <c r="J4633" s="48"/>
    </row>
    <row r="4634" spans="10:10" ht="18.75" customHeight="1" x14ac:dyDescent="0.25">
      <c r="J4634" s="48"/>
    </row>
    <row r="4635" spans="10:10" ht="18.75" customHeight="1" x14ac:dyDescent="0.25">
      <c r="J4635" s="48"/>
    </row>
    <row r="4636" spans="10:10" ht="18.75" customHeight="1" x14ac:dyDescent="0.25">
      <c r="J4636" s="48"/>
    </row>
    <row r="4637" spans="10:10" ht="18.75" customHeight="1" x14ac:dyDescent="0.25">
      <c r="J4637" s="48"/>
    </row>
    <row r="4638" spans="10:10" ht="18.75" customHeight="1" x14ac:dyDescent="0.25">
      <c r="J4638" s="48"/>
    </row>
    <row r="4639" spans="10:10" ht="18.75" customHeight="1" x14ac:dyDescent="0.25">
      <c r="J4639" s="48"/>
    </row>
    <row r="4640" spans="10:10" ht="18.75" customHeight="1" x14ac:dyDescent="0.25">
      <c r="J4640" s="48"/>
    </row>
    <row r="4641" spans="10:10" ht="18.75" customHeight="1" x14ac:dyDescent="0.25">
      <c r="J4641" s="48"/>
    </row>
    <row r="4642" spans="10:10" ht="18.75" customHeight="1" x14ac:dyDescent="0.25">
      <c r="J4642" s="48"/>
    </row>
    <row r="4643" spans="10:10" ht="18.75" customHeight="1" x14ac:dyDescent="0.25">
      <c r="J4643" s="48"/>
    </row>
    <row r="4644" spans="10:10" ht="18.75" customHeight="1" x14ac:dyDescent="0.25">
      <c r="J4644" s="48"/>
    </row>
    <row r="4645" spans="10:10" ht="18.75" customHeight="1" x14ac:dyDescent="0.25">
      <c r="J4645" s="48"/>
    </row>
    <row r="4646" spans="10:10" ht="18.75" customHeight="1" x14ac:dyDescent="0.25">
      <c r="J4646" s="48"/>
    </row>
    <row r="4647" spans="10:10" ht="18.75" customHeight="1" x14ac:dyDescent="0.25">
      <c r="J4647" s="48"/>
    </row>
    <row r="4648" spans="10:10" ht="18.75" customHeight="1" x14ac:dyDescent="0.25">
      <c r="J4648" s="48"/>
    </row>
    <row r="4649" spans="10:10" ht="18.75" customHeight="1" x14ac:dyDescent="0.25">
      <c r="J4649" s="48"/>
    </row>
    <row r="4650" spans="10:10" ht="18.75" customHeight="1" x14ac:dyDescent="0.25">
      <c r="J4650" s="48"/>
    </row>
    <row r="4651" spans="10:10" ht="18.75" customHeight="1" x14ac:dyDescent="0.25">
      <c r="J4651" s="48"/>
    </row>
    <row r="4652" spans="10:10" ht="18.75" customHeight="1" x14ac:dyDescent="0.25">
      <c r="J4652" s="48"/>
    </row>
    <row r="4653" spans="10:10" ht="18.75" customHeight="1" x14ac:dyDescent="0.25">
      <c r="J4653" s="48"/>
    </row>
    <row r="4654" spans="10:10" ht="18.75" customHeight="1" x14ac:dyDescent="0.25">
      <c r="J4654" s="48"/>
    </row>
    <row r="4655" spans="10:10" ht="18.75" customHeight="1" x14ac:dyDescent="0.25">
      <c r="J4655" s="48"/>
    </row>
    <row r="4656" spans="10:10" ht="18.75" customHeight="1" x14ac:dyDescent="0.25">
      <c r="J4656" s="48"/>
    </row>
    <row r="4657" spans="10:10" ht="18.75" customHeight="1" x14ac:dyDescent="0.25">
      <c r="J4657" s="48"/>
    </row>
    <row r="4658" spans="10:10" ht="18.75" customHeight="1" x14ac:dyDescent="0.25">
      <c r="J4658" s="48"/>
    </row>
    <row r="4659" spans="10:10" ht="18.75" customHeight="1" x14ac:dyDescent="0.25">
      <c r="J4659" s="48"/>
    </row>
    <row r="4660" spans="10:10" ht="18.75" customHeight="1" x14ac:dyDescent="0.25">
      <c r="J4660" s="48"/>
    </row>
    <row r="4661" spans="10:10" ht="18.75" customHeight="1" x14ac:dyDescent="0.25">
      <c r="J4661" s="48"/>
    </row>
    <row r="4662" spans="10:10" ht="18.75" customHeight="1" x14ac:dyDescent="0.25">
      <c r="J4662" s="48"/>
    </row>
    <row r="4663" spans="10:10" ht="18.75" customHeight="1" x14ac:dyDescent="0.25">
      <c r="J4663" s="48"/>
    </row>
    <row r="4664" spans="10:10" ht="18.75" customHeight="1" x14ac:dyDescent="0.25">
      <c r="J4664" s="48"/>
    </row>
    <row r="4665" spans="10:10" ht="18.75" customHeight="1" x14ac:dyDescent="0.25">
      <c r="J4665" s="48"/>
    </row>
    <row r="4666" spans="10:10" ht="18.75" customHeight="1" x14ac:dyDescent="0.25">
      <c r="J4666" s="48"/>
    </row>
    <row r="4667" spans="10:10" ht="18.75" customHeight="1" x14ac:dyDescent="0.25">
      <c r="J4667" s="48"/>
    </row>
    <row r="4668" spans="10:10" ht="18.75" customHeight="1" x14ac:dyDescent="0.25">
      <c r="J4668" s="48"/>
    </row>
    <row r="4669" spans="10:10" ht="18.75" customHeight="1" x14ac:dyDescent="0.25">
      <c r="J4669" s="48"/>
    </row>
    <row r="4670" spans="10:10" ht="18.75" customHeight="1" x14ac:dyDescent="0.25">
      <c r="J4670" s="48"/>
    </row>
    <row r="4671" spans="10:10" ht="18.75" customHeight="1" x14ac:dyDescent="0.25">
      <c r="J4671" s="48"/>
    </row>
    <row r="4672" spans="10:10" ht="18.75" customHeight="1" x14ac:dyDescent="0.25">
      <c r="J4672" s="48"/>
    </row>
    <row r="4673" spans="10:10" ht="18.75" customHeight="1" x14ac:dyDescent="0.25">
      <c r="J4673" s="48"/>
    </row>
    <row r="4674" spans="10:10" ht="18.75" customHeight="1" x14ac:dyDescent="0.25">
      <c r="J4674" s="48"/>
    </row>
    <row r="4675" spans="10:10" ht="18.75" customHeight="1" x14ac:dyDescent="0.25">
      <c r="J4675" s="48"/>
    </row>
    <row r="4676" spans="10:10" ht="18.75" customHeight="1" x14ac:dyDescent="0.25">
      <c r="J4676" s="48"/>
    </row>
    <row r="4677" spans="10:10" ht="18.75" customHeight="1" x14ac:dyDescent="0.25">
      <c r="J4677" s="48"/>
    </row>
    <row r="4678" spans="10:10" ht="18.75" customHeight="1" x14ac:dyDescent="0.25">
      <c r="J4678" s="48"/>
    </row>
    <row r="4679" spans="10:10" ht="18.75" customHeight="1" x14ac:dyDescent="0.25">
      <c r="J4679" s="48"/>
    </row>
    <row r="4680" spans="10:10" ht="18.75" customHeight="1" x14ac:dyDescent="0.25">
      <c r="J4680" s="48"/>
    </row>
    <row r="4681" spans="10:10" ht="18.75" customHeight="1" x14ac:dyDescent="0.25">
      <c r="J4681" s="48"/>
    </row>
    <row r="4682" spans="10:10" ht="18.75" customHeight="1" x14ac:dyDescent="0.25">
      <c r="J4682" s="48"/>
    </row>
    <row r="4683" spans="10:10" ht="18.75" customHeight="1" x14ac:dyDescent="0.25">
      <c r="J4683" s="48"/>
    </row>
    <row r="4684" spans="10:10" ht="18.75" customHeight="1" x14ac:dyDescent="0.25">
      <c r="J4684" s="48"/>
    </row>
    <row r="4685" spans="10:10" ht="18.75" customHeight="1" x14ac:dyDescent="0.25">
      <c r="J4685" s="48"/>
    </row>
    <row r="4686" spans="10:10" ht="18.75" customHeight="1" x14ac:dyDescent="0.25">
      <c r="J4686" s="48"/>
    </row>
    <row r="4687" spans="10:10" ht="18.75" customHeight="1" x14ac:dyDescent="0.25">
      <c r="J4687" s="48"/>
    </row>
    <row r="4688" spans="10:10" ht="18.75" customHeight="1" x14ac:dyDescent="0.25">
      <c r="J4688" s="48"/>
    </row>
    <row r="4689" spans="10:10" ht="18.75" customHeight="1" x14ac:dyDescent="0.25">
      <c r="J4689" s="48"/>
    </row>
    <row r="4690" spans="10:10" ht="18.75" customHeight="1" x14ac:dyDescent="0.25">
      <c r="J4690" s="48"/>
    </row>
    <row r="4691" spans="10:10" ht="18.75" customHeight="1" x14ac:dyDescent="0.25">
      <c r="J4691" s="48"/>
    </row>
    <row r="4692" spans="10:10" ht="18.75" customHeight="1" x14ac:dyDescent="0.25">
      <c r="J4692" s="48"/>
    </row>
    <row r="4693" spans="10:10" ht="18.75" customHeight="1" x14ac:dyDescent="0.25">
      <c r="J4693" s="48"/>
    </row>
    <row r="4694" spans="10:10" ht="18.75" customHeight="1" x14ac:dyDescent="0.25">
      <c r="J4694" s="48"/>
    </row>
    <row r="4695" spans="10:10" ht="18.75" customHeight="1" x14ac:dyDescent="0.25">
      <c r="J4695" s="48"/>
    </row>
    <row r="4696" spans="10:10" ht="18.75" customHeight="1" x14ac:dyDescent="0.25">
      <c r="J4696" s="48"/>
    </row>
    <row r="4697" spans="10:10" ht="18.75" customHeight="1" x14ac:dyDescent="0.25">
      <c r="J4697" s="48"/>
    </row>
    <row r="4698" spans="10:10" ht="18.75" customHeight="1" x14ac:dyDescent="0.25">
      <c r="J4698" s="48"/>
    </row>
    <row r="4699" spans="10:10" ht="18.75" customHeight="1" x14ac:dyDescent="0.25">
      <c r="J4699" s="48"/>
    </row>
    <row r="4700" spans="10:10" ht="18.75" customHeight="1" x14ac:dyDescent="0.25">
      <c r="J4700" s="48"/>
    </row>
    <row r="4701" spans="10:10" ht="18.75" customHeight="1" x14ac:dyDescent="0.25">
      <c r="J4701" s="48"/>
    </row>
    <row r="4702" spans="10:10" ht="18.75" customHeight="1" x14ac:dyDescent="0.25">
      <c r="J4702" s="48"/>
    </row>
    <row r="4703" spans="10:10" ht="18.75" customHeight="1" x14ac:dyDescent="0.25">
      <c r="J4703" s="48"/>
    </row>
    <row r="4704" spans="10:10" ht="18.75" customHeight="1" x14ac:dyDescent="0.25">
      <c r="J4704" s="48"/>
    </row>
    <row r="4705" spans="10:10" ht="18.75" customHeight="1" x14ac:dyDescent="0.25">
      <c r="J4705" s="48"/>
    </row>
    <row r="4706" spans="10:10" ht="18.75" customHeight="1" x14ac:dyDescent="0.25">
      <c r="J4706" s="48"/>
    </row>
    <row r="4707" spans="10:10" ht="18.75" customHeight="1" x14ac:dyDescent="0.25">
      <c r="J4707" s="48"/>
    </row>
    <row r="4708" spans="10:10" ht="18.75" customHeight="1" x14ac:dyDescent="0.25">
      <c r="J4708" s="48"/>
    </row>
    <row r="4709" spans="10:10" ht="18.75" customHeight="1" x14ac:dyDescent="0.25">
      <c r="J4709" s="48"/>
    </row>
    <row r="4710" spans="10:10" ht="18.75" customHeight="1" x14ac:dyDescent="0.25">
      <c r="J4710" s="48"/>
    </row>
    <row r="4711" spans="10:10" ht="18.75" customHeight="1" x14ac:dyDescent="0.25">
      <c r="J4711" s="48"/>
    </row>
    <row r="4712" spans="10:10" ht="18.75" customHeight="1" x14ac:dyDescent="0.25">
      <c r="J4712" s="48"/>
    </row>
    <row r="4713" spans="10:10" ht="18.75" customHeight="1" x14ac:dyDescent="0.25">
      <c r="J4713" s="48"/>
    </row>
    <row r="4714" spans="10:10" ht="18.75" customHeight="1" x14ac:dyDescent="0.25">
      <c r="J4714" s="48"/>
    </row>
    <row r="4715" spans="10:10" ht="18.75" customHeight="1" x14ac:dyDescent="0.25">
      <c r="J4715" s="48"/>
    </row>
    <row r="4716" spans="10:10" ht="18.75" customHeight="1" x14ac:dyDescent="0.25">
      <c r="J4716" s="48"/>
    </row>
    <row r="4717" spans="10:10" ht="18.75" customHeight="1" x14ac:dyDescent="0.25">
      <c r="J4717" s="48"/>
    </row>
    <row r="4718" spans="10:10" ht="18.75" customHeight="1" x14ac:dyDescent="0.25">
      <c r="J4718" s="48"/>
    </row>
    <row r="4719" spans="10:10" ht="18.75" customHeight="1" x14ac:dyDescent="0.25">
      <c r="J4719" s="48"/>
    </row>
    <row r="4720" spans="10:10" ht="18.75" customHeight="1" x14ac:dyDescent="0.25">
      <c r="J4720" s="48"/>
    </row>
    <row r="4721" spans="10:10" ht="18.75" customHeight="1" x14ac:dyDescent="0.25">
      <c r="J4721" s="48"/>
    </row>
    <row r="4722" spans="10:10" ht="18.75" customHeight="1" x14ac:dyDescent="0.25">
      <c r="J4722" s="48"/>
    </row>
    <row r="4723" spans="10:10" ht="18.75" customHeight="1" x14ac:dyDescent="0.25">
      <c r="J4723" s="48"/>
    </row>
    <row r="4724" spans="10:10" ht="18.75" customHeight="1" x14ac:dyDescent="0.25">
      <c r="J4724" s="48"/>
    </row>
    <row r="4725" spans="10:10" ht="18.75" customHeight="1" x14ac:dyDescent="0.25">
      <c r="J4725" s="48"/>
    </row>
    <row r="4726" spans="10:10" ht="18.75" customHeight="1" x14ac:dyDescent="0.25">
      <c r="J4726" s="48"/>
    </row>
    <row r="4727" spans="10:10" ht="18.75" customHeight="1" x14ac:dyDescent="0.25">
      <c r="J4727" s="48"/>
    </row>
    <row r="4728" spans="10:10" ht="18.75" customHeight="1" x14ac:dyDescent="0.25">
      <c r="J4728" s="48"/>
    </row>
    <row r="4729" spans="10:10" ht="18.75" customHeight="1" x14ac:dyDescent="0.25">
      <c r="J4729" s="48"/>
    </row>
    <row r="4730" spans="10:10" ht="18.75" customHeight="1" x14ac:dyDescent="0.25">
      <c r="J4730" s="48"/>
    </row>
    <row r="4731" spans="10:10" ht="18.75" customHeight="1" x14ac:dyDescent="0.25">
      <c r="J4731" s="48"/>
    </row>
    <row r="4732" spans="10:10" ht="18.75" customHeight="1" x14ac:dyDescent="0.25">
      <c r="J4732" s="48"/>
    </row>
    <row r="4733" spans="10:10" ht="18.75" customHeight="1" x14ac:dyDescent="0.25">
      <c r="J4733" s="48"/>
    </row>
    <row r="4734" spans="10:10" ht="18.75" customHeight="1" x14ac:dyDescent="0.25">
      <c r="J4734" s="48"/>
    </row>
    <row r="4735" spans="10:10" ht="18.75" customHeight="1" x14ac:dyDescent="0.25">
      <c r="J4735" s="48"/>
    </row>
    <row r="4736" spans="10:10" ht="18.75" customHeight="1" x14ac:dyDescent="0.25">
      <c r="J4736" s="48"/>
    </row>
    <row r="4737" spans="10:10" ht="18.75" customHeight="1" x14ac:dyDescent="0.25">
      <c r="J4737" s="48"/>
    </row>
    <row r="4738" spans="10:10" ht="18.75" customHeight="1" x14ac:dyDescent="0.25">
      <c r="J4738" s="48"/>
    </row>
    <row r="4739" spans="10:10" ht="18.75" customHeight="1" x14ac:dyDescent="0.25">
      <c r="J4739" s="48"/>
    </row>
    <row r="4740" spans="10:10" ht="18.75" customHeight="1" x14ac:dyDescent="0.25">
      <c r="J4740" s="48"/>
    </row>
    <row r="4741" spans="10:10" ht="18.75" customHeight="1" x14ac:dyDescent="0.25">
      <c r="J4741" s="48"/>
    </row>
    <row r="4742" spans="10:10" ht="18.75" customHeight="1" x14ac:dyDescent="0.25">
      <c r="J4742" s="48"/>
    </row>
    <row r="4743" spans="10:10" ht="18.75" customHeight="1" x14ac:dyDescent="0.25">
      <c r="J4743" s="48"/>
    </row>
    <row r="4744" spans="10:10" ht="18.75" customHeight="1" x14ac:dyDescent="0.25">
      <c r="J4744" s="48"/>
    </row>
    <row r="4745" spans="10:10" ht="18.75" customHeight="1" x14ac:dyDescent="0.25">
      <c r="J4745" s="48"/>
    </row>
    <row r="4746" spans="10:10" ht="18.75" customHeight="1" x14ac:dyDescent="0.25">
      <c r="J4746" s="48"/>
    </row>
    <row r="4747" spans="10:10" ht="18.75" customHeight="1" x14ac:dyDescent="0.25">
      <c r="J4747" s="48"/>
    </row>
    <row r="4748" spans="10:10" ht="18.75" customHeight="1" x14ac:dyDescent="0.25">
      <c r="J4748" s="48"/>
    </row>
    <row r="4749" spans="10:10" ht="18.75" customHeight="1" x14ac:dyDescent="0.25">
      <c r="J4749" s="48"/>
    </row>
    <row r="4750" spans="10:10" ht="18.75" customHeight="1" x14ac:dyDescent="0.25">
      <c r="J4750" s="48"/>
    </row>
    <row r="4751" spans="10:10" ht="18.75" customHeight="1" x14ac:dyDescent="0.25">
      <c r="J4751" s="48"/>
    </row>
    <row r="4752" spans="10:10" ht="18.75" customHeight="1" x14ac:dyDescent="0.25">
      <c r="J4752" s="48"/>
    </row>
    <row r="4753" spans="10:10" ht="18.75" customHeight="1" x14ac:dyDescent="0.25">
      <c r="J4753" s="48"/>
    </row>
    <row r="4754" spans="10:10" ht="18.75" customHeight="1" x14ac:dyDescent="0.25">
      <c r="J4754" s="48"/>
    </row>
    <row r="4755" spans="10:10" ht="18.75" customHeight="1" x14ac:dyDescent="0.25">
      <c r="J4755" s="48"/>
    </row>
    <row r="4756" spans="10:10" ht="18.75" customHeight="1" x14ac:dyDescent="0.25">
      <c r="J4756" s="48"/>
    </row>
    <row r="4757" spans="10:10" ht="18.75" customHeight="1" x14ac:dyDescent="0.25">
      <c r="J4757" s="48"/>
    </row>
    <row r="4758" spans="10:10" ht="18.75" customHeight="1" x14ac:dyDescent="0.25">
      <c r="J4758" s="48"/>
    </row>
    <row r="4759" spans="10:10" ht="18.75" customHeight="1" x14ac:dyDescent="0.25">
      <c r="J4759" s="48"/>
    </row>
    <row r="4760" spans="10:10" ht="18.75" customHeight="1" x14ac:dyDescent="0.25">
      <c r="J4760" s="48"/>
    </row>
    <row r="4761" spans="10:10" ht="18.75" customHeight="1" x14ac:dyDescent="0.25">
      <c r="J4761" s="48"/>
    </row>
    <row r="4762" spans="10:10" ht="18.75" customHeight="1" x14ac:dyDescent="0.25">
      <c r="J4762" s="48"/>
    </row>
    <row r="4763" spans="10:10" ht="18.75" customHeight="1" x14ac:dyDescent="0.25">
      <c r="J4763" s="48"/>
    </row>
    <row r="4764" spans="10:10" ht="18.75" customHeight="1" x14ac:dyDescent="0.25">
      <c r="J4764" s="48"/>
    </row>
    <row r="4765" spans="10:10" ht="18.75" customHeight="1" x14ac:dyDescent="0.25">
      <c r="J4765" s="48"/>
    </row>
    <row r="4766" spans="10:10" ht="18.75" customHeight="1" x14ac:dyDescent="0.25">
      <c r="J4766" s="48"/>
    </row>
    <row r="4767" spans="10:10" ht="18.75" customHeight="1" x14ac:dyDescent="0.25">
      <c r="J4767" s="48"/>
    </row>
    <row r="4768" spans="10:10" ht="18.75" customHeight="1" x14ac:dyDescent="0.25">
      <c r="J4768" s="48"/>
    </row>
    <row r="4769" spans="10:10" ht="18.75" customHeight="1" x14ac:dyDescent="0.25">
      <c r="J4769" s="48"/>
    </row>
    <row r="4770" spans="10:10" ht="18.75" customHeight="1" x14ac:dyDescent="0.25">
      <c r="J4770" s="48"/>
    </row>
    <row r="4771" spans="10:10" ht="18.75" customHeight="1" x14ac:dyDescent="0.25">
      <c r="J4771" s="48"/>
    </row>
    <row r="4772" spans="10:10" ht="18.75" customHeight="1" x14ac:dyDescent="0.25">
      <c r="J4772" s="48"/>
    </row>
    <row r="4773" spans="10:10" ht="18.75" customHeight="1" x14ac:dyDescent="0.25">
      <c r="J4773" s="48"/>
    </row>
    <row r="4774" spans="10:10" ht="18.75" customHeight="1" x14ac:dyDescent="0.25">
      <c r="J4774" s="48"/>
    </row>
    <row r="4775" spans="10:10" ht="18.75" customHeight="1" x14ac:dyDescent="0.25">
      <c r="J4775" s="48"/>
    </row>
    <row r="4776" spans="10:10" ht="18.75" customHeight="1" x14ac:dyDescent="0.25">
      <c r="J4776" s="48"/>
    </row>
    <row r="4777" spans="10:10" ht="18.75" customHeight="1" x14ac:dyDescent="0.25">
      <c r="J4777" s="48"/>
    </row>
    <row r="4778" spans="10:10" ht="18.75" customHeight="1" x14ac:dyDescent="0.25">
      <c r="J4778" s="48"/>
    </row>
    <row r="4779" spans="10:10" ht="18.75" customHeight="1" x14ac:dyDescent="0.25">
      <c r="J4779" s="48"/>
    </row>
    <row r="4780" spans="10:10" ht="18.75" customHeight="1" x14ac:dyDescent="0.25">
      <c r="J4780" s="48"/>
    </row>
    <row r="4781" spans="10:10" ht="18.75" customHeight="1" x14ac:dyDescent="0.25">
      <c r="J4781" s="48"/>
    </row>
    <row r="4782" spans="10:10" ht="18.75" customHeight="1" x14ac:dyDescent="0.25">
      <c r="J4782" s="48"/>
    </row>
    <row r="4783" spans="10:10" ht="18.75" customHeight="1" x14ac:dyDescent="0.25">
      <c r="J4783" s="48"/>
    </row>
    <row r="4784" spans="10:10" ht="18.75" customHeight="1" x14ac:dyDescent="0.25">
      <c r="J4784" s="48"/>
    </row>
    <row r="4785" spans="10:10" ht="18.75" customHeight="1" x14ac:dyDescent="0.25">
      <c r="J4785" s="48"/>
    </row>
    <row r="4786" spans="10:10" ht="18.75" customHeight="1" x14ac:dyDescent="0.25">
      <c r="J4786" s="48"/>
    </row>
    <row r="4787" spans="10:10" ht="18.75" customHeight="1" x14ac:dyDescent="0.25">
      <c r="J4787" s="48"/>
    </row>
    <row r="4788" spans="10:10" ht="18.75" customHeight="1" x14ac:dyDescent="0.25">
      <c r="J4788" s="48"/>
    </row>
    <row r="4789" spans="10:10" ht="18.75" customHeight="1" x14ac:dyDescent="0.25">
      <c r="J4789" s="48"/>
    </row>
    <row r="4790" spans="10:10" ht="18.75" customHeight="1" x14ac:dyDescent="0.25">
      <c r="J4790" s="48"/>
    </row>
    <row r="4791" spans="10:10" ht="18.75" customHeight="1" x14ac:dyDescent="0.25">
      <c r="J4791" s="48"/>
    </row>
    <row r="4792" spans="10:10" ht="18.75" customHeight="1" x14ac:dyDescent="0.25">
      <c r="J4792" s="48"/>
    </row>
    <row r="4793" spans="10:10" ht="18.75" customHeight="1" x14ac:dyDescent="0.25">
      <c r="J4793" s="48"/>
    </row>
    <row r="4794" spans="10:10" ht="18.75" customHeight="1" x14ac:dyDescent="0.25">
      <c r="J4794" s="48"/>
    </row>
    <row r="4795" spans="10:10" ht="18.75" customHeight="1" x14ac:dyDescent="0.25">
      <c r="J4795" s="48"/>
    </row>
    <row r="4796" spans="10:10" ht="18.75" customHeight="1" x14ac:dyDescent="0.25">
      <c r="J4796" s="48"/>
    </row>
    <row r="4797" spans="10:10" ht="18.75" customHeight="1" x14ac:dyDescent="0.25">
      <c r="J4797" s="48"/>
    </row>
    <row r="4798" spans="10:10" ht="18.75" customHeight="1" x14ac:dyDescent="0.25">
      <c r="J4798" s="48"/>
    </row>
    <row r="4799" spans="10:10" ht="18.75" customHeight="1" x14ac:dyDescent="0.25">
      <c r="J4799" s="48"/>
    </row>
    <row r="4800" spans="10:10" ht="18.75" customHeight="1" x14ac:dyDescent="0.25">
      <c r="J4800" s="48"/>
    </row>
    <row r="4801" spans="10:10" ht="18.75" customHeight="1" x14ac:dyDescent="0.25">
      <c r="J4801" s="48"/>
    </row>
    <row r="4802" spans="10:10" ht="18.75" customHeight="1" x14ac:dyDescent="0.25">
      <c r="J4802" s="48"/>
    </row>
    <row r="4803" spans="10:10" ht="18.75" customHeight="1" x14ac:dyDescent="0.25">
      <c r="J4803" s="48"/>
    </row>
    <row r="4804" spans="10:10" ht="18.75" customHeight="1" x14ac:dyDescent="0.25">
      <c r="J4804" s="48"/>
    </row>
    <row r="4805" spans="10:10" ht="18.75" customHeight="1" x14ac:dyDescent="0.25">
      <c r="J4805" s="48"/>
    </row>
    <row r="4806" spans="10:10" ht="18.75" customHeight="1" x14ac:dyDescent="0.25">
      <c r="J4806" s="48"/>
    </row>
    <row r="4807" spans="10:10" ht="18.75" customHeight="1" x14ac:dyDescent="0.25">
      <c r="J4807" s="48"/>
    </row>
    <row r="4808" spans="10:10" ht="18.75" customHeight="1" x14ac:dyDescent="0.25">
      <c r="J4808" s="48"/>
    </row>
    <row r="4809" spans="10:10" ht="18.75" customHeight="1" x14ac:dyDescent="0.25">
      <c r="J4809" s="48"/>
    </row>
    <row r="4810" spans="10:10" ht="18.75" customHeight="1" x14ac:dyDescent="0.25">
      <c r="J4810" s="48"/>
    </row>
    <row r="4811" spans="10:10" ht="18.75" customHeight="1" x14ac:dyDescent="0.25">
      <c r="J4811" s="48"/>
    </row>
    <row r="4812" spans="10:10" ht="18.75" customHeight="1" x14ac:dyDescent="0.25">
      <c r="J4812" s="48"/>
    </row>
    <row r="4813" spans="10:10" ht="18.75" customHeight="1" x14ac:dyDescent="0.25">
      <c r="J4813" s="48"/>
    </row>
    <row r="4814" spans="10:10" ht="18.75" customHeight="1" x14ac:dyDescent="0.25">
      <c r="J4814" s="48"/>
    </row>
    <row r="4815" spans="10:10" ht="18.75" customHeight="1" x14ac:dyDescent="0.25">
      <c r="J4815" s="48"/>
    </row>
    <row r="4816" spans="10:10" ht="18.75" customHeight="1" x14ac:dyDescent="0.25">
      <c r="J4816" s="48"/>
    </row>
    <row r="4817" spans="10:10" ht="18.75" customHeight="1" x14ac:dyDescent="0.25">
      <c r="J4817" s="48"/>
    </row>
    <row r="4818" spans="10:10" ht="18.75" customHeight="1" x14ac:dyDescent="0.25">
      <c r="J4818" s="48"/>
    </row>
    <row r="4819" spans="10:10" ht="18.75" customHeight="1" x14ac:dyDescent="0.25">
      <c r="J4819" s="48"/>
    </row>
    <row r="4820" spans="10:10" ht="18.75" customHeight="1" x14ac:dyDescent="0.25">
      <c r="J4820" s="48"/>
    </row>
    <row r="4821" spans="10:10" ht="18.75" customHeight="1" x14ac:dyDescent="0.25">
      <c r="J4821" s="48"/>
    </row>
    <row r="4822" spans="10:10" ht="18.75" customHeight="1" x14ac:dyDescent="0.25">
      <c r="J4822" s="48"/>
    </row>
    <row r="4823" spans="10:10" ht="18.75" customHeight="1" x14ac:dyDescent="0.25">
      <c r="J4823" s="48"/>
    </row>
    <row r="4824" spans="10:10" ht="18.75" customHeight="1" x14ac:dyDescent="0.25">
      <c r="J4824" s="48"/>
    </row>
    <row r="4825" spans="10:10" ht="18.75" customHeight="1" x14ac:dyDescent="0.25">
      <c r="J4825" s="48"/>
    </row>
    <row r="4826" spans="10:10" ht="18.75" customHeight="1" x14ac:dyDescent="0.25">
      <c r="J4826" s="48"/>
    </row>
    <row r="4827" spans="10:10" ht="18.75" customHeight="1" x14ac:dyDescent="0.25">
      <c r="J4827" s="48"/>
    </row>
    <row r="4828" spans="10:10" ht="18.75" customHeight="1" x14ac:dyDescent="0.25">
      <c r="J4828" s="48"/>
    </row>
    <row r="4829" spans="10:10" ht="18.75" customHeight="1" x14ac:dyDescent="0.25">
      <c r="J4829" s="48"/>
    </row>
    <row r="4830" spans="10:10" ht="18.75" customHeight="1" x14ac:dyDescent="0.25">
      <c r="J4830" s="48"/>
    </row>
    <row r="4831" spans="10:10" ht="18.75" customHeight="1" x14ac:dyDescent="0.25">
      <c r="J4831" s="48"/>
    </row>
    <row r="4832" spans="10:10" ht="18.75" customHeight="1" x14ac:dyDescent="0.25">
      <c r="J4832" s="48"/>
    </row>
    <row r="4833" spans="10:10" ht="18.75" customHeight="1" x14ac:dyDescent="0.25">
      <c r="J4833" s="48"/>
    </row>
    <row r="4834" spans="10:10" ht="18.75" customHeight="1" x14ac:dyDescent="0.25">
      <c r="J4834" s="48"/>
    </row>
    <row r="4835" spans="10:10" ht="18.75" customHeight="1" x14ac:dyDescent="0.25">
      <c r="J4835" s="48"/>
    </row>
    <row r="4836" spans="10:10" ht="18.75" customHeight="1" x14ac:dyDescent="0.25">
      <c r="J4836" s="48"/>
    </row>
    <row r="4837" spans="10:10" ht="18.75" customHeight="1" x14ac:dyDescent="0.25">
      <c r="J4837" s="48"/>
    </row>
    <row r="4838" spans="10:10" ht="18.75" customHeight="1" x14ac:dyDescent="0.25">
      <c r="J4838" s="48"/>
    </row>
    <row r="4839" spans="10:10" ht="18.75" customHeight="1" x14ac:dyDescent="0.25">
      <c r="J4839" s="48"/>
    </row>
    <row r="4840" spans="10:10" ht="18.75" customHeight="1" x14ac:dyDescent="0.25">
      <c r="J4840" s="48"/>
    </row>
    <row r="4841" spans="10:10" ht="18.75" customHeight="1" x14ac:dyDescent="0.25">
      <c r="J4841" s="48"/>
    </row>
    <row r="4842" spans="10:10" ht="18.75" customHeight="1" x14ac:dyDescent="0.25">
      <c r="J4842" s="48"/>
    </row>
    <row r="4843" spans="10:10" ht="18.75" customHeight="1" x14ac:dyDescent="0.25">
      <c r="J4843" s="48"/>
    </row>
    <row r="4844" spans="10:10" ht="18.75" customHeight="1" x14ac:dyDescent="0.25">
      <c r="J4844" s="48"/>
    </row>
    <row r="4845" spans="10:10" ht="18.75" customHeight="1" x14ac:dyDescent="0.25">
      <c r="J4845" s="48"/>
    </row>
    <row r="4846" spans="10:10" ht="18.75" customHeight="1" x14ac:dyDescent="0.25">
      <c r="J4846" s="48"/>
    </row>
    <row r="4847" spans="10:10" ht="18.75" customHeight="1" x14ac:dyDescent="0.25">
      <c r="J4847" s="48"/>
    </row>
    <row r="4848" spans="10:10" ht="18.75" customHeight="1" x14ac:dyDescent="0.25">
      <c r="J4848" s="48"/>
    </row>
    <row r="4849" spans="10:10" ht="18.75" customHeight="1" x14ac:dyDescent="0.25">
      <c r="J4849" s="48"/>
    </row>
    <row r="4850" spans="10:10" ht="18.75" customHeight="1" x14ac:dyDescent="0.25">
      <c r="J4850" s="48"/>
    </row>
    <row r="4851" spans="10:10" ht="18.75" customHeight="1" x14ac:dyDescent="0.25">
      <c r="J4851" s="48"/>
    </row>
    <row r="4852" spans="10:10" ht="18.75" customHeight="1" x14ac:dyDescent="0.25">
      <c r="J4852" s="48"/>
    </row>
    <row r="4853" spans="10:10" ht="18.75" customHeight="1" x14ac:dyDescent="0.25">
      <c r="J4853" s="48"/>
    </row>
    <row r="4854" spans="10:10" ht="18.75" customHeight="1" x14ac:dyDescent="0.25">
      <c r="J4854" s="48"/>
    </row>
    <row r="4855" spans="10:10" ht="18.75" customHeight="1" x14ac:dyDescent="0.25">
      <c r="J4855" s="48"/>
    </row>
    <row r="4856" spans="10:10" ht="18.75" customHeight="1" x14ac:dyDescent="0.25">
      <c r="J4856" s="48"/>
    </row>
    <row r="4857" spans="10:10" ht="18.75" customHeight="1" x14ac:dyDescent="0.25">
      <c r="J4857" s="48"/>
    </row>
    <row r="4858" spans="10:10" ht="18.75" customHeight="1" x14ac:dyDescent="0.25">
      <c r="J4858" s="48"/>
    </row>
    <row r="4859" spans="10:10" ht="18.75" customHeight="1" x14ac:dyDescent="0.25">
      <c r="J4859" s="48"/>
    </row>
    <row r="4860" spans="10:10" ht="18.75" customHeight="1" x14ac:dyDescent="0.25">
      <c r="J4860" s="48"/>
    </row>
    <row r="4861" spans="10:10" ht="18.75" customHeight="1" x14ac:dyDescent="0.25">
      <c r="J4861" s="48"/>
    </row>
    <row r="4862" spans="10:10" ht="18.75" customHeight="1" x14ac:dyDescent="0.25">
      <c r="J4862" s="48"/>
    </row>
    <row r="4863" spans="10:10" ht="18.75" customHeight="1" x14ac:dyDescent="0.25">
      <c r="J4863" s="48"/>
    </row>
    <row r="4864" spans="10:10" ht="18.75" customHeight="1" x14ac:dyDescent="0.25">
      <c r="J4864" s="48"/>
    </row>
    <row r="4865" spans="10:10" ht="18.75" customHeight="1" x14ac:dyDescent="0.25">
      <c r="J4865" s="48"/>
    </row>
    <row r="4866" spans="10:10" ht="18.75" customHeight="1" x14ac:dyDescent="0.25">
      <c r="J4866" s="48"/>
    </row>
    <row r="4867" spans="10:10" ht="18.75" customHeight="1" x14ac:dyDescent="0.25">
      <c r="J4867" s="48"/>
    </row>
    <row r="4868" spans="10:10" ht="18.75" customHeight="1" x14ac:dyDescent="0.25">
      <c r="J4868" s="48"/>
    </row>
    <row r="4869" spans="10:10" ht="18.75" customHeight="1" x14ac:dyDescent="0.25">
      <c r="J4869" s="48"/>
    </row>
    <row r="4870" spans="10:10" ht="18.75" customHeight="1" x14ac:dyDescent="0.25">
      <c r="J4870" s="48"/>
    </row>
    <row r="4871" spans="10:10" ht="18.75" customHeight="1" x14ac:dyDescent="0.25">
      <c r="J4871" s="48"/>
    </row>
    <row r="4872" spans="10:10" ht="18.75" customHeight="1" x14ac:dyDescent="0.25">
      <c r="J4872" s="48"/>
    </row>
    <row r="4873" spans="10:10" ht="18.75" customHeight="1" x14ac:dyDescent="0.25">
      <c r="J4873" s="48"/>
    </row>
    <row r="4874" spans="10:10" ht="18.75" customHeight="1" x14ac:dyDescent="0.25">
      <c r="J4874" s="48"/>
    </row>
    <row r="4875" spans="10:10" ht="18.75" customHeight="1" x14ac:dyDescent="0.25">
      <c r="J4875" s="48"/>
    </row>
    <row r="4876" spans="10:10" ht="18.75" customHeight="1" x14ac:dyDescent="0.25">
      <c r="J4876" s="48"/>
    </row>
    <row r="4877" spans="10:10" ht="18.75" customHeight="1" x14ac:dyDescent="0.25">
      <c r="J4877" s="48"/>
    </row>
    <row r="4878" spans="10:10" ht="18.75" customHeight="1" x14ac:dyDescent="0.25">
      <c r="J4878" s="48"/>
    </row>
    <row r="4879" spans="10:10" ht="18.75" customHeight="1" x14ac:dyDescent="0.25">
      <c r="J4879" s="48"/>
    </row>
    <row r="4880" spans="10:10" ht="18.75" customHeight="1" x14ac:dyDescent="0.25">
      <c r="J4880" s="48"/>
    </row>
    <row r="4881" spans="10:10" ht="18.75" customHeight="1" x14ac:dyDescent="0.25">
      <c r="J4881" s="48"/>
    </row>
    <row r="4882" spans="10:10" ht="18.75" customHeight="1" x14ac:dyDescent="0.25">
      <c r="J4882" s="48"/>
    </row>
    <row r="4883" spans="10:10" ht="18.75" customHeight="1" x14ac:dyDescent="0.25">
      <c r="J4883" s="48"/>
    </row>
    <row r="4884" spans="10:10" ht="18.75" customHeight="1" x14ac:dyDescent="0.25">
      <c r="J4884" s="48"/>
    </row>
    <row r="4885" spans="10:10" ht="18.75" customHeight="1" x14ac:dyDescent="0.25">
      <c r="J4885" s="48"/>
    </row>
    <row r="4886" spans="10:10" ht="18.75" customHeight="1" x14ac:dyDescent="0.25">
      <c r="J4886" s="48"/>
    </row>
    <row r="4887" spans="10:10" ht="18.75" customHeight="1" x14ac:dyDescent="0.25">
      <c r="J4887" s="48"/>
    </row>
    <row r="4888" spans="10:10" ht="18.75" customHeight="1" x14ac:dyDescent="0.25">
      <c r="J4888" s="48"/>
    </row>
    <row r="4889" spans="10:10" ht="18.75" customHeight="1" x14ac:dyDescent="0.25">
      <c r="J4889" s="48"/>
    </row>
    <row r="4890" spans="10:10" ht="18.75" customHeight="1" x14ac:dyDescent="0.25">
      <c r="J4890" s="48"/>
    </row>
    <row r="4891" spans="10:10" ht="18.75" customHeight="1" x14ac:dyDescent="0.25">
      <c r="J4891" s="48"/>
    </row>
    <row r="4892" spans="10:10" ht="18.75" customHeight="1" x14ac:dyDescent="0.25">
      <c r="J4892" s="48"/>
    </row>
    <row r="4893" spans="10:10" ht="18.75" customHeight="1" x14ac:dyDescent="0.25">
      <c r="J4893" s="48"/>
    </row>
    <row r="4894" spans="10:10" ht="18.75" customHeight="1" x14ac:dyDescent="0.25">
      <c r="J4894" s="48"/>
    </row>
    <row r="4895" spans="10:10" ht="18.75" customHeight="1" x14ac:dyDescent="0.25">
      <c r="J4895" s="48"/>
    </row>
    <row r="4896" spans="10:10" ht="18.75" customHeight="1" x14ac:dyDescent="0.25">
      <c r="J4896" s="48"/>
    </row>
    <row r="4897" spans="10:10" ht="18.75" customHeight="1" x14ac:dyDescent="0.25">
      <c r="J4897" s="48"/>
    </row>
    <row r="4898" spans="10:10" ht="18.75" customHeight="1" x14ac:dyDescent="0.25">
      <c r="J4898" s="48"/>
    </row>
    <row r="4899" spans="10:10" ht="18.75" customHeight="1" x14ac:dyDescent="0.25">
      <c r="J4899" s="48"/>
    </row>
    <row r="4900" spans="10:10" ht="18.75" customHeight="1" x14ac:dyDescent="0.25">
      <c r="J4900" s="48"/>
    </row>
    <row r="4901" spans="10:10" ht="18.75" customHeight="1" x14ac:dyDescent="0.25">
      <c r="J4901" s="48"/>
    </row>
    <row r="4902" spans="10:10" ht="18.75" customHeight="1" x14ac:dyDescent="0.25">
      <c r="J4902" s="48"/>
    </row>
    <row r="4903" spans="10:10" ht="18.75" customHeight="1" x14ac:dyDescent="0.25">
      <c r="J4903" s="48"/>
    </row>
    <row r="4904" spans="10:10" ht="18.75" customHeight="1" x14ac:dyDescent="0.25">
      <c r="J4904" s="48"/>
    </row>
    <row r="4905" spans="10:10" ht="18.75" customHeight="1" x14ac:dyDescent="0.25">
      <c r="J4905" s="48"/>
    </row>
    <row r="4906" spans="10:10" ht="18.75" customHeight="1" x14ac:dyDescent="0.25">
      <c r="J4906" s="48"/>
    </row>
    <row r="4907" spans="10:10" ht="18.75" customHeight="1" x14ac:dyDescent="0.25">
      <c r="J4907" s="48"/>
    </row>
    <row r="4908" spans="10:10" ht="18.75" customHeight="1" x14ac:dyDescent="0.25">
      <c r="J4908" s="48"/>
    </row>
    <row r="4909" spans="10:10" ht="18.75" customHeight="1" x14ac:dyDescent="0.25">
      <c r="J4909" s="48"/>
    </row>
    <row r="4910" spans="10:10" ht="18.75" customHeight="1" x14ac:dyDescent="0.25">
      <c r="J4910" s="48"/>
    </row>
    <row r="4911" spans="10:10" ht="18.75" customHeight="1" x14ac:dyDescent="0.25">
      <c r="J4911" s="48"/>
    </row>
    <row r="4912" spans="10:10" ht="18.75" customHeight="1" x14ac:dyDescent="0.25">
      <c r="J4912" s="48"/>
    </row>
    <row r="4913" spans="10:10" ht="18.75" customHeight="1" x14ac:dyDescent="0.25">
      <c r="J4913" s="48"/>
    </row>
    <row r="4914" spans="10:10" ht="18.75" customHeight="1" x14ac:dyDescent="0.25">
      <c r="J4914" s="48"/>
    </row>
    <row r="4915" spans="10:10" ht="18.75" customHeight="1" x14ac:dyDescent="0.25">
      <c r="J4915" s="48"/>
    </row>
    <row r="4916" spans="10:10" ht="18.75" customHeight="1" x14ac:dyDescent="0.25">
      <c r="J4916" s="48"/>
    </row>
    <row r="4917" spans="10:10" ht="18.75" customHeight="1" x14ac:dyDescent="0.25">
      <c r="J4917" s="48"/>
    </row>
    <row r="4918" spans="10:10" ht="18.75" customHeight="1" x14ac:dyDescent="0.25">
      <c r="J4918" s="48"/>
    </row>
    <row r="4919" spans="10:10" ht="18.75" customHeight="1" x14ac:dyDescent="0.25">
      <c r="J4919" s="48"/>
    </row>
    <row r="4920" spans="10:10" ht="18.75" customHeight="1" x14ac:dyDescent="0.25">
      <c r="J4920" s="48"/>
    </row>
    <row r="4921" spans="10:10" ht="18.75" customHeight="1" x14ac:dyDescent="0.25">
      <c r="J4921" s="48"/>
    </row>
    <row r="4922" spans="10:10" ht="18.75" customHeight="1" x14ac:dyDescent="0.25">
      <c r="J4922" s="48"/>
    </row>
    <row r="4923" spans="10:10" ht="18.75" customHeight="1" x14ac:dyDescent="0.25">
      <c r="J4923" s="48"/>
    </row>
    <row r="4924" spans="10:10" ht="18.75" customHeight="1" x14ac:dyDescent="0.25">
      <c r="J4924" s="48"/>
    </row>
    <row r="4925" spans="10:10" ht="18.75" customHeight="1" x14ac:dyDescent="0.25">
      <c r="J4925" s="48"/>
    </row>
    <row r="4926" spans="10:10" ht="18.75" customHeight="1" x14ac:dyDescent="0.25">
      <c r="J4926" s="48"/>
    </row>
    <row r="4927" spans="10:10" ht="18.75" customHeight="1" x14ac:dyDescent="0.25">
      <c r="J4927" s="48"/>
    </row>
    <row r="4928" spans="10:10" ht="18.75" customHeight="1" x14ac:dyDescent="0.25">
      <c r="J4928" s="48"/>
    </row>
    <row r="4929" spans="10:10" ht="18.75" customHeight="1" x14ac:dyDescent="0.25">
      <c r="J4929" s="48"/>
    </row>
    <row r="4930" spans="10:10" ht="18.75" customHeight="1" x14ac:dyDescent="0.25">
      <c r="J4930" s="48"/>
    </row>
    <row r="4931" spans="10:10" ht="18.75" customHeight="1" x14ac:dyDescent="0.25">
      <c r="J4931" s="48"/>
    </row>
    <row r="4932" spans="10:10" ht="18.75" customHeight="1" x14ac:dyDescent="0.25">
      <c r="J4932" s="48"/>
    </row>
    <row r="4933" spans="10:10" ht="18.75" customHeight="1" x14ac:dyDescent="0.25">
      <c r="J4933" s="48"/>
    </row>
    <row r="4934" spans="10:10" ht="18.75" customHeight="1" x14ac:dyDescent="0.25">
      <c r="J4934" s="48"/>
    </row>
    <row r="4935" spans="10:10" ht="18.75" customHeight="1" x14ac:dyDescent="0.25">
      <c r="J4935" s="48"/>
    </row>
    <row r="4936" spans="10:10" ht="18.75" customHeight="1" x14ac:dyDescent="0.25">
      <c r="J4936" s="48"/>
    </row>
    <row r="4937" spans="10:10" ht="18.75" customHeight="1" x14ac:dyDescent="0.25">
      <c r="J4937" s="48"/>
    </row>
    <row r="4938" spans="10:10" ht="18.75" customHeight="1" x14ac:dyDescent="0.25">
      <c r="J4938" s="48"/>
    </row>
    <row r="4939" spans="10:10" ht="18.75" customHeight="1" x14ac:dyDescent="0.25">
      <c r="J4939" s="48"/>
    </row>
    <row r="4940" spans="10:10" ht="18.75" customHeight="1" x14ac:dyDescent="0.25">
      <c r="J4940" s="48"/>
    </row>
    <row r="4941" spans="10:10" ht="18.75" customHeight="1" x14ac:dyDescent="0.25">
      <c r="J4941" s="48"/>
    </row>
    <row r="4942" spans="10:10" ht="18.75" customHeight="1" x14ac:dyDescent="0.25">
      <c r="J4942" s="48"/>
    </row>
    <row r="4943" spans="10:10" ht="18.75" customHeight="1" x14ac:dyDescent="0.25">
      <c r="J4943" s="48"/>
    </row>
    <row r="4944" spans="10:10" ht="18.75" customHeight="1" x14ac:dyDescent="0.25">
      <c r="J4944" s="48"/>
    </row>
    <row r="4945" spans="10:10" ht="18.75" customHeight="1" x14ac:dyDescent="0.25">
      <c r="J4945" s="48"/>
    </row>
    <row r="4946" spans="10:10" ht="18.75" customHeight="1" x14ac:dyDescent="0.25">
      <c r="J4946" s="48"/>
    </row>
    <row r="4947" spans="10:10" ht="18.75" customHeight="1" x14ac:dyDescent="0.25">
      <c r="J4947" s="48"/>
    </row>
    <row r="4948" spans="10:10" ht="18.75" customHeight="1" x14ac:dyDescent="0.25">
      <c r="J4948" s="48"/>
    </row>
    <row r="4949" spans="10:10" ht="18.75" customHeight="1" x14ac:dyDescent="0.25">
      <c r="J4949" s="48"/>
    </row>
    <row r="4950" spans="10:10" ht="18.75" customHeight="1" x14ac:dyDescent="0.25">
      <c r="J4950" s="48"/>
    </row>
    <row r="4951" spans="10:10" ht="18.75" customHeight="1" x14ac:dyDescent="0.25">
      <c r="J4951" s="48"/>
    </row>
    <row r="4952" spans="10:10" ht="18.75" customHeight="1" x14ac:dyDescent="0.25">
      <c r="J4952" s="48"/>
    </row>
    <row r="4953" spans="10:10" ht="18.75" customHeight="1" x14ac:dyDescent="0.25">
      <c r="J4953" s="48"/>
    </row>
    <row r="4954" spans="10:10" ht="18.75" customHeight="1" x14ac:dyDescent="0.25">
      <c r="J4954" s="48"/>
    </row>
    <row r="4955" spans="10:10" ht="18.75" customHeight="1" x14ac:dyDescent="0.25">
      <c r="J4955" s="48"/>
    </row>
    <row r="4956" spans="10:10" ht="18.75" customHeight="1" x14ac:dyDescent="0.25">
      <c r="J4956" s="48"/>
    </row>
    <row r="4957" spans="10:10" ht="18.75" customHeight="1" x14ac:dyDescent="0.25">
      <c r="J4957" s="48"/>
    </row>
    <row r="4958" spans="10:10" ht="18.75" customHeight="1" x14ac:dyDescent="0.25">
      <c r="J4958" s="48"/>
    </row>
    <row r="4959" spans="10:10" ht="18.75" customHeight="1" x14ac:dyDescent="0.25">
      <c r="J4959" s="48"/>
    </row>
    <row r="4960" spans="10:10" ht="18.75" customHeight="1" x14ac:dyDescent="0.25">
      <c r="J4960" s="48"/>
    </row>
    <row r="4961" spans="10:10" ht="18.75" customHeight="1" x14ac:dyDescent="0.25">
      <c r="J4961" s="48"/>
    </row>
    <row r="4962" spans="10:10" ht="18.75" customHeight="1" x14ac:dyDescent="0.25">
      <c r="J4962" s="48"/>
    </row>
    <row r="4963" spans="10:10" ht="18.75" customHeight="1" x14ac:dyDescent="0.25">
      <c r="J4963" s="48"/>
    </row>
    <row r="4964" spans="10:10" ht="18.75" customHeight="1" x14ac:dyDescent="0.25">
      <c r="J4964" s="48"/>
    </row>
    <row r="4965" spans="10:10" ht="18.75" customHeight="1" x14ac:dyDescent="0.25">
      <c r="J4965" s="48"/>
    </row>
    <row r="4966" spans="10:10" ht="18.75" customHeight="1" x14ac:dyDescent="0.25">
      <c r="J4966" s="48"/>
    </row>
    <row r="4967" spans="10:10" ht="18.75" customHeight="1" x14ac:dyDescent="0.25">
      <c r="J4967" s="48"/>
    </row>
    <row r="4968" spans="10:10" ht="18.75" customHeight="1" x14ac:dyDescent="0.25">
      <c r="J4968" s="48"/>
    </row>
    <row r="4969" spans="10:10" ht="18.75" customHeight="1" x14ac:dyDescent="0.25">
      <c r="J4969" s="48"/>
    </row>
    <row r="4970" spans="10:10" ht="18.75" customHeight="1" x14ac:dyDescent="0.25">
      <c r="J4970" s="48"/>
    </row>
    <row r="4971" spans="10:10" ht="18.75" customHeight="1" x14ac:dyDescent="0.25">
      <c r="J4971" s="48"/>
    </row>
    <row r="4972" spans="10:10" ht="18.75" customHeight="1" x14ac:dyDescent="0.25">
      <c r="J4972" s="48"/>
    </row>
    <row r="4973" spans="10:10" ht="18.75" customHeight="1" x14ac:dyDescent="0.25">
      <c r="J4973" s="48"/>
    </row>
    <row r="4974" spans="10:10" ht="18.75" customHeight="1" x14ac:dyDescent="0.25">
      <c r="J4974" s="48"/>
    </row>
    <row r="4975" spans="10:10" ht="18.75" customHeight="1" x14ac:dyDescent="0.25">
      <c r="J4975" s="48"/>
    </row>
    <row r="4976" spans="10:10" ht="18.75" customHeight="1" x14ac:dyDescent="0.25">
      <c r="J4976" s="48"/>
    </row>
    <row r="4977" spans="10:10" ht="18.75" customHeight="1" x14ac:dyDescent="0.25">
      <c r="J4977" s="48"/>
    </row>
    <row r="4978" spans="10:10" ht="18.75" customHeight="1" x14ac:dyDescent="0.25">
      <c r="J4978" s="48"/>
    </row>
    <row r="4979" spans="10:10" ht="18.75" customHeight="1" x14ac:dyDescent="0.25">
      <c r="J4979" s="48"/>
    </row>
    <row r="4980" spans="10:10" ht="18.75" customHeight="1" x14ac:dyDescent="0.25">
      <c r="J4980" s="48"/>
    </row>
    <row r="4981" spans="10:10" ht="18.75" customHeight="1" x14ac:dyDescent="0.25">
      <c r="J4981" s="48"/>
    </row>
    <row r="4982" spans="10:10" ht="18.75" customHeight="1" x14ac:dyDescent="0.25">
      <c r="J4982" s="48"/>
    </row>
    <row r="4983" spans="10:10" ht="18.75" customHeight="1" x14ac:dyDescent="0.25">
      <c r="J4983" s="48"/>
    </row>
    <row r="4984" spans="10:10" ht="18.75" customHeight="1" x14ac:dyDescent="0.25">
      <c r="J4984" s="48"/>
    </row>
    <row r="4985" spans="10:10" ht="18.75" customHeight="1" x14ac:dyDescent="0.25">
      <c r="J4985" s="48"/>
    </row>
    <row r="4986" spans="10:10" ht="18.75" customHeight="1" x14ac:dyDescent="0.25">
      <c r="J4986" s="48"/>
    </row>
    <row r="4987" spans="10:10" ht="18.75" customHeight="1" x14ac:dyDescent="0.25">
      <c r="J4987" s="48"/>
    </row>
    <row r="4988" spans="10:10" ht="18.75" customHeight="1" x14ac:dyDescent="0.25">
      <c r="J4988" s="48"/>
    </row>
    <row r="4989" spans="10:10" ht="18.75" customHeight="1" x14ac:dyDescent="0.25">
      <c r="J4989" s="48"/>
    </row>
    <row r="4990" spans="10:10" ht="18.75" customHeight="1" x14ac:dyDescent="0.25">
      <c r="J4990" s="48"/>
    </row>
    <row r="4991" spans="10:10" ht="18.75" customHeight="1" x14ac:dyDescent="0.25">
      <c r="J4991" s="48"/>
    </row>
    <row r="4992" spans="10:10" ht="18.75" customHeight="1" x14ac:dyDescent="0.25">
      <c r="J4992" s="48"/>
    </row>
    <row r="4993" spans="10:10" ht="18.75" customHeight="1" x14ac:dyDescent="0.25">
      <c r="J4993" s="48"/>
    </row>
    <row r="4994" spans="10:10" ht="18.75" customHeight="1" x14ac:dyDescent="0.25">
      <c r="J4994" s="48"/>
    </row>
    <row r="4995" spans="10:10" ht="18.75" customHeight="1" x14ac:dyDescent="0.25">
      <c r="J4995" s="48"/>
    </row>
    <row r="4996" spans="10:10" ht="18.75" customHeight="1" x14ac:dyDescent="0.25">
      <c r="J4996" s="48"/>
    </row>
    <row r="4997" spans="10:10" ht="18.75" customHeight="1" x14ac:dyDescent="0.25">
      <c r="J4997" s="48"/>
    </row>
    <row r="4998" spans="10:10" ht="18.75" customHeight="1" x14ac:dyDescent="0.25">
      <c r="J4998" s="48"/>
    </row>
    <row r="4999" spans="10:10" ht="18.75" customHeight="1" x14ac:dyDescent="0.25">
      <c r="J4999" s="48"/>
    </row>
    <row r="5000" spans="10:10" ht="18.75" customHeight="1" x14ac:dyDescent="0.25">
      <c r="J5000" s="48"/>
    </row>
    <row r="5001" spans="10:10" ht="18.75" customHeight="1" x14ac:dyDescent="0.25">
      <c r="J5001" s="48"/>
    </row>
    <row r="5002" spans="10:10" ht="18.75" customHeight="1" x14ac:dyDescent="0.25">
      <c r="J5002" s="48"/>
    </row>
    <row r="5003" spans="10:10" ht="18.75" customHeight="1" x14ac:dyDescent="0.25">
      <c r="J5003" s="48"/>
    </row>
    <row r="5004" spans="10:10" ht="18.75" customHeight="1" x14ac:dyDescent="0.25">
      <c r="J5004" s="48"/>
    </row>
    <row r="5005" spans="10:10" ht="18.75" customHeight="1" x14ac:dyDescent="0.25">
      <c r="J5005" s="48"/>
    </row>
    <row r="5006" spans="10:10" ht="18.75" customHeight="1" x14ac:dyDescent="0.25">
      <c r="J5006" s="48"/>
    </row>
    <row r="5007" spans="10:10" ht="18.75" customHeight="1" x14ac:dyDescent="0.25">
      <c r="J5007" s="48"/>
    </row>
    <row r="5008" spans="10:10" ht="18.75" customHeight="1" x14ac:dyDescent="0.25">
      <c r="J5008" s="48"/>
    </row>
    <row r="5009" spans="10:10" ht="18.75" customHeight="1" x14ac:dyDescent="0.25">
      <c r="J5009" s="48"/>
    </row>
    <row r="5010" spans="10:10" ht="18.75" customHeight="1" x14ac:dyDescent="0.25">
      <c r="J5010" s="48"/>
    </row>
    <row r="5011" spans="10:10" ht="18.75" customHeight="1" x14ac:dyDescent="0.25">
      <c r="J5011" s="48"/>
    </row>
    <row r="5012" spans="10:10" ht="18.75" customHeight="1" x14ac:dyDescent="0.25">
      <c r="J5012" s="48"/>
    </row>
    <row r="5013" spans="10:10" ht="18.75" customHeight="1" x14ac:dyDescent="0.25">
      <c r="J5013" s="48"/>
    </row>
    <row r="5014" spans="10:10" ht="18.75" customHeight="1" x14ac:dyDescent="0.25">
      <c r="J5014" s="48"/>
    </row>
    <row r="5015" spans="10:10" ht="18.75" customHeight="1" x14ac:dyDescent="0.25">
      <c r="J5015" s="48"/>
    </row>
    <row r="5016" spans="10:10" ht="18.75" customHeight="1" x14ac:dyDescent="0.25">
      <c r="J5016" s="48"/>
    </row>
    <row r="5017" spans="10:10" ht="18.75" customHeight="1" x14ac:dyDescent="0.25">
      <c r="J5017" s="48"/>
    </row>
    <row r="5018" spans="10:10" ht="18.75" customHeight="1" x14ac:dyDescent="0.25">
      <c r="J5018" s="48"/>
    </row>
    <row r="5019" spans="10:10" ht="18.75" customHeight="1" x14ac:dyDescent="0.25">
      <c r="J5019" s="48"/>
    </row>
    <row r="5020" spans="10:10" ht="18.75" customHeight="1" x14ac:dyDescent="0.25">
      <c r="J5020" s="48"/>
    </row>
    <row r="5021" spans="10:10" ht="18.75" customHeight="1" x14ac:dyDescent="0.25">
      <c r="J5021" s="48"/>
    </row>
    <row r="5022" spans="10:10" ht="18.75" customHeight="1" x14ac:dyDescent="0.25">
      <c r="J5022" s="48"/>
    </row>
    <row r="5023" spans="10:10" ht="18.75" customHeight="1" x14ac:dyDescent="0.25">
      <c r="J5023" s="48"/>
    </row>
    <row r="5024" spans="10:10" ht="18.75" customHeight="1" x14ac:dyDescent="0.25">
      <c r="J5024" s="48"/>
    </row>
    <row r="5025" spans="10:10" ht="18.75" customHeight="1" x14ac:dyDescent="0.25">
      <c r="J5025" s="48"/>
    </row>
    <row r="5026" spans="10:10" ht="18.75" customHeight="1" x14ac:dyDescent="0.25">
      <c r="J5026" s="48"/>
    </row>
    <row r="5027" spans="10:10" ht="18.75" customHeight="1" x14ac:dyDescent="0.25">
      <c r="J5027" s="48"/>
    </row>
    <row r="5028" spans="10:10" ht="18.75" customHeight="1" x14ac:dyDescent="0.25">
      <c r="J5028" s="48"/>
    </row>
    <row r="5029" spans="10:10" ht="18.75" customHeight="1" x14ac:dyDescent="0.25">
      <c r="J5029" s="48"/>
    </row>
    <row r="5030" spans="10:10" ht="18.75" customHeight="1" x14ac:dyDescent="0.25">
      <c r="J5030" s="48"/>
    </row>
    <row r="5031" spans="10:10" ht="18.75" customHeight="1" x14ac:dyDescent="0.25">
      <c r="J5031" s="48"/>
    </row>
    <row r="5032" spans="10:10" ht="18.75" customHeight="1" x14ac:dyDescent="0.25">
      <c r="J5032" s="48"/>
    </row>
    <row r="5033" spans="10:10" ht="18.75" customHeight="1" x14ac:dyDescent="0.25">
      <c r="J5033" s="48"/>
    </row>
    <row r="5034" spans="10:10" ht="18.75" customHeight="1" x14ac:dyDescent="0.25">
      <c r="J5034" s="48"/>
    </row>
    <row r="5035" spans="10:10" ht="18.75" customHeight="1" x14ac:dyDescent="0.25">
      <c r="J5035" s="48"/>
    </row>
    <row r="5036" spans="10:10" ht="18.75" customHeight="1" x14ac:dyDescent="0.25">
      <c r="J5036" s="48"/>
    </row>
    <row r="5037" spans="10:10" ht="18.75" customHeight="1" x14ac:dyDescent="0.25">
      <c r="J5037" s="48"/>
    </row>
    <row r="5038" spans="10:10" ht="18.75" customHeight="1" x14ac:dyDescent="0.25">
      <c r="J5038" s="48"/>
    </row>
    <row r="5039" spans="10:10" ht="18.75" customHeight="1" x14ac:dyDescent="0.25">
      <c r="J5039" s="48"/>
    </row>
    <row r="5040" spans="10:10" ht="18.75" customHeight="1" x14ac:dyDescent="0.25">
      <c r="J5040" s="48"/>
    </row>
    <row r="5041" spans="10:10" ht="18.75" customHeight="1" x14ac:dyDescent="0.25">
      <c r="J5041" s="48"/>
    </row>
    <row r="5042" spans="10:10" ht="18.75" customHeight="1" x14ac:dyDescent="0.25">
      <c r="J5042" s="48"/>
    </row>
    <row r="5043" spans="10:10" ht="18.75" customHeight="1" x14ac:dyDescent="0.25">
      <c r="J5043" s="48"/>
    </row>
    <row r="5044" spans="10:10" ht="18.75" customHeight="1" x14ac:dyDescent="0.25">
      <c r="J5044" s="48"/>
    </row>
    <row r="5045" spans="10:10" ht="18.75" customHeight="1" x14ac:dyDescent="0.25">
      <c r="J5045" s="48"/>
    </row>
    <row r="5046" spans="10:10" ht="18.75" customHeight="1" x14ac:dyDescent="0.25">
      <c r="J5046" s="48"/>
    </row>
    <row r="5047" spans="10:10" ht="18.75" customHeight="1" x14ac:dyDescent="0.25">
      <c r="J5047" s="48"/>
    </row>
    <row r="5048" spans="10:10" ht="18.75" customHeight="1" x14ac:dyDescent="0.25">
      <c r="J5048" s="48"/>
    </row>
    <row r="5049" spans="10:10" ht="18.75" customHeight="1" x14ac:dyDescent="0.25">
      <c r="J5049" s="48"/>
    </row>
    <row r="5050" spans="10:10" ht="18.75" customHeight="1" x14ac:dyDescent="0.25">
      <c r="J5050" s="48"/>
    </row>
    <row r="5051" spans="10:10" ht="18.75" customHeight="1" x14ac:dyDescent="0.25">
      <c r="J5051" s="48"/>
    </row>
    <row r="5052" spans="10:10" ht="18.75" customHeight="1" x14ac:dyDescent="0.25">
      <c r="J5052" s="48"/>
    </row>
    <row r="5053" spans="10:10" ht="18.75" customHeight="1" x14ac:dyDescent="0.25">
      <c r="J5053" s="48"/>
    </row>
    <row r="5054" spans="10:10" ht="18.75" customHeight="1" x14ac:dyDescent="0.25">
      <c r="J5054" s="48"/>
    </row>
    <row r="5055" spans="10:10" ht="18.75" customHeight="1" x14ac:dyDescent="0.25">
      <c r="J5055" s="48"/>
    </row>
    <row r="5056" spans="10:10" ht="18.75" customHeight="1" x14ac:dyDescent="0.25">
      <c r="J5056" s="48"/>
    </row>
    <row r="5057" spans="10:10" ht="18.75" customHeight="1" x14ac:dyDescent="0.25">
      <c r="J5057" s="48"/>
    </row>
    <row r="5058" spans="10:10" ht="18.75" customHeight="1" x14ac:dyDescent="0.25">
      <c r="J5058" s="48"/>
    </row>
    <row r="5059" spans="10:10" ht="18.75" customHeight="1" x14ac:dyDescent="0.25">
      <c r="J5059" s="48"/>
    </row>
    <row r="5060" spans="10:10" ht="18.75" customHeight="1" x14ac:dyDescent="0.25">
      <c r="J5060" s="48"/>
    </row>
    <row r="5061" spans="10:10" ht="18.75" customHeight="1" x14ac:dyDescent="0.25">
      <c r="J5061" s="48"/>
    </row>
    <row r="5062" spans="10:10" ht="18.75" customHeight="1" x14ac:dyDescent="0.25">
      <c r="J5062" s="48"/>
    </row>
    <row r="5063" spans="10:10" ht="18.75" customHeight="1" x14ac:dyDescent="0.25">
      <c r="J5063" s="48"/>
    </row>
    <row r="5064" spans="10:10" ht="18.75" customHeight="1" x14ac:dyDescent="0.25">
      <c r="J5064" s="48"/>
    </row>
    <row r="5065" spans="10:10" ht="18.75" customHeight="1" x14ac:dyDescent="0.25">
      <c r="J5065" s="48"/>
    </row>
    <row r="5066" spans="10:10" ht="18.75" customHeight="1" x14ac:dyDescent="0.25">
      <c r="J5066" s="48"/>
    </row>
    <row r="5067" spans="10:10" ht="18.75" customHeight="1" x14ac:dyDescent="0.25">
      <c r="J5067" s="48"/>
    </row>
    <row r="5068" spans="10:10" ht="18.75" customHeight="1" x14ac:dyDescent="0.25">
      <c r="J5068" s="48"/>
    </row>
    <row r="5069" spans="10:10" ht="18.75" customHeight="1" x14ac:dyDescent="0.25">
      <c r="J5069" s="48"/>
    </row>
    <row r="5070" spans="10:10" ht="18.75" customHeight="1" x14ac:dyDescent="0.25">
      <c r="J5070" s="48"/>
    </row>
    <row r="5071" spans="10:10" ht="18.75" customHeight="1" x14ac:dyDescent="0.25">
      <c r="J5071" s="48"/>
    </row>
    <row r="5072" spans="10:10" ht="18.75" customHeight="1" x14ac:dyDescent="0.25">
      <c r="J5072" s="48"/>
    </row>
    <row r="5073" spans="10:10" ht="18.75" customHeight="1" x14ac:dyDescent="0.25">
      <c r="J5073" s="48"/>
    </row>
    <row r="5074" spans="10:10" ht="18.75" customHeight="1" x14ac:dyDescent="0.25">
      <c r="J5074" s="48"/>
    </row>
    <row r="5075" spans="10:10" ht="18.75" customHeight="1" x14ac:dyDescent="0.25">
      <c r="J5075" s="48"/>
    </row>
    <row r="5076" spans="10:10" ht="18.75" customHeight="1" x14ac:dyDescent="0.25">
      <c r="J5076" s="48"/>
    </row>
    <row r="5077" spans="10:10" ht="18.75" customHeight="1" x14ac:dyDescent="0.25">
      <c r="J5077" s="48"/>
    </row>
    <row r="5078" spans="10:10" ht="18.75" customHeight="1" x14ac:dyDescent="0.25">
      <c r="J5078" s="48"/>
    </row>
    <row r="5079" spans="10:10" ht="18.75" customHeight="1" x14ac:dyDescent="0.25">
      <c r="J5079" s="48"/>
    </row>
    <row r="5080" spans="10:10" ht="18.75" customHeight="1" x14ac:dyDescent="0.25">
      <c r="J5080" s="48"/>
    </row>
    <row r="5081" spans="10:10" ht="18.75" customHeight="1" x14ac:dyDescent="0.25">
      <c r="J5081" s="48"/>
    </row>
    <row r="5082" spans="10:10" ht="18.75" customHeight="1" x14ac:dyDescent="0.25">
      <c r="J5082" s="48"/>
    </row>
    <row r="5083" spans="10:10" ht="18.75" customHeight="1" x14ac:dyDescent="0.25">
      <c r="J5083" s="48"/>
    </row>
    <row r="5084" spans="10:10" ht="18.75" customHeight="1" x14ac:dyDescent="0.25">
      <c r="J5084" s="48"/>
    </row>
    <row r="5085" spans="10:10" ht="18.75" customHeight="1" x14ac:dyDescent="0.25">
      <c r="J5085" s="48"/>
    </row>
    <row r="5086" spans="10:10" ht="18.75" customHeight="1" x14ac:dyDescent="0.25">
      <c r="J5086" s="48"/>
    </row>
    <row r="5087" spans="10:10" ht="18.75" customHeight="1" x14ac:dyDescent="0.25">
      <c r="J5087" s="48"/>
    </row>
    <row r="5088" spans="10:10" ht="18.75" customHeight="1" x14ac:dyDescent="0.25">
      <c r="J5088" s="48"/>
    </row>
    <row r="5089" spans="10:10" ht="18.75" customHeight="1" x14ac:dyDescent="0.25">
      <c r="J5089" s="48"/>
    </row>
    <row r="5090" spans="10:10" ht="18.75" customHeight="1" x14ac:dyDescent="0.25">
      <c r="J5090" s="48"/>
    </row>
    <row r="5091" spans="10:10" ht="18.75" customHeight="1" x14ac:dyDescent="0.25">
      <c r="J5091" s="48"/>
    </row>
    <row r="5092" spans="10:10" ht="18.75" customHeight="1" x14ac:dyDescent="0.25">
      <c r="J5092" s="48"/>
    </row>
    <row r="5093" spans="10:10" ht="18.75" customHeight="1" x14ac:dyDescent="0.25">
      <c r="J5093" s="48"/>
    </row>
    <row r="5094" spans="10:10" ht="18.75" customHeight="1" x14ac:dyDescent="0.25">
      <c r="J5094" s="48"/>
    </row>
    <row r="5095" spans="10:10" ht="18.75" customHeight="1" x14ac:dyDescent="0.25">
      <c r="J5095" s="48"/>
    </row>
    <row r="5096" spans="10:10" ht="18.75" customHeight="1" x14ac:dyDescent="0.25">
      <c r="J5096" s="48"/>
    </row>
    <row r="5097" spans="10:10" ht="18.75" customHeight="1" x14ac:dyDescent="0.25">
      <c r="J5097" s="48"/>
    </row>
    <row r="5098" spans="10:10" ht="18.75" customHeight="1" x14ac:dyDescent="0.25">
      <c r="J5098" s="48"/>
    </row>
    <row r="5099" spans="10:10" ht="18.75" customHeight="1" x14ac:dyDescent="0.25">
      <c r="J5099" s="48"/>
    </row>
    <row r="5100" spans="10:10" ht="18.75" customHeight="1" x14ac:dyDescent="0.25">
      <c r="J5100" s="48"/>
    </row>
    <row r="5101" spans="10:10" ht="18.75" customHeight="1" x14ac:dyDescent="0.25">
      <c r="J5101" s="48"/>
    </row>
    <row r="5102" spans="10:10" ht="18.75" customHeight="1" x14ac:dyDescent="0.25">
      <c r="J5102" s="48"/>
    </row>
    <row r="5103" spans="10:10" ht="18.75" customHeight="1" x14ac:dyDescent="0.25">
      <c r="J5103" s="48"/>
    </row>
    <row r="5104" spans="10:10" ht="18.75" customHeight="1" x14ac:dyDescent="0.25">
      <c r="J5104" s="48"/>
    </row>
    <row r="5105" spans="10:10" ht="18.75" customHeight="1" x14ac:dyDescent="0.25">
      <c r="J5105" s="48"/>
    </row>
    <row r="5106" spans="10:10" ht="18.75" customHeight="1" x14ac:dyDescent="0.25">
      <c r="J5106" s="48"/>
    </row>
    <row r="5107" spans="10:10" ht="18.75" customHeight="1" x14ac:dyDescent="0.25">
      <c r="J5107" s="48"/>
    </row>
    <row r="5108" spans="10:10" ht="18.75" customHeight="1" x14ac:dyDescent="0.25">
      <c r="J5108" s="48"/>
    </row>
    <row r="5109" spans="10:10" ht="18.75" customHeight="1" x14ac:dyDescent="0.25">
      <c r="J5109" s="48"/>
    </row>
    <row r="5110" spans="10:10" ht="18.75" customHeight="1" x14ac:dyDescent="0.25">
      <c r="J5110" s="48"/>
    </row>
    <row r="5111" spans="10:10" ht="18.75" customHeight="1" x14ac:dyDescent="0.25">
      <c r="J5111" s="48"/>
    </row>
    <row r="5112" spans="10:10" ht="18.75" customHeight="1" x14ac:dyDescent="0.25">
      <c r="J5112" s="48"/>
    </row>
    <row r="5113" spans="10:10" ht="18.75" customHeight="1" x14ac:dyDescent="0.25">
      <c r="J5113" s="48"/>
    </row>
    <row r="5114" spans="10:10" ht="18.75" customHeight="1" x14ac:dyDescent="0.25">
      <c r="J5114" s="48"/>
    </row>
    <row r="5115" spans="10:10" ht="18.75" customHeight="1" x14ac:dyDescent="0.25">
      <c r="J5115" s="48"/>
    </row>
    <row r="5116" spans="10:10" ht="18.75" customHeight="1" x14ac:dyDescent="0.25">
      <c r="J5116" s="48"/>
    </row>
    <row r="5117" spans="10:10" ht="18.75" customHeight="1" x14ac:dyDescent="0.25">
      <c r="J5117" s="48"/>
    </row>
    <row r="5118" spans="10:10" ht="18.75" customHeight="1" x14ac:dyDescent="0.25">
      <c r="J5118" s="48"/>
    </row>
    <row r="5119" spans="10:10" ht="18.75" customHeight="1" x14ac:dyDescent="0.25">
      <c r="J5119" s="48"/>
    </row>
    <row r="5120" spans="10:10" ht="18.75" customHeight="1" x14ac:dyDescent="0.25">
      <c r="J5120" s="48"/>
    </row>
    <row r="5121" spans="10:10" ht="18.75" customHeight="1" x14ac:dyDescent="0.25">
      <c r="J5121" s="48"/>
    </row>
    <row r="5122" spans="10:10" ht="18.75" customHeight="1" x14ac:dyDescent="0.25">
      <c r="J5122" s="48"/>
    </row>
    <row r="5123" spans="10:10" ht="18.75" customHeight="1" x14ac:dyDescent="0.25">
      <c r="J5123" s="48"/>
    </row>
    <row r="5124" spans="10:10" ht="18.75" customHeight="1" x14ac:dyDescent="0.25">
      <c r="J5124" s="48"/>
    </row>
    <row r="5125" spans="10:10" ht="18.75" customHeight="1" x14ac:dyDescent="0.25">
      <c r="J5125" s="48"/>
    </row>
    <row r="5126" spans="10:10" ht="18.75" customHeight="1" x14ac:dyDescent="0.25">
      <c r="J5126" s="48"/>
    </row>
    <row r="5127" spans="10:10" ht="18.75" customHeight="1" x14ac:dyDescent="0.25">
      <c r="J5127" s="48"/>
    </row>
    <row r="5128" spans="10:10" ht="18.75" customHeight="1" x14ac:dyDescent="0.25">
      <c r="J5128" s="48"/>
    </row>
    <row r="5129" spans="10:10" ht="18.75" customHeight="1" x14ac:dyDescent="0.25">
      <c r="J5129" s="48"/>
    </row>
    <row r="5130" spans="10:10" ht="18.75" customHeight="1" x14ac:dyDescent="0.25">
      <c r="J5130" s="48"/>
    </row>
    <row r="5131" spans="10:10" ht="18.75" customHeight="1" x14ac:dyDescent="0.25">
      <c r="J5131" s="48"/>
    </row>
    <row r="5132" spans="10:10" ht="18.75" customHeight="1" x14ac:dyDescent="0.25">
      <c r="J5132" s="48"/>
    </row>
    <row r="5133" spans="10:10" ht="18.75" customHeight="1" x14ac:dyDescent="0.25">
      <c r="J5133" s="48"/>
    </row>
    <row r="5134" spans="10:10" ht="18.75" customHeight="1" x14ac:dyDescent="0.25">
      <c r="J5134" s="48"/>
    </row>
    <row r="5135" spans="10:10" ht="18.75" customHeight="1" x14ac:dyDescent="0.25">
      <c r="J5135" s="48"/>
    </row>
    <row r="5136" spans="10:10" ht="18.75" customHeight="1" x14ac:dyDescent="0.25">
      <c r="J5136" s="48"/>
    </row>
    <row r="5137" spans="10:10" ht="18.75" customHeight="1" x14ac:dyDescent="0.25">
      <c r="J5137" s="48"/>
    </row>
    <row r="5138" spans="10:10" ht="18.75" customHeight="1" x14ac:dyDescent="0.25">
      <c r="J5138" s="48"/>
    </row>
    <row r="5139" spans="10:10" ht="18.75" customHeight="1" x14ac:dyDescent="0.25">
      <c r="J5139" s="48"/>
    </row>
    <row r="5140" spans="10:10" ht="18.75" customHeight="1" x14ac:dyDescent="0.25">
      <c r="J5140" s="48"/>
    </row>
    <row r="5141" spans="10:10" ht="18.75" customHeight="1" x14ac:dyDescent="0.25">
      <c r="J5141" s="48"/>
    </row>
    <row r="5142" spans="10:10" ht="18.75" customHeight="1" x14ac:dyDescent="0.25">
      <c r="J5142" s="48"/>
    </row>
    <row r="5143" spans="10:10" ht="18.75" customHeight="1" x14ac:dyDescent="0.25">
      <c r="J5143" s="48"/>
    </row>
    <row r="5144" spans="10:10" ht="18.75" customHeight="1" x14ac:dyDescent="0.25">
      <c r="J5144" s="48"/>
    </row>
    <row r="5145" spans="10:10" ht="18.75" customHeight="1" x14ac:dyDescent="0.25">
      <c r="J5145" s="48"/>
    </row>
    <row r="5146" spans="10:10" ht="18.75" customHeight="1" x14ac:dyDescent="0.25">
      <c r="J5146" s="48"/>
    </row>
    <row r="5147" spans="10:10" ht="18.75" customHeight="1" x14ac:dyDescent="0.25">
      <c r="J5147" s="48"/>
    </row>
    <row r="5148" spans="10:10" ht="18.75" customHeight="1" x14ac:dyDescent="0.25">
      <c r="J5148" s="48"/>
    </row>
    <row r="5149" spans="10:10" ht="18.75" customHeight="1" x14ac:dyDescent="0.25">
      <c r="J5149" s="48"/>
    </row>
    <row r="5150" spans="10:10" ht="18.75" customHeight="1" x14ac:dyDescent="0.25">
      <c r="J5150" s="48"/>
    </row>
    <row r="5151" spans="10:10" ht="18.75" customHeight="1" x14ac:dyDescent="0.25">
      <c r="J5151" s="48"/>
    </row>
    <row r="5152" spans="10:10" ht="18.75" customHeight="1" x14ac:dyDescent="0.25">
      <c r="J5152" s="48"/>
    </row>
    <row r="5153" spans="10:10" ht="18.75" customHeight="1" x14ac:dyDescent="0.25">
      <c r="J5153" s="48"/>
    </row>
    <row r="5154" spans="10:10" ht="18.75" customHeight="1" x14ac:dyDescent="0.25">
      <c r="J5154" s="48"/>
    </row>
    <row r="5155" spans="10:10" ht="18.75" customHeight="1" x14ac:dyDescent="0.25">
      <c r="J5155" s="48"/>
    </row>
    <row r="5156" spans="10:10" ht="18.75" customHeight="1" x14ac:dyDescent="0.25">
      <c r="J5156" s="48"/>
    </row>
    <row r="5157" spans="10:10" ht="18.75" customHeight="1" x14ac:dyDescent="0.25">
      <c r="J5157" s="48"/>
    </row>
    <row r="5158" spans="10:10" ht="18.75" customHeight="1" x14ac:dyDescent="0.25">
      <c r="J5158" s="48"/>
    </row>
    <row r="5159" spans="10:10" ht="18.75" customHeight="1" x14ac:dyDescent="0.25">
      <c r="J5159" s="48"/>
    </row>
    <row r="5160" spans="10:10" ht="18.75" customHeight="1" x14ac:dyDescent="0.25">
      <c r="J5160" s="48"/>
    </row>
    <row r="5161" spans="10:10" ht="18.75" customHeight="1" x14ac:dyDescent="0.25">
      <c r="J5161" s="48"/>
    </row>
    <row r="5162" spans="10:10" ht="18.75" customHeight="1" x14ac:dyDescent="0.25">
      <c r="J5162" s="48"/>
    </row>
    <row r="5163" spans="10:10" ht="18.75" customHeight="1" x14ac:dyDescent="0.25">
      <c r="J5163" s="48"/>
    </row>
    <row r="5164" spans="10:10" ht="18.75" customHeight="1" x14ac:dyDescent="0.25">
      <c r="J5164" s="48"/>
    </row>
    <row r="5165" spans="10:10" ht="18.75" customHeight="1" x14ac:dyDescent="0.25">
      <c r="J5165" s="48"/>
    </row>
    <row r="5166" spans="10:10" ht="18.75" customHeight="1" x14ac:dyDescent="0.25">
      <c r="J5166" s="48"/>
    </row>
    <row r="5167" spans="10:10" ht="18.75" customHeight="1" x14ac:dyDescent="0.25">
      <c r="J5167" s="48"/>
    </row>
    <row r="5168" spans="10:10" ht="18.75" customHeight="1" x14ac:dyDescent="0.25">
      <c r="J5168" s="48"/>
    </row>
    <row r="5169" spans="10:10" ht="18.75" customHeight="1" x14ac:dyDescent="0.25">
      <c r="J5169" s="48"/>
    </row>
    <row r="5170" spans="10:10" ht="18.75" customHeight="1" x14ac:dyDescent="0.25">
      <c r="J5170" s="48"/>
    </row>
    <row r="5171" spans="10:10" ht="18.75" customHeight="1" x14ac:dyDescent="0.25">
      <c r="J5171" s="48"/>
    </row>
    <row r="5172" spans="10:10" ht="18.75" customHeight="1" x14ac:dyDescent="0.25">
      <c r="J5172" s="48"/>
    </row>
    <row r="5173" spans="10:10" ht="18.75" customHeight="1" x14ac:dyDescent="0.25">
      <c r="J5173" s="48"/>
    </row>
    <row r="5174" spans="10:10" ht="18.75" customHeight="1" x14ac:dyDescent="0.25">
      <c r="J5174" s="48"/>
    </row>
    <row r="5175" spans="10:10" ht="18.75" customHeight="1" x14ac:dyDescent="0.25">
      <c r="J5175" s="48"/>
    </row>
    <row r="5176" spans="10:10" ht="18.75" customHeight="1" x14ac:dyDescent="0.25">
      <c r="J5176" s="48"/>
    </row>
    <row r="5177" spans="10:10" ht="18.75" customHeight="1" x14ac:dyDescent="0.25">
      <c r="J5177" s="48"/>
    </row>
    <row r="5178" spans="10:10" ht="18.75" customHeight="1" x14ac:dyDescent="0.25">
      <c r="J5178" s="48"/>
    </row>
    <row r="5179" spans="10:10" ht="18.75" customHeight="1" x14ac:dyDescent="0.25">
      <c r="J5179" s="48"/>
    </row>
    <row r="5180" spans="10:10" ht="18.75" customHeight="1" x14ac:dyDescent="0.25">
      <c r="J5180" s="48"/>
    </row>
    <row r="5181" spans="10:10" ht="18.75" customHeight="1" x14ac:dyDescent="0.25">
      <c r="J5181" s="48"/>
    </row>
    <row r="5182" spans="10:10" ht="18.75" customHeight="1" x14ac:dyDescent="0.25">
      <c r="J5182" s="48"/>
    </row>
    <row r="5183" spans="10:10" ht="18.75" customHeight="1" x14ac:dyDescent="0.25">
      <c r="J5183" s="48"/>
    </row>
    <row r="5184" spans="10:10" ht="18.75" customHeight="1" x14ac:dyDescent="0.25">
      <c r="J5184" s="48"/>
    </row>
    <row r="5185" spans="10:10" ht="18.75" customHeight="1" x14ac:dyDescent="0.25">
      <c r="J5185" s="48"/>
    </row>
    <row r="5186" spans="10:10" ht="18.75" customHeight="1" x14ac:dyDescent="0.25">
      <c r="J5186" s="48"/>
    </row>
    <row r="5187" spans="10:10" ht="18.75" customHeight="1" x14ac:dyDescent="0.25">
      <c r="J5187" s="48"/>
    </row>
    <row r="5188" spans="10:10" ht="18.75" customHeight="1" x14ac:dyDescent="0.25">
      <c r="J5188" s="48"/>
    </row>
    <row r="5189" spans="10:10" ht="18.75" customHeight="1" x14ac:dyDescent="0.25">
      <c r="J5189" s="48"/>
    </row>
    <row r="5190" spans="10:10" ht="18.75" customHeight="1" x14ac:dyDescent="0.25">
      <c r="J5190" s="48"/>
    </row>
    <row r="5191" spans="10:10" ht="18.75" customHeight="1" x14ac:dyDescent="0.25">
      <c r="J5191" s="48"/>
    </row>
    <row r="5192" spans="10:10" ht="18.75" customHeight="1" x14ac:dyDescent="0.25">
      <c r="J5192" s="48"/>
    </row>
    <row r="5193" spans="10:10" ht="18.75" customHeight="1" x14ac:dyDescent="0.25">
      <c r="J5193" s="48"/>
    </row>
    <row r="5194" spans="10:10" ht="18.75" customHeight="1" x14ac:dyDescent="0.25">
      <c r="J5194" s="48"/>
    </row>
    <row r="5195" spans="10:10" ht="18.75" customHeight="1" x14ac:dyDescent="0.25">
      <c r="J5195" s="48"/>
    </row>
    <row r="5196" spans="10:10" ht="18.75" customHeight="1" x14ac:dyDescent="0.25">
      <c r="J5196" s="48"/>
    </row>
    <row r="5197" spans="10:10" ht="18.75" customHeight="1" x14ac:dyDescent="0.25">
      <c r="J5197" s="48"/>
    </row>
    <row r="5198" spans="10:10" ht="18.75" customHeight="1" x14ac:dyDescent="0.25">
      <c r="J5198" s="48"/>
    </row>
    <row r="5199" spans="10:10" ht="18.75" customHeight="1" x14ac:dyDescent="0.25">
      <c r="J5199" s="48"/>
    </row>
    <row r="5200" spans="10:10" ht="18.75" customHeight="1" x14ac:dyDescent="0.25">
      <c r="J5200" s="48"/>
    </row>
    <row r="5201" spans="10:10" ht="18.75" customHeight="1" x14ac:dyDescent="0.25">
      <c r="J5201" s="48"/>
    </row>
    <row r="5202" spans="10:10" ht="18.75" customHeight="1" x14ac:dyDescent="0.25">
      <c r="J5202" s="48"/>
    </row>
    <row r="5203" spans="10:10" ht="18.75" customHeight="1" x14ac:dyDescent="0.25">
      <c r="J5203" s="48"/>
    </row>
    <row r="5204" spans="10:10" ht="18.75" customHeight="1" x14ac:dyDescent="0.25">
      <c r="J5204" s="48"/>
    </row>
    <row r="5205" spans="10:10" ht="18.75" customHeight="1" x14ac:dyDescent="0.25">
      <c r="J5205" s="48"/>
    </row>
    <row r="5206" spans="10:10" ht="18.75" customHeight="1" x14ac:dyDescent="0.25">
      <c r="J5206" s="48"/>
    </row>
    <row r="5207" spans="10:10" ht="18.75" customHeight="1" x14ac:dyDescent="0.25">
      <c r="J5207" s="48"/>
    </row>
    <row r="5208" spans="10:10" ht="18.75" customHeight="1" x14ac:dyDescent="0.25">
      <c r="J5208" s="48"/>
    </row>
    <row r="5209" spans="10:10" ht="18.75" customHeight="1" x14ac:dyDescent="0.25">
      <c r="J5209" s="48"/>
    </row>
    <row r="5210" spans="10:10" ht="18.75" customHeight="1" x14ac:dyDescent="0.25">
      <c r="J5210" s="48"/>
    </row>
    <row r="5211" spans="10:10" ht="18.75" customHeight="1" x14ac:dyDescent="0.25">
      <c r="J5211" s="48"/>
    </row>
    <row r="5212" spans="10:10" ht="18.75" customHeight="1" x14ac:dyDescent="0.25">
      <c r="J5212" s="48"/>
    </row>
    <row r="5213" spans="10:10" ht="18.75" customHeight="1" x14ac:dyDescent="0.25">
      <c r="J5213" s="48"/>
    </row>
    <row r="5214" spans="10:10" ht="18.75" customHeight="1" x14ac:dyDescent="0.25">
      <c r="J5214" s="48"/>
    </row>
    <row r="5215" spans="10:10" ht="18.75" customHeight="1" x14ac:dyDescent="0.25">
      <c r="J5215" s="48"/>
    </row>
    <row r="5216" spans="10:10" ht="18.75" customHeight="1" x14ac:dyDescent="0.25">
      <c r="J5216" s="48"/>
    </row>
    <row r="5217" spans="10:10" ht="18.75" customHeight="1" x14ac:dyDescent="0.25">
      <c r="J5217" s="48"/>
    </row>
    <row r="5218" spans="10:10" ht="18.75" customHeight="1" x14ac:dyDescent="0.25">
      <c r="J5218" s="48"/>
    </row>
    <row r="5219" spans="10:10" ht="18.75" customHeight="1" x14ac:dyDescent="0.25">
      <c r="J5219" s="48"/>
    </row>
    <row r="5220" spans="10:10" ht="18.75" customHeight="1" x14ac:dyDescent="0.25">
      <c r="J5220" s="48"/>
    </row>
    <row r="5221" spans="10:10" ht="18.75" customHeight="1" x14ac:dyDescent="0.25">
      <c r="J5221" s="48"/>
    </row>
    <row r="5222" spans="10:10" ht="18.75" customHeight="1" x14ac:dyDescent="0.25">
      <c r="J5222" s="48"/>
    </row>
    <row r="5223" spans="10:10" ht="18.75" customHeight="1" x14ac:dyDescent="0.25">
      <c r="J5223" s="48"/>
    </row>
    <row r="5224" spans="10:10" ht="18.75" customHeight="1" x14ac:dyDescent="0.25">
      <c r="J5224" s="48"/>
    </row>
    <row r="5225" spans="10:10" ht="18.75" customHeight="1" x14ac:dyDescent="0.25">
      <c r="J5225" s="48"/>
    </row>
    <row r="5226" spans="10:10" ht="18.75" customHeight="1" x14ac:dyDescent="0.25">
      <c r="J5226" s="48"/>
    </row>
    <row r="5227" spans="10:10" ht="18.75" customHeight="1" x14ac:dyDescent="0.25">
      <c r="J5227" s="48"/>
    </row>
    <row r="5228" spans="10:10" ht="18.75" customHeight="1" x14ac:dyDescent="0.25">
      <c r="J5228" s="48"/>
    </row>
    <row r="5229" spans="10:10" ht="18.75" customHeight="1" x14ac:dyDescent="0.25">
      <c r="J5229" s="48"/>
    </row>
    <row r="5230" spans="10:10" ht="18.75" customHeight="1" x14ac:dyDescent="0.25">
      <c r="J5230" s="48"/>
    </row>
    <row r="5231" spans="10:10" ht="18.75" customHeight="1" x14ac:dyDescent="0.25">
      <c r="J5231" s="48"/>
    </row>
    <row r="5232" spans="10:10" ht="18.75" customHeight="1" x14ac:dyDescent="0.25">
      <c r="J5232" s="48"/>
    </row>
    <row r="5233" spans="10:10" ht="18.75" customHeight="1" x14ac:dyDescent="0.25">
      <c r="J5233" s="48"/>
    </row>
    <row r="5234" spans="10:10" ht="18.75" customHeight="1" x14ac:dyDescent="0.25">
      <c r="J5234" s="48"/>
    </row>
    <row r="5235" spans="10:10" ht="18.75" customHeight="1" x14ac:dyDescent="0.25">
      <c r="J5235" s="48"/>
    </row>
    <row r="5236" spans="10:10" ht="18.75" customHeight="1" x14ac:dyDescent="0.25">
      <c r="J5236" s="48"/>
    </row>
    <row r="5237" spans="10:10" ht="18.75" customHeight="1" x14ac:dyDescent="0.25">
      <c r="J5237" s="48"/>
    </row>
    <row r="5238" spans="10:10" ht="18.75" customHeight="1" x14ac:dyDescent="0.25">
      <c r="J5238" s="48"/>
    </row>
    <row r="5239" spans="10:10" ht="18.75" customHeight="1" x14ac:dyDescent="0.25">
      <c r="J5239" s="48"/>
    </row>
    <row r="5240" spans="10:10" ht="18.75" customHeight="1" x14ac:dyDescent="0.25">
      <c r="J5240" s="48"/>
    </row>
    <row r="5241" spans="10:10" ht="18.75" customHeight="1" x14ac:dyDescent="0.25">
      <c r="J5241" s="48"/>
    </row>
    <row r="5242" spans="10:10" ht="18.75" customHeight="1" x14ac:dyDescent="0.25">
      <c r="J5242" s="48"/>
    </row>
    <row r="5243" spans="10:10" ht="18.75" customHeight="1" x14ac:dyDescent="0.25">
      <c r="J5243" s="48"/>
    </row>
    <row r="5244" spans="10:10" ht="18.75" customHeight="1" x14ac:dyDescent="0.25">
      <c r="J5244" s="48"/>
    </row>
    <row r="5245" spans="10:10" ht="18.75" customHeight="1" x14ac:dyDescent="0.25">
      <c r="J5245" s="48"/>
    </row>
    <row r="5246" spans="10:10" ht="18.75" customHeight="1" x14ac:dyDescent="0.25">
      <c r="J5246" s="48"/>
    </row>
    <row r="5247" spans="10:10" ht="18.75" customHeight="1" x14ac:dyDescent="0.25">
      <c r="J5247" s="48"/>
    </row>
    <row r="5248" spans="10:10" ht="18.75" customHeight="1" x14ac:dyDescent="0.25">
      <c r="J5248" s="48"/>
    </row>
    <row r="5249" spans="10:10" ht="18.75" customHeight="1" x14ac:dyDescent="0.25">
      <c r="J5249" s="48"/>
    </row>
    <row r="5250" spans="10:10" ht="18.75" customHeight="1" x14ac:dyDescent="0.25">
      <c r="J5250" s="48"/>
    </row>
    <row r="5251" spans="10:10" ht="18.75" customHeight="1" x14ac:dyDescent="0.25">
      <c r="J5251" s="48"/>
    </row>
    <row r="5252" spans="10:10" ht="18.75" customHeight="1" x14ac:dyDescent="0.25">
      <c r="J5252" s="48"/>
    </row>
    <row r="5253" spans="10:10" ht="18.75" customHeight="1" x14ac:dyDescent="0.25">
      <c r="J5253" s="48"/>
    </row>
    <row r="5254" spans="10:10" ht="18.75" customHeight="1" x14ac:dyDescent="0.25">
      <c r="J5254" s="48"/>
    </row>
    <row r="5255" spans="10:10" ht="18.75" customHeight="1" x14ac:dyDescent="0.25">
      <c r="J5255" s="48"/>
    </row>
    <row r="5256" spans="10:10" ht="18.75" customHeight="1" x14ac:dyDescent="0.25">
      <c r="J5256" s="48"/>
    </row>
    <row r="5257" spans="10:10" ht="18.75" customHeight="1" x14ac:dyDescent="0.25">
      <c r="J5257" s="48"/>
    </row>
    <row r="5258" spans="10:10" ht="18.75" customHeight="1" x14ac:dyDescent="0.25">
      <c r="J5258" s="48"/>
    </row>
    <row r="5259" spans="10:10" ht="18.75" customHeight="1" x14ac:dyDescent="0.25">
      <c r="J5259" s="48"/>
    </row>
    <row r="5260" spans="10:10" ht="18.75" customHeight="1" x14ac:dyDescent="0.25">
      <c r="J5260" s="48"/>
    </row>
    <row r="5261" spans="10:10" ht="18.75" customHeight="1" x14ac:dyDescent="0.25">
      <c r="J5261" s="48"/>
    </row>
    <row r="5262" spans="10:10" ht="18.75" customHeight="1" x14ac:dyDescent="0.25">
      <c r="J5262" s="48"/>
    </row>
    <row r="5263" spans="10:10" ht="18.75" customHeight="1" x14ac:dyDescent="0.25">
      <c r="J5263" s="48"/>
    </row>
    <row r="5264" spans="10:10" ht="18.75" customHeight="1" x14ac:dyDescent="0.25">
      <c r="J5264" s="48"/>
    </row>
    <row r="5265" spans="10:10" ht="18.75" customHeight="1" x14ac:dyDescent="0.25">
      <c r="J5265" s="48"/>
    </row>
    <row r="5266" spans="10:10" ht="18.75" customHeight="1" x14ac:dyDescent="0.25">
      <c r="J5266" s="48"/>
    </row>
    <row r="5267" spans="10:10" ht="18.75" customHeight="1" x14ac:dyDescent="0.25">
      <c r="J5267" s="48"/>
    </row>
    <row r="5268" spans="10:10" ht="18.75" customHeight="1" x14ac:dyDescent="0.25">
      <c r="J5268" s="48"/>
    </row>
    <row r="5269" spans="10:10" ht="18.75" customHeight="1" x14ac:dyDescent="0.25">
      <c r="J5269" s="48"/>
    </row>
    <row r="5270" spans="10:10" ht="18.75" customHeight="1" x14ac:dyDescent="0.25">
      <c r="J5270" s="48"/>
    </row>
    <row r="5271" spans="10:10" ht="18.75" customHeight="1" x14ac:dyDescent="0.25">
      <c r="J5271" s="48"/>
    </row>
    <row r="5272" spans="10:10" ht="18.75" customHeight="1" x14ac:dyDescent="0.25">
      <c r="J5272" s="48"/>
    </row>
    <row r="5273" spans="10:10" ht="18.75" customHeight="1" x14ac:dyDescent="0.25">
      <c r="J5273" s="48"/>
    </row>
    <row r="5274" spans="10:10" ht="18.75" customHeight="1" x14ac:dyDescent="0.25">
      <c r="J5274" s="48"/>
    </row>
    <row r="5275" spans="10:10" ht="18.75" customHeight="1" x14ac:dyDescent="0.25">
      <c r="J5275" s="48"/>
    </row>
    <row r="5276" spans="10:10" ht="18.75" customHeight="1" x14ac:dyDescent="0.25">
      <c r="J5276" s="48"/>
    </row>
    <row r="5277" spans="10:10" ht="18.75" customHeight="1" x14ac:dyDescent="0.25">
      <c r="J5277" s="48"/>
    </row>
    <row r="5278" spans="10:10" ht="18.75" customHeight="1" x14ac:dyDescent="0.25">
      <c r="J5278" s="48"/>
    </row>
    <row r="5279" spans="10:10" ht="18.75" customHeight="1" x14ac:dyDescent="0.25">
      <c r="J5279" s="48"/>
    </row>
    <row r="5280" spans="10:10" ht="18.75" customHeight="1" x14ac:dyDescent="0.25">
      <c r="J5280" s="48"/>
    </row>
    <row r="5281" spans="10:10" ht="18.75" customHeight="1" x14ac:dyDescent="0.25">
      <c r="J5281" s="48"/>
    </row>
    <row r="5282" spans="10:10" ht="18.75" customHeight="1" x14ac:dyDescent="0.25">
      <c r="J5282" s="48"/>
    </row>
    <row r="5283" spans="10:10" ht="18.75" customHeight="1" x14ac:dyDescent="0.25">
      <c r="J5283" s="48"/>
    </row>
    <row r="5284" spans="10:10" ht="18.75" customHeight="1" x14ac:dyDescent="0.25">
      <c r="J5284" s="48"/>
    </row>
    <row r="5285" spans="10:10" ht="18.75" customHeight="1" x14ac:dyDescent="0.25">
      <c r="J5285" s="48"/>
    </row>
    <row r="5286" spans="10:10" ht="18.75" customHeight="1" x14ac:dyDescent="0.25">
      <c r="J5286" s="48"/>
    </row>
    <row r="5287" spans="10:10" ht="18.75" customHeight="1" x14ac:dyDescent="0.25">
      <c r="J5287" s="48"/>
    </row>
    <row r="5288" spans="10:10" ht="18.75" customHeight="1" x14ac:dyDescent="0.25">
      <c r="J5288" s="48"/>
    </row>
    <row r="5289" spans="10:10" ht="18.75" customHeight="1" x14ac:dyDescent="0.25">
      <c r="J5289" s="48"/>
    </row>
    <row r="5290" spans="10:10" ht="18.75" customHeight="1" x14ac:dyDescent="0.25">
      <c r="J5290" s="48"/>
    </row>
    <row r="5291" spans="10:10" ht="18.75" customHeight="1" x14ac:dyDescent="0.25">
      <c r="J5291" s="48"/>
    </row>
    <row r="5292" spans="10:10" ht="18.75" customHeight="1" x14ac:dyDescent="0.25">
      <c r="J5292" s="48"/>
    </row>
    <row r="5293" spans="10:10" ht="18.75" customHeight="1" x14ac:dyDescent="0.25">
      <c r="J5293" s="48"/>
    </row>
    <row r="5294" spans="10:10" ht="18.75" customHeight="1" x14ac:dyDescent="0.25">
      <c r="J5294" s="48"/>
    </row>
    <row r="5295" spans="10:10" ht="18.75" customHeight="1" x14ac:dyDescent="0.25">
      <c r="J5295" s="48"/>
    </row>
    <row r="5296" spans="10:10" ht="18.75" customHeight="1" x14ac:dyDescent="0.25">
      <c r="J5296" s="48"/>
    </row>
    <row r="5297" spans="10:10" ht="18.75" customHeight="1" x14ac:dyDescent="0.25">
      <c r="J5297" s="48"/>
    </row>
    <row r="5298" spans="10:10" ht="18.75" customHeight="1" x14ac:dyDescent="0.25">
      <c r="J5298" s="48"/>
    </row>
    <row r="5299" spans="10:10" ht="18.75" customHeight="1" x14ac:dyDescent="0.25">
      <c r="J5299" s="48"/>
    </row>
    <row r="5300" spans="10:10" ht="18.75" customHeight="1" x14ac:dyDescent="0.25">
      <c r="J5300" s="48"/>
    </row>
    <row r="5301" spans="10:10" ht="18.75" customHeight="1" x14ac:dyDescent="0.25">
      <c r="J5301" s="48"/>
    </row>
    <row r="5302" spans="10:10" ht="18.75" customHeight="1" x14ac:dyDescent="0.25">
      <c r="J5302" s="48"/>
    </row>
    <row r="5303" spans="10:10" ht="18.75" customHeight="1" x14ac:dyDescent="0.25">
      <c r="J5303" s="48"/>
    </row>
    <row r="5304" spans="10:10" ht="18.75" customHeight="1" x14ac:dyDescent="0.25">
      <c r="J5304" s="48"/>
    </row>
    <row r="5305" spans="10:10" ht="18.75" customHeight="1" x14ac:dyDescent="0.25">
      <c r="J5305" s="48"/>
    </row>
    <row r="5306" spans="10:10" ht="18.75" customHeight="1" x14ac:dyDescent="0.25">
      <c r="J5306" s="48"/>
    </row>
    <row r="5307" spans="10:10" ht="18.75" customHeight="1" x14ac:dyDescent="0.25">
      <c r="J5307" s="48"/>
    </row>
    <row r="5308" spans="10:10" ht="18.75" customHeight="1" x14ac:dyDescent="0.25">
      <c r="J5308" s="48"/>
    </row>
    <row r="5309" spans="10:10" ht="18.75" customHeight="1" x14ac:dyDescent="0.25">
      <c r="J5309" s="48"/>
    </row>
    <row r="5310" spans="10:10" ht="18.75" customHeight="1" x14ac:dyDescent="0.25">
      <c r="J5310" s="48"/>
    </row>
    <row r="5311" spans="10:10" ht="18.75" customHeight="1" x14ac:dyDescent="0.25">
      <c r="J5311" s="48"/>
    </row>
    <row r="5312" spans="10:10" ht="18.75" customHeight="1" x14ac:dyDescent="0.25">
      <c r="J5312" s="48"/>
    </row>
    <row r="5313" spans="10:10" ht="18.75" customHeight="1" x14ac:dyDescent="0.25">
      <c r="J5313" s="48"/>
    </row>
    <row r="5314" spans="10:10" ht="18.75" customHeight="1" x14ac:dyDescent="0.25">
      <c r="J5314" s="48"/>
    </row>
    <row r="5315" spans="10:10" ht="18.75" customHeight="1" x14ac:dyDescent="0.25">
      <c r="J5315" s="48"/>
    </row>
    <row r="5316" spans="10:10" ht="18.75" customHeight="1" x14ac:dyDescent="0.25">
      <c r="J5316" s="48"/>
    </row>
    <row r="5317" spans="10:10" ht="18.75" customHeight="1" x14ac:dyDescent="0.25">
      <c r="J5317" s="48"/>
    </row>
    <row r="5318" spans="10:10" ht="18.75" customHeight="1" x14ac:dyDescent="0.25">
      <c r="J5318" s="48"/>
    </row>
    <row r="5319" spans="10:10" ht="18.75" customHeight="1" x14ac:dyDescent="0.25">
      <c r="J5319" s="48"/>
    </row>
    <row r="5320" spans="10:10" ht="18.75" customHeight="1" x14ac:dyDescent="0.25">
      <c r="J5320" s="48"/>
    </row>
    <row r="5321" spans="10:10" ht="18.75" customHeight="1" x14ac:dyDescent="0.25">
      <c r="J5321" s="48"/>
    </row>
    <row r="5322" spans="10:10" ht="18.75" customHeight="1" x14ac:dyDescent="0.25">
      <c r="J5322" s="48"/>
    </row>
    <row r="5323" spans="10:10" ht="18.75" customHeight="1" x14ac:dyDescent="0.25">
      <c r="J5323" s="48"/>
    </row>
    <row r="5324" spans="10:10" ht="18.75" customHeight="1" x14ac:dyDescent="0.25">
      <c r="J5324" s="48"/>
    </row>
    <row r="5325" spans="10:10" ht="18.75" customHeight="1" x14ac:dyDescent="0.25">
      <c r="J5325" s="48"/>
    </row>
    <row r="5326" spans="10:10" ht="18.75" customHeight="1" x14ac:dyDescent="0.25">
      <c r="J5326" s="48"/>
    </row>
    <row r="5327" spans="10:10" ht="18.75" customHeight="1" x14ac:dyDescent="0.25">
      <c r="J5327" s="48"/>
    </row>
    <row r="5328" spans="10:10" ht="18.75" customHeight="1" x14ac:dyDescent="0.25">
      <c r="J5328" s="48"/>
    </row>
    <row r="5329" spans="10:10" ht="18.75" customHeight="1" x14ac:dyDescent="0.25">
      <c r="J5329" s="48"/>
    </row>
    <row r="5330" spans="10:10" ht="18.75" customHeight="1" x14ac:dyDescent="0.25">
      <c r="J5330" s="48"/>
    </row>
    <row r="5331" spans="10:10" ht="18.75" customHeight="1" x14ac:dyDescent="0.25">
      <c r="J5331" s="48"/>
    </row>
    <row r="5332" spans="10:10" ht="18.75" customHeight="1" x14ac:dyDescent="0.25">
      <c r="J5332" s="48"/>
    </row>
    <row r="5333" spans="10:10" ht="18.75" customHeight="1" x14ac:dyDescent="0.25">
      <c r="J5333" s="48"/>
    </row>
    <row r="5334" spans="10:10" ht="18.75" customHeight="1" x14ac:dyDescent="0.25">
      <c r="J5334" s="48"/>
    </row>
    <row r="5335" spans="10:10" ht="18.75" customHeight="1" x14ac:dyDescent="0.25">
      <c r="J5335" s="48"/>
    </row>
    <row r="5336" spans="10:10" ht="18.75" customHeight="1" x14ac:dyDescent="0.25">
      <c r="J5336" s="48"/>
    </row>
    <row r="5337" spans="10:10" ht="18.75" customHeight="1" x14ac:dyDescent="0.25">
      <c r="J5337" s="48"/>
    </row>
    <row r="5338" spans="10:10" ht="18.75" customHeight="1" x14ac:dyDescent="0.25">
      <c r="J5338" s="48"/>
    </row>
    <row r="5339" spans="10:10" ht="18.75" customHeight="1" x14ac:dyDescent="0.25">
      <c r="J5339" s="48"/>
    </row>
    <row r="5340" spans="10:10" ht="18.75" customHeight="1" x14ac:dyDescent="0.25">
      <c r="J5340" s="48"/>
    </row>
    <row r="5341" spans="10:10" ht="18.75" customHeight="1" x14ac:dyDescent="0.25">
      <c r="J5341" s="48"/>
    </row>
    <row r="5342" spans="10:10" ht="18.75" customHeight="1" x14ac:dyDescent="0.25">
      <c r="J5342" s="48"/>
    </row>
    <row r="5343" spans="10:10" ht="18.75" customHeight="1" x14ac:dyDescent="0.25">
      <c r="J5343" s="48"/>
    </row>
    <row r="5344" spans="10:10" ht="18.75" customHeight="1" x14ac:dyDescent="0.25">
      <c r="J5344" s="48"/>
    </row>
    <row r="5345" spans="10:10" ht="18.75" customHeight="1" x14ac:dyDescent="0.25">
      <c r="J5345" s="48"/>
    </row>
    <row r="5346" spans="10:10" ht="18.75" customHeight="1" x14ac:dyDescent="0.25">
      <c r="J5346" s="48"/>
    </row>
    <row r="5347" spans="10:10" ht="18.75" customHeight="1" x14ac:dyDescent="0.25">
      <c r="J5347" s="48"/>
    </row>
    <row r="5348" spans="10:10" ht="18.75" customHeight="1" x14ac:dyDescent="0.25">
      <c r="J5348" s="48"/>
    </row>
    <row r="5349" spans="10:10" ht="18.75" customHeight="1" x14ac:dyDescent="0.25">
      <c r="J5349" s="48"/>
    </row>
    <row r="5350" spans="10:10" ht="18.75" customHeight="1" x14ac:dyDescent="0.25">
      <c r="J5350" s="48"/>
    </row>
    <row r="5351" spans="10:10" ht="18.75" customHeight="1" x14ac:dyDescent="0.25">
      <c r="J5351" s="48"/>
    </row>
    <row r="5352" spans="10:10" ht="18.75" customHeight="1" x14ac:dyDescent="0.25">
      <c r="J5352" s="48"/>
    </row>
    <row r="5353" spans="10:10" ht="18.75" customHeight="1" x14ac:dyDescent="0.25">
      <c r="J5353" s="48"/>
    </row>
    <row r="5354" spans="10:10" ht="18.75" customHeight="1" x14ac:dyDescent="0.25">
      <c r="J5354" s="48"/>
    </row>
    <row r="5355" spans="10:10" ht="18.75" customHeight="1" x14ac:dyDescent="0.25">
      <c r="J5355" s="48"/>
    </row>
    <row r="5356" spans="10:10" ht="18.75" customHeight="1" x14ac:dyDescent="0.25">
      <c r="J5356" s="48"/>
    </row>
    <row r="5357" spans="10:10" ht="18.75" customHeight="1" x14ac:dyDescent="0.25">
      <c r="J5357" s="48"/>
    </row>
    <row r="5358" spans="10:10" ht="18.75" customHeight="1" x14ac:dyDescent="0.25">
      <c r="J5358" s="48"/>
    </row>
    <row r="5359" spans="10:10" ht="18.75" customHeight="1" x14ac:dyDescent="0.25">
      <c r="J5359" s="48"/>
    </row>
    <row r="5360" spans="10:10" ht="18.75" customHeight="1" x14ac:dyDescent="0.25">
      <c r="J5360" s="48"/>
    </row>
    <row r="5361" spans="10:10" ht="18.75" customHeight="1" x14ac:dyDescent="0.25">
      <c r="J5361" s="48"/>
    </row>
    <row r="5362" spans="10:10" ht="18.75" customHeight="1" x14ac:dyDescent="0.25">
      <c r="J5362" s="48"/>
    </row>
    <row r="5363" spans="10:10" ht="18.75" customHeight="1" x14ac:dyDescent="0.25">
      <c r="J5363" s="48"/>
    </row>
    <row r="5364" spans="10:10" ht="18.75" customHeight="1" x14ac:dyDescent="0.25">
      <c r="J5364" s="48"/>
    </row>
    <row r="5365" spans="10:10" ht="18.75" customHeight="1" x14ac:dyDescent="0.25">
      <c r="J5365" s="48"/>
    </row>
    <row r="5366" spans="10:10" ht="18.75" customHeight="1" x14ac:dyDescent="0.25">
      <c r="J5366" s="48"/>
    </row>
    <row r="5367" spans="10:10" ht="18.75" customHeight="1" x14ac:dyDescent="0.25">
      <c r="J5367" s="48"/>
    </row>
    <row r="5368" spans="10:10" ht="18.75" customHeight="1" x14ac:dyDescent="0.25">
      <c r="J5368" s="48"/>
    </row>
    <row r="5369" spans="10:10" ht="18.75" customHeight="1" x14ac:dyDescent="0.25">
      <c r="J5369" s="48"/>
    </row>
    <row r="5370" spans="10:10" ht="18.75" customHeight="1" x14ac:dyDescent="0.25">
      <c r="J5370" s="48"/>
    </row>
    <row r="5371" spans="10:10" ht="18.75" customHeight="1" x14ac:dyDescent="0.25">
      <c r="J5371" s="48"/>
    </row>
    <row r="5372" spans="10:10" ht="18.75" customHeight="1" x14ac:dyDescent="0.25">
      <c r="J5372" s="48"/>
    </row>
    <row r="5373" spans="10:10" ht="18.75" customHeight="1" x14ac:dyDescent="0.25">
      <c r="J5373" s="48"/>
    </row>
    <row r="5374" spans="10:10" ht="18.75" customHeight="1" x14ac:dyDescent="0.25">
      <c r="J5374" s="48"/>
    </row>
    <row r="5375" spans="10:10" ht="18.75" customHeight="1" x14ac:dyDescent="0.25">
      <c r="J5375" s="48"/>
    </row>
    <row r="5376" spans="10:10" ht="18.75" customHeight="1" x14ac:dyDescent="0.25">
      <c r="J5376" s="48"/>
    </row>
    <row r="5377" spans="10:10" ht="18.75" customHeight="1" x14ac:dyDescent="0.25">
      <c r="J5377" s="48"/>
    </row>
    <row r="5378" spans="10:10" ht="18.75" customHeight="1" x14ac:dyDescent="0.25">
      <c r="J5378" s="48"/>
    </row>
    <row r="5379" spans="10:10" ht="18.75" customHeight="1" x14ac:dyDescent="0.25">
      <c r="J5379" s="48"/>
    </row>
    <row r="5380" spans="10:10" ht="18.75" customHeight="1" x14ac:dyDescent="0.25">
      <c r="J5380" s="48"/>
    </row>
    <row r="5381" spans="10:10" ht="18.75" customHeight="1" x14ac:dyDescent="0.25">
      <c r="J5381" s="48"/>
    </row>
    <row r="5382" spans="10:10" ht="18.75" customHeight="1" x14ac:dyDescent="0.25">
      <c r="J5382" s="48"/>
    </row>
    <row r="5383" spans="10:10" ht="18.75" customHeight="1" x14ac:dyDescent="0.25">
      <c r="J5383" s="48"/>
    </row>
    <row r="5384" spans="10:10" ht="18.75" customHeight="1" x14ac:dyDescent="0.25">
      <c r="J5384" s="48"/>
    </row>
    <row r="5385" spans="10:10" ht="18.75" customHeight="1" x14ac:dyDescent="0.25">
      <c r="J5385" s="48"/>
    </row>
    <row r="5386" spans="10:10" ht="18.75" customHeight="1" x14ac:dyDescent="0.25">
      <c r="J5386" s="48"/>
    </row>
    <row r="5387" spans="10:10" ht="18.75" customHeight="1" x14ac:dyDescent="0.25">
      <c r="J5387" s="48"/>
    </row>
    <row r="5388" spans="10:10" ht="18.75" customHeight="1" x14ac:dyDescent="0.25">
      <c r="J5388" s="48"/>
    </row>
    <row r="5389" spans="10:10" ht="18.75" customHeight="1" x14ac:dyDescent="0.25">
      <c r="J5389" s="48"/>
    </row>
    <row r="5390" spans="10:10" ht="18.75" customHeight="1" x14ac:dyDescent="0.25">
      <c r="J5390" s="48"/>
    </row>
    <row r="5391" spans="10:10" ht="18.75" customHeight="1" x14ac:dyDescent="0.25">
      <c r="J5391" s="48"/>
    </row>
    <row r="5392" spans="10:10" ht="18.75" customHeight="1" x14ac:dyDescent="0.25">
      <c r="J5392" s="48"/>
    </row>
    <row r="5393" spans="10:10" ht="18.75" customHeight="1" x14ac:dyDescent="0.25">
      <c r="J5393" s="48"/>
    </row>
    <row r="5394" spans="10:10" ht="18.75" customHeight="1" x14ac:dyDescent="0.25">
      <c r="J5394" s="48"/>
    </row>
    <row r="5395" spans="10:10" ht="18.75" customHeight="1" x14ac:dyDescent="0.25">
      <c r="J5395" s="48"/>
    </row>
    <row r="5396" spans="10:10" ht="18.75" customHeight="1" x14ac:dyDescent="0.25">
      <c r="J5396" s="48"/>
    </row>
    <row r="5397" spans="10:10" ht="18.75" customHeight="1" x14ac:dyDescent="0.25">
      <c r="J5397" s="48"/>
    </row>
    <row r="5398" spans="10:10" ht="18.75" customHeight="1" x14ac:dyDescent="0.25">
      <c r="J5398" s="48"/>
    </row>
    <row r="5399" spans="10:10" ht="18.75" customHeight="1" x14ac:dyDescent="0.25">
      <c r="J5399" s="48"/>
    </row>
    <row r="5400" spans="10:10" ht="18.75" customHeight="1" x14ac:dyDescent="0.25">
      <c r="J5400" s="48"/>
    </row>
    <row r="5401" spans="10:10" ht="18.75" customHeight="1" x14ac:dyDescent="0.25">
      <c r="J5401" s="48"/>
    </row>
    <row r="5402" spans="10:10" ht="18.75" customHeight="1" x14ac:dyDescent="0.25">
      <c r="J5402" s="48"/>
    </row>
    <row r="5403" spans="10:10" ht="18.75" customHeight="1" x14ac:dyDescent="0.25">
      <c r="J5403" s="48"/>
    </row>
    <row r="5404" spans="10:10" ht="18.75" customHeight="1" x14ac:dyDescent="0.25">
      <c r="J5404" s="48"/>
    </row>
    <row r="5405" spans="10:10" ht="18.75" customHeight="1" x14ac:dyDescent="0.25">
      <c r="J5405" s="48"/>
    </row>
    <row r="5406" spans="10:10" ht="18.75" customHeight="1" x14ac:dyDescent="0.25">
      <c r="J5406" s="48"/>
    </row>
    <row r="5407" spans="10:10" ht="18.75" customHeight="1" x14ac:dyDescent="0.25">
      <c r="J5407" s="48"/>
    </row>
    <row r="5408" spans="10:10" ht="18.75" customHeight="1" x14ac:dyDescent="0.25">
      <c r="J5408" s="48"/>
    </row>
    <row r="5409" spans="10:10" ht="18.75" customHeight="1" x14ac:dyDescent="0.25">
      <c r="J5409" s="48"/>
    </row>
    <row r="5410" spans="10:10" ht="18.75" customHeight="1" x14ac:dyDescent="0.25">
      <c r="J5410" s="48"/>
    </row>
    <row r="5411" spans="10:10" ht="18.75" customHeight="1" x14ac:dyDescent="0.25">
      <c r="J5411" s="48"/>
    </row>
    <row r="5412" spans="10:10" ht="18.75" customHeight="1" x14ac:dyDescent="0.25">
      <c r="J5412" s="48"/>
    </row>
    <row r="5413" spans="10:10" ht="18.75" customHeight="1" x14ac:dyDescent="0.25">
      <c r="J5413" s="48"/>
    </row>
    <row r="5414" spans="10:10" ht="18.75" customHeight="1" x14ac:dyDescent="0.25">
      <c r="J5414" s="48"/>
    </row>
    <row r="5415" spans="10:10" ht="18.75" customHeight="1" x14ac:dyDescent="0.25">
      <c r="J5415" s="48"/>
    </row>
    <row r="5416" spans="10:10" ht="18.75" customHeight="1" x14ac:dyDescent="0.25">
      <c r="J5416" s="48"/>
    </row>
    <row r="5417" spans="10:10" ht="18.75" customHeight="1" x14ac:dyDescent="0.25">
      <c r="J5417" s="48"/>
    </row>
    <row r="5418" spans="10:10" ht="18.75" customHeight="1" x14ac:dyDescent="0.25">
      <c r="J5418" s="48"/>
    </row>
    <row r="5419" spans="10:10" ht="18.75" customHeight="1" x14ac:dyDescent="0.25">
      <c r="J5419" s="48"/>
    </row>
    <row r="5420" spans="10:10" ht="18.75" customHeight="1" x14ac:dyDescent="0.25">
      <c r="J5420" s="48"/>
    </row>
    <row r="5421" spans="10:10" ht="18.75" customHeight="1" x14ac:dyDescent="0.25">
      <c r="J5421" s="48"/>
    </row>
    <row r="5422" spans="10:10" ht="18.75" customHeight="1" x14ac:dyDescent="0.25">
      <c r="J5422" s="48"/>
    </row>
    <row r="5423" spans="10:10" ht="18.75" customHeight="1" x14ac:dyDescent="0.25">
      <c r="J5423" s="48"/>
    </row>
    <row r="5424" spans="10:10" ht="18.75" customHeight="1" x14ac:dyDescent="0.25">
      <c r="J5424" s="48"/>
    </row>
    <row r="5425" spans="10:10" ht="18.75" customHeight="1" x14ac:dyDescent="0.25">
      <c r="J5425" s="48"/>
    </row>
    <row r="5426" spans="10:10" ht="18.75" customHeight="1" x14ac:dyDescent="0.25">
      <c r="J5426" s="48"/>
    </row>
    <row r="5427" spans="10:10" ht="18.75" customHeight="1" x14ac:dyDescent="0.25">
      <c r="J5427" s="48"/>
    </row>
    <row r="5428" spans="10:10" ht="18.75" customHeight="1" x14ac:dyDescent="0.25">
      <c r="J5428" s="48"/>
    </row>
    <row r="5429" spans="10:10" ht="18.75" customHeight="1" x14ac:dyDescent="0.25">
      <c r="J5429" s="48"/>
    </row>
    <row r="5430" spans="10:10" ht="18.75" customHeight="1" x14ac:dyDescent="0.25">
      <c r="J5430" s="48"/>
    </row>
    <row r="5431" spans="10:10" ht="18.75" customHeight="1" x14ac:dyDescent="0.25">
      <c r="J5431" s="48"/>
    </row>
    <row r="5432" spans="10:10" ht="18.75" customHeight="1" x14ac:dyDescent="0.25">
      <c r="J5432" s="48"/>
    </row>
    <row r="5433" spans="10:10" ht="18.75" customHeight="1" x14ac:dyDescent="0.25">
      <c r="J5433" s="48"/>
    </row>
    <row r="5434" spans="10:10" ht="18.75" customHeight="1" x14ac:dyDescent="0.25">
      <c r="J5434" s="48"/>
    </row>
    <row r="5435" spans="10:10" ht="18.75" customHeight="1" x14ac:dyDescent="0.25">
      <c r="J5435" s="48"/>
    </row>
    <row r="5436" spans="10:10" ht="18.75" customHeight="1" x14ac:dyDescent="0.25">
      <c r="J5436" s="48"/>
    </row>
    <row r="5437" spans="10:10" ht="18.75" customHeight="1" x14ac:dyDescent="0.25">
      <c r="J5437" s="48"/>
    </row>
    <row r="5438" spans="10:10" ht="18.75" customHeight="1" x14ac:dyDescent="0.25">
      <c r="J5438" s="48"/>
    </row>
    <row r="5439" spans="10:10" ht="18.75" customHeight="1" x14ac:dyDescent="0.25">
      <c r="J5439" s="48"/>
    </row>
    <row r="5440" spans="10:10" ht="18.75" customHeight="1" x14ac:dyDescent="0.25">
      <c r="J5440" s="48"/>
    </row>
    <row r="5441" spans="10:10" ht="18.75" customHeight="1" x14ac:dyDescent="0.25">
      <c r="J5441" s="48"/>
    </row>
    <row r="5442" spans="10:10" ht="18.75" customHeight="1" x14ac:dyDescent="0.25">
      <c r="J5442" s="48"/>
    </row>
    <row r="5443" spans="10:10" ht="18.75" customHeight="1" x14ac:dyDescent="0.25">
      <c r="J5443" s="48"/>
    </row>
    <row r="5444" spans="10:10" ht="18.75" customHeight="1" x14ac:dyDescent="0.25">
      <c r="J5444" s="48"/>
    </row>
    <row r="5445" spans="10:10" ht="18.75" customHeight="1" x14ac:dyDescent="0.25">
      <c r="J5445" s="48"/>
    </row>
    <row r="5446" spans="10:10" ht="18.75" customHeight="1" x14ac:dyDescent="0.25">
      <c r="J5446" s="48"/>
    </row>
    <row r="5447" spans="10:10" ht="18.75" customHeight="1" x14ac:dyDescent="0.25">
      <c r="J5447" s="48"/>
    </row>
    <row r="5448" spans="10:10" ht="18.75" customHeight="1" x14ac:dyDescent="0.25">
      <c r="J5448" s="48"/>
    </row>
    <row r="5449" spans="10:10" ht="18.75" customHeight="1" x14ac:dyDescent="0.25">
      <c r="J5449" s="48"/>
    </row>
    <row r="5450" spans="10:10" ht="18.75" customHeight="1" x14ac:dyDescent="0.25">
      <c r="J5450" s="48"/>
    </row>
    <row r="5451" spans="10:10" ht="18.75" customHeight="1" x14ac:dyDescent="0.25">
      <c r="J5451" s="48"/>
    </row>
    <row r="5452" spans="10:10" ht="18.75" customHeight="1" x14ac:dyDescent="0.25">
      <c r="J5452" s="48"/>
    </row>
    <row r="5453" spans="10:10" ht="18.75" customHeight="1" x14ac:dyDescent="0.25">
      <c r="J5453" s="48"/>
    </row>
    <row r="5454" spans="10:10" ht="18.75" customHeight="1" x14ac:dyDescent="0.25">
      <c r="J5454" s="48"/>
    </row>
    <row r="5455" spans="10:10" ht="18.75" customHeight="1" x14ac:dyDescent="0.25">
      <c r="J5455" s="48"/>
    </row>
    <row r="5456" spans="10:10" ht="18.75" customHeight="1" x14ac:dyDescent="0.25">
      <c r="J5456" s="48"/>
    </row>
    <row r="5457" spans="10:10" ht="18.75" customHeight="1" x14ac:dyDescent="0.25">
      <c r="J5457" s="48"/>
    </row>
    <row r="5458" spans="10:10" ht="18.75" customHeight="1" x14ac:dyDescent="0.25">
      <c r="J5458" s="48"/>
    </row>
    <row r="5459" spans="10:10" ht="18.75" customHeight="1" x14ac:dyDescent="0.25">
      <c r="J5459" s="48"/>
    </row>
    <row r="5460" spans="10:10" ht="18.75" customHeight="1" x14ac:dyDescent="0.25">
      <c r="J5460" s="48"/>
    </row>
    <row r="5461" spans="10:10" ht="18.75" customHeight="1" x14ac:dyDescent="0.25">
      <c r="J5461" s="48"/>
    </row>
    <row r="5462" spans="10:10" ht="18.75" customHeight="1" x14ac:dyDescent="0.25">
      <c r="J5462" s="48"/>
    </row>
    <row r="5463" spans="10:10" ht="18.75" customHeight="1" x14ac:dyDescent="0.25">
      <c r="J5463" s="48"/>
    </row>
    <row r="5464" spans="10:10" ht="18.75" customHeight="1" x14ac:dyDescent="0.25">
      <c r="J5464" s="48"/>
    </row>
    <row r="5465" spans="10:10" ht="18.75" customHeight="1" x14ac:dyDescent="0.25">
      <c r="J5465" s="48"/>
    </row>
    <row r="5466" spans="10:10" ht="18.75" customHeight="1" x14ac:dyDescent="0.25">
      <c r="J5466" s="48"/>
    </row>
    <row r="5467" spans="10:10" ht="18.75" customHeight="1" x14ac:dyDescent="0.25">
      <c r="J5467" s="48"/>
    </row>
    <row r="5468" spans="10:10" ht="18.75" customHeight="1" x14ac:dyDescent="0.25">
      <c r="J5468" s="48"/>
    </row>
    <row r="5469" spans="10:10" ht="18.75" customHeight="1" x14ac:dyDescent="0.25">
      <c r="J5469" s="48"/>
    </row>
    <row r="5470" spans="10:10" ht="18.75" customHeight="1" x14ac:dyDescent="0.25">
      <c r="J5470" s="48"/>
    </row>
    <row r="5471" spans="10:10" ht="18.75" customHeight="1" x14ac:dyDescent="0.25">
      <c r="J5471" s="48"/>
    </row>
    <row r="5472" spans="10:10" ht="18.75" customHeight="1" x14ac:dyDescent="0.25">
      <c r="J5472" s="48"/>
    </row>
    <row r="5473" spans="10:10" ht="18.75" customHeight="1" x14ac:dyDescent="0.25">
      <c r="J5473" s="48"/>
    </row>
    <row r="5474" spans="10:10" ht="18.75" customHeight="1" x14ac:dyDescent="0.25">
      <c r="J5474" s="48"/>
    </row>
    <row r="5475" spans="10:10" ht="18.75" customHeight="1" x14ac:dyDescent="0.25">
      <c r="J5475" s="48"/>
    </row>
    <row r="5476" spans="10:10" ht="18.75" customHeight="1" x14ac:dyDescent="0.25">
      <c r="J5476" s="48"/>
    </row>
    <row r="5477" spans="10:10" ht="18.75" customHeight="1" x14ac:dyDescent="0.25">
      <c r="J5477" s="48"/>
    </row>
    <row r="5478" spans="10:10" ht="18.75" customHeight="1" x14ac:dyDescent="0.25">
      <c r="J5478" s="48"/>
    </row>
    <row r="5479" spans="10:10" ht="18.75" customHeight="1" x14ac:dyDescent="0.25">
      <c r="J5479" s="48"/>
    </row>
    <row r="5480" spans="10:10" ht="18.75" customHeight="1" x14ac:dyDescent="0.25">
      <c r="J5480" s="48"/>
    </row>
    <row r="5481" spans="10:10" ht="18.75" customHeight="1" x14ac:dyDescent="0.25">
      <c r="J5481" s="48"/>
    </row>
    <row r="5482" spans="10:10" ht="18.75" customHeight="1" x14ac:dyDescent="0.25">
      <c r="J5482" s="48"/>
    </row>
    <row r="5483" spans="10:10" ht="18.75" customHeight="1" x14ac:dyDescent="0.25">
      <c r="J5483" s="48"/>
    </row>
    <row r="5484" spans="10:10" ht="18.75" customHeight="1" x14ac:dyDescent="0.25">
      <c r="J5484" s="48"/>
    </row>
    <row r="5485" spans="10:10" ht="18.75" customHeight="1" x14ac:dyDescent="0.25">
      <c r="J5485" s="48"/>
    </row>
    <row r="5486" spans="10:10" ht="18.75" customHeight="1" x14ac:dyDescent="0.25">
      <c r="J5486" s="48"/>
    </row>
    <row r="5487" spans="10:10" ht="18.75" customHeight="1" x14ac:dyDescent="0.25">
      <c r="J5487" s="48"/>
    </row>
    <row r="5488" spans="10:10" ht="18.75" customHeight="1" x14ac:dyDescent="0.25">
      <c r="J5488" s="48"/>
    </row>
    <row r="5489" spans="10:10" ht="18.75" customHeight="1" x14ac:dyDescent="0.25">
      <c r="J5489" s="48"/>
    </row>
    <row r="5490" spans="10:10" ht="18.75" customHeight="1" x14ac:dyDescent="0.25">
      <c r="J5490" s="48"/>
    </row>
    <row r="5491" spans="10:10" ht="18.75" customHeight="1" x14ac:dyDescent="0.25">
      <c r="J5491" s="48"/>
    </row>
    <row r="5492" spans="10:10" ht="18.75" customHeight="1" x14ac:dyDescent="0.25">
      <c r="J5492" s="48"/>
    </row>
    <row r="5493" spans="10:10" ht="18.75" customHeight="1" x14ac:dyDescent="0.25">
      <c r="J5493" s="48"/>
    </row>
    <row r="5494" spans="10:10" ht="18.75" customHeight="1" x14ac:dyDescent="0.25">
      <c r="J5494" s="48"/>
    </row>
    <row r="5495" spans="10:10" ht="18.75" customHeight="1" x14ac:dyDescent="0.25">
      <c r="J5495" s="48"/>
    </row>
    <row r="5496" spans="10:10" ht="18.75" customHeight="1" x14ac:dyDescent="0.25">
      <c r="J5496" s="48"/>
    </row>
    <row r="5497" spans="10:10" ht="18.75" customHeight="1" x14ac:dyDescent="0.25">
      <c r="J5497" s="48"/>
    </row>
    <row r="5498" spans="10:10" ht="18.75" customHeight="1" x14ac:dyDescent="0.25">
      <c r="J5498" s="48"/>
    </row>
    <row r="5499" spans="10:10" ht="18.75" customHeight="1" x14ac:dyDescent="0.25">
      <c r="J5499" s="48"/>
    </row>
    <row r="5500" spans="10:10" ht="18.75" customHeight="1" x14ac:dyDescent="0.25">
      <c r="J5500" s="48"/>
    </row>
    <row r="5501" spans="10:10" ht="18.75" customHeight="1" x14ac:dyDescent="0.25">
      <c r="J5501" s="48"/>
    </row>
    <row r="5502" spans="10:10" ht="18.75" customHeight="1" x14ac:dyDescent="0.25">
      <c r="J5502" s="48"/>
    </row>
    <row r="5503" spans="10:10" ht="18.75" customHeight="1" x14ac:dyDescent="0.25">
      <c r="J5503" s="48"/>
    </row>
    <row r="5504" spans="10:10" ht="18.75" customHeight="1" x14ac:dyDescent="0.25">
      <c r="J5504" s="48"/>
    </row>
    <row r="5505" spans="10:10" ht="18.75" customHeight="1" x14ac:dyDescent="0.25">
      <c r="J5505" s="48"/>
    </row>
    <row r="5506" spans="10:10" ht="18.75" customHeight="1" x14ac:dyDescent="0.25">
      <c r="J5506" s="48"/>
    </row>
    <row r="5507" spans="10:10" ht="18.75" customHeight="1" x14ac:dyDescent="0.25">
      <c r="J5507" s="48"/>
    </row>
    <row r="5508" spans="10:10" ht="18.75" customHeight="1" x14ac:dyDescent="0.25">
      <c r="J5508" s="48"/>
    </row>
    <row r="5509" spans="10:10" ht="18.75" customHeight="1" x14ac:dyDescent="0.25">
      <c r="J5509" s="48"/>
    </row>
    <row r="5510" spans="10:10" ht="18.75" customHeight="1" x14ac:dyDescent="0.25">
      <c r="J5510" s="48"/>
    </row>
    <row r="5511" spans="10:10" ht="18.75" customHeight="1" x14ac:dyDescent="0.25">
      <c r="J5511" s="48"/>
    </row>
    <row r="5512" spans="10:10" ht="18.75" customHeight="1" x14ac:dyDescent="0.25">
      <c r="J5512" s="48"/>
    </row>
    <row r="5513" spans="10:10" ht="18.75" customHeight="1" x14ac:dyDescent="0.25">
      <c r="J5513" s="48"/>
    </row>
    <row r="5514" spans="10:10" ht="18.75" customHeight="1" x14ac:dyDescent="0.25">
      <c r="J5514" s="48"/>
    </row>
    <row r="5515" spans="10:10" ht="18.75" customHeight="1" x14ac:dyDescent="0.25">
      <c r="J5515" s="48"/>
    </row>
    <row r="5516" spans="10:10" ht="18.75" customHeight="1" x14ac:dyDescent="0.25">
      <c r="J5516" s="48"/>
    </row>
    <row r="5517" spans="10:10" ht="18.75" customHeight="1" x14ac:dyDescent="0.25">
      <c r="J5517" s="48"/>
    </row>
    <row r="5518" spans="10:10" ht="18.75" customHeight="1" x14ac:dyDescent="0.25">
      <c r="J5518" s="48"/>
    </row>
    <row r="5519" spans="10:10" ht="18.75" customHeight="1" x14ac:dyDescent="0.25">
      <c r="J5519" s="48"/>
    </row>
    <row r="5520" spans="10:10" ht="18.75" customHeight="1" x14ac:dyDescent="0.25">
      <c r="J5520" s="48"/>
    </row>
    <row r="5521" spans="10:10" ht="18.75" customHeight="1" x14ac:dyDescent="0.25">
      <c r="J5521" s="48"/>
    </row>
    <row r="5522" spans="10:10" ht="18.75" customHeight="1" x14ac:dyDescent="0.25">
      <c r="J5522" s="48"/>
    </row>
    <row r="5523" spans="10:10" ht="18.75" customHeight="1" x14ac:dyDescent="0.25">
      <c r="J5523" s="48"/>
    </row>
    <row r="5524" spans="10:10" ht="18.75" customHeight="1" x14ac:dyDescent="0.25">
      <c r="J5524" s="48"/>
    </row>
    <row r="5525" spans="10:10" ht="18.75" customHeight="1" x14ac:dyDescent="0.25">
      <c r="J5525" s="48"/>
    </row>
    <row r="5526" spans="10:10" ht="18.75" customHeight="1" x14ac:dyDescent="0.25">
      <c r="J5526" s="48"/>
    </row>
    <row r="5527" spans="10:10" ht="18.75" customHeight="1" x14ac:dyDescent="0.25">
      <c r="J5527" s="48"/>
    </row>
    <row r="5528" spans="10:10" ht="18.75" customHeight="1" x14ac:dyDescent="0.25">
      <c r="J5528" s="48"/>
    </row>
    <row r="5529" spans="10:10" ht="18.75" customHeight="1" x14ac:dyDescent="0.25">
      <c r="J5529" s="48"/>
    </row>
    <row r="5530" spans="10:10" ht="18.75" customHeight="1" x14ac:dyDescent="0.25">
      <c r="J5530" s="48"/>
    </row>
    <row r="5531" spans="10:10" ht="18.75" customHeight="1" x14ac:dyDescent="0.25">
      <c r="J5531" s="48"/>
    </row>
    <row r="5532" spans="10:10" ht="18.75" customHeight="1" x14ac:dyDescent="0.25">
      <c r="J5532" s="48"/>
    </row>
    <row r="5533" spans="10:10" ht="18.75" customHeight="1" x14ac:dyDescent="0.25">
      <c r="J5533" s="48"/>
    </row>
    <row r="5534" spans="10:10" ht="18.75" customHeight="1" x14ac:dyDescent="0.25">
      <c r="J5534" s="48"/>
    </row>
    <row r="5535" spans="10:10" ht="18.75" customHeight="1" x14ac:dyDescent="0.25">
      <c r="J5535" s="48"/>
    </row>
    <row r="5536" spans="10:10" ht="18.75" customHeight="1" x14ac:dyDescent="0.25">
      <c r="J5536" s="48"/>
    </row>
    <row r="5537" spans="10:10" ht="18.75" customHeight="1" x14ac:dyDescent="0.25">
      <c r="J5537" s="48"/>
    </row>
    <row r="5538" spans="10:10" ht="18.75" customHeight="1" x14ac:dyDescent="0.25">
      <c r="J5538" s="48"/>
    </row>
    <row r="5539" spans="10:10" ht="18.75" customHeight="1" x14ac:dyDescent="0.25">
      <c r="J5539" s="48"/>
    </row>
    <row r="5540" spans="10:10" ht="18.75" customHeight="1" x14ac:dyDescent="0.25">
      <c r="J5540" s="48"/>
    </row>
    <row r="5541" spans="10:10" ht="18.75" customHeight="1" x14ac:dyDescent="0.25">
      <c r="J5541" s="48"/>
    </row>
    <row r="5542" spans="10:10" ht="18.75" customHeight="1" x14ac:dyDescent="0.25">
      <c r="J5542" s="48"/>
    </row>
    <row r="5543" spans="10:10" ht="18.75" customHeight="1" x14ac:dyDescent="0.25">
      <c r="J5543" s="48"/>
    </row>
    <row r="5544" spans="10:10" ht="18.75" customHeight="1" x14ac:dyDescent="0.25">
      <c r="J5544" s="48"/>
    </row>
    <row r="5545" spans="10:10" ht="18.75" customHeight="1" x14ac:dyDescent="0.25">
      <c r="J5545" s="48"/>
    </row>
    <row r="5546" spans="10:10" ht="18.75" customHeight="1" x14ac:dyDescent="0.25">
      <c r="J5546" s="48"/>
    </row>
    <row r="5547" spans="10:10" ht="18.75" customHeight="1" x14ac:dyDescent="0.25">
      <c r="J5547" s="48"/>
    </row>
    <row r="5548" spans="10:10" ht="18.75" customHeight="1" x14ac:dyDescent="0.25">
      <c r="J5548" s="48"/>
    </row>
    <row r="5549" spans="10:10" ht="18.75" customHeight="1" x14ac:dyDescent="0.25">
      <c r="J5549" s="48"/>
    </row>
    <row r="5550" spans="10:10" ht="18.75" customHeight="1" x14ac:dyDescent="0.25">
      <c r="J5550" s="48"/>
    </row>
    <row r="5551" spans="10:10" ht="18.75" customHeight="1" x14ac:dyDescent="0.25">
      <c r="J5551" s="48"/>
    </row>
    <row r="5552" spans="10:10" ht="18.75" customHeight="1" x14ac:dyDescent="0.25">
      <c r="J5552" s="48"/>
    </row>
    <row r="5553" spans="10:10" ht="18.75" customHeight="1" x14ac:dyDescent="0.25">
      <c r="J5553" s="48"/>
    </row>
    <row r="5554" spans="10:10" ht="18.75" customHeight="1" x14ac:dyDescent="0.25">
      <c r="J5554" s="48"/>
    </row>
    <row r="5555" spans="10:10" ht="18.75" customHeight="1" x14ac:dyDescent="0.25">
      <c r="J5555" s="48"/>
    </row>
    <row r="5556" spans="10:10" ht="18.75" customHeight="1" x14ac:dyDescent="0.25">
      <c r="J5556" s="48"/>
    </row>
    <row r="5557" spans="10:10" ht="18.75" customHeight="1" x14ac:dyDescent="0.25">
      <c r="J5557" s="48"/>
    </row>
    <row r="5558" spans="10:10" ht="18.75" customHeight="1" x14ac:dyDescent="0.25">
      <c r="J5558" s="48"/>
    </row>
    <row r="5559" spans="10:10" ht="18.75" customHeight="1" x14ac:dyDescent="0.25">
      <c r="J5559" s="48"/>
    </row>
    <row r="5560" spans="10:10" ht="18.75" customHeight="1" x14ac:dyDescent="0.25">
      <c r="J5560" s="48"/>
    </row>
    <row r="5561" spans="10:10" ht="18.75" customHeight="1" x14ac:dyDescent="0.25">
      <c r="J5561" s="48"/>
    </row>
    <row r="5562" spans="10:10" ht="18.75" customHeight="1" x14ac:dyDescent="0.25">
      <c r="J5562" s="48"/>
    </row>
    <row r="5563" spans="10:10" ht="18.75" customHeight="1" x14ac:dyDescent="0.25">
      <c r="J5563" s="48"/>
    </row>
    <row r="5564" spans="10:10" ht="18.75" customHeight="1" x14ac:dyDescent="0.25">
      <c r="J5564" s="48"/>
    </row>
    <row r="5565" spans="10:10" ht="18.75" customHeight="1" x14ac:dyDescent="0.25">
      <c r="J5565" s="48"/>
    </row>
    <row r="5566" spans="10:10" ht="18.75" customHeight="1" x14ac:dyDescent="0.25">
      <c r="J5566" s="48"/>
    </row>
    <row r="5567" spans="10:10" ht="18.75" customHeight="1" x14ac:dyDescent="0.25">
      <c r="J5567" s="48"/>
    </row>
    <row r="5568" spans="10:10" ht="18.75" customHeight="1" x14ac:dyDescent="0.25">
      <c r="J5568" s="48"/>
    </row>
    <row r="5569" spans="10:10" ht="18.75" customHeight="1" x14ac:dyDescent="0.25">
      <c r="J5569" s="48"/>
    </row>
    <row r="5570" spans="10:10" ht="18.75" customHeight="1" x14ac:dyDescent="0.25">
      <c r="J5570" s="48"/>
    </row>
    <row r="5571" spans="10:10" ht="18.75" customHeight="1" x14ac:dyDescent="0.25">
      <c r="J5571" s="48"/>
    </row>
    <row r="5572" spans="10:10" ht="18.75" customHeight="1" x14ac:dyDescent="0.25">
      <c r="J5572" s="48"/>
    </row>
    <row r="5573" spans="10:10" ht="18.75" customHeight="1" x14ac:dyDescent="0.25">
      <c r="J5573" s="48"/>
    </row>
    <row r="5574" spans="10:10" ht="18.75" customHeight="1" x14ac:dyDescent="0.25">
      <c r="J5574" s="48"/>
    </row>
    <row r="5575" spans="10:10" ht="18.75" customHeight="1" x14ac:dyDescent="0.25">
      <c r="J5575" s="48"/>
    </row>
    <row r="5576" spans="10:10" ht="18.75" customHeight="1" x14ac:dyDescent="0.25">
      <c r="J5576" s="48"/>
    </row>
    <row r="5577" spans="10:10" ht="18.75" customHeight="1" x14ac:dyDescent="0.25">
      <c r="J5577" s="48"/>
    </row>
    <row r="5578" spans="10:10" ht="18.75" customHeight="1" x14ac:dyDescent="0.25">
      <c r="J5578" s="48"/>
    </row>
    <row r="5579" spans="10:10" ht="18.75" customHeight="1" x14ac:dyDescent="0.25">
      <c r="J5579" s="48"/>
    </row>
    <row r="5580" spans="10:10" ht="18.75" customHeight="1" x14ac:dyDescent="0.25">
      <c r="J5580" s="48"/>
    </row>
    <row r="5581" spans="10:10" ht="18.75" customHeight="1" x14ac:dyDescent="0.25">
      <c r="J5581" s="48"/>
    </row>
    <row r="5582" spans="10:10" ht="18.75" customHeight="1" x14ac:dyDescent="0.25">
      <c r="J5582" s="48"/>
    </row>
    <row r="5583" spans="10:10" ht="18.75" customHeight="1" x14ac:dyDescent="0.25">
      <c r="J5583" s="48"/>
    </row>
    <row r="5584" spans="10:10" ht="18.75" customHeight="1" x14ac:dyDescent="0.25">
      <c r="J5584" s="48"/>
    </row>
    <row r="5585" spans="10:10" ht="18.75" customHeight="1" x14ac:dyDescent="0.25">
      <c r="J5585" s="48"/>
    </row>
    <row r="5586" spans="10:10" ht="18.75" customHeight="1" x14ac:dyDescent="0.25">
      <c r="J5586" s="48"/>
    </row>
    <row r="5587" spans="10:10" ht="18.75" customHeight="1" x14ac:dyDescent="0.25">
      <c r="J5587" s="48"/>
    </row>
    <row r="5588" spans="10:10" ht="18.75" customHeight="1" x14ac:dyDescent="0.25">
      <c r="J5588" s="48"/>
    </row>
    <row r="5589" spans="10:10" ht="18.75" customHeight="1" x14ac:dyDescent="0.25">
      <c r="J5589" s="48"/>
    </row>
    <row r="5590" spans="10:10" ht="18.75" customHeight="1" x14ac:dyDescent="0.25">
      <c r="J5590" s="48"/>
    </row>
    <row r="5591" spans="10:10" ht="18.75" customHeight="1" x14ac:dyDescent="0.25">
      <c r="J5591" s="48"/>
    </row>
    <row r="5592" spans="10:10" ht="18.75" customHeight="1" x14ac:dyDescent="0.25">
      <c r="J5592" s="48"/>
    </row>
    <row r="5593" spans="10:10" ht="18.75" customHeight="1" x14ac:dyDescent="0.25">
      <c r="J5593" s="48"/>
    </row>
    <row r="5594" spans="10:10" ht="18.75" customHeight="1" x14ac:dyDescent="0.25">
      <c r="J5594" s="48"/>
    </row>
    <row r="5595" spans="10:10" ht="18.75" customHeight="1" x14ac:dyDescent="0.25">
      <c r="J5595" s="48"/>
    </row>
    <row r="5596" spans="10:10" ht="18.75" customHeight="1" x14ac:dyDescent="0.25">
      <c r="J5596" s="48"/>
    </row>
    <row r="5597" spans="10:10" ht="18.75" customHeight="1" x14ac:dyDescent="0.25">
      <c r="J5597" s="48"/>
    </row>
    <row r="5598" spans="10:10" ht="18.75" customHeight="1" x14ac:dyDescent="0.25">
      <c r="J5598" s="48"/>
    </row>
    <row r="5599" spans="10:10" ht="18.75" customHeight="1" x14ac:dyDescent="0.25">
      <c r="J5599" s="48"/>
    </row>
    <row r="5600" spans="10:10" ht="18.75" customHeight="1" x14ac:dyDescent="0.25">
      <c r="J5600" s="48"/>
    </row>
    <row r="5601" spans="10:10" ht="18.75" customHeight="1" x14ac:dyDescent="0.25">
      <c r="J5601" s="48"/>
    </row>
    <row r="5602" spans="10:10" ht="18.75" customHeight="1" x14ac:dyDescent="0.25">
      <c r="J5602" s="48"/>
    </row>
    <row r="5603" spans="10:10" ht="18.75" customHeight="1" x14ac:dyDescent="0.25">
      <c r="J5603" s="48"/>
    </row>
    <row r="5604" spans="10:10" ht="18.75" customHeight="1" x14ac:dyDescent="0.25">
      <c r="J5604" s="48"/>
    </row>
    <row r="5605" spans="10:10" ht="18.75" customHeight="1" x14ac:dyDescent="0.25">
      <c r="J5605" s="48"/>
    </row>
    <row r="5606" spans="10:10" ht="18.75" customHeight="1" x14ac:dyDescent="0.25">
      <c r="J5606" s="48"/>
    </row>
    <row r="5607" spans="10:10" ht="18.75" customHeight="1" x14ac:dyDescent="0.25">
      <c r="J5607" s="48"/>
    </row>
    <row r="5608" spans="10:10" ht="18.75" customHeight="1" x14ac:dyDescent="0.25">
      <c r="J5608" s="48"/>
    </row>
    <row r="5609" spans="10:10" ht="18.75" customHeight="1" x14ac:dyDescent="0.25">
      <c r="J5609" s="48"/>
    </row>
    <row r="5610" spans="10:10" ht="18.75" customHeight="1" x14ac:dyDescent="0.25">
      <c r="J5610" s="48"/>
    </row>
    <row r="5611" spans="10:10" ht="18.75" customHeight="1" x14ac:dyDescent="0.25">
      <c r="J5611" s="48"/>
    </row>
    <row r="5612" spans="10:10" ht="18.75" customHeight="1" x14ac:dyDescent="0.25">
      <c r="J5612" s="48"/>
    </row>
    <row r="5613" spans="10:10" ht="18.75" customHeight="1" x14ac:dyDescent="0.25">
      <c r="J5613" s="48"/>
    </row>
    <row r="5614" spans="10:10" ht="18.75" customHeight="1" x14ac:dyDescent="0.25">
      <c r="J5614" s="48"/>
    </row>
    <row r="5615" spans="10:10" ht="18.75" customHeight="1" x14ac:dyDescent="0.25">
      <c r="J5615" s="48"/>
    </row>
    <row r="5616" spans="10:10" ht="18.75" customHeight="1" x14ac:dyDescent="0.25">
      <c r="J5616" s="48"/>
    </row>
    <row r="5617" spans="10:10" ht="18.75" customHeight="1" x14ac:dyDescent="0.25">
      <c r="J5617" s="48"/>
    </row>
    <row r="5618" spans="10:10" ht="18.75" customHeight="1" x14ac:dyDescent="0.25">
      <c r="J5618" s="48"/>
    </row>
    <row r="5619" spans="10:10" ht="18.75" customHeight="1" x14ac:dyDescent="0.25">
      <c r="J5619" s="48"/>
    </row>
    <row r="5620" spans="10:10" ht="18.75" customHeight="1" x14ac:dyDescent="0.25">
      <c r="J5620" s="48"/>
    </row>
    <row r="5621" spans="10:10" ht="18.75" customHeight="1" x14ac:dyDescent="0.25">
      <c r="J5621" s="48"/>
    </row>
    <row r="5622" spans="10:10" ht="18.75" customHeight="1" x14ac:dyDescent="0.25">
      <c r="J5622" s="48"/>
    </row>
    <row r="5623" spans="10:10" ht="18.75" customHeight="1" x14ac:dyDescent="0.25">
      <c r="J5623" s="48"/>
    </row>
    <row r="5624" spans="10:10" ht="18.75" customHeight="1" x14ac:dyDescent="0.25">
      <c r="J5624" s="48"/>
    </row>
    <row r="5625" spans="10:10" ht="18.75" customHeight="1" x14ac:dyDescent="0.25">
      <c r="J5625" s="48"/>
    </row>
    <row r="5626" spans="10:10" ht="18.75" customHeight="1" x14ac:dyDescent="0.25">
      <c r="J5626" s="48"/>
    </row>
    <row r="5627" spans="10:10" ht="18.75" customHeight="1" x14ac:dyDescent="0.25">
      <c r="J5627" s="48"/>
    </row>
    <row r="5628" spans="10:10" ht="18.75" customHeight="1" x14ac:dyDescent="0.25">
      <c r="J5628" s="48"/>
    </row>
    <row r="5629" spans="10:10" ht="18.75" customHeight="1" x14ac:dyDescent="0.25">
      <c r="J5629" s="48"/>
    </row>
    <row r="5630" spans="10:10" ht="18.75" customHeight="1" x14ac:dyDescent="0.25">
      <c r="J5630" s="48"/>
    </row>
    <row r="5631" spans="10:10" ht="18.75" customHeight="1" x14ac:dyDescent="0.25">
      <c r="J5631" s="48"/>
    </row>
    <row r="5632" spans="10:10" ht="18.75" customHeight="1" x14ac:dyDescent="0.25">
      <c r="J5632" s="48"/>
    </row>
    <row r="5633" spans="10:10" ht="18.75" customHeight="1" x14ac:dyDescent="0.25">
      <c r="J5633" s="48"/>
    </row>
    <row r="5634" spans="10:10" ht="18.75" customHeight="1" x14ac:dyDescent="0.25">
      <c r="J5634" s="48"/>
    </row>
    <row r="5635" spans="10:10" ht="18.75" customHeight="1" x14ac:dyDescent="0.25">
      <c r="J5635" s="48"/>
    </row>
    <row r="5636" spans="10:10" ht="18.75" customHeight="1" x14ac:dyDescent="0.25">
      <c r="J5636" s="48"/>
    </row>
    <row r="5637" spans="10:10" ht="18.75" customHeight="1" x14ac:dyDescent="0.25">
      <c r="J5637" s="48"/>
    </row>
    <row r="5638" spans="10:10" ht="18.75" customHeight="1" x14ac:dyDescent="0.25">
      <c r="J5638" s="48"/>
    </row>
    <row r="5639" spans="10:10" ht="18.75" customHeight="1" x14ac:dyDescent="0.25">
      <c r="J5639" s="48"/>
    </row>
    <row r="5640" spans="10:10" ht="18.75" customHeight="1" x14ac:dyDescent="0.25">
      <c r="J5640" s="48"/>
    </row>
    <row r="5641" spans="10:10" ht="18.75" customHeight="1" x14ac:dyDescent="0.25">
      <c r="J5641" s="48"/>
    </row>
    <row r="5642" spans="10:10" ht="18.75" customHeight="1" x14ac:dyDescent="0.25">
      <c r="J5642" s="48"/>
    </row>
    <row r="5643" spans="10:10" ht="18.75" customHeight="1" x14ac:dyDescent="0.25">
      <c r="J5643" s="48"/>
    </row>
    <row r="5644" spans="10:10" ht="18.75" customHeight="1" x14ac:dyDescent="0.25">
      <c r="J5644" s="48"/>
    </row>
    <row r="5645" spans="10:10" ht="18.75" customHeight="1" x14ac:dyDescent="0.25">
      <c r="J5645" s="48"/>
    </row>
    <row r="5646" spans="10:10" ht="18.75" customHeight="1" x14ac:dyDescent="0.25">
      <c r="J5646" s="48"/>
    </row>
    <row r="5647" spans="10:10" ht="18.75" customHeight="1" x14ac:dyDescent="0.25">
      <c r="J5647" s="48"/>
    </row>
    <row r="5648" spans="10:10" ht="18.75" customHeight="1" x14ac:dyDescent="0.25">
      <c r="J5648" s="48"/>
    </row>
    <row r="5649" spans="10:10" ht="18.75" customHeight="1" x14ac:dyDescent="0.25">
      <c r="J5649" s="48"/>
    </row>
    <row r="5650" spans="10:10" ht="18.75" customHeight="1" x14ac:dyDescent="0.25">
      <c r="J5650" s="48"/>
    </row>
    <row r="5651" spans="10:10" ht="18.75" customHeight="1" x14ac:dyDescent="0.25">
      <c r="J5651" s="48"/>
    </row>
    <row r="5652" spans="10:10" ht="18.75" customHeight="1" x14ac:dyDescent="0.25">
      <c r="J5652" s="48"/>
    </row>
    <row r="5653" spans="10:10" ht="18.75" customHeight="1" x14ac:dyDescent="0.25">
      <c r="J5653" s="48"/>
    </row>
    <row r="5654" spans="10:10" ht="18.75" customHeight="1" x14ac:dyDescent="0.25">
      <c r="J5654" s="48"/>
    </row>
    <row r="5655" spans="10:10" ht="18.75" customHeight="1" x14ac:dyDescent="0.25">
      <c r="J5655" s="48"/>
    </row>
    <row r="5656" spans="10:10" ht="18.75" customHeight="1" x14ac:dyDescent="0.25">
      <c r="J5656" s="48"/>
    </row>
    <row r="5657" spans="10:10" ht="18.75" customHeight="1" x14ac:dyDescent="0.25">
      <c r="J5657" s="48"/>
    </row>
    <row r="5658" spans="10:10" ht="18.75" customHeight="1" x14ac:dyDescent="0.25">
      <c r="J5658" s="48"/>
    </row>
    <row r="5659" spans="10:10" ht="18.75" customHeight="1" x14ac:dyDescent="0.25">
      <c r="J5659" s="48"/>
    </row>
    <row r="5660" spans="10:10" ht="18.75" customHeight="1" x14ac:dyDescent="0.25">
      <c r="J5660" s="48"/>
    </row>
    <row r="5661" spans="10:10" ht="18.75" customHeight="1" x14ac:dyDescent="0.25">
      <c r="J5661" s="48"/>
    </row>
    <row r="5662" spans="10:10" ht="18.75" customHeight="1" x14ac:dyDescent="0.25">
      <c r="J5662" s="48"/>
    </row>
    <row r="5663" spans="10:10" ht="18.75" customHeight="1" x14ac:dyDescent="0.25">
      <c r="J5663" s="48"/>
    </row>
    <row r="5664" spans="10:10" ht="18.75" customHeight="1" x14ac:dyDescent="0.25">
      <c r="J5664" s="48"/>
    </row>
    <row r="5665" spans="10:10" ht="18.75" customHeight="1" x14ac:dyDescent="0.25">
      <c r="J5665" s="48"/>
    </row>
    <row r="5666" spans="10:10" ht="18.75" customHeight="1" x14ac:dyDescent="0.25">
      <c r="J5666" s="48"/>
    </row>
    <row r="5667" spans="10:10" ht="18.75" customHeight="1" x14ac:dyDescent="0.25">
      <c r="J5667" s="48"/>
    </row>
    <row r="5668" spans="10:10" ht="18.75" customHeight="1" x14ac:dyDescent="0.25">
      <c r="J5668" s="48"/>
    </row>
    <row r="5669" spans="10:10" ht="18.75" customHeight="1" x14ac:dyDescent="0.25">
      <c r="J5669" s="48"/>
    </row>
    <row r="5670" spans="10:10" ht="18.75" customHeight="1" x14ac:dyDescent="0.25">
      <c r="J5670" s="48"/>
    </row>
    <row r="5671" spans="10:10" ht="18.75" customHeight="1" x14ac:dyDescent="0.25">
      <c r="J5671" s="48"/>
    </row>
    <row r="5672" spans="10:10" ht="18.75" customHeight="1" x14ac:dyDescent="0.25">
      <c r="J5672" s="48"/>
    </row>
    <row r="5673" spans="10:10" ht="18.75" customHeight="1" x14ac:dyDescent="0.25">
      <c r="J5673" s="48"/>
    </row>
    <row r="5674" spans="10:10" ht="18.75" customHeight="1" x14ac:dyDescent="0.25">
      <c r="J5674" s="48"/>
    </row>
    <row r="5675" spans="10:10" ht="18.75" customHeight="1" x14ac:dyDescent="0.25">
      <c r="J5675" s="48"/>
    </row>
    <row r="5676" spans="10:10" ht="18.75" customHeight="1" x14ac:dyDescent="0.25">
      <c r="J5676" s="48"/>
    </row>
    <row r="5677" spans="10:10" ht="18.75" customHeight="1" x14ac:dyDescent="0.25">
      <c r="J5677" s="48"/>
    </row>
    <row r="5678" spans="10:10" ht="18.75" customHeight="1" x14ac:dyDescent="0.25">
      <c r="J5678" s="48"/>
    </row>
    <row r="5679" spans="10:10" ht="18.75" customHeight="1" x14ac:dyDescent="0.25">
      <c r="J5679" s="48"/>
    </row>
    <row r="5680" spans="10:10" ht="18.75" customHeight="1" x14ac:dyDescent="0.25">
      <c r="J5680" s="48"/>
    </row>
    <row r="5681" spans="10:10" ht="18.75" customHeight="1" x14ac:dyDescent="0.25">
      <c r="J5681" s="48"/>
    </row>
    <row r="5682" spans="10:10" ht="18.75" customHeight="1" x14ac:dyDescent="0.25">
      <c r="J5682" s="48"/>
    </row>
    <row r="5683" spans="10:10" ht="18.75" customHeight="1" x14ac:dyDescent="0.25">
      <c r="J5683" s="48"/>
    </row>
    <row r="5684" spans="10:10" ht="18.75" customHeight="1" x14ac:dyDescent="0.25">
      <c r="J5684" s="48"/>
    </row>
    <row r="5685" spans="10:10" ht="18.75" customHeight="1" x14ac:dyDescent="0.25">
      <c r="J5685" s="48"/>
    </row>
    <row r="5686" spans="10:10" ht="18.75" customHeight="1" x14ac:dyDescent="0.25">
      <c r="J5686" s="48"/>
    </row>
    <row r="5687" spans="10:10" ht="18.75" customHeight="1" x14ac:dyDescent="0.25">
      <c r="J5687" s="48"/>
    </row>
    <row r="5688" spans="10:10" ht="18.75" customHeight="1" x14ac:dyDescent="0.25">
      <c r="J5688" s="48"/>
    </row>
    <row r="5689" spans="10:10" ht="18.75" customHeight="1" x14ac:dyDescent="0.25">
      <c r="J5689" s="48"/>
    </row>
    <row r="5690" spans="10:10" ht="18.75" customHeight="1" x14ac:dyDescent="0.25">
      <c r="J5690" s="48"/>
    </row>
    <row r="5691" spans="10:10" ht="18.75" customHeight="1" x14ac:dyDescent="0.25">
      <c r="J5691" s="48"/>
    </row>
    <row r="5692" spans="10:10" ht="18.75" customHeight="1" x14ac:dyDescent="0.25">
      <c r="J5692" s="48"/>
    </row>
    <row r="5693" spans="10:10" ht="18.75" customHeight="1" x14ac:dyDescent="0.25">
      <c r="J5693" s="48"/>
    </row>
    <row r="5694" spans="10:10" ht="18.75" customHeight="1" x14ac:dyDescent="0.25">
      <c r="J5694" s="48"/>
    </row>
    <row r="5695" spans="10:10" ht="18.75" customHeight="1" x14ac:dyDescent="0.25">
      <c r="J5695" s="48"/>
    </row>
    <row r="5696" spans="10:10" ht="18.75" customHeight="1" x14ac:dyDescent="0.25">
      <c r="J5696" s="48"/>
    </row>
    <row r="5697" spans="10:10" ht="18.75" customHeight="1" x14ac:dyDescent="0.25">
      <c r="J5697" s="48"/>
    </row>
    <row r="5698" spans="10:10" ht="18.75" customHeight="1" x14ac:dyDescent="0.25">
      <c r="J5698" s="48"/>
    </row>
    <row r="5699" spans="10:10" ht="18.75" customHeight="1" x14ac:dyDescent="0.25">
      <c r="J5699" s="48"/>
    </row>
    <row r="5700" spans="10:10" ht="18.75" customHeight="1" x14ac:dyDescent="0.25">
      <c r="J5700" s="48"/>
    </row>
    <row r="5701" spans="10:10" ht="18.75" customHeight="1" x14ac:dyDescent="0.25">
      <c r="J5701" s="48"/>
    </row>
    <row r="5702" spans="10:10" ht="18.75" customHeight="1" x14ac:dyDescent="0.25">
      <c r="J5702" s="48"/>
    </row>
    <row r="5703" spans="10:10" ht="18.75" customHeight="1" x14ac:dyDescent="0.25">
      <c r="J5703" s="48"/>
    </row>
    <row r="5704" spans="10:10" ht="18.75" customHeight="1" x14ac:dyDescent="0.25">
      <c r="J5704" s="48"/>
    </row>
    <row r="5705" spans="10:10" ht="18.75" customHeight="1" x14ac:dyDescent="0.25">
      <c r="J5705" s="48"/>
    </row>
    <row r="5706" spans="10:10" ht="18.75" customHeight="1" x14ac:dyDescent="0.25">
      <c r="J5706" s="48"/>
    </row>
    <row r="5707" spans="10:10" ht="18.75" customHeight="1" x14ac:dyDescent="0.25">
      <c r="J5707" s="48"/>
    </row>
    <row r="5708" spans="10:10" ht="18.75" customHeight="1" x14ac:dyDescent="0.25">
      <c r="J5708" s="48"/>
    </row>
    <row r="5709" spans="10:10" ht="18.75" customHeight="1" x14ac:dyDescent="0.25">
      <c r="J5709" s="48"/>
    </row>
    <row r="5710" spans="10:10" ht="18.75" customHeight="1" x14ac:dyDescent="0.25">
      <c r="J5710" s="48"/>
    </row>
    <row r="5711" spans="10:10" ht="18.75" customHeight="1" x14ac:dyDescent="0.25">
      <c r="J5711" s="48"/>
    </row>
    <row r="5712" spans="10:10" ht="18.75" customHeight="1" x14ac:dyDescent="0.25">
      <c r="J5712" s="48"/>
    </row>
    <row r="5713" spans="10:10" ht="18.75" customHeight="1" x14ac:dyDescent="0.25">
      <c r="J5713" s="48"/>
    </row>
    <row r="5714" spans="10:10" ht="18.75" customHeight="1" x14ac:dyDescent="0.25">
      <c r="J5714" s="48"/>
    </row>
    <row r="5715" spans="10:10" ht="18.75" customHeight="1" x14ac:dyDescent="0.25">
      <c r="J5715" s="48"/>
    </row>
    <row r="5716" spans="10:10" ht="18.75" customHeight="1" x14ac:dyDescent="0.25">
      <c r="J5716" s="48"/>
    </row>
    <row r="5717" spans="10:10" ht="18.75" customHeight="1" x14ac:dyDescent="0.25">
      <c r="J5717" s="48"/>
    </row>
    <row r="5718" spans="10:10" ht="18.75" customHeight="1" x14ac:dyDescent="0.25">
      <c r="J5718" s="48"/>
    </row>
    <row r="5719" spans="10:10" ht="18.75" customHeight="1" x14ac:dyDescent="0.25">
      <c r="J5719" s="48"/>
    </row>
    <row r="5720" spans="10:10" ht="18.75" customHeight="1" x14ac:dyDescent="0.25">
      <c r="J5720" s="48"/>
    </row>
    <row r="5721" spans="10:10" ht="18.75" customHeight="1" x14ac:dyDescent="0.25">
      <c r="J5721" s="48"/>
    </row>
    <row r="5722" spans="10:10" ht="18.75" customHeight="1" x14ac:dyDescent="0.25">
      <c r="J5722" s="48"/>
    </row>
    <row r="5723" spans="10:10" ht="18.75" customHeight="1" x14ac:dyDescent="0.25">
      <c r="J5723" s="48"/>
    </row>
    <row r="5724" spans="10:10" ht="18.75" customHeight="1" x14ac:dyDescent="0.25">
      <c r="J5724" s="48"/>
    </row>
    <row r="5725" spans="10:10" ht="18.75" customHeight="1" x14ac:dyDescent="0.25">
      <c r="J5725" s="48"/>
    </row>
    <row r="5726" spans="10:10" ht="18.75" customHeight="1" x14ac:dyDescent="0.25">
      <c r="J5726" s="48"/>
    </row>
    <row r="5727" spans="10:10" ht="18.75" customHeight="1" x14ac:dyDescent="0.25">
      <c r="J5727" s="48"/>
    </row>
    <row r="5728" spans="10:10" ht="18.75" customHeight="1" x14ac:dyDescent="0.25">
      <c r="J5728" s="48"/>
    </row>
    <row r="5729" spans="10:10" ht="18.75" customHeight="1" x14ac:dyDescent="0.25">
      <c r="J5729" s="48"/>
    </row>
    <row r="5730" spans="10:10" ht="18.75" customHeight="1" x14ac:dyDescent="0.25">
      <c r="J5730" s="48"/>
    </row>
    <row r="5731" spans="10:10" ht="18.75" customHeight="1" x14ac:dyDescent="0.25">
      <c r="J5731" s="48"/>
    </row>
    <row r="5732" spans="10:10" ht="18.75" customHeight="1" x14ac:dyDescent="0.25">
      <c r="J5732" s="48"/>
    </row>
    <row r="5733" spans="10:10" ht="18.75" customHeight="1" x14ac:dyDescent="0.25">
      <c r="J5733" s="48"/>
    </row>
    <row r="5734" spans="10:10" ht="18.75" customHeight="1" x14ac:dyDescent="0.25">
      <c r="J5734" s="48"/>
    </row>
    <row r="5735" spans="10:10" ht="18.75" customHeight="1" x14ac:dyDescent="0.25">
      <c r="J5735" s="48"/>
    </row>
    <row r="5736" spans="10:10" ht="18.75" customHeight="1" x14ac:dyDescent="0.25">
      <c r="J5736" s="48"/>
    </row>
    <row r="5737" spans="10:10" ht="18.75" customHeight="1" x14ac:dyDescent="0.25">
      <c r="J5737" s="48"/>
    </row>
    <row r="5738" spans="10:10" ht="18.75" customHeight="1" x14ac:dyDescent="0.25">
      <c r="J5738" s="48"/>
    </row>
    <row r="5739" spans="10:10" ht="18.75" customHeight="1" x14ac:dyDescent="0.25">
      <c r="J5739" s="48"/>
    </row>
    <row r="5740" spans="10:10" ht="18.75" customHeight="1" x14ac:dyDescent="0.25">
      <c r="J5740" s="48"/>
    </row>
    <row r="5741" spans="10:10" ht="18.75" customHeight="1" x14ac:dyDescent="0.25">
      <c r="J5741" s="48"/>
    </row>
    <row r="5742" spans="10:10" ht="18.75" customHeight="1" x14ac:dyDescent="0.25">
      <c r="J5742" s="48"/>
    </row>
    <row r="5743" spans="10:10" ht="18.75" customHeight="1" x14ac:dyDescent="0.25">
      <c r="J5743" s="48"/>
    </row>
    <row r="5744" spans="10:10" ht="18.75" customHeight="1" x14ac:dyDescent="0.25">
      <c r="J5744" s="48"/>
    </row>
    <row r="5745" spans="10:10" ht="18.75" customHeight="1" x14ac:dyDescent="0.25">
      <c r="J5745" s="48"/>
    </row>
    <row r="5746" spans="10:10" ht="18.75" customHeight="1" x14ac:dyDescent="0.25">
      <c r="J5746" s="48"/>
    </row>
    <row r="5747" spans="10:10" ht="18.75" customHeight="1" x14ac:dyDescent="0.25">
      <c r="J5747" s="48"/>
    </row>
    <row r="5748" spans="10:10" ht="18.75" customHeight="1" x14ac:dyDescent="0.25">
      <c r="J5748" s="48"/>
    </row>
    <row r="5749" spans="10:10" ht="18.75" customHeight="1" x14ac:dyDescent="0.25">
      <c r="J5749" s="48"/>
    </row>
    <row r="5750" spans="10:10" ht="18.75" customHeight="1" x14ac:dyDescent="0.25">
      <c r="J5750" s="48"/>
    </row>
    <row r="5751" spans="10:10" ht="18.75" customHeight="1" x14ac:dyDescent="0.25">
      <c r="J5751" s="48"/>
    </row>
    <row r="5752" spans="10:10" ht="18.75" customHeight="1" x14ac:dyDescent="0.25">
      <c r="J5752" s="48"/>
    </row>
    <row r="5753" spans="10:10" ht="18.75" customHeight="1" x14ac:dyDescent="0.25">
      <c r="J5753" s="48"/>
    </row>
    <row r="5754" spans="10:10" ht="18.75" customHeight="1" x14ac:dyDescent="0.25">
      <c r="J5754" s="48"/>
    </row>
    <row r="5755" spans="10:10" ht="18.75" customHeight="1" x14ac:dyDescent="0.25">
      <c r="J5755" s="48"/>
    </row>
    <row r="5756" spans="10:10" ht="18.75" customHeight="1" x14ac:dyDescent="0.25">
      <c r="J5756" s="48"/>
    </row>
    <row r="5757" spans="10:10" ht="18.75" customHeight="1" x14ac:dyDescent="0.25">
      <c r="J5757" s="48"/>
    </row>
    <row r="5758" spans="10:10" ht="18.75" customHeight="1" x14ac:dyDescent="0.25">
      <c r="J5758" s="48"/>
    </row>
    <row r="5759" spans="10:10" ht="18.75" customHeight="1" x14ac:dyDescent="0.25">
      <c r="J5759" s="48"/>
    </row>
    <row r="5760" spans="10:10" ht="18.75" customHeight="1" x14ac:dyDescent="0.25">
      <c r="J5760" s="48"/>
    </row>
    <row r="5761" spans="10:10" ht="18.75" customHeight="1" x14ac:dyDescent="0.25">
      <c r="J5761" s="48"/>
    </row>
    <row r="5762" spans="10:10" ht="18.75" customHeight="1" x14ac:dyDescent="0.25">
      <c r="J5762" s="48"/>
    </row>
    <row r="5763" spans="10:10" ht="18.75" customHeight="1" x14ac:dyDescent="0.25">
      <c r="J5763" s="48"/>
    </row>
    <row r="5764" spans="10:10" ht="18.75" customHeight="1" x14ac:dyDescent="0.25">
      <c r="J5764" s="48"/>
    </row>
    <row r="5765" spans="10:10" ht="18.75" customHeight="1" x14ac:dyDescent="0.25">
      <c r="J5765" s="48"/>
    </row>
    <row r="5766" spans="10:10" ht="18.75" customHeight="1" x14ac:dyDescent="0.25">
      <c r="J5766" s="48"/>
    </row>
    <row r="5767" spans="10:10" ht="18.75" customHeight="1" x14ac:dyDescent="0.25">
      <c r="J5767" s="48"/>
    </row>
    <row r="5768" spans="10:10" ht="18.75" customHeight="1" x14ac:dyDescent="0.25">
      <c r="J5768" s="48"/>
    </row>
    <row r="5769" spans="10:10" ht="18.75" customHeight="1" x14ac:dyDescent="0.25">
      <c r="J5769" s="48"/>
    </row>
    <row r="5770" spans="10:10" ht="18.75" customHeight="1" x14ac:dyDescent="0.25">
      <c r="J5770" s="48"/>
    </row>
    <row r="5771" spans="10:10" ht="18.75" customHeight="1" x14ac:dyDescent="0.25">
      <c r="J5771" s="48"/>
    </row>
    <row r="5772" spans="10:10" ht="18.75" customHeight="1" x14ac:dyDescent="0.25">
      <c r="J5772" s="48"/>
    </row>
    <row r="5773" spans="10:10" ht="18.75" customHeight="1" x14ac:dyDescent="0.25">
      <c r="J5773" s="48"/>
    </row>
    <row r="5774" spans="10:10" ht="18.75" customHeight="1" x14ac:dyDescent="0.25">
      <c r="J5774" s="48"/>
    </row>
    <row r="5775" spans="10:10" ht="18.75" customHeight="1" x14ac:dyDescent="0.25">
      <c r="J5775" s="48"/>
    </row>
    <row r="5776" spans="10:10" ht="18.75" customHeight="1" x14ac:dyDescent="0.25">
      <c r="J5776" s="48"/>
    </row>
    <row r="5777" spans="10:10" ht="18.75" customHeight="1" x14ac:dyDescent="0.25">
      <c r="J5777" s="48"/>
    </row>
    <row r="5778" spans="10:10" ht="18.75" customHeight="1" x14ac:dyDescent="0.25">
      <c r="J5778" s="48"/>
    </row>
    <row r="5779" spans="10:10" ht="18.75" customHeight="1" x14ac:dyDescent="0.25">
      <c r="J5779" s="48"/>
    </row>
    <row r="5780" spans="10:10" ht="18.75" customHeight="1" x14ac:dyDescent="0.25">
      <c r="J5780" s="48"/>
    </row>
    <row r="5781" spans="10:10" ht="18.75" customHeight="1" x14ac:dyDescent="0.25">
      <c r="J5781" s="48"/>
    </row>
    <row r="5782" spans="10:10" ht="18.75" customHeight="1" x14ac:dyDescent="0.25">
      <c r="J5782" s="48"/>
    </row>
    <row r="5783" spans="10:10" ht="18.75" customHeight="1" x14ac:dyDescent="0.25">
      <c r="J5783" s="48"/>
    </row>
    <row r="5784" spans="10:10" ht="18.75" customHeight="1" x14ac:dyDescent="0.25">
      <c r="J5784" s="48"/>
    </row>
    <row r="5785" spans="10:10" ht="18.75" customHeight="1" x14ac:dyDescent="0.25">
      <c r="J5785" s="48"/>
    </row>
    <row r="5786" spans="10:10" ht="18.75" customHeight="1" x14ac:dyDescent="0.25">
      <c r="J5786" s="48"/>
    </row>
    <row r="5787" spans="10:10" ht="18.75" customHeight="1" x14ac:dyDescent="0.25">
      <c r="J5787" s="48"/>
    </row>
    <row r="5788" spans="10:10" ht="18.75" customHeight="1" x14ac:dyDescent="0.25">
      <c r="J5788" s="48"/>
    </row>
    <row r="5789" spans="10:10" ht="18.75" customHeight="1" x14ac:dyDescent="0.25">
      <c r="J5789" s="48"/>
    </row>
    <row r="5790" spans="10:10" ht="18.75" customHeight="1" x14ac:dyDescent="0.25">
      <c r="J5790" s="48"/>
    </row>
    <row r="5791" spans="10:10" ht="18.75" customHeight="1" x14ac:dyDescent="0.25">
      <c r="J5791" s="48"/>
    </row>
    <row r="5792" spans="10:10" ht="18.75" customHeight="1" x14ac:dyDescent="0.25">
      <c r="J5792" s="48"/>
    </row>
    <row r="5793" spans="10:10" ht="18.75" customHeight="1" x14ac:dyDescent="0.25">
      <c r="J5793" s="48"/>
    </row>
    <row r="5794" spans="10:10" ht="18.75" customHeight="1" x14ac:dyDescent="0.25">
      <c r="J5794" s="48"/>
    </row>
    <row r="5795" spans="10:10" ht="18.75" customHeight="1" x14ac:dyDescent="0.25">
      <c r="J5795" s="48"/>
    </row>
    <row r="5796" spans="10:10" ht="18.75" customHeight="1" x14ac:dyDescent="0.25">
      <c r="J5796" s="48"/>
    </row>
    <row r="5797" spans="10:10" ht="18.75" customHeight="1" x14ac:dyDescent="0.25">
      <c r="J5797" s="48"/>
    </row>
    <row r="5798" spans="10:10" ht="18.75" customHeight="1" x14ac:dyDescent="0.25">
      <c r="J5798" s="48"/>
    </row>
    <row r="5799" spans="10:10" ht="18.75" customHeight="1" x14ac:dyDescent="0.25">
      <c r="J5799" s="48"/>
    </row>
    <row r="5800" spans="10:10" ht="18.75" customHeight="1" x14ac:dyDescent="0.25">
      <c r="J5800" s="48"/>
    </row>
    <row r="5801" spans="10:10" ht="18.75" customHeight="1" x14ac:dyDescent="0.25">
      <c r="J5801" s="48"/>
    </row>
    <row r="5802" spans="10:10" ht="18.75" customHeight="1" x14ac:dyDescent="0.25">
      <c r="J5802" s="48"/>
    </row>
    <row r="5803" spans="10:10" ht="18.75" customHeight="1" x14ac:dyDescent="0.25">
      <c r="J5803" s="48"/>
    </row>
    <row r="5804" spans="10:10" ht="18.75" customHeight="1" x14ac:dyDescent="0.25">
      <c r="J5804" s="48"/>
    </row>
    <row r="5805" spans="10:10" ht="18.75" customHeight="1" x14ac:dyDescent="0.25">
      <c r="J5805" s="48"/>
    </row>
    <row r="5806" spans="10:10" ht="18.75" customHeight="1" x14ac:dyDescent="0.25">
      <c r="J5806" s="48"/>
    </row>
    <row r="5807" spans="10:10" ht="18.75" customHeight="1" x14ac:dyDescent="0.25">
      <c r="J5807" s="48"/>
    </row>
    <row r="5808" spans="10:10" ht="18.75" customHeight="1" x14ac:dyDescent="0.25">
      <c r="J5808" s="48"/>
    </row>
    <row r="5809" spans="10:10" ht="18.75" customHeight="1" x14ac:dyDescent="0.25">
      <c r="J5809" s="48"/>
    </row>
    <row r="5810" spans="10:10" ht="18.75" customHeight="1" x14ac:dyDescent="0.25">
      <c r="J5810" s="48"/>
    </row>
    <row r="5811" spans="10:10" ht="18.75" customHeight="1" x14ac:dyDescent="0.25">
      <c r="J5811" s="48"/>
    </row>
    <row r="5812" spans="10:10" ht="18.75" customHeight="1" x14ac:dyDescent="0.25">
      <c r="J5812" s="48"/>
    </row>
    <row r="5813" spans="10:10" ht="18.75" customHeight="1" x14ac:dyDescent="0.25">
      <c r="J5813" s="48"/>
    </row>
    <row r="5814" spans="10:10" ht="18.75" customHeight="1" x14ac:dyDescent="0.25">
      <c r="J5814" s="48"/>
    </row>
    <row r="5815" spans="10:10" ht="18.75" customHeight="1" x14ac:dyDescent="0.25">
      <c r="J5815" s="48"/>
    </row>
    <row r="5816" spans="10:10" ht="18.75" customHeight="1" x14ac:dyDescent="0.25">
      <c r="J5816" s="48"/>
    </row>
    <row r="5817" spans="10:10" ht="18.75" customHeight="1" x14ac:dyDescent="0.25">
      <c r="J5817" s="48"/>
    </row>
    <row r="5818" spans="10:10" ht="18.75" customHeight="1" x14ac:dyDescent="0.25">
      <c r="J5818" s="48"/>
    </row>
    <row r="5819" spans="10:10" ht="18.75" customHeight="1" x14ac:dyDescent="0.25">
      <c r="J5819" s="48"/>
    </row>
    <row r="5820" spans="10:10" ht="18.75" customHeight="1" x14ac:dyDescent="0.25">
      <c r="J5820" s="48"/>
    </row>
    <row r="5821" spans="10:10" ht="18.75" customHeight="1" x14ac:dyDescent="0.25">
      <c r="J5821" s="48"/>
    </row>
    <row r="5822" spans="10:10" ht="18.75" customHeight="1" x14ac:dyDescent="0.25">
      <c r="J5822" s="48"/>
    </row>
    <row r="5823" spans="10:10" ht="18.75" customHeight="1" x14ac:dyDescent="0.25">
      <c r="J5823" s="48"/>
    </row>
    <row r="5824" spans="10:10" ht="18.75" customHeight="1" x14ac:dyDescent="0.25">
      <c r="J5824" s="48"/>
    </row>
    <row r="5825" spans="10:10" ht="18.75" customHeight="1" x14ac:dyDescent="0.25">
      <c r="J5825" s="48"/>
    </row>
    <row r="5826" spans="10:10" ht="18.75" customHeight="1" x14ac:dyDescent="0.25">
      <c r="J5826" s="48"/>
    </row>
    <row r="5827" spans="10:10" ht="18.75" customHeight="1" x14ac:dyDescent="0.25">
      <c r="J5827" s="48"/>
    </row>
    <row r="5828" spans="10:10" ht="18.75" customHeight="1" x14ac:dyDescent="0.25">
      <c r="J5828" s="48"/>
    </row>
    <row r="5829" spans="10:10" ht="18.75" customHeight="1" x14ac:dyDescent="0.25">
      <c r="J5829" s="48"/>
    </row>
    <row r="5830" spans="10:10" ht="18.75" customHeight="1" x14ac:dyDescent="0.25">
      <c r="J5830" s="48"/>
    </row>
    <row r="5831" spans="10:10" ht="18.75" customHeight="1" x14ac:dyDescent="0.25">
      <c r="J5831" s="48"/>
    </row>
    <row r="5832" spans="10:10" ht="18.75" customHeight="1" x14ac:dyDescent="0.25">
      <c r="J5832" s="48"/>
    </row>
    <row r="5833" spans="10:10" ht="18.75" customHeight="1" x14ac:dyDescent="0.25">
      <c r="J5833" s="48"/>
    </row>
    <row r="5834" spans="10:10" ht="18.75" customHeight="1" x14ac:dyDescent="0.25">
      <c r="J5834" s="48"/>
    </row>
    <row r="5835" spans="10:10" ht="18.75" customHeight="1" x14ac:dyDescent="0.25">
      <c r="J5835" s="48"/>
    </row>
    <row r="5836" spans="10:10" ht="18.75" customHeight="1" x14ac:dyDescent="0.25">
      <c r="J5836" s="48"/>
    </row>
    <row r="5837" spans="10:10" ht="18.75" customHeight="1" x14ac:dyDescent="0.25">
      <c r="J5837" s="48"/>
    </row>
    <row r="5838" spans="10:10" ht="18.75" customHeight="1" x14ac:dyDescent="0.25">
      <c r="J5838" s="48"/>
    </row>
    <row r="5839" spans="10:10" ht="18.75" customHeight="1" x14ac:dyDescent="0.25">
      <c r="J5839" s="48"/>
    </row>
    <row r="5840" spans="10:10" ht="18.75" customHeight="1" x14ac:dyDescent="0.25">
      <c r="J5840" s="48"/>
    </row>
    <row r="5841" spans="10:10" ht="18.75" customHeight="1" x14ac:dyDescent="0.25">
      <c r="J5841" s="48"/>
    </row>
    <row r="5842" spans="10:10" ht="18.75" customHeight="1" x14ac:dyDescent="0.25">
      <c r="J5842" s="48"/>
    </row>
    <row r="5843" spans="10:10" ht="18.75" customHeight="1" x14ac:dyDescent="0.25">
      <c r="J5843" s="48"/>
    </row>
    <row r="5844" spans="10:10" ht="18.75" customHeight="1" x14ac:dyDescent="0.25">
      <c r="J5844" s="48"/>
    </row>
    <row r="5845" spans="10:10" ht="18.75" customHeight="1" x14ac:dyDescent="0.25">
      <c r="J5845" s="48"/>
    </row>
    <row r="5846" spans="10:10" ht="18.75" customHeight="1" x14ac:dyDescent="0.25">
      <c r="J5846" s="48"/>
    </row>
    <row r="5847" spans="10:10" ht="18.75" customHeight="1" x14ac:dyDescent="0.25">
      <c r="J5847" s="48"/>
    </row>
    <row r="5848" spans="10:10" ht="18.75" customHeight="1" x14ac:dyDescent="0.25">
      <c r="J5848" s="48"/>
    </row>
    <row r="5849" spans="10:10" ht="18.75" customHeight="1" x14ac:dyDescent="0.25">
      <c r="J5849" s="48"/>
    </row>
    <row r="5850" spans="10:10" ht="18.75" customHeight="1" x14ac:dyDescent="0.25">
      <c r="J5850" s="48"/>
    </row>
    <row r="5851" spans="10:10" ht="18.75" customHeight="1" x14ac:dyDescent="0.25">
      <c r="J5851" s="48"/>
    </row>
    <row r="5852" spans="10:10" ht="18.75" customHeight="1" x14ac:dyDescent="0.25">
      <c r="J5852" s="48"/>
    </row>
    <row r="5853" spans="10:10" ht="18.75" customHeight="1" x14ac:dyDescent="0.25">
      <c r="J5853" s="48"/>
    </row>
    <row r="5854" spans="10:10" ht="18.75" customHeight="1" x14ac:dyDescent="0.25">
      <c r="J5854" s="48"/>
    </row>
    <row r="5855" spans="10:10" ht="18.75" customHeight="1" x14ac:dyDescent="0.25">
      <c r="J5855" s="48"/>
    </row>
    <row r="5856" spans="10:10" ht="18.75" customHeight="1" x14ac:dyDescent="0.25">
      <c r="J5856" s="48"/>
    </row>
    <row r="5857" spans="10:10" ht="18.75" customHeight="1" x14ac:dyDescent="0.25">
      <c r="J5857" s="48"/>
    </row>
    <row r="5858" spans="10:10" ht="18.75" customHeight="1" x14ac:dyDescent="0.25">
      <c r="J5858" s="48"/>
    </row>
    <row r="5859" spans="10:10" ht="18.75" customHeight="1" x14ac:dyDescent="0.25">
      <c r="J5859" s="48"/>
    </row>
    <row r="5860" spans="10:10" ht="18.75" customHeight="1" x14ac:dyDescent="0.25">
      <c r="J5860" s="48"/>
    </row>
    <row r="5861" spans="10:10" ht="18.75" customHeight="1" x14ac:dyDescent="0.25">
      <c r="J5861" s="48"/>
    </row>
    <row r="5862" spans="10:10" ht="18.75" customHeight="1" x14ac:dyDescent="0.25">
      <c r="J5862" s="48"/>
    </row>
    <row r="5863" spans="10:10" ht="18.75" customHeight="1" x14ac:dyDescent="0.25">
      <c r="J5863" s="48"/>
    </row>
    <row r="5864" spans="10:10" ht="18.75" customHeight="1" x14ac:dyDescent="0.25">
      <c r="J5864" s="48"/>
    </row>
    <row r="5865" spans="10:10" ht="18.75" customHeight="1" x14ac:dyDescent="0.25">
      <c r="J5865" s="48"/>
    </row>
    <row r="5866" spans="10:10" ht="18.75" customHeight="1" x14ac:dyDescent="0.25">
      <c r="J5866" s="48"/>
    </row>
    <row r="5867" spans="10:10" ht="18.75" customHeight="1" x14ac:dyDescent="0.25">
      <c r="J5867" s="48"/>
    </row>
    <row r="5868" spans="10:10" ht="18.75" customHeight="1" x14ac:dyDescent="0.25">
      <c r="J5868" s="48"/>
    </row>
    <row r="5869" spans="10:10" ht="18.75" customHeight="1" x14ac:dyDescent="0.25">
      <c r="J5869" s="48"/>
    </row>
    <row r="5870" spans="10:10" ht="18.75" customHeight="1" x14ac:dyDescent="0.25">
      <c r="J5870" s="48"/>
    </row>
    <row r="5871" spans="10:10" ht="18.75" customHeight="1" x14ac:dyDescent="0.25">
      <c r="J5871" s="48"/>
    </row>
    <row r="5872" spans="10:10" ht="18.75" customHeight="1" x14ac:dyDescent="0.25">
      <c r="J5872" s="48"/>
    </row>
    <row r="5873" spans="10:10" ht="18.75" customHeight="1" x14ac:dyDescent="0.25">
      <c r="J5873" s="48"/>
    </row>
    <row r="5874" spans="10:10" ht="18.75" customHeight="1" x14ac:dyDescent="0.25">
      <c r="J5874" s="48"/>
    </row>
    <row r="5875" spans="10:10" ht="18.75" customHeight="1" x14ac:dyDescent="0.25">
      <c r="J5875" s="48"/>
    </row>
    <row r="5876" spans="10:10" ht="18.75" customHeight="1" x14ac:dyDescent="0.25">
      <c r="J5876" s="48"/>
    </row>
    <row r="5877" spans="10:10" ht="18.75" customHeight="1" x14ac:dyDescent="0.25">
      <c r="J5877" s="48"/>
    </row>
    <row r="5878" spans="10:10" ht="18.75" customHeight="1" x14ac:dyDescent="0.25">
      <c r="J5878" s="48"/>
    </row>
    <row r="5879" spans="10:10" ht="18.75" customHeight="1" x14ac:dyDescent="0.25">
      <c r="J5879" s="48"/>
    </row>
    <row r="5880" spans="10:10" ht="18.75" customHeight="1" x14ac:dyDescent="0.25">
      <c r="J5880" s="48"/>
    </row>
    <row r="5881" spans="10:10" ht="18.75" customHeight="1" x14ac:dyDescent="0.25">
      <c r="J5881" s="48"/>
    </row>
    <row r="5882" spans="10:10" ht="18.75" customHeight="1" x14ac:dyDescent="0.25">
      <c r="J5882" s="48"/>
    </row>
    <row r="5883" spans="10:10" ht="18.75" customHeight="1" x14ac:dyDescent="0.25">
      <c r="J5883" s="48"/>
    </row>
    <row r="5884" spans="10:10" ht="18.75" customHeight="1" x14ac:dyDescent="0.25">
      <c r="J5884" s="48"/>
    </row>
    <row r="5885" spans="10:10" ht="18.75" customHeight="1" x14ac:dyDescent="0.25">
      <c r="J5885" s="48"/>
    </row>
    <row r="5886" spans="10:10" ht="18.75" customHeight="1" x14ac:dyDescent="0.25">
      <c r="J5886" s="48"/>
    </row>
    <row r="5887" spans="10:10" ht="18.75" customHeight="1" x14ac:dyDescent="0.25">
      <c r="J5887" s="48"/>
    </row>
    <row r="5888" spans="10:10" ht="18.75" customHeight="1" x14ac:dyDescent="0.25">
      <c r="J5888" s="48"/>
    </row>
    <row r="5889" spans="10:10" ht="18.75" customHeight="1" x14ac:dyDescent="0.25">
      <c r="J5889" s="48"/>
    </row>
    <row r="5890" spans="10:10" ht="18.75" customHeight="1" x14ac:dyDescent="0.25">
      <c r="J5890" s="48"/>
    </row>
    <row r="5891" spans="10:10" ht="18.75" customHeight="1" x14ac:dyDescent="0.25">
      <c r="J5891" s="48"/>
    </row>
    <row r="5892" spans="10:10" ht="18.75" customHeight="1" x14ac:dyDescent="0.25">
      <c r="J5892" s="48"/>
    </row>
    <row r="5893" spans="10:10" ht="18.75" customHeight="1" x14ac:dyDescent="0.25">
      <c r="J5893" s="48"/>
    </row>
    <row r="5894" spans="10:10" ht="18.75" customHeight="1" x14ac:dyDescent="0.25">
      <c r="J5894" s="48"/>
    </row>
    <row r="5895" spans="10:10" ht="18.75" customHeight="1" x14ac:dyDescent="0.25">
      <c r="J5895" s="48"/>
    </row>
    <row r="5896" spans="10:10" ht="18.75" customHeight="1" x14ac:dyDescent="0.25">
      <c r="J5896" s="48"/>
    </row>
    <row r="5897" spans="10:10" ht="18.75" customHeight="1" x14ac:dyDescent="0.25">
      <c r="J5897" s="48"/>
    </row>
    <row r="5898" spans="10:10" ht="18.75" customHeight="1" x14ac:dyDescent="0.25">
      <c r="J5898" s="48"/>
    </row>
    <row r="5899" spans="10:10" ht="18.75" customHeight="1" x14ac:dyDescent="0.25">
      <c r="J5899" s="48"/>
    </row>
    <row r="5900" spans="10:10" ht="18.75" customHeight="1" x14ac:dyDescent="0.25">
      <c r="J5900" s="48"/>
    </row>
    <row r="5901" spans="10:10" ht="18.75" customHeight="1" x14ac:dyDescent="0.25">
      <c r="J5901" s="48"/>
    </row>
    <row r="5902" spans="10:10" ht="18.75" customHeight="1" x14ac:dyDescent="0.25">
      <c r="J5902" s="48"/>
    </row>
    <row r="5903" spans="10:10" ht="18.75" customHeight="1" x14ac:dyDescent="0.25">
      <c r="J5903" s="48"/>
    </row>
    <row r="5904" spans="10:10" ht="18.75" customHeight="1" x14ac:dyDescent="0.25">
      <c r="J5904" s="48"/>
    </row>
    <row r="5905" spans="10:10" ht="18.75" customHeight="1" x14ac:dyDescent="0.25">
      <c r="J5905" s="48"/>
    </row>
    <row r="5906" spans="10:10" ht="18.75" customHeight="1" x14ac:dyDescent="0.25">
      <c r="J5906" s="48"/>
    </row>
    <row r="5907" spans="10:10" ht="18.75" customHeight="1" x14ac:dyDescent="0.25">
      <c r="J5907" s="48"/>
    </row>
    <row r="5908" spans="10:10" ht="18.75" customHeight="1" x14ac:dyDescent="0.25">
      <c r="J5908" s="48"/>
    </row>
    <row r="5909" spans="10:10" ht="18.75" customHeight="1" x14ac:dyDescent="0.25">
      <c r="J5909" s="48"/>
    </row>
    <row r="5910" spans="10:10" ht="18.75" customHeight="1" x14ac:dyDescent="0.25">
      <c r="J5910" s="48"/>
    </row>
    <row r="5911" spans="10:10" ht="18.75" customHeight="1" x14ac:dyDescent="0.25">
      <c r="J5911" s="48"/>
    </row>
    <row r="5912" spans="10:10" ht="18.75" customHeight="1" x14ac:dyDescent="0.25">
      <c r="J5912" s="48"/>
    </row>
    <row r="5913" spans="10:10" ht="18.75" customHeight="1" x14ac:dyDescent="0.25">
      <c r="J5913" s="48"/>
    </row>
    <row r="5914" spans="10:10" ht="18.75" customHeight="1" x14ac:dyDescent="0.25">
      <c r="J5914" s="48"/>
    </row>
    <row r="5915" spans="10:10" ht="18.75" customHeight="1" x14ac:dyDescent="0.25">
      <c r="J5915" s="48"/>
    </row>
    <row r="5916" spans="10:10" ht="18.75" customHeight="1" x14ac:dyDescent="0.25">
      <c r="J5916" s="48"/>
    </row>
    <row r="5917" spans="10:10" ht="18.75" customHeight="1" x14ac:dyDescent="0.25">
      <c r="J5917" s="48"/>
    </row>
    <row r="5918" spans="10:10" ht="18.75" customHeight="1" x14ac:dyDescent="0.25">
      <c r="J5918" s="48"/>
    </row>
    <row r="5919" spans="10:10" ht="18.75" customHeight="1" x14ac:dyDescent="0.25">
      <c r="J5919" s="48"/>
    </row>
    <row r="5920" spans="10:10" ht="18.75" customHeight="1" x14ac:dyDescent="0.25">
      <c r="J5920" s="48"/>
    </row>
    <row r="5921" spans="10:10" ht="18.75" customHeight="1" x14ac:dyDescent="0.25">
      <c r="J5921" s="48"/>
    </row>
    <row r="5922" spans="10:10" ht="18.75" customHeight="1" x14ac:dyDescent="0.25">
      <c r="J5922" s="48"/>
    </row>
    <row r="5923" spans="10:10" ht="18.75" customHeight="1" x14ac:dyDescent="0.25">
      <c r="J5923" s="48"/>
    </row>
    <row r="5924" spans="10:10" ht="18.75" customHeight="1" x14ac:dyDescent="0.25">
      <c r="J5924" s="48"/>
    </row>
    <row r="5925" spans="10:10" ht="18.75" customHeight="1" x14ac:dyDescent="0.25">
      <c r="J5925" s="48"/>
    </row>
    <row r="5926" spans="10:10" ht="18.75" customHeight="1" x14ac:dyDescent="0.25">
      <c r="J5926" s="48"/>
    </row>
    <row r="5927" spans="10:10" ht="18.75" customHeight="1" x14ac:dyDescent="0.25">
      <c r="J5927" s="48"/>
    </row>
    <row r="5928" spans="10:10" ht="18.75" customHeight="1" x14ac:dyDescent="0.25">
      <c r="J5928" s="48"/>
    </row>
    <row r="5929" spans="10:10" ht="18.75" customHeight="1" x14ac:dyDescent="0.25">
      <c r="J5929" s="48"/>
    </row>
    <row r="5930" spans="10:10" ht="18.75" customHeight="1" x14ac:dyDescent="0.25">
      <c r="J5930" s="48"/>
    </row>
    <row r="5931" spans="10:10" ht="18.75" customHeight="1" x14ac:dyDescent="0.25">
      <c r="J5931" s="48"/>
    </row>
    <row r="5932" spans="10:10" ht="18.75" customHeight="1" x14ac:dyDescent="0.25">
      <c r="J5932" s="48"/>
    </row>
    <row r="5933" spans="10:10" ht="18.75" customHeight="1" x14ac:dyDescent="0.25">
      <c r="J5933" s="48"/>
    </row>
    <row r="5934" spans="10:10" ht="18.75" customHeight="1" x14ac:dyDescent="0.25">
      <c r="J5934" s="48"/>
    </row>
    <row r="5935" spans="10:10" ht="18.75" customHeight="1" x14ac:dyDescent="0.25">
      <c r="J5935" s="48"/>
    </row>
    <row r="5936" spans="10:10" ht="18.75" customHeight="1" x14ac:dyDescent="0.25">
      <c r="J5936" s="48"/>
    </row>
    <row r="5937" spans="10:10" ht="18.75" customHeight="1" x14ac:dyDescent="0.25">
      <c r="J5937" s="48"/>
    </row>
    <row r="5938" spans="10:10" ht="18.75" customHeight="1" x14ac:dyDescent="0.25">
      <c r="J5938" s="48"/>
    </row>
    <row r="5939" spans="10:10" ht="18.75" customHeight="1" x14ac:dyDescent="0.25">
      <c r="J5939" s="48"/>
    </row>
    <row r="5940" spans="10:10" ht="18.75" customHeight="1" x14ac:dyDescent="0.25">
      <c r="J5940" s="48"/>
    </row>
    <row r="5941" spans="10:10" ht="18.75" customHeight="1" x14ac:dyDescent="0.25">
      <c r="J5941" s="48"/>
    </row>
    <row r="5942" spans="10:10" ht="18.75" customHeight="1" x14ac:dyDescent="0.25">
      <c r="J5942" s="48"/>
    </row>
    <row r="5943" spans="10:10" ht="18.75" customHeight="1" x14ac:dyDescent="0.25">
      <c r="J5943" s="48"/>
    </row>
    <row r="5944" spans="10:10" ht="18.75" customHeight="1" x14ac:dyDescent="0.25">
      <c r="J5944" s="48"/>
    </row>
    <row r="5945" spans="10:10" ht="18.75" customHeight="1" x14ac:dyDescent="0.25">
      <c r="J5945" s="48"/>
    </row>
    <row r="5946" spans="10:10" ht="18.75" customHeight="1" x14ac:dyDescent="0.25">
      <c r="J5946" s="48"/>
    </row>
    <row r="5947" spans="10:10" ht="18.75" customHeight="1" x14ac:dyDescent="0.25">
      <c r="J5947" s="48"/>
    </row>
    <row r="5948" spans="10:10" ht="18.75" customHeight="1" x14ac:dyDescent="0.25">
      <c r="J5948" s="48"/>
    </row>
    <row r="5949" spans="10:10" ht="18.75" customHeight="1" x14ac:dyDescent="0.25">
      <c r="J5949" s="48"/>
    </row>
    <row r="5950" spans="10:10" ht="18.75" customHeight="1" x14ac:dyDescent="0.25">
      <c r="J5950" s="48"/>
    </row>
    <row r="5951" spans="10:10" ht="18.75" customHeight="1" x14ac:dyDescent="0.25">
      <c r="J5951" s="48"/>
    </row>
    <row r="5952" spans="10:10" ht="18.75" customHeight="1" x14ac:dyDescent="0.25">
      <c r="J5952" s="48"/>
    </row>
    <row r="5953" spans="10:10" ht="18.75" customHeight="1" x14ac:dyDescent="0.25">
      <c r="J5953" s="48"/>
    </row>
    <row r="5954" spans="10:10" ht="18.75" customHeight="1" x14ac:dyDescent="0.25">
      <c r="J5954" s="48"/>
    </row>
    <row r="5955" spans="10:10" ht="18.75" customHeight="1" x14ac:dyDescent="0.25">
      <c r="J5955" s="48"/>
    </row>
    <row r="5956" spans="10:10" ht="18.75" customHeight="1" x14ac:dyDescent="0.25">
      <c r="J5956" s="48"/>
    </row>
    <row r="5957" spans="10:10" ht="18.75" customHeight="1" x14ac:dyDescent="0.25">
      <c r="J5957" s="48"/>
    </row>
    <row r="5958" spans="10:10" ht="18.75" customHeight="1" x14ac:dyDescent="0.25">
      <c r="J5958" s="48"/>
    </row>
    <row r="5959" spans="10:10" ht="18.75" customHeight="1" x14ac:dyDescent="0.25">
      <c r="J5959" s="48"/>
    </row>
    <row r="5960" spans="10:10" ht="18.75" customHeight="1" x14ac:dyDescent="0.25">
      <c r="J5960" s="48"/>
    </row>
    <row r="5961" spans="10:10" ht="18.75" customHeight="1" x14ac:dyDescent="0.25">
      <c r="J5961" s="48"/>
    </row>
    <row r="5962" spans="10:10" ht="18.75" customHeight="1" x14ac:dyDescent="0.25">
      <c r="J5962" s="48"/>
    </row>
    <row r="5963" spans="10:10" ht="18.75" customHeight="1" x14ac:dyDescent="0.25">
      <c r="J5963" s="48"/>
    </row>
    <row r="5964" spans="10:10" ht="18.75" customHeight="1" x14ac:dyDescent="0.25">
      <c r="J5964" s="48"/>
    </row>
    <row r="5965" spans="10:10" ht="18.75" customHeight="1" x14ac:dyDescent="0.25">
      <c r="J5965" s="48"/>
    </row>
    <row r="5966" spans="10:10" ht="18.75" customHeight="1" x14ac:dyDescent="0.25">
      <c r="J5966" s="48"/>
    </row>
    <row r="5967" spans="10:10" ht="18.75" customHeight="1" x14ac:dyDescent="0.25">
      <c r="J5967" s="48"/>
    </row>
    <row r="5968" spans="10:10" ht="18.75" customHeight="1" x14ac:dyDescent="0.25">
      <c r="J5968" s="48"/>
    </row>
    <row r="5969" spans="10:10" ht="18.75" customHeight="1" x14ac:dyDescent="0.25">
      <c r="J5969" s="48"/>
    </row>
    <row r="5970" spans="10:10" ht="18.75" customHeight="1" x14ac:dyDescent="0.25">
      <c r="J5970" s="48"/>
    </row>
    <row r="5971" spans="10:10" ht="18.75" customHeight="1" x14ac:dyDescent="0.25">
      <c r="J5971" s="48"/>
    </row>
    <row r="5972" spans="10:10" ht="18.75" customHeight="1" x14ac:dyDescent="0.25">
      <c r="J5972" s="48"/>
    </row>
    <row r="5973" spans="10:10" ht="18.75" customHeight="1" x14ac:dyDescent="0.25">
      <c r="J5973" s="48"/>
    </row>
    <row r="5974" spans="10:10" ht="18.75" customHeight="1" x14ac:dyDescent="0.25">
      <c r="J5974" s="48"/>
    </row>
    <row r="5975" spans="10:10" ht="18.75" customHeight="1" x14ac:dyDescent="0.25">
      <c r="J5975" s="48"/>
    </row>
    <row r="5976" spans="10:10" ht="18.75" customHeight="1" x14ac:dyDescent="0.25">
      <c r="J5976" s="48"/>
    </row>
    <row r="5977" spans="10:10" ht="18.75" customHeight="1" x14ac:dyDescent="0.25">
      <c r="J5977" s="48"/>
    </row>
    <row r="5978" spans="10:10" ht="18.75" customHeight="1" x14ac:dyDescent="0.25">
      <c r="J5978" s="48"/>
    </row>
    <row r="5979" spans="10:10" ht="18.75" customHeight="1" x14ac:dyDescent="0.25">
      <c r="J5979" s="48"/>
    </row>
    <row r="5980" spans="10:10" ht="18.75" customHeight="1" x14ac:dyDescent="0.25">
      <c r="J5980" s="48"/>
    </row>
    <row r="5981" spans="10:10" ht="18.75" customHeight="1" x14ac:dyDescent="0.25">
      <c r="J5981" s="48"/>
    </row>
    <row r="5982" spans="10:10" ht="18.75" customHeight="1" x14ac:dyDescent="0.25">
      <c r="J5982" s="48"/>
    </row>
    <row r="5983" spans="10:10" ht="18.75" customHeight="1" x14ac:dyDescent="0.25">
      <c r="J5983" s="48"/>
    </row>
    <row r="5984" spans="10:10" ht="18.75" customHeight="1" x14ac:dyDescent="0.25">
      <c r="J5984" s="48"/>
    </row>
    <row r="5985" spans="10:10" ht="18.75" customHeight="1" x14ac:dyDescent="0.25">
      <c r="J5985" s="48"/>
    </row>
    <row r="5986" spans="10:10" ht="18.75" customHeight="1" x14ac:dyDescent="0.25">
      <c r="J5986" s="48"/>
    </row>
    <row r="5987" spans="10:10" ht="18.75" customHeight="1" x14ac:dyDescent="0.25">
      <c r="J5987" s="48"/>
    </row>
    <row r="5988" spans="10:10" ht="18.75" customHeight="1" x14ac:dyDescent="0.25">
      <c r="J5988" s="48"/>
    </row>
    <row r="5989" spans="10:10" ht="18.75" customHeight="1" x14ac:dyDescent="0.25">
      <c r="J5989" s="48"/>
    </row>
    <row r="5990" spans="10:10" ht="18.75" customHeight="1" x14ac:dyDescent="0.25">
      <c r="J5990" s="48"/>
    </row>
    <row r="5991" spans="10:10" ht="18.75" customHeight="1" x14ac:dyDescent="0.25">
      <c r="J5991" s="48"/>
    </row>
    <row r="5992" spans="10:10" ht="18.75" customHeight="1" x14ac:dyDescent="0.25">
      <c r="J5992" s="48"/>
    </row>
    <row r="5993" spans="10:10" ht="18.75" customHeight="1" x14ac:dyDescent="0.25">
      <c r="J5993" s="48"/>
    </row>
    <row r="5994" spans="10:10" ht="18.75" customHeight="1" x14ac:dyDescent="0.25">
      <c r="J5994" s="48"/>
    </row>
    <row r="5995" spans="10:10" ht="18.75" customHeight="1" x14ac:dyDescent="0.25">
      <c r="J5995" s="48"/>
    </row>
    <row r="5996" spans="10:10" ht="18.75" customHeight="1" x14ac:dyDescent="0.25">
      <c r="J5996" s="48"/>
    </row>
    <row r="5997" spans="10:10" ht="18.75" customHeight="1" x14ac:dyDescent="0.25">
      <c r="J5997" s="48"/>
    </row>
    <row r="5998" spans="10:10" ht="18.75" customHeight="1" x14ac:dyDescent="0.25">
      <c r="J5998" s="48"/>
    </row>
    <row r="5999" spans="10:10" ht="18.75" customHeight="1" x14ac:dyDescent="0.25">
      <c r="J5999" s="48"/>
    </row>
    <row r="6000" spans="10:10" ht="18.75" customHeight="1" x14ac:dyDescent="0.25">
      <c r="J6000" s="48"/>
    </row>
    <row r="6001" spans="10:10" ht="18.75" customHeight="1" x14ac:dyDescent="0.25">
      <c r="J6001" s="48"/>
    </row>
    <row r="6002" spans="10:10" ht="18.75" customHeight="1" x14ac:dyDescent="0.25">
      <c r="J6002" s="48"/>
    </row>
    <row r="6003" spans="10:10" ht="18.75" customHeight="1" x14ac:dyDescent="0.25">
      <c r="J6003" s="48"/>
    </row>
    <row r="6004" spans="10:10" ht="18.75" customHeight="1" x14ac:dyDescent="0.25">
      <c r="J6004" s="48"/>
    </row>
    <row r="6005" spans="10:10" ht="18.75" customHeight="1" x14ac:dyDescent="0.25">
      <c r="J6005" s="48"/>
    </row>
    <row r="6006" spans="10:10" ht="18.75" customHeight="1" x14ac:dyDescent="0.25">
      <c r="J6006" s="48"/>
    </row>
    <row r="6007" spans="10:10" ht="18.75" customHeight="1" x14ac:dyDescent="0.25">
      <c r="J6007" s="48"/>
    </row>
    <row r="6008" spans="10:10" ht="18.75" customHeight="1" x14ac:dyDescent="0.25">
      <c r="J6008" s="48"/>
    </row>
    <row r="6009" spans="10:10" ht="18.75" customHeight="1" x14ac:dyDescent="0.25">
      <c r="J6009" s="48"/>
    </row>
    <row r="6010" spans="10:10" ht="18.75" customHeight="1" x14ac:dyDescent="0.25">
      <c r="J6010" s="48"/>
    </row>
    <row r="6011" spans="10:10" ht="18.75" customHeight="1" x14ac:dyDescent="0.25">
      <c r="J6011" s="48"/>
    </row>
    <row r="6012" spans="10:10" ht="18.75" customHeight="1" x14ac:dyDescent="0.25">
      <c r="J6012" s="48"/>
    </row>
    <row r="6013" spans="10:10" ht="18.75" customHeight="1" x14ac:dyDescent="0.25">
      <c r="J6013" s="48"/>
    </row>
    <row r="6014" spans="10:10" ht="18.75" customHeight="1" x14ac:dyDescent="0.25">
      <c r="J6014" s="48"/>
    </row>
    <row r="6015" spans="10:10" ht="18.75" customHeight="1" x14ac:dyDescent="0.25">
      <c r="J6015" s="48"/>
    </row>
    <row r="6016" spans="10:10" ht="18.75" customHeight="1" x14ac:dyDescent="0.25">
      <c r="J6016" s="48"/>
    </row>
    <row r="6017" spans="10:10" ht="18.75" customHeight="1" x14ac:dyDescent="0.25">
      <c r="J6017" s="48"/>
    </row>
    <row r="6018" spans="10:10" ht="18.75" customHeight="1" x14ac:dyDescent="0.25">
      <c r="J6018" s="48"/>
    </row>
    <row r="6019" spans="10:10" ht="18.75" customHeight="1" x14ac:dyDescent="0.25">
      <c r="J6019" s="48"/>
    </row>
    <row r="6020" spans="10:10" ht="18.75" customHeight="1" x14ac:dyDescent="0.25">
      <c r="J6020" s="48"/>
    </row>
    <row r="6021" spans="10:10" ht="18.75" customHeight="1" x14ac:dyDescent="0.25">
      <c r="J6021" s="48"/>
    </row>
    <row r="6022" spans="10:10" ht="18.75" customHeight="1" x14ac:dyDescent="0.25">
      <c r="J6022" s="48"/>
    </row>
    <row r="6023" spans="10:10" ht="18.75" customHeight="1" x14ac:dyDescent="0.25">
      <c r="J6023" s="48"/>
    </row>
    <row r="6024" spans="10:10" ht="18.75" customHeight="1" x14ac:dyDescent="0.25">
      <c r="J6024" s="48"/>
    </row>
    <row r="6025" spans="10:10" ht="18.75" customHeight="1" x14ac:dyDescent="0.25">
      <c r="J6025" s="48"/>
    </row>
    <row r="6026" spans="10:10" ht="18.75" customHeight="1" x14ac:dyDescent="0.25">
      <c r="J6026" s="48"/>
    </row>
    <row r="6027" spans="10:10" ht="18.75" customHeight="1" x14ac:dyDescent="0.25">
      <c r="J6027" s="48"/>
    </row>
    <row r="6028" spans="10:10" ht="18.75" customHeight="1" x14ac:dyDescent="0.25">
      <c r="J6028" s="48"/>
    </row>
    <row r="6029" spans="10:10" ht="18.75" customHeight="1" x14ac:dyDescent="0.25">
      <c r="J6029" s="48"/>
    </row>
    <row r="6030" spans="10:10" ht="18.75" customHeight="1" x14ac:dyDescent="0.25">
      <c r="J6030" s="48"/>
    </row>
    <row r="6031" spans="10:10" ht="18.75" customHeight="1" x14ac:dyDescent="0.25">
      <c r="J6031" s="48"/>
    </row>
    <row r="6032" spans="10:10" ht="18.75" customHeight="1" x14ac:dyDescent="0.25">
      <c r="J6032" s="48"/>
    </row>
    <row r="6033" spans="10:10" ht="18.75" customHeight="1" x14ac:dyDescent="0.25">
      <c r="J6033" s="48"/>
    </row>
    <row r="6034" spans="10:10" ht="18.75" customHeight="1" x14ac:dyDescent="0.25">
      <c r="J6034" s="48"/>
    </row>
    <row r="6035" spans="10:10" ht="18.75" customHeight="1" x14ac:dyDescent="0.25">
      <c r="J6035" s="48"/>
    </row>
    <row r="6036" spans="10:10" ht="18.75" customHeight="1" x14ac:dyDescent="0.25">
      <c r="J6036" s="48"/>
    </row>
    <row r="6037" spans="10:10" ht="18.75" customHeight="1" x14ac:dyDescent="0.25">
      <c r="J6037" s="48"/>
    </row>
    <row r="6038" spans="10:10" ht="18.75" customHeight="1" x14ac:dyDescent="0.25">
      <c r="J6038" s="48"/>
    </row>
    <row r="6039" spans="10:10" ht="18.75" customHeight="1" x14ac:dyDescent="0.25">
      <c r="J6039" s="48"/>
    </row>
    <row r="6040" spans="10:10" ht="18.75" customHeight="1" x14ac:dyDescent="0.25">
      <c r="J6040" s="48"/>
    </row>
    <row r="6041" spans="10:10" ht="18.75" customHeight="1" x14ac:dyDescent="0.25">
      <c r="J6041" s="48"/>
    </row>
    <row r="6042" spans="10:10" ht="18.75" customHeight="1" x14ac:dyDescent="0.25">
      <c r="J6042" s="48"/>
    </row>
    <row r="6043" spans="10:10" ht="18.75" customHeight="1" x14ac:dyDescent="0.25">
      <c r="J6043" s="48"/>
    </row>
    <row r="6044" spans="10:10" ht="18.75" customHeight="1" x14ac:dyDescent="0.25">
      <c r="J6044" s="48"/>
    </row>
    <row r="6045" spans="10:10" ht="18.75" customHeight="1" x14ac:dyDescent="0.25">
      <c r="J6045" s="48"/>
    </row>
    <row r="6046" spans="10:10" ht="18.75" customHeight="1" x14ac:dyDescent="0.25">
      <c r="J6046" s="48"/>
    </row>
    <row r="6047" spans="10:10" ht="18.75" customHeight="1" x14ac:dyDescent="0.25">
      <c r="J6047" s="48"/>
    </row>
    <row r="6048" spans="10:10" ht="18.75" customHeight="1" x14ac:dyDescent="0.25">
      <c r="J6048" s="48"/>
    </row>
    <row r="6049" spans="10:10" ht="18.75" customHeight="1" x14ac:dyDescent="0.25">
      <c r="J6049" s="48"/>
    </row>
    <row r="6050" spans="10:10" ht="18.75" customHeight="1" x14ac:dyDescent="0.25">
      <c r="J6050" s="48"/>
    </row>
    <row r="6051" spans="10:10" ht="18.75" customHeight="1" x14ac:dyDescent="0.25">
      <c r="J6051" s="48"/>
    </row>
    <row r="6052" spans="10:10" ht="18.75" customHeight="1" x14ac:dyDescent="0.25">
      <c r="J6052" s="48"/>
    </row>
    <row r="6053" spans="10:10" ht="18.75" customHeight="1" x14ac:dyDescent="0.25">
      <c r="J6053" s="48"/>
    </row>
    <row r="6054" spans="10:10" ht="18.75" customHeight="1" x14ac:dyDescent="0.25">
      <c r="J6054" s="48"/>
    </row>
    <row r="6055" spans="10:10" ht="18.75" customHeight="1" x14ac:dyDescent="0.25">
      <c r="J6055" s="48"/>
    </row>
    <row r="6056" spans="10:10" ht="18.75" customHeight="1" x14ac:dyDescent="0.25">
      <c r="J6056" s="48"/>
    </row>
    <row r="6057" spans="10:10" ht="18.75" customHeight="1" x14ac:dyDescent="0.25">
      <c r="J6057" s="48"/>
    </row>
    <row r="6058" spans="10:10" ht="18.75" customHeight="1" x14ac:dyDescent="0.25">
      <c r="J6058" s="48"/>
    </row>
    <row r="6059" spans="10:10" ht="18.75" customHeight="1" x14ac:dyDescent="0.25">
      <c r="J6059" s="48"/>
    </row>
    <row r="6060" spans="10:10" ht="18.75" customHeight="1" x14ac:dyDescent="0.25">
      <c r="J6060" s="48"/>
    </row>
    <row r="6061" spans="10:10" ht="18.75" customHeight="1" x14ac:dyDescent="0.25">
      <c r="J6061" s="48"/>
    </row>
    <row r="6062" spans="10:10" ht="18.75" customHeight="1" x14ac:dyDescent="0.25">
      <c r="J6062" s="48"/>
    </row>
    <row r="6063" spans="10:10" ht="18.75" customHeight="1" x14ac:dyDescent="0.25">
      <c r="J6063" s="48"/>
    </row>
    <row r="6064" spans="10:10" ht="18.75" customHeight="1" x14ac:dyDescent="0.25">
      <c r="J6064" s="48"/>
    </row>
    <row r="6065" spans="10:10" ht="18.75" customHeight="1" x14ac:dyDescent="0.25">
      <c r="J6065" s="48"/>
    </row>
    <row r="6066" spans="10:10" ht="18.75" customHeight="1" x14ac:dyDescent="0.25">
      <c r="J6066" s="48"/>
    </row>
    <row r="6067" spans="10:10" ht="18.75" customHeight="1" x14ac:dyDescent="0.25">
      <c r="J6067" s="48"/>
    </row>
    <row r="6068" spans="10:10" ht="18.75" customHeight="1" x14ac:dyDescent="0.25">
      <c r="J6068" s="48"/>
    </row>
    <row r="6069" spans="10:10" ht="18.75" customHeight="1" x14ac:dyDescent="0.25">
      <c r="J6069" s="48"/>
    </row>
    <row r="6070" spans="10:10" ht="18.75" customHeight="1" x14ac:dyDescent="0.25">
      <c r="J6070" s="48"/>
    </row>
    <row r="6071" spans="10:10" ht="18.75" customHeight="1" x14ac:dyDescent="0.25">
      <c r="J6071" s="48"/>
    </row>
    <row r="6072" spans="10:10" ht="18.75" customHeight="1" x14ac:dyDescent="0.25">
      <c r="J6072" s="48"/>
    </row>
    <row r="6073" spans="10:10" ht="18.75" customHeight="1" x14ac:dyDescent="0.25">
      <c r="J6073" s="48"/>
    </row>
    <row r="6074" spans="10:10" ht="18.75" customHeight="1" x14ac:dyDescent="0.25">
      <c r="J6074" s="48"/>
    </row>
    <row r="6075" spans="10:10" ht="18.75" customHeight="1" x14ac:dyDescent="0.25">
      <c r="J6075" s="48"/>
    </row>
    <row r="6076" spans="10:10" ht="18.75" customHeight="1" x14ac:dyDescent="0.25">
      <c r="J6076" s="48"/>
    </row>
    <row r="6077" spans="10:10" ht="18.75" customHeight="1" x14ac:dyDescent="0.25">
      <c r="J6077" s="48"/>
    </row>
    <row r="6078" spans="10:10" ht="18.75" customHeight="1" x14ac:dyDescent="0.25">
      <c r="J6078" s="48"/>
    </row>
    <row r="6079" spans="10:10" ht="18.75" customHeight="1" x14ac:dyDescent="0.25">
      <c r="J6079" s="48"/>
    </row>
    <row r="6080" spans="10:10" ht="18.75" customHeight="1" x14ac:dyDescent="0.25">
      <c r="J6080" s="48"/>
    </row>
    <row r="6081" spans="10:10" ht="18.75" customHeight="1" x14ac:dyDescent="0.25">
      <c r="J6081" s="48"/>
    </row>
    <row r="6082" spans="10:10" ht="18.75" customHeight="1" x14ac:dyDescent="0.25">
      <c r="J6082" s="48"/>
    </row>
    <row r="6083" spans="10:10" ht="18.75" customHeight="1" x14ac:dyDescent="0.25">
      <c r="J6083" s="48"/>
    </row>
    <row r="6084" spans="10:10" ht="18.75" customHeight="1" x14ac:dyDescent="0.25">
      <c r="J6084" s="48"/>
    </row>
    <row r="6085" spans="10:10" ht="18.75" customHeight="1" x14ac:dyDescent="0.25">
      <c r="J6085" s="48"/>
    </row>
    <row r="6086" spans="10:10" ht="18.75" customHeight="1" x14ac:dyDescent="0.25">
      <c r="J6086" s="48"/>
    </row>
    <row r="6087" spans="10:10" ht="18.75" customHeight="1" x14ac:dyDescent="0.25">
      <c r="J6087" s="48"/>
    </row>
    <row r="6088" spans="10:10" ht="18.75" customHeight="1" x14ac:dyDescent="0.25">
      <c r="J6088" s="48"/>
    </row>
    <row r="6089" spans="10:10" ht="18.75" customHeight="1" x14ac:dyDescent="0.25">
      <c r="J6089" s="48"/>
    </row>
    <row r="6090" spans="10:10" ht="18.75" customHeight="1" x14ac:dyDescent="0.25">
      <c r="J6090" s="48"/>
    </row>
    <row r="6091" spans="10:10" ht="18.75" customHeight="1" x14ac:dyDescent="0.25">
      <c r="J6091" s="48"/>
    </row>
    <row r="6092" spans="10:10" ht="18.75" customHeight="1" x14ac:dyDescent="0.25">
      <c r="J6092" s="48"/>
    </row>
    <row r="6093" spans="10:10" ht="18.75" customHeight="1" x14ac:dyDescent="0.25">
      <c r="J6093" s="48"/>
    </row>
    <row r="6094" spans="10:10" ht="18.75" customHeight="1" x14ac:dyDescent="0.25">
      <c r="J6094" s="48"/>
    </row>
    <row r="6095" spans="10:10" ht="18.75" customHeight="1" x14ac:dyDescent="0.25">
      <c r="J6095" s="48"/>
    </row>
    <row r="6096" spans="10:10" ht="18.75" customHeight="1" x14ac:dyDescent="0.25">
      <c r="J6096" s="48"/>
    </row>
    <row r="6097" spans="10:10" ht="18.75" customHeight="1" x14ac:dyDescent="0.25">
      <c r="J6097" s="48"/>
    </row>
    <row r="6098" spans="10:10" ht="18.75" customHeight="1" x14ac:dyDescent="0.25">
      <c r="J6098" s="48"/>
    </row>
    <row r="6099" spans="10:10" ht="18.75" customHeight="1" x14ac:dyDescent="0.25">
      <c r="J6099" s="48"/>
    </row>
    <row r="6100" spans="10:10" ht="18.75" customHeight="1" x14ac:dyDescent="0.25">
      <c r="J6100" s="48"/>
    </row>
    <row r="6101" spans="10:10" ht="18.75" customHeight="1" x14ac:dyDescent="0.25">
      <c r="J6101" s="48"/>
    </row>
    <row r="6102" spans="10:10" ht="18.75" customHeight="1" x14ac:dyDescent="0.25">
      <c r="J6102" s="48"/>
    </row>
    <row r="6103" spans="10:10" ht="18.75" customHeight="1" x14ac:dyDescent="0.25">
      <c r="J6103" s="48"/>
    </row>
    <row r="6104" spans="10:10" ht="18.75" customHeight="1" x14ac:dyDescent="0.25">
      <c r="J6104" s="48"/>
    </row>
    <row r="6105" spans="10:10" ht="18.75" customHeight="1" x14ac:dyDescent="0.25">
      <c r="J6105" s="48"/>
    </row>
    <row r="6106" spans="10:10" ht="18.75" customHeight="1" x14ac:dyDescent="0.25">
      <c r="J6106" s="48"/>
    </row>
    <row r="6107" spans="10:10" ht="18.75" customHeight="1" x14ac:dyDescent="0.25">
      <c r="J6107" s="48"/>
    </row>
    <row r="6108" spans="10:10" ht="18.75" customHeight="1" x14ac:dyDescent="0.25">
      <c r="J6108" s="48"/>
    </row>
    <row r="6109" spans="10:10" ht="18.75" customHeight="1" x14ac:dyDescent="0.25">
      <c r="J6109" s="48"/>
    </row>
    <row r="6110" spans="10:10" ht="18.75" customHeight="1" x14ac:dyDescent="0.25">
      <c r="J6110" s="48"/>
    </row>
    <row r="6111" spans="10:10" ht="18.75" customHeight="1" x14ac:dyDescent="0.25">
      <c r="J6111" s="48"/>
    </row>
    <row r="6112" spans="10:10" ht="18.75" customHeight="1" x14ac:dyDescent="0.25">
      <c r="J6112" s="48"/>
    </row>
    <row r="6113" spans="10:10" ht="18.75" customHeight="1" x14ac:dyDescent="0.25">
      <c r="J6113" s="48"/>
    </row>
    <row r="6114" spans="10:10" ht="18.75" customHeight="1" x14ac:dyDescent="0.25">
      <c r="J6114" s="48"/>
    </row>
    <row r="6115" spans="10:10" ht="18.75" customHeight="1" x14ac:dyDescent="0.25">
      <c r="J6115" s="48"/>
    </row>
    <row r="6116" spans="10:10" ht="18.75" customHeight="1" x14ac:dyDescent="0.25">
      <c r="J6116" s="48"/>
    </row>
    <row r="6117" spans="10:10" ht="18.75" customHeight="1" x14ac:dyDescent="0.25">
      <c r="J6117" s="48"/>
    </row>
    <row r="6118" spans="10:10" ht="18.75" customHeight="1" x14ac:dyDescent="0.25">
      <c r="J6118" s="48"/>
    </row>
    <row r="6119" spans="10:10" ht="18.75" customHeight="1" x14ac:dyDescent="0.25">
      <c r="J6119" s="48"/>
    </row>
    <row r="6120" spans="10:10" ht="18.75" customHeight="1" x14ac:dyDescent="0.25">
      <c r="J6120" s="48"/>
    </row>
    <row r="6121" spans="10:10" ht="18.75" customHeight="1" x14ac:dyDescent="0.25">
      <c r="J6121" s="48"/>
    </row>
    <row r="6122" spans="10:10" ht="18.75" customHeight="1" x14ac:dyDescent="0.25">
      <c r="J6122" s="48"/>
    </row>
    <row r="6123" spans="10:10" ht="18.75" customHeight="1" x14ac:dyDescent="0.25">
      <c r="J6123" s="48"/>
    </row>
    <row r="6124" spans="10:10" ht="18.75" customHeight="1" x14ac:dyDescent="0.25">
      <c r="J6124" s="48"/>
    </row>
    <row r="6125" spans="10:10" ht="18.75" customHeight="1" x14ac:dyDescent="0.25">
      <c r="J6125" s="48"/>
    </row>
    <row r="6126" spans="10:10" ht="18.75" customHeight="1" x14ac:dyDescent="0.25">
      <c r="J6126" s="48"/>
    </row>
    <row r="6127" spans="10:10" ht="18.75" customHeight="1" x14ac:dyDescent="0.25">
      <c r="J6127" s="48"/>
    </row>
    <row r="6128" spans="10:10" ht="18.75" customHeight="1" x14ac:dyDescent="0.25">
      <c r="J6128" s="48"/>
    </row>
    <row r="6129" spans="10:10" ht="18.75" customHeight="1" x14ac:dyDescent="0.25">
      <c r="J6129" s="48"/>
    </row>
    <row r="6130" spans="10:10" ht="18.75" customHeight="1" x14ac:dyDescent="0.25">
      <c r="J6130" s="48"/>
    </row>
    <row r="6131" spans="10:10" ht="18.75" customHeight="1" x14ac:dyDescent="0.25">
      <c r="J6131" s="48"/>
    </row>
    <row r="6132" spans="10:10" ht="18.75" customHeight="1" x14ac:dyDescent="0.25">
      <c r="J6132" s="48"/>
    </row>
    <row r="6133" spans="10:10" ht="18.75" customHeight="1" x14ac:dyDescent="0.25">
      <c r="J6133" s="48"/>
    </row>
    <row r="6134" spans="10:10" ht="18.75" customHeight="1" x14ac:dyDescent="0.25">
      <c r="J6134" s="48"/>
    </row>
    <row r="6135" spans="10:10" ht="18.75" customHeight="1" x14ac:dyDescent="0.25">
      <c r="J6135" s="48"/>
    </row>
    <row r="6136" spans="10:10" ht="18.75" customHeight="1" x14ac:dyDescent="0.25">
      <c r="J6136" s="48"/>
    </row>
    <row r="6137" spans="10:10" ht="18.75" customHeight="1" x14ac:dyDescent="0.25">
      <c r="J6137" s="48"/>
    </row>
    <row r="6138" spans="10:10" ht="18.75" customHeight="1" x14ac:dyDescent="0.25">
      <c r="J6138" s="48"/>
    </row>
    <row r="6139" spans="10:10" ht="18.75" customHeight="1" x14ac:dyDescent="0.25">
      <c r="J6139" s="48"/>
    </row>
    <row r="6140" spans="10:10" ht="18.75" customHeight="1" x14ac:dyDescent="0.25">
      <c r="J6140" s="48"/>
    </row>
    <row r="6141" spans="10:10" ht="18.75" customHeight="1" x14ac:dyDescent="0.25">
      <c r="J6141" s="48"/>
    </row>
    <row r="6142" spans="10:10" ht="18.75" customHeight="1" x14ac:dyDescent="0.25">
      <c r="J6142" s="48"/>
    </row>
    <row r="6143" spans="10:10" ht="18.75" customHeight="1" x14ac:dyDescent="0.25">
      <c r="J6143" s="48"/>
    </row>
    <row r="6144" spans="10:10" ht="18.75" customHeight="1" x14ac:dyDescent="0.25">
      <c r="J6144" s="48"/>
    </row>
    <row r="6145" spans="10:10" ht="18.75" customHeight="1" x14ac:dyDescent="0.25">
      <c r="J6145" s="48"/>
    </row>
    <row r="6146" spans="10:10" ht="18.75" customHeight="1" x14ac:dyDescent="0.25">
      <c r="J6146" s="48"/>
    </row>
    <row r="6147" spans="10:10" ht="18.75" customHeight="1" x14ac:dyDescent="0.25">
      <c r="J6147" s="48"/>
    </row>
    <row r="6148" spans="10:10" ht="18.75" customHeight="1" x14ac:dyDescent="0.25">
      <c r="J6148" s="48"/>
    </row>
    <row r="6149" spans="10:10" ht="18.75" customHeight="1" x14ac:dyDescent="0.25">
      <c r="J6149" s="48"/>
    </row>
    <row r="6150" spans="10:10" ht="18.75" customHeight="1" x14ac:dyDescent="0.25">
      <c r="J6150" s="48"/>
    </row>
    <row r="6151" spans="10:10" ht="18.75" customHeight="1" x14ac:dyDescent="0.25">
      <c r="J6151" s="48"/>
    </row>
    <row r="6152" spans="10:10" ht="18.75" customHeight="1" x14ac:dyDescent="0.25">
      <c r="J6152" s="48"/>
    </row>
    <row r="6153" spans="10:10" ht="18.75" customHeight="1" x14ac:dyDescent="0.25">
      <c r="J6153" s="48"/>
    </row>
    <row r="6154" spans="10:10" ht="18.75" customHeight="1" x14ac:dyDescent="0.25">
      <c r="J6154" s="48"/>
    </row>
    <row r="6155" spans="10:10" ht="18.75" customHeight="1" x14ac:dyDescent="0.25">
      <c r="J6155" s="48"/>
    </row>
    <row r="6156" spans="10:10" ht="18.75" customHeight="1" x14ac:dyDescent="0.25">
      <c r="J6156" s="48"/>
    </row>
    <row r="6157" spans="10:10" ht="18.75" customHeight="1" x14ac:dyDescent="0.25">
      <c r="J6157" s="48"/>
    </row>
    <row r="6158" spans="10:10" ht="18.75" customHeight="1" x14ac:dyDescent="0.25">
      <c r="J6158" s="48"/>
    </row>
    <row r="6159" spans="10:10" ht="18.75" customHeight="1" x14ac:dyDescent="0.25">
      <c r="J6159" s="48"/>
    </row>
    <row r="6160" spans="10:10" ht="18.75" customHeight="1" x14ac:dyDescent="0.25">
      <c r="J6160" s="48"/>
    </row>
    <row r="6161" spans="10:10" ht="18.75" customHeight="1" x14ac:dyDescent="0.25">
      <c r="J6161" s="48"/>
    </row>
    <row r="6162" spans="10:10" ht="18.75" customHeight="1" x14ac:dyDescent="0.25">
      <c r="J6162" s="48"/>
    </row>
    <row r="6163" spans="10:10" ht="18.75" customHeight="1" x14ac:dyDescent="0.25">
      <c r="J6163" s="48"/>
    </row>
    <row r="6164" spans="10:10" ht="18.75" customHeight="1" x14ac:dyDescent="0.25">
      <c r="J6164" s="48"/>
    </row>
    <row r="6165" spans="10:10" ht="18.75" customHeight="1" x14ac:dyDescent="0.25">
      <c r="J6165" s="48"/>
    </row>
    <row r="6166" spans="10:10" ht="18.75" customHeight="1" x14ac:dyDescent="0.25">
      <c r="J6166" s="48"/>
    </row>
    <row r="6167" spans="10:10" ht="18.75" customHeight="1" x14ac:dyDescent="0.25">
      <c r="J6167" s="48"/>
    </row>
    <row r="6168" spans="10:10" ht="18.75" customHeight="1" x14ac:dyDescent="0.25">
      <c r="J6168" s="48"/>
    </row>
    <row r="6169" spans="10:10" ht="18.75" customHeight="1" x14ac:dyDescent="0.25">
      <c r="J6169" s="48"/>
    </row>
    <row r="6170" spans="10:10" ht="18.75" customHeight="1" x14ac:dyDescent="0.25">
      <c r="J6170" s="48"/>
    </row>
    <row r="6171" spans="10:10" ht="18.75" customHeight="1" x14ac:dyDescent="0.25">
      <c r="J6171" s="48"/>
    </row>
    <row r="6172" spans="10:10" ht="18.75" customHeight="1" x14ac:dyDescent="0.25">
      <c r="J6172" s="48"/>
    </row>
    <row r="6173" spans="10:10" ht="18.75" customHeight="1" x14ac:dyDescent="0.25">
      <c r="J6173" s="48"/>
    </row>
    <row r="6174" spans="10:10" ht="18.75" customHeight="1" x14ac:dyDescent="0.25">
      <c r="J6174" s="48"/>
    </row>
    <row r="6175" spans="10:10" ht="18.75" customHeight="1" x14ac:dyDescent="0.25">
      <c r="J6175" s="48"/>
    </row>
    <row r="6176" spans="10:10" ht="18.75" customHeight="1" x14ac:dyDescent="0.25">
      <c r="J6176" s="48"/>
    </row>
    <row r="6177" spans="10:10" ht="18.75" customHeight="1" x14ac:dyDescent="0.25">
      <c r="J6177" s="48"/>
    </row>
    <row r="6178" spans="10:10" ht="18.75" customHeight="1" x14ac:dyDescent="0.25">
      <c r="J6178" s="48"/>
    </row>
    <row r="6179" spans="10:10" ht="18.75" customHeight="1" x14ac:dyDescent="0.25">
      <c r="J6179" s="48"/>
    </row>
    <row r="6180" spans="10:10" ht="18.75" customHeight="1" x14ac:dyDescent="0.25">
      <c r="J6180" s="48"/>
    </row>
    <row r="6181" spans="10:10" ht="18.75" customHeight="1" x14ac:dyDescent="0.25">
      <c r="J6181" s="48"/>
    </row>
    <row r="6182" spans="10:10" ht="18.75" customHeight="1" x14ac:dyDescent="0.25">
      <c r="J6182" s="48"/>
    </row>
    <row r="6183" spans="10:10" ht="18.75" customHeight="1" x14ac:dyDescent="0.25">
      <c r="J6183" s="48"/>
    </row>
    <row r="6184" spans="10:10" ht="18.75" customHeight="1" x14ac:dyDescent="0.25">
      <c r="J6184" s="48"/>
    </row>
    <row r="6185" spans="10:10" ht="18.75" customHeight="1" x14ac:dyDescent="0.25">
      <c r="J6185" s="48"/>
    </row>
    <row r="6186" spans="10:10" ht="18.75" customHeight="1" x14ac:dyDescent="0.25">
      <c r="J6186" s="48"/>
    </row>
    <row r="6187" spans="10:10" ht="18.75" customHeight="1" x14ac:dyDescent="0.25">
      <c r="J6187" s="48"/>
    </row>
    <row r="6188" spans="10:10" ht="18.75" customHeight="1" x14ac:dyDescent="0.25">
      <c r="J6188" s="48"/>
    </row>
    <row r="6189" spans="10:10" ht="18.75" customHeight="1" x14ac:dyDescent="0.25">
      <c r="J6189" s="48"/>
    </row>
    <row r="6190" spans="10:10" ht="18.75" customHeight="1" x14ac:dyDescent="0.25">
      <c r="J6190" s="48"/>
    </row>
    <row r="6191" spans="10:10" ht="18.75" customHeight="1" x14ac:dyDescent="0.25">
      <c r="J6191" s="48"/>
    </row>
    <row r="6192" spans="10:10" ht="18.75" customHeight="1" x14ac:dyDescent="0.25">
      <c r="J6192" s="48"/>
    </row>
    <row r="6193" spans="10:10" ht="18.75" customHeight="1" x14ac:dyDescent="0.25">
      <c r="J6193" s="48"/>
    </row>
    <row r="6194" spans="10:10" ht="18.75" customHeight="1" x14ac:dyDescent="0.25">
      <c r="J6194" s="48"/>
    </row>
    <row r="6195" spans="10:10" ht="18.75" customHeight="1" x14ac:dyDescent="0.25">
      <c r="J6195" s="48"/>
    </row>
    <row r="6196" spans="10:10" ht="18.75" customHeight="1" x14ac:dyDescent="0.25">
      <c r="J6196" s="48"/>
    </row>
    <row r="6197" spans="10:10" ht="18.75" customHeight="1" x14ac:dyDescent="0.25">
      <c r="J6197" s="48"/>
    </row>
    <row r="6198" spans="10:10" ht="18.75" customHeight="1" x14ac:dyDescent="0.25">
      <c r="J6198" s="48"/>
    </row>
    <row r="6199" spans="10:10" ht="18.75" customHeight="1" x14ac:dyDescent="0.25">
      <c r="J6199" s="48"/>
    </row>
    <row r="6200" spans="10:10" ht="18.75" customHeight="1" x14ac:dyDescent="0.25">
      <c r="J6200" s="48"/>
    </row>
    <row r="6201" spans="10:10" ht="18.75" customHeight="1" x14ac:dyDescent="0.25">
      <c r="J6201" s="48"/>
    </row>
    <row r="6202" spans="10:10" ht="18.75" customHeight="1" x14ac:dyDescent="0.25">
      <c r="J6202" s="48"/>
    </row>
    <row r="6203" spans="10:10" ht="18.75" customHeight="1" x14ac:dyDescent="0.25">
      <c r="J6203" s="48"/>
    </row>
    <row r="6204" spans="10:10" ht="18.75" customHeight="1" x14ac:dyDescent="0.25">
      <c r="J6204" s="48"/>
    </row>
    <row r="6205" spans="10:10" ht="18.75" customHeight="1" x14ac:dyDescent="0.25">
      <c r="J6205" s="48"/>
    </row>
    <row r="6206" spans="10:10" ht="18.75" customHeight="1" x14ac:dyDescent="0.25">
      <c r="J6206" s="48"/>
    </row>
    <row r="6207" spans="10:10" ht="18.75" customHeight="1" x14ac:dyDescent="0.25">
      <c r="J6207" s="48"/>
    </row>
    <row r="6208" spans="10:10" ht="18.75" customHeight="1" x14ac:dyDescent="0.25">
      <c r="J6208" s="48"/>
    </row>
    <row r="6209" spans="10:10" ht="18.75" customHeight="1" x14ac:dyDescent="0.25">
      <c r="J6209" s="48"/>
    </row>
    <row r="6210" spans="10:10" ht="18.75" customHeight="1" x14ac:dyDescent="0.25">
      <c r="J6210" s="48"/>
    </row>
    <row r="6211" spans="10:10" ht="18.75" customHeight="1" x14ac:dyDescent="0.25">
      <c r="J6211" s="48"/>
    </row>
    <row r="6212" spans="10:10" ht="18.75" customHeight="1" x14ac:dyDescent="0.25">
      <c r="J6212" s="48"/>
    </row>
    <row r="6213" spans="10:10" ht="18.75" customHeight="1" x14ac:dyDescent="0.25">
      <c r="J6213" s="48"/>
    </row>
    <row r="6214" spans="10:10" ht="18.75" customHeight="1" x14ac:dyDescent="0.25">
      <c r="J6214" s="48"/>
    </row>
    <row r="6215" spans="10:10" ht="18.75" customHeight="1" x14ac:dyDescent="0.25">
      <c r="J6215" s="48"/>
    </row>
    <row r="6216" spans="10:10" ht="18.75" customHeight="1" x14ac:dyDescent="0.25">
      <c r="J6216" s="48"/>
    </row>
    <row r="6217" spans="10:10" ht="18.75" customHeight="1" x14ac:dyDescent="0.25">
      <c r="J6217" s="48"/>
    </row>
    <row r="6218" spans="10:10" ht="18.75" customHeight="1" x14ac:dyDescent="0.25">
      <c r="J6218" s="48"/>
    </row>
    <row r="6219" spans="10:10" ht="18.75" customHeight="1" x14ac:dyDescent="0.25">
      <c r="J6219" s="48"/>
    </row>
    <row r="6220" spans="10:10" ht="18.75" customHeight="1" x14ac:dyDescent="0.25">
      <c r="J6220" s="48"/>
    </row>
    <row r="6221" spans="10:10" ht="18.75" customHeight="1" x14ac:dyDescent="0.25">
      <c r="J6221" s="48"/>
    </row>
    <row r="6222" spans="10:10" ht="18.75" customHeight="1" x14ac:dyDescent="0.25">
      <c r="J6222" s="48"/>
    </row>
    <row r="6223" spans="10:10" ht="18.75" customHeight="1" x14ac:dyDescent="0.25">
      <c r="J6223" s="48"/>
    </row>
    <row r="6224" spans="10:10" ht="18.75" customHeight="1" x14ac:dyDescent="0.25">
      <c r="J6224" s="48"/>
    </row>
    <row r="6225" spans="10:10" ht="18.75" customHeight="1" x14ac:dyDescent="0.25">
      <c r="J6225" s="48"/>
    </row>
    <row r="6226" spans="10:10" ht="18.75" customHeight="1" x14ac:dyDescent="0.25">
      <c r="J6226" s="48"/>
    </row>
    <row r="6227" spans="10:10" ht="18.75" customHeight="1" x14ac:dyDescent="0.25">
      <c r="J6227" s="48"/>
    </row>
    <row r="6228" spans="10:10" ht="18.75" customHeight="1" x14ac:dyDescent="0.25">
      <c r="J6228" s="48"/>
    </row>
    <row r="6229" spans="10:10" ht="18.75" customHeight="1" x14ac:dyDescent="0.25">
      <c r="J6229" s="48"/>
    </row>
    <row r="6230" spans="10:10" ht="18.75" customHeight="1" x14ac:dyDescent="0.25">
      <c r="J6230" s="48"/>
    </row>
    <row r="6231" spans="10:10" ht="18.75" customHeight="1" x14ac:dyDescent="0.25">
      <c r="J6231" s="48"/>
    </row>
    <row r="6232" spans="10:10" ht="18.75" customHeight="1" x14ac:dyDescent="0.25">
      <c r="J6232" s="48"/>
    </row>
    <row r="6233" spans="10:10" ht="18.75" customHeight="1" x14ac:dyDescent="0.25">
      <c r="J6233" s="48"/>
    </row>
    <row r="6234" spans="10:10" ht="18.75" customHeight="1" x14ac:dyDescent="0.25">
      <c r="J6234" s="48"/>
    </row>
    <row r="6235" spans="10:10" ht="18.75" customHeight="1" x14ac:dyDescent="0.25">
      <c r="J6235" s="48"/>
    </row>
    <row r="6236" spans="10:10" ht="18.75" customHeight="1" x14ac:dyDescent="0.25">
      <c r="J6236" s="48"/>
    </row>
    <row r="6237" spans="10:10" ht="18.75" customHeight="1" x14ac:dyDescent="0.25">
      <c r="J6237" s="48"/>
    </row>
    <row r="6238" spans="10:10" ht="18.75" customHeight="1" x14ac:dyDescent="0.25">
      <c r="J6238" s="48"/>
    </row>
    <row r="6239" spans="10:10" ht="18.75" customHeight="1" x14ac:dyDescent="0.25">
      <c r="J6239" s="48"/>
    </row>
    <row r="6240" spans="10:10" ht="18.75" customHeight="1" x14ac:dyDescent="0.25">
      <c r="J6240" s="48"/>
    </row>
    <row r="6241" spans="10:10" ht="18.75" customHeight="1" x14ac:dyDescent="0.25">
      <c r="J6241" s="48"/>
    </row>
    <row r="6242" spans="10:10" ht="18.75" customHeight="1" x14ac:dyDescent="0.25">
      <c r="J6242" s="48"/>
    </row>
    <row r="6243" spans="10:10" ht="18.75" customHeight="1" x14ac:dyDescent="0.25">
      <c r="J6243" s="48"/>
    </row>
    <row r="6244" spans="10:10" ht="18.75" customHeight="1" x14ac:dyDescent="0.25">
      <c r="J6244" s="48"/>
    </row>
    <row r="6245" spans="10:10" ht="18.75" customHeight="1" x14ac:dyDescent="0.25">
      <c r="J6245" s="48"/>
    </row>
    <row r="6246" spans="10:10" ht="18.75" customHeight="1" x14ac:dyDescent="0.25">
      <c r="J6246" s="48"/>
    </row>
    <row r="6247" spans="10:10" ht="18.75" customHeight="1" x14ac:dyDescent="0.25">
      <c r="J6247" s="48"/>
    </row>
    <row r="6248" spans="10:10" ht="18.75" customHeight="1" x14ac:dyDescent="0.25">
      <c r="J6248" s="48"/>
    </row>
    <row r="6249" spans="10:10" ht="18.75" customHeight="1" x14ac:dyDescent="0.25">
      <c r="J6249" s="48"/>
    </row>
    <row r="6250" spans="10:10" ht="18.75" customHeight="1" x14ac:dyDescent="0.25">
      <c r="J6250" s="48"/>
    </row>
    <row r="6251" spans="10:10" ht="18.75" customHeight="1" x14ac:dyDescent="0.25">
      <c r="J6251" s="48"/>
    </row>
    <row r="6252" spans="10:10" ht="18.75" customHeight="1" x14ac:dyDescent="0.25">
      <c r="J6252" s="48"/>
    </row>
    <row r="6253" spans="10:10" ht="18.75" customHeight="1" x14ac:dyDescent="0.25">
      <c r="J6253" s="48"/>
    </row>
    <row r="6254" spans="10:10" ht="18.75" customHeight="1" x14ac:dyDescent="0.25">
      <c r="J6254" s="48"/>
    </row>
    <row r="6255" spans="10:10" ht="18.75" customHeight="1" x14ac:dyDescent="0.25">
      <c r="J6255" s="48"/>
    </row>
    <row r="6256" spans="10:10" ht="18.75" customHeight="1" x14ac:dyDescent="0.25">
      <c r="J6256" s="48"/>
    </row>
    <row r="6257" spans="10:10" ht="18.75" customHeight="1" x14ac:dyDescent="0.25">
      <c r="J6257" s="48"/>
    </row>
    <row r="6258" spans="10:10" ht="18.75" customHeight="1" x14ac:dyDescent="0.25">
      <c r="J6258" s="48"/>
    </row>
    <row r="6259" spans="10:10" ht="18.75" customHeight="1" x14ac:dyDescent="0.25">
      <c r="J6259" s="48"/>
    </row>
    <row r="6260" spans="10:10" ht="18.75" customHeight="1" x14ac:dyDescent="0.25">
      <c r="J6260" s="48"/>
    </row>
    <row r="6261" spans="10:10" ht="18.75" customHeight="1" x14ac:dyDescent="0.25">
      <c r="J6261" s="48"/>
    </row>
    <row r="6262" spans="10:10" ht="18.75" customHeight="1" x14ac:dyDescent="0.25">
      <c r="J6262" s="48"/>
    </row>
    <row r="6263" spans="10:10" ht="18.75" customHeight="1" x14ac:dyDescent="0.25">
      <c r="J6263" s="48"/>
    </row>
    <row r="6264" spans="10:10" ht="18.75" customHeight="1" x14ac:dyDescent="0.25">
      <c r="J6264" s="48"/>
    </row>
    <row r="6265" spans="10:10" ht="18.75" customHeight="1" x14ac:dyDescent="0.25">
      <c r="J6265" s="48"/>
    </row>
    <row r="6266" spans="10:10" ht="18.75" customHeight="1" x14ac:dyDescent="0.25">
      <c r="J6266" s="48"/>
    </row>
    <row r="6267" spans="10:10" ht="18.75" customHeight="1" x14ac:dyDescent="0.25">
      <c r="J6267" s="48"/>
    </row>
    <row r="6268" spans="10:10" ht="18.75" customHeight="1" x14ac:dyDescent="0.25">
      <c r="J6268" s="48"/>
    </row>
    <row r="6269" spans="10:10" ht="18.75" customHeight="1" x14ac:dyDescent="0.25">
      <c r="J6269" s="48"/>
    </row>
    <row r="6270" spans="10:10" ht="18.75" customHeight="1" x14ac:dyDescent="0.25">
      <c r="J6270" s="48"/>
    </row>
    <row r="6271" spans="10:10" ht="18.75" customHeight="1" x14ac:dyDescent="0.25">
      <c r="J6271" s="48"/>
    </row>
    <row r="6272" spans="10:10" ht="18.75" customHeight="1" x14ac:dyDescent="0.25">
      <c r="J6272" s="48"/>
    </row>
    <row r="6273" spans="10:10" ht="18.75" customHeight="1" x14ac:dyDescent="0.25">
      <c r="J6273" s="48"/>
    </row>
    <row r="6274" spans="10:10" ht="18.75" customHeight="1" x14ac:dyDescent="0.25">
      <c r="J6274" s="48"/>
    </row>
    <row r="6275" spans="10:10" ht="18.75" customHeight="1" x14ac:dyDescent="0.25">
      <c r="J6275" s="48"/>
    </row>
    <row r="6276" spans="10:10" ht="18.75" customHeight="1" x14ac:dyDescent="0.25">
      <c r="J6276" s="48"/>
    </row>
    <row r="6277" spans="10:10" ht="18.75" customHeight="1" x14ac:dyDescent="0.25">
      <c r="J6277" s="48"/>
    </row>
    <row r="6278" spans="10:10" ht="18.75" customHeight="1" x14ac:dyDescent="0.25">
      <c r="J6278" s="48"/>
    </row>
    <row r="6279" spans="10:10" ht="18.75" customHeight="1" x14ac:dyDescent="0.25">
      <c r="J6279" s="48"/>
    </row>
    <row r="6280" spans="10:10" ht="18.75" customHeight="1" x14ac:dyDescent="0.25">
      <c r="J6280" s="48"/>
    </row>
    <row r="6281" spans="10:10" ht="18.75" customHeight="1" x14ac:dyDescent="0.25">
      <c r="J6281" s="48"/>
    </row>
    <row r="6282" spans="10:10" ht="18.75" customHeight="1" x14ac:dyDescent="0.25">
      <c r="J6282" s="48"/>
    </row>
    <row r="6283" spans="10:10" ht="18.75" customHeight="1" x14ac:dyDescent="0.25">
      <c r="J6283" s="48"/>
    </row>
    <row r="6284" spans="10:10" ht="18.75" customHeight="1" x14ac:dyDescent="0.25">
      <c r="J6284" s="48"/>
    </row>
    <row r="6285" spans="10:10" ht="18.75" customHeight="1" x14ac:dyDescent="0.25">
      <c r="J6285" s="48"/>
    </row>
    <row r="6286" spans="10:10" ht="18.75" customHeight="1" x14ac:dyDescent="0.25">
      <c r="J6286" s="48"/>
    </row>
    <row r="6287" spans="10:10" ht="18.75" customHeight="1" x14ac:dyDescent="0.25">
      <c r="J6287" s="48"/>
    </row>
    <row r="6288" spans="10:10" ht="18.75" customHeight="1" x14ac:dyDescent="0.25">
      <c r="J6288" s="48"/>
    </row>
    <row r="6289" spans="10:10" ht="18.75" customHeight="1" x14ac:dyDescent="0.25">
      <c r="J6289" s="48"/>
    </row>
    <row r="6290" spans="10:10" ht="18.75" customHeight="1" x14ac:dyDescent="0.25">
      <c r="J6290" s="48"/>
    </row>
    <row r="6291" spans="10:10" ht="18.75" customHeight="1" x14ac:dyDescent="0.25">
      <c r="J6291" s="48"/>
    </row>
    <row r="6292" spans="10:10" ht="18.75" customHeight="1" x14ac:dyDescent="0.25">
      <c r="J6292" s="48"/>
    </row>
    <row r="6293" spans="10:10" ht="18.75" customHeight="1" x14ac:dyDescent="0.25">
      <c r="J6293" s="48"/>
    </row>
    <row r="6294" spans="10:10" ht="18.75" customHeight="1" x14ac:dyDescent="0.25">
      <c r="J6294" s="48"/>
    </row>
    <row r="6295" spans="10:10" ht="18.75" customHeight="1" x14ac:dyDescent="0.25">
      <c r="J6295" s="48"/>
    </row>
    <row r="6296" spans="10:10" ht="18.75" customHeight="1" x14ac:dyDescent="0.25">
      <c r="J6296" s="48"/>
    </row>
    <row r="6297" spans="10:10" ht="18.75" customHeight="1" x14ac:dyDescent="0.25">
      <c r="J6297" s="48"/>
    </row>
    <row r="6298" spans="10:10" ht="18.75" customHeight="1" x14ac:dyDescent="0.25">
      <c r="J6298" s="48"/>
    </row>
    <row r="6299" spans="10:10" ht="18.75" customHeight="1" x14ac:dyDescent="0.25">
      <c r="J6299" s="48"/>
    </row>
    <row r="6300" spans="10:10" ht="18.75" customHeight="1" x14ac:dyDescent="0.25">
      <c r="J6300" s="48"/>
    </row>
    <row r="6301" spans="10:10" ht="18.75" customHeight="1" x14ac:dyDescent="0.25">
      <c r="J6301" s="48"/>
    </row>
    <row r="6302" spans="10:10" ht="18.75" customHeight="1" x14ac:dyDescent="0.25">
      <c r="J6302" s="48"/>
    </row>
    <row r="6303" spans="10:10" ht="18.75" customHeight="1" x14ac:dyDescent="0.25">
      <c r="J6303" s="48"/>
    </row>
    <row r="6304" spans="10:10" ht="18.75" customHeight="1" x14ac:dyDescent="0.25">
      <c r="J6304" s="48"/>
    </row>
    <row r="6305" spans="10:10" ht="18.75" customHeight="1" x14ac:dyDescent="0.25">
      <c r="J6305" s="48"/>
    </row>
    <row r="6306" spans="10:10" ht="18.75" customHeight="1" x14ac:dyDescent="0.25">
      <c r="J6306" s="48"/>
    </row>
    <row r="6307" spans="10:10" ht="18.75" customHeight="1" x14ac:dyDescent="0.25">
      <c r="J6307" s="48"/>
    </row>
    <row r="6308" spans="10:10" ht="18.75" customHeight="1" x14ac:dyDescent="0.25">
      <c r="J6308" s="48"/>
    </row>
    <row r="6309" spans="10:10" ht="18.75" customHeight="1" x14ac:dyDescent="0.25">
      <c r="J6309" s="48"/>
    </row>
    <row r="6310" spans="10:10" ht="18.75" customHeight="1" x14ac:dyDescent="0.25">
      <c r="J6310" s="48"/>
    </row>
    <row r="6311" spans="10:10" ht="18.75" customHeight="1" x14ac:dyDescent="0.25">
      <c r="J6311" s="48"/>
    </row>
    <row r="6312" spans="10:10" ht="18.75" customHeight="1" x14ac:dyDescent="0.25">
      <c r="J6312" s="48"/>
    </row>
    <row r="6313" spans="10:10" ht="18.75" customHeight="1" x14ac:dyDescent="0.25">
      <c r="J6313" s="48"/>
    </row>
    <row r="6314" spans="10:10" ht="18.75" customHeight="1" x14ac:dyDescent="0.25">
      <c r="J6314" s="48"/>
    </row>
    <row r="6315" spans="10:10" ht="18.75" customHeight="1" x14ac:dyDescent="0.25">
      <c r="J6315" s="48"/>
    </row>
    <row r="6316" spans="10:10" ht="18.75" customHeight="1" x14ac:dyDescent="0.25">
      <c r="J6316" s="48"/>
    </row>
    <row r="6317" spans="10:10" ht="18.75" customHeight="1" x14ac:dyDescent="0.25">
      <c r="J6317" s="48"/>
    </row>
    <row r="6318" spans="10:10" ht="18.75" customHeight="1" x14ac:dyDescent="0.25">
      <c r="J6318" s="48"/>
    </row>
    <row r="6319" spans="10:10" ht="18.75" customHeight="1" x14ac:dyDescent="0.25">
      <c r="J6319" s="48"/>
    </row>
    <row r="6320" spans="10:10" ht="18.75" customHeight="1" x14ac:dyDescent="0.25">
      <c r="J6320" s="48"/>
    </row>
    <row r="6321" spans="10:10" ht="18.75" customHeight="1" x14ac:dyDescent="0.25">
      <c r="J6321" s="48"/>
    </row>
    <row r="6322" spans="10:10" ht="18.75" customHeight="1" x14ac:dyDescent="0.25">
      <c r="J6322" s="48"/>
    </row>
    <row r="6323" spans="10:10" ht="18.75" customHeight="1" x14ac:dyDescent="0.25">
      <c r="J6323" s="48"/>
    </row>
    <row r="6324" spans="10:10" ht="18.75" customHeight="1" x14ac:dyDescent="0.25">
      <c r="J6324" s="48"/>
    </row>
    <row r="6325" spans="10:10" ht="18.75" customHeight="1" x14ac:dyDescent="0.25">
      <c r="J6325" s="48"/>
    </row>
    <row r="6326" spans="10:10" ht="18.75" customHeight="1" x14ac:dyDescent="0.25">
      <c r="J6326" s="48"/>
    </row>
    <row r="6327" spans="10:10" ht="18.75" customHeight="1" x14ac:dyDescent="0.25">
      <c r="J6327" s="48"/>
    </row>
    <row r="6328" spans="10:10" ht="18.75" customHeight="1" x14ac:dyDescent="0.25">
      <c r="J6328" s="48"/>
    </row>
    <row r="6329" spans="10:10" ht="18.75" customHeight="1" x14ac:dyDescent="0.25">
      <c r="J6329" s="48"/>
    </row>
    <row r="6330" spans="10:10" ht="18.75" customHeight="1" x14ac:dyDescent="0.25">
      <c r="J6330" s="48"/>
    </row>
    <row r="6331" spans="10:10" ht="18.75" customHeight="1" x14ac:dyDescent="0.25">
      <c r="J6331" s="48"/>
    </row>
    <row r="6332" spans="10:10" ht="18.75" customHeight="1" x14ac:dyDescent="0.25">
      <c r="J6332" s="48"/>
    </row>
    <row r="6333" spans="10:10" ht="18.75" customHeight="1" x14ac:dyDescent="0.25">
      <c r="J6333" s="48"/>
    </row>
    <row r="6334" spans="10:10" ht="18.75" customHeight="1" x14ac:dyDescent="0.25">
      <c r="J6334" s="48"/>
    </row>
    <row r="6335" spans="10:10" ht="18.75" customHeight="1" x14ac:dyDescent="0.25">
      <c r="J6335" s="48"/>
    </row>
    <row r="6336" spans="10:10" ht="18.75" customHeight="1" x14ac:dyDescent="0.25">
      <c r="J6336" s="48"/>
    </row>
    <row r="6337" spans="10:10" ht="18.75" customHeight="1" x14ac:dyDescent="0.25">
      <c r="J6337" s="48"/>
    </row>
    <row r="6338" spans="10:10" ht="18.75" customHeight="1" x14ac:dyDescent="0.25">
      <c r="J6338" s="48"/>
    </row>
    <row r="6339" spans="10:10" ht="18.75" customHeight="1" x14ac:dyDescent="0.25">
      <c r="J6339" s="48"/>
    </row>
    <row r="6340" spans="10:10" ht="18.75" customHeight="1" x14ac:dyDescent="0.25">
      <c r="J6340" s="48"/>
    </row>
    <row r="6341" spans="10:10" ht="18.75" customHeight="1" x14ac:dyDescent="0.25">
      <c r="J6341" s="48"/>
    </row>
    <row r="6342" spans="10:10" ht="18.75" customHeight="1" x14ac:dyDescent="0.25">
      <c r="J6342" s="48"/>
    </row>
    <row r="6343" spans="10:10" ht="18.75" customHeight="1" x14ac:dyDescent="0.25">
      <c r="J6343" s="48"/>
    </row>
    <row r="6344" spans="10:10" ht="18.75" customHeight="1" x14ac:dyDescent="0.25">
      <c r="J6344" s="48"/>
    </row>
    <row r="6345" spans="10:10" ht="18.75" customHeight="1" x14ac:dyDescent="0.25">
      <c r="J6345" s="48"/>
    </row>
    <row r="6346" spans="10:10" ht="18.75" customHeight="1" x14ac:dyDescent="0.25">
      <c r="J6346" s="48"/>
    </row>
    <row r="6347" spans="10:10" ht="18.75" customHeight="1" x14ac:dyDescent="0.25">
      <c r="J6347" s="48"/>
    </row>
    <row r="6348" spans="10:10" ht="18.75" customHeight="1" x14ac:dyDescent="0.25">
      <c r="J6348" s="48"/>
    </row>
    <row r="6349" spans="10:10" ht="18.75" customHeight="1" x14ac:dyDescent="0.25">
      <c r="J6349" s="48"/>
    </row>
    <row r="6350" spans="10:10" ht="18.75" customHeight="1" x14ac:dyDescent="0.25">
      <c r="J6350" s="48"/>
    </row>
    <row r="6351" spans="10:10" ht="18.75" customHeight="1" x14ac:dyDescent="0.25">
      <c r="J6351" s="48"/>
    </row>
    <row r="6352" spans="10:10" ht="18.75" customHeight="1" x14ac:dyDescent="0.25">
      <c r="J6352" s="48"/>
    </row>
    <row r="6353" spans="10:10" ht="18.75" customHeight="1" x14ac:dyDescent="0.25">
      <c r="J6353" s="48"/>
    </row>
    <row r="6354" spans="10:10" ht="18.75" customHeight="1" x14ac:dyDescent="0.25">
      <c r="J6354" s="48"/>
    </row>
    <row r="6355" spans="10:10" ht="18.75" customHeight="1" x14ac:dyDescent="0.25">
      <c r="J6355" s="48"/>
    </row>
    <row r="6356" spans="10:10" ht="18.75" customHeight="1" x14ac:dyDescent="0.25">
      <c r="J6356" s="48"/>
    </row>
    <row r="6357" spans="10:10" ht="18.75" customHeight="1" x14ac:dyDescent="0.25">
      <c r="J6357" s="48"/>
    </row>
    <row r="6358" spans="10:10" ht="18.75" customHeight="1" x14ac:dyDescent="0.25">
      <c r="J6358" s="48"/>
    </row>
    <row r="6359" spans="10:10" ht="18.75" customHeight="1" x14ac:dyDescent="0.25">
      <c r="J6359" s="48"/>
    </row>
    <row r="6360" spans="10:10" ht="18.75" customHeight="1" x14ac:dyDescent="0.25">
      <c r="J6360" s="48"/>
    </row>
    <row r="6361" spans="10:10" ht="18.75" customHeight="1" x14ac:dyDescent="0.25">
      <c r="J6361" s="48"/>
    </row>
    <row r="6362" spans="10:10" ht="18.75" customHeight="1" x14ac:dyDescent="0.25">
      <c r="J6362" s="48"/>
    </row>
    <row r="6363" spans="10:10" ht="18.75" customHeight="1" x14ac:dyDescent="0.25">
      <c r="J6363" s="48"/>
    </row>
    <row r="6364" spans="10:10" ht="18.75" customHeight="1" x14ac:dyDescent="0.25">
      <c r="J6364" s="48"/>
    </row>
    <row r="6365" spans="10:10" ht="18.75" customHeight="1" x14ac:dyDescent="0.25">
      <c r="J6365" s="48"/>
    </row>
    <row r="6366" spans="10:10" ht="18.75" customHeight="1" x14ac:dyDescent="0.25">
      <c r="J6366" s="48"/>
    </row>
    <row r="6367" spans="10:10" ht="18.75" customHeight="1" x14ac:dyDescent="0.25">
      <c r="J6367" s="48"/>
    </row>
    <row r="6368" spans="10:10" ht="18.75" customHeight="1" x14ac:dyDescent="0.25">
      <c r="J6368" s="48"/>
    </row>
    <row r="6369" spans="10:10" ht="18.75" customHeight="1" x14ac:dyDescent="0.25">
      <c r="J6369" s="48"/>
    </row>
    <row r="6370" spans="10:10" ht="18.75" customHeight="1" x14ac:dyDescent="0.25">
      <c r="J6370" s="48"/>
    </row>
    <row r="6371" spans="10:10" ht="18.75" customHeight="1" x14ac:dyDescent="0.25">
      <c r="J6371" s="48"/>
    </row>
    <row r="6372" spans="10:10" ht="18.75" customHeight="1" x14ac:dyDescent="0.25">
      <c r="J6372" s="48"/>
    </row>
    <row r="6373" spans="10:10" ht="18.75" customHeight="1" x14ac:dyDescent="0.25">
      <c r="J6373" s="48"/>
    </row>
    <row r="6374" spans="10:10" ht="18.75" customHeight="1" x14ac:dyDescent="0.25">
      <c r="J6374" s="48"/>
    </row>
    <row r="6375" spans="10:10" ht="18.75" customHeight="1" x14ac:dyDescent="0.25">
      <c r="J6375" s="48"/>
    </row>
    <row r="6376" spans="10:10" ht="18.75" customHeight="1" x14ac:dyDescent="0.25">
      <c r="J6376" s="48"/>
    </row>
    <row r="6377" spans="10:10" ht="18.75" customHeight="1" x14ac:dyDescent="0.25">
      <c r="J6377" s="48"/>
    </row>
    <row r="6378" spans="10:10" ht="18.75" customHeight="1" x14ac:dyDescent="0.25">
      <c r="J6378" s="48"/>
    </row>
    <row r="6379" spans="10:10" ht="18.75" customHeight="1" x14ac:dyDescent="0.25">
      <c r="J6379" s="48"/>
    </row>
    <row r="6380" spans="10:10" ht="18.75" customHeight="1" x14ac:dyDescent="0.25">
      <c r="J6380" s="48"/>
    </row>
    <row r="6381" spans="10:10" ht="18.75" customHeight="1" x14ac:dyDescent="0.25">
      <c r="J6381" s="48"/>
    </row>
    <row r="6382" spans="10:10" ht="18.75" customHeight="1" x14ac:dyDescent="0.25">
      <c r="J6382" s="48"/>
    </row>
    <row r="6383" spans="10:10" ht="18.75" customHeight="1" x14ac:dyDescent="0.25">
      <c r="J6383" s="48"/>
    </row>
    <row r="6384" spans="10:10" ht="18.75" customHeight="1" x14ac:dyDescent="0.25">
      <c r="J6384" s="48"/>
    </row>
    <row r="6385" spans="10:10" ht="18.75" customHeight="1" x14ac:dyDescent="0.25">
      <c r="J6385" s="48"/>
    </row>
    <row r="6386" spans="10:10" ht="18.75" customHeight="1" x14ac:dyDescent="0.25">
      <c r="J6386" s="48"/>
    </row>
    <row r="6387" spans="10:10" ht="18.75" customHeight="1" x14ac:dyDescent="0.25">
      <c r="J6387" s="48"/>
    </row>
    <row r="6388" spans="10:10" ht="18.75" customHeight="1" x14ac:dyDescent="0.25">
      <c r="J6388" s="48"/>
    </row>
    <row r="6389" spans="10:10" ht="18.75" customHeight="1" x14ac:dyDescent="0.25">
      <c r="J6389" s="48"/>
    </row>
    <row r="6390" spans="10:10" ht="18.75" customHeight="1" x14ac:dyDescent="0.25">
      <c r="J6390" s="48"/>
    </row>
    <row r="6391" spans="10:10" ht="18.75" customHeight="1" x14ac:dyDescent="0.25">
      <c r="J6391" s="48"/>
    </row>
    <row r="6392" spans="10:10" ht="18.75" customHeight="1" x14ac:dyDescent="0.25">
      <c r="J6392" s="48"/>
    </row>
    <row r="6393" spans="10:10" ht="18.75" customHeight="1" x14ac:dyDescent="0.25">
      <c r="J6393" s="48"/>
    </row>
    <row r="6394" spans="10:10" ht="18.75" customHeight="1" x14ac:dyDescent="0.25">
      <c r="J6394" s="48"/>
    </row>
    <row r="6395" spans="10:10" ht="18.75" customHeight="1" x14ac:dyDescent="0.25">
      <c r="J6395" s="48"/>
    </row>
    <row r="6396" spans="10:10" ht="18.75" customHeight="1" x14ac:dyDescent="0.25">
      <c r="J6396" s="48"/>
    </row>
    <row r="6397" spans="10:10" ht="18.75" customHeight="1" x14ac:dyDescent="0.25">
      <c r="J6397" s="48"/>
    </row>
    <row r="6398" spans="10:10" ht="18.75" customHeight="1" x14ac:dyDescent="0.25">
      <c r="J6398" s="48"/>
    </row>
    <row r="6399" spans="10:10" ht="18.75" customHeight="1" x14ac:dyDescent="0.25">
      <c r="J6399" s="48"/>
    </row>
    <row r="6400" spans="10:10" ht="18.75" customHeight="1" x14ac:dyDescent="0.25">
      <c r="J6400" s="48"/>
    </row>
    <row r="6401" spans="10:10" ht="18.75" customHeight="1" x14ac:dyDescent="0.25">
      <c r="J6401" s="48"/>
    </row>
    <row r="6402" spans="10:10" ht="18.75" customHeight="1" x14ac:dyDescent="0.25">
      <c r="J6402" s="48"/>
    </row>
    <row r="6403" spans="10:10" ht="18.75" customHeight="1" x14ac:dyDescent="0.25">
      <c r="J6403" s="48"/>
    </row>
    <row r="6404" spans="10:10" ht="18.75" customHeight="1" x14ac:dyDescent="0.25">
      <c r="J6404" s="48"/>
    </row>
    <row r="6405" spans="10:10" ht="18.75" customHeight="1" x14ac:dyDescent="0.25">
      <c r="J6405" s="48"/>
    </row>
    <row r="6406" spans="10:10" ht="18.75" customHeight="1" x14ac:dyDescent="0.25">
      <c r="J6406" s="48"/>
    </row>
    <row r="6407" spans="10:10" ht="18.75" customHeight="1" x14ac:dyDescent="0.25">
      <c r="J6407" s="48"/>
    </row>
    <row r="6408" spans="10:10" ht="18.75" customHeight="1" x14ac:dyDescent="0.25">
      <c r="J6408" s="48"/>
    </row>
    <row r="6409" spans="10:10" ht="18.75" customHeight="1" x14ac:dyDescent="0.25">
      <c r="J6409" s="48"/>
    </row>
    <row r="6410" spans="10:10" ht="18.75" customHeight="1" x14ac:dyDescent="0.25">
      <c r="J6410" s="48"/>
    </row>
    <row r="6411" spans="10:10" ht="18.75" customHeight="1" x14ac:dyDescent="0.25">
      <c r="J6411" s="48"/>
    </row>
    <row r="6412" spans="10:10" ht="18.75" customHeight="1" x14ac:dyDescent="0.25">
      <c r="J6412" s="48"/>
    </row>
    <row r="6413" spans="10:10" ht="18.75" customHeight="1" x14ac:dyDescent="0.25">
      <c r="J6413" s="48"/>
    </row>
    <row r="6414" spans="10:10" ht="18.75" customHeight="1" x14ac:dyDescent="0.25">
      <c r="J6414" s="48"/>
    </row>
    <row r="6415" spans="10:10" ht="18.75" customHeight="1" x14ac:dyDescent="0.25">
      <c r="J6415" s="48"/>
    </row>
    <row r="6416" spans="10:10" ht="18.75" customHeight="1" x14ac:dyDescent="0.25">
      <c r="J6416" s="48"/>
    </row>
    <row r="6417" spans="10:10" ht="18.75" customHeight="1" x14ac:dyDescent="0.25">
      <c r="J6417" s="48"/>
    </row>
    <row r="6418" spans="10:10" ht="18.75" customHeight="1" x14ac:dyDescent="0.25">
      <c r="J6418" s="48"/>
    </row>
    <row r="6419" spans="10:10" ht="18.75" customHeight="1" x14ac:dyDescent="0.25">
      <c r="J6419" s="48"/>
    </row>
    <row r="6420" spans="10:10" ht="18.75" customHeight="1" x14ac:dyDescent="0.25">
      <c r="J6420" s="48"/>
    </row>
    <row r="6421" spans="10:10" ht="18.75" customHeight="1" x14ac:dyDescent="0.25">
      <c r="J6421" s="48"/>
    </row>
    <row r="6422" spans="10:10" ht="18.75" customHeight="1" x14ac:dyDescent="0.25">
      <c r="J6422" s="48"/>
    </row>
    <row r="6423" spans="10:10" ht="18.75" customHeight="1" x14ac:dyDescent="0.25">
      <c r="J6423" s="48"/>
    </row>
    <row r="6424" spans="10:10" ht="18.75" customHeight="1" x14ac:dyDescent="0.25">
      <c r="J6424" s="48"/>
    </row>
    <row r="6425" spans="10:10" ht="18.75" customHeight="1" x14ac:dyDescent="0.25">
      <c r="J6425" s="48"/>
    </row>
    <row r="6426" spans="10:10" ht="18.75" customHeight="1" x14ac:dyDescent="0.25">
      <c r="J6426" s="48"/>
    </row>
    <row r="6427" spans="10:10" ht="18.75" customHeight="1" x14ac:dyDescent="0.25">
      <c r="J6427" s="48"/>
    </row>
    <row r="6428" spans="10:10" ht="18.75" customHeight="1" x14ac:dyDescent="0.25">
      <c r="J6428" s="48"/>
    </row>
    <row r="6429" spans="10:10" ht="18.75" customHeight="1" x14ac:dyDescent="0.25">
      <c r="J6429" s="48"/>
    </row>
    <row r="6430" spans="10:10" ht="18.75" customHeight="1" x14ac:dyDescent="0.25">
      <c r="J6430" s="48"/>
    </row>
    <row r="6431" spans="10:10" ht="18.75" customHeight="1" x14ac:dyDescent="0.25">
      <c r="J6431" s="48"/>
    </row>
    <row r="6432" spans="10:10" ht="18.75" customHeight="1" x14ac:dyDescent="0.25">
      <c r="J6432" s="48"/>
    </row>
    <row r="6433" spans="10:10" ht="18.75" customHeight="1" x14ac:dyDescent="0.25">
      <c r="J6433" s="48"/>
    </row>
    <row r="6434" spans="10:10" ht="18.75" customHeight="1" x14ac:dyDescent="0.25">
      <c r="J6434" s="48"/>
    </row>
    <row r="6435" spans="10:10" ht="18.75" customHeight="1" x14ac:dyDescent="0.25">
      <c r="J6435" s="48"/>
    </row>
    <row r="6436" spans="10:10" ht="18.75" customHeight="1" x14ac:dyDescent="0.25">
      <c r="J6436" s="48"/>
    </row>
    <row r="6437" spans="10:10" ht="18.75" customHeight="1" x14ac:dyDescent="0.25">
      <c r="J6437" s="48"/>
    </row>
    <row r="6438" spans="10:10" ht="18.75" customHeight="1" x14ac:dyDescent="0.25">
      <c r="J6438" s="48"/>
    </row>
    <row r="6439" spans="10:10" ht="18.75" customHeight="1" x14ac:dyDescent="0.25">
      <c r="J6439" s="48"/>
    </row>
    <row r="6440" spans="10:10" ht="18.75" customHeight="1" x14ac:dyDescent="0.25">
      <c r="J6440" s="48"/>
    </row>
    <row r="6441" spans="10:10" ht="18.75" customHeight="1" x14ac:dyDescent="0.25">
      <c r="J6441" s="48"/>
    </row>
    <row r="6442" spans="10:10" ht="18.75" customHeight="1" x14ac:dyDescent="0.25">
      <c r="J6442" s="48"/>
    </row>
    <row r="6443" spans="10:10" ht="18.75" customHeight="1" x14ac:dyDescent="0.25">
      <c r="J6443" s="48"/>
    </row>
    <row r="6444" spans="10:10" ht="18.75" customHeight="1" x14ac:dyDescent="0.25">
      <c r="J6444" s="48"/>
    </row>
    <row r="6445" spans="10:10" ht="18.75" customHeight="1" x14ac:dyDescent="0.25">
      <c r="J6445" s="48"/>
    </row>
    <row r="6446" spans="10:10" ht="18.75" customHeight="1" x14ac:dyDescent="0.25">
      <c r="J6446" s="48"/>
    </row>
    <row r="6447" spans="10:10" ht="18.75" customHeight="1" x14ac:dyDescent="0.25">
      <c r="J6447" s="48"/>
    </row>
    <row r="6448" spans="10:10" ht="18.75" customHeight="1" x14ac:dyDescent="0.25">
      <c r="J6448" s="48"/>
    </row>
    <row r="6449" spans="10:10" ht="18.75" customHeight="1" x14ac:dyDescent="0.25">
      <c r="J6449" s="48"/>
    </row>
    <row r="6450" spans="10:10" ht="18.75" customHeight="1" x14ac:dyDescent="0.25">
      <c r="J6450" s="48"/>
    </row>
    <row r="6451" spans="10:10" ht="18.75" customHeight="1" x14ac:dyDescent="0.25">
      <c r="J6451" s="48"/>
    </row>
    <row r="6452" spans="10:10" ht="18.75" customHeight="1" x14ac:dyDescent="0.25">
      <c r="J6452" s="48"/>
    </row>
    <row r="6453" spans="10:10" ht="18.75" customHeight="1" x14ac:dyDescent="0.25">
      <c r="J6453" s="48"/>
    </row>
    <row r="6454" spans="10:10" ht="18.75" customHeight="1" x14ac:dyDescent="0.25">
      <c r="J6454" s="48"/>
    </row>
    <row r="6455" spans="10:10" ht="18.75" customHeight="1" x14ac:dyDescent="0.25">
      <c r="J6455" s="48"/>
    </row>
    <row r="6456" spans="10:10" ht="18.75" customHeight="1" x14ac:dyDescent="0.25">
      <c r="J6456" s="48"/>
    </row>
    <row r="6457" spans="10:10" ht="18.75" customHeight="1" x14ac:dyDescent="0.25">
      <c r="J6457" s="48"/>
    </row>
    <row r="6458" spans="10:10" ht="18.75" customHeight="1" x14ac:dyDescent="0.25">
      <c r="J6458" s="48"/>
    </row>
    <row r="6459" spans="10:10" ht="18.75" customHeight="1" x14ac:dyDescent="0.25">
      <c r="J6459" s="48"/>
    </row>
    <row r="6460" spans="10:10" ht="18.75" customHeight="1" x14ac:dyDescent="0.25">
      <c r="J6460" s="48"/>
    </row>
    <row r="6461" spans="10:10" ht="18.75" customHeight="1" x14ac:dyDescent="0.25">
      <c r="J6461" s="48"/>
    </row>
    <row r="6462" spans="10:10" ht="18.75" customHeight="1" x14ac:dyDescent="0.25">
      <c r="J6462" s="48"/>
    </row>
    <row r="6463" spans="10:10" ht="18.75" customHeight="1" x14ac:dyDescent="0.25">
      <c r="J6463" s="48"/>
    </row>
    <row r="6464" spans="10:10" ht="18.75" customHeight="1" x14ac:dyDescent="0.25">
      <c r="J6464" s="48"/>
    </row>
    <row r="6465" spans="10:10" ht="18.75" customHeight="1" x14ac:dyDescent="0.25">
      <c r="J6465" s="48"/>
    </row>
    <row r="6466" spans="10:10" ht="18.75" customHeight="1" x14ac:dyDescent="0.25">
      <c r="J6466" s="48"/>
    </row>
    <row r="6467" spans="10:10" ht="18.75" customHeight="1" x14ac:dyDescent="0.25">
      <c r="J6467" s="48"/>
    </row>
    <row r="6468" spans="10:10" ht="18.75" customHeight="1" x14ac:dyDescent="0.25">
      <c r="J6468" s="48"/>
    </row>
    <row r="6469" spans="10:10" ht="18.75" customHeight="1" x14ac:dyDescent="0.25">
      <c r="J6469" s="48"/>
    </row>
    <row r="6470" spans="10:10" ht="18.75" customHeight="1" x14ac:dyDescent="0.25">
      <c r="J6470" s="48"/>
    </row>
    <row r="6471" spans="10:10" ht="18.75" customHeight="1" x14ac:dyDescent="0.25">
      <c r="J6471" s="48"/>
    </row>
    <row r="6472" spans="10:10" ht="18.75" customHeight="1" x14ac:dyDescent="0.25">
      <c r="J6472" s="48"/>
    </row>
    <row r="6473" spans="10:10" ht="18.75" customHeight="1" x14ac:dyDescent="0.25">
      <c r="J6473" s="48"/>
    </row>
    <row r="6474" spans="10:10" ht="18.75" customHeight="1" x14ac:dyDescent="0.25">
      <c r="J6474" s="48"/>
    </row>
    <row r="6475" spans="10:10" ht="18.75" customHeight="1" x14ac:dyDescent="0.25">
      <c r="J6475" s="48"/>
    </row>
    <row r="6476" spans="10:10" ht="18.75" customHeight="1" x14ac:dyDescent="0.25">
      <c r="J6476" s="48"/>
    </row>
    <row r="6477" spans="10:10" ht="18.75" customHeight="1" x14ac:dyDescent="0.25">
      <c r="J6477" s="48"/>
    </row>
    <row r="6478" spans="10:10" ht="18.75" customHeight="1" x14ac:dyDescent="0.25">
      <c r="J6478" s="48"/>
    </row>
    <row r="6479" spans="10:10" ht="18.75" customHeight="1" x14ac:dyDescent="0.25">
      <c r="J6479" s="48"/>
    </row>
    <row r="6480" spans="10:10" ht="18.75" customHeight="1" x14ac:dyDescent="0.25">
      <c r="J6480" s="48"/>
    </row>
    <row r="6481" spans="10:10" ht="18.75" customHeight="1" x14ac:dyDescent="0.25">
      <c r="J6481" s="48"/>
    </row>
    <row r="6482" spans="10:10" ht="18.75" customHeight="1" x14ac:dyDescent="0.25">
      <c r="J6482" s="48"/>
    </row>
    <row r="6483" spans="10:10" ht="18.75" customHeight="1" x14ac:dyDescent="0.25">
      <c r="J6483" s="48"/>
    </row>
    <row r="6484" spans="10:10" ht="18.75" customHeight="1" x14ac:dyDescent="0.25">
      <c r="J6484" s="48"/>
    </row>
    <row r="6485" spans="10:10" ht="18.75" customHeight="1" x14ac:dyDescent="0.25">
      <c r="J6485" s="48"/>
    </row>
    <row r="6486" spans="10:10" ht="18.75" customHeight="1" x14ac:dyDescent="0.25">
      <c r="J6486" s="48"/>
    </row>
    <row r="6487" spans="10:10" ht="18.75" customHeight="1" x14ac:dyDescent="0.25">
      <c r="J6487" s="48"/>
    </row>
    <row r="6488" spans="10:10" ht="18.75" customHeight="1" x14ac:dyDescent="0.25">
      <c r="J6488" s="48"/>
    </row>
    <row r="6489" spans="10:10" ht="18.75" customHeight="1" x14ac:dyDescent="0.25">
      <c r="J6489" s="48"/>
    </row>
    <row r="6490" spans="10:10" ht="18.75" customHeight="1" x14ac:dyDescent="0.25">
      <c r="J6490" s="48"/>
    </row>
    <row r="6491" spans="10:10" ht="18.75" customHeight="1" x14ac:dyDescent="0.25">
      <c r="J6491" s="48"/>
    </row>
    <row r="6492" spans="10:10" ht="18.75" customHeight="1" x14ac:dyDescent="0.25">
      <c r="J6492" s="48"/>
    </row>
    <row r="6493" spans="10:10" ht="18.75" customHeight="1" x14ac:dyDescent="0.25">
      <c r="J6493" s="48"/>
    </row>
    <row r="6494" spans="10:10" ht="18.75" customHeight="1" x14ac:dyDescent="0.25">
      <c r="J6494" s="48"/>
    </row>
    <row r="6495" spans="10:10" ht="18.75" customHeight="1" x14ac:dyDescent="0.25">
      <c r="J6495" s="48"/>
    </row>
    <row r="6496" spans="10:10" ht="18.75" customHeight="1" x14ac:dyDescent="0.25">
      <c r="J6496" s="48"/>
    </row>
    <row r="6497" spans="10:10" ht="18.75" customHeight="1" x14ac:dyDescent="0.25">
      <c r="J6497" s="48"/>
    </row>
    <row r="6498" spans="10:10" ht="18.75" customHeight="1" x14ac:dyDescent="0.25">
      <c r="J6498" s="48"/>
    </row>
    <row r="6499" spans="10:10" ht="18.75" customHeight="1" x14ac:dyDescent="0.25">
      <c r="J6499" s="48"/>
    </row>
    <row r="6500" spans="10:10" ht="18.75" customHeight="1" x14ac:dyDescent="0.25">
      <c r="J6500" s="48"/>
    </row>
    <row r="6501" spans="10:10" ht="18.75" customHeight="1" x14ac:dyDescent="0.25">
      <c r="J6501" s="48"/>
    </row>
    <row r="6502" spans="10:10" ht="18.75" customHeight="1" x14ac:dyDescent="0.25">
      <c r="J6502" s="48"/>
    </row>
    <row r="6503" spans="10:10" ht="18.75" customHeight="1" x14ac:dyDescent="0.25">
      <c r="J6503" s="48"/>
    </row>
    <row r="6504" spans="10:10" ht="18.75" customHeight="1" x14ac:dyDescent="0.25">
      <c r="J6504" s="48"/>
    </row>
    <row r="6505" spans="10:10" ht="18.75" customHeight="1" x14ac:dyDescent="0.25">
      <c r="J6505" s="48"/>
    </row>
    <row r="6506" spans="10:10" ht="18.75" customHeight="1" x14ac:dyDescent="0.25">
      <c r="J6506" s="48"/>
    </row>
    <row r="6507" spans="10:10" ht="18.75" customHeight="1" x14ac:dyDescent="0.25">
      <c r="J6507" s="48"/>
    </row>
    <row r="6508" spans="10:10" ht="18.75" customHeight="1" x14ac:dyDescent="0.25">
      <c r="J6508" s="48"/>
    </row>
    <row r="6509" spans="10:10" ht="18.75" customHeight="1" x14ac:dyDescent="0.25">
      <c r="J6509" s="48"/>
    </row>
    <row r="6510" spans="10:10" ht="18.75" customHeight="1" x14ac:dyDescent="0.25">
      <c r="J6510" s="48"/>
    </row>
    <row r="6511" spans="10:10" ht="18.75" customHeight="1" x14ac:dyDescent="0.25">
      <c r="J6511" s="48"/>
    </row>
    <row r="6512" spans="10:10" ht="18.75" customHeight="1" x14ac:dyDescent="0.25">
      <c r="J6512" s="48"/>
    </row>
    <row r="6513" spans="10:10" ht="18.75" customHeight="1" x14ac:dyDescent="0.25">
      <c r="J6513" s="48"/>
    </row>
    <row r="6514" spans="10:10" ht="18.75" customHeight="1" x14ac:dyDescent="0.25">
      <c r="J6514" s="48"/>
    </row>
    <row r="6515" spans="10:10" ht="18.75" customHeight="1" x14ac:dyDescent="0.25">
      <c r="J6515" s="48"/>
    </row>
    <row r="6516" spans="10:10" ht="18.75" customHeight="1" x14ac:dyDescent="0.25">
      <c r="J6516" s="48"/>
    </row>
    <row r="6517" spans="10:10" ht="18.75" customHeight="1" x14ac:dyDescent="0.25">
      <c r="J6517" s="48"/>
    </row>
    <row r="6518" spans="10:10" ht="18.75" customHeight="1" x14ac:dyDescent="0.25">
      <c r="J6518" s="48"/>
    </row>
    <row r="6519" spans="10:10" ht="18.75" customHeight="1" x14ac:dyDescent="0.25">
      <c r="J6519" s="48"/>
    </row>
    <row r="6520" spans="10:10" ht="18.75" customHeight="1" x14ac:dyDescent="0.25">
      <c r="J6520" s="48"/>
    </row>
    <row r="6521" spans="10:10" ht="18.75" customHeight="1" x14ac:dyDescent="0.25">
      <c r="J6521" s="48"/>
    </row>
    <row r="6522" spans="10:10" ht="18.75" customHeight="1" x14ac:dyDescent="0.25">
      <c r="J6522" s="48"/>
    </row>
    <row r="6523" spans="10:10" ht="18.75" customHeight="1" x14ac:dyDescent="0.25">
      <c r="J6523" s="48"/>
    </row>
    <row r="6524" spans="10:10" ht="18.75" customHeight="1" x14ac:dyDescent="0.25">
      <c r="J6524" s="48"/>
    </row>
    <row r="6525" spans="10:10" ht="18.75" customHeight="1" x14ac:dyDescent="0.25">
      <c r="J6525" s="48"/>
    </row>
    <row r="6526" spans="10:10" ht="18.75" customHeight="1" x14ac:dyDescent="0.25">
      <c r="J6526" s="48"/>
    </row>
    <row r="6527" spans="10:10" ht="18.75" customHeight="1" x14ac:dyDescent="0.25">
      <c r="J6527" s="48"/>
    </row>
    <row r="6528" spans="10:10" ht="18.75" customHeight="1" x14ac:dyDescent="0.25">
      <c r="J6528" s="48"/>
    </row>
    <row r="6529" spans="10:10" ht="18.75" customHeight="1" x14ac:dyDescent="0.25">
      <c r="J6529" s="48"/>
    </row>
    <row r="6530" spans="10:10" ht="18.75" customHeight="1" x14ac:dyDescent="0.25">
      <c r="J6530" s="48"/>
    </row>
    <row r="6531" spans="10:10" ht="18.75" customHeight="1" x14ac:dyDescent="0.25">
      <c r="J6531" s="48"/>
    </row>
    <row r="6532" spans="10:10" ht="18.75" customHeight="1" x14ac:dyDescent="0.25">
      <c r="J6532" s="48"/>
    </row>
    <row r="6533" spans="10:10" ht="18.75" customHeight="1" x14ac:dyDescent="0.25">
      <c r="J6533" s="48"/>
    </row>
    <row r="6534" spans="10:10" ht="18.75" customHeight="1" x14ac:dyDescent="0.25">
      <c r="J6534" s="48"/>
    </row>
    <row r="6535" spans="10:10" ht="18.75" customHeight="1" x14ac:dyDescent="0.25">
      <c r="J6535" s="48"/>
    </row>
    <row r="6536" spans="10:10" ht="18.75" customHeight="1" x14ac:dyDescent="0.25">
      <c r="J6536" s="48"/>
    </row>
    <row r="6537" spans="10:10" ht="18.75" customHeight="1" x14ac:dyDescent="0.25">
      <c r="J6537" s="48"/>
    </row>
    <row r="6538" spans="10:10" ht="18.75" customHeight="1" x14ac:dyDescent="0.25">
      <c r="J6538" s="48"/>
    </row>
    <row r="6539" spans="10:10" ht="18.75" customHeight="1" x14ac:dyDescent="0.25">
      <c r="J6539" s="48"/>
    </row>
    <row r="6540" spans="10:10" ht="18.75" customHeight="1" x14ac:dyDescent="0.25">
      <c r="J6540" s="48"/>
    </row>
    <row r="6541" spans="10:10" ht="18.75" customHeight="1" x14ac:dyDescent="0.25">
      <c r="J6541" s="48"/>
    </row>
    <row r="6542" spans="10:10" ht="18.75" customHeight="1" x14ac:dyDescent="0.25">
      <c r="J6542" s="48"/>
    </row>
    <row r="6543" spans="10:10" ht="18.75" customHeight="1" x14ac:dyDescent="0.25">
      <c r="J6543" s="48"/>
    </row>
    <row r="6544" spans="10:10" ht="18.75" customHeight="1" x14ac:dyDescent="0.25">
      <c r="J6544" s="48"/>
    </row>
    <row r="6545" spans="10:10" ht="18.75" customHeight="1" x14ac:dyDescent="0.25">
      <c r="J6545" s="48"/>
    </row>
    <row r="6546" spans="10:10" ht="18.75" customHeight="1" x14ac:dyDescent="0.25">
      <c r="J6546" s="48"/>
    </row>
    <row r="6547" spans="10:10" ht="18.75" customHeight="1" x14ac:dyDescent="0.25">
      <c r="J6547" s="48"/>
    </row>
    <row r="6548" spans="10:10" ht="18.75" customHeight="1" x14ac:dyDescent="0.25">
      <c r="J6548" s="48"/>
    </row>
    <row r="6549" spans="10:10" ht="18.75" customHeight="1" x14ac:dyDescent="0.25">
      <c r="J6549" s="48"/>
    </row>
    <row r="6550" spans="10:10" ht="18.75" customHeight="1" x14ac:dyDescent="0.25">
      <c r="J6550" s="48"/>
    </row>
    <row r="6551" spans="10:10" ht="18.75" customHeight="1" x14ac:dyDescent="0.25">
      <c r="J6551" s="48"/>
    </row>
    <row r="6552" spans="10:10" ht="18.75" customHeight="1" x14ac:dyDescent="0.25">
      <c r="J6552" s="48"/>
    </row>
    <row r="6553" spans="10:10" ht="18.75" customHeight="1" x14ac:dyDescent="0.25">
      <c r="J6553" s="48"/>
    </row>
    <row r="6554" spans="10:10" ht="18.75" customHeight="1" x14ac:dyDescent="0.25">
      <c r="J6554" s="48"/>
    </row>
    <row r="6555" spans="10:10" ht="18.75" customHeight="1" x14ac:dyDescent="0.25">
      <c r="J6555" s="48"/>
    </row>
    <row r="6556" spans="10:10" ht="18.75" customHeight="1" x14ac:dyDescent="0.25">
      <c r="J6556" s="48"/>
    </row>
    <row r="6557" spans="10:10" ht="18.75" customHeight="1" x14ac:dyDescent="0.25">
      <c r="J6557" s="48"/>
    </row>
    <row r="6558" spans="10:10" ht="18.75" customHeight="1" x14ac:dyDescent="0.25">
      <c r="J6558" s="48"/>
    </row>
    <row r="6559" spans="10:10" ht="18.75" customHeight="1" x14ac:dyDescent="0.25">
      <c r="J6559" s="48"/>
    </row>
    <row r="6560" spans="10:10" ht="18.75" customHeight="1" x14ac:dyDescent="0.25">
      <c r="J6560" s="48"/>
    </row>
    <row r="6561" spans="10:10" ht="18.75" customHeight="1" x14ac:dyDescent="0.25">
      <c r="J6561" s="48"/>
    </row>
    <row r="6562" spans="10:10" ht="18.75" customHeight="1" x14ac:dyDescent="0.25">
      <c r="J6562" s="48"/>
    </row>
    <row r="6563" spans="10:10" ht="18.75" customHeight="1" x14ac:dyDescent="0.25">
      <c r="J6563" s="48"/>
    </row>
    <row r="6564" spans="10:10" ht="18.75" customHeight="1" x14ac:dyDescent="0.25">
      <c r="J6564" s="48"/>
    </row>
    <row r="6565" spans="10:10" ht="18.75" customHeight="1" x14ac:dyDescent="0.25">
      <c r="J6565" s="48"/>
    </row>
    <row r="6566" spans="10:10" ht="18.75" customHeight="1" x14ac:dyDescent="0.25">
      <c r="J6566" s="48"/>
    </row>
    <row r="6567" spans="10:10" ht="18.75" customHeight="1" x14ac:dyDescent="0.25">
      <c r="J6567" s="48"/>
    </row>
    <row r="6568" spans="10:10" ht="18.75" customHeight="1" x14ac:dyDescent="0.25">
      <c r="J6568" s="48"/>
    </row>
    <row r="6569" spans="10:10" ht="18.75" customHeight="1" x14ac:dyDescent="0.25">
      <c r="J6569" s="48"/>
    </row>
    <row r="6570" spans="10:10" ht="18.75" customHeight="1" x14ac:dyDescent="0.25">
      <c r="J6570" s="48"/>
    </row>
    <row r="6571" spans="10:10" ht="18.75" customHeight="1" x14ac:dyDescent="0.25">
      <c r="J6571" s="48"/>
    </row>
    <row r="6572" spans="10:10" ht="18.75" customHeight="1" x14ac:dyDescent="0.25">
      <c r="J6572" s="48"/>
    </row>
    <row r="6573" spans="10:10" ht="18.75" customHeight="1" x14ac:dyDescent="0.25">
      <c r="J6573" s="48"/>
    </row>
    <row r="6574" spans="10:10" ht="18.75" customHeight="1" x14ac:dyDescent="0.25">
      <c r="J6574" s="48"/>
    </row>
    <row r="6575" spans="10:10" ht="18.75" customHeight="1" x14ac:dyDescent="0.25">
      <c r="J6575" s="48"/>
    </row>
    <row r="6576" spans="10:10" ht="18.75" customHeight="1" x14ac:dyDescent="0.25">
      <c r="J6576" s="48"/>
    </row>
    <row r="6577" spans="10:10" ht="18.75" customHeight="1" x14ac:dyDescent="0.25">
      <c r="J6577" s="48"/>
    </row>
    <row r="6578" spans="10:10" ht="18.75" customHeight="1" x14ac:dyDescent="0.25">
      <c r="J6578" s="48"/>
    </row>
    <row r="6579" spans="10:10" ht="18.75" customHeight="1" x14ac:dyDescent="0.25">
      <c r="J6579" s="48"/>
    </row>
    <row r="6580" spans="10:10" ht="18.75" customHeight="1" x14ac:dyDescent="0.25">
      <c r="J6580" s="48"/>
    </row>
    <row r="6581" spans="10:10" ht="18.75" customHeight="1" x14ac:dyDescent="0.25">
      <c r="J6581" s="48"/>
    </row>
    <row r="6582" spans="10:10" ht="18.75" customHeight="1" x14ac:dyDescent="0.25">
      <c r="J6582" s="48"/>
    </row>
    <row r="6583" spans="10:10" ht="18.75" customHeight="1" x14ac:dyDescent="0.25">
      <c r="J6583" s="48"/>
    </row>
    <row r="6584" spans="10:10" ht="18.75" customHeight="1" x14ac:dyDescent="0.25">
      <c r="J6584" s="48"/>
    </row>
    <row r="6585" spans="10:10" ht="18.75" customHeight="1" x14ac:dyDescent="0.25">
      <c r="J6585" s="48"/>
    </row>
    <row r="6586" spans="10:10" ht="18.75" customHeight="1" x14ac:dyDescent="0.25">
      <c r="J6586" s="48"/>
    </row>
    <row r="6587" spans="10:10" ht="18.75" customHeight="1" x14ac:dyDescent="0.25">
      <c r="J6587" s="48"/>
    </row>
    <row r="6588" spans="10:10" ht="18.75" customHeight="1" x14ac:dyDescent="0.25">
      <c r="J6588" s="48"/>
    </row>
    <row r="6589" spans="10:10" ht="18.75" customHeight="1" x14ac:dyDescent="0.25">
      <c r="J6589" s="48"/>
    </row>
    <row r="6590" spans="10:10" ht="18.75" customHeight="1" x14ac:dyDescent="0.25">
      <c r="J6590" s="48"/>
    </row>
    <row r="6591" spans="10:10" ht="18.75" customHeight="1" x14ac:dyDescent="0.25">
      <c r="J6591" s="48"/>
    </row>
    <row r="6592" spans="10:10" ht="18.75" customHeight="1" x14ac:dyDescent="0.25">
      <c r="J6592" s="48"/>
    </row>
    <row r="6593" spans="10:10" ht="18.75" customHeight="1" x14ac:dyDescent="0.25">
      <c r="J6593" s="48"/>
    </row>
    <row r="6594" spans="10:10" ht="18.75" customHeight="1" x14ac:dyDescent="0.25">
      <c r="J6594" s="48"/>
    </row>
    <row r="6595" spans="10:10" ht="18.75" customHeight="1" x14ac:dyDescent="0.25">
      <c r="J6595" s="48"/>
    </row>
    <row r="6596" spans="10:10" ht="18.75" customHeight="1" x14ac:dyDescent="0.25">
      <c r="J6596" s="48"/>
    </row>
    <row r="6597" spans="10:10" ht="18.75" customHeight="1" x14ac:dyDescent="0.25">
      <c r="J6597" s="48"/>
    </row>
    <row r="6598" spans="10:10" ht="18.75" customHeight="1" x14ac:dyDescent="0.25">
      <c r="J6598" s="48"/>
    </row>
    <row r="6599" spans="10:10" ht="18.75" customHeight="1" x14ac:dyDescent="0.25">
      <c r="J6599" s="48"/>
    </row>
    <row r="6600" spans="10:10" ht="18.75" customHeight="1" x14ac:dyDescent="0.25">
      <c r="J6600" s="48"/>
    </row>
    <row r="6601" spans="10:10" ht="18.75" customHeight="1" x14ac:dyDescent="0.25">
      <c r="J6601" s="48"/>
    </row>
    <row r="6602" spans="10:10" ht="18.75" customHeight="1" x14ac:dyDescent="0.25">
      <c r="J6602" s="48"/>
    </row>
    <row r="6603" spans="10:10" ht="18.75" customHeight="1" x14ac:dyDescent="0.25">
      <c r="J6603" s="48"/>
    </row>
    <row r="6604" spans="10:10" ht="18.75" customHeight="1" x14ac:dyDescent="0.25">
      <c r="J6604" s="48"/>
    </row>
    <row r="6605" spans="10:10" ht="18.75" customHeight="1" x14ac:dyDescent="0.25">
      <c r="J6605" s="48"/>
    </row>
    <row r="6606" spans="10:10" ht="18.75" customHeight="1" x14ac:dyDescent="0.25">
      <c r="J6606" s="48"/>
    </row>
    <row r="6607" spans="10:10" ht="18.75" customHeight="1" x14ac:dyDescent="0.25">
      <c r="J6607" s="48"/>
    </row>
    <row r="6608" spans="10:10" ht="18.75" customHeight="1" x14ac:dyDescent="0.25">
      <c r="J6608" s="48"/>
    </row>
    <row r="6609" spans="10:10" ht="18.75" customHeight="1" x14ac:dyDescent="0.25">
      <c r="J6609" s="48"/>
    </row>
    <row r="6610" spans="10:10" ht="18.75" customHeight="1" x14ac:dyDescent="0.25">
      <c r="J6610" s="48"/>
    </row>
    <row r="6611" spans="10:10" ht="18.75" customHeight="1" x14ac:dyDescent="0.25">
      <c r="J6611" s="48"/>
    </row>
    <row r="6612" spans="10:10" ht="18.75" customHeight="1" x14ac:dyDescent="0.25">
      <c r="J6612" s="48"/>
    </row>
    <row r="6613" spans="10:10" ht="18.75" customHeight="1" x14ac:dyDescent="0.25">
      <c r="J6613" s="48"/>
    </row>
    <row r="6614" spans="10:10" ht="18.75" customHeight="1" x14ac:dyDescent="0.25">
      <c r="J6614" s="48"/>
    </row>
    <row r="6615" spans="10:10" ht="18.75" customHeight="1" x14ac:dyDescent="0.25">
      <c r="J6615" s="48"/>
    </row>
    <row r="6616" spans="10:10" ht="18.75" customHeight="1" x14ac:dyDescent="0.25">
      <c r="J6616" s="48"/>
    </row>
    <row r="6617" spans="10:10" ht="18.75" customHeight="1" x14ac:dyDescent="0.25">
      <c r="J6617" s="48"/>
    </row>
    <row r="6618" spans="10:10" ht="18.75" customHeight="1" x14ac:dyDescent="0.25">
      <c r="J6618" s="48"/>
    </row>
    <row r="6619" spans="10:10" ht="18.75" customHeight="1" x14ac:dyDescent="0.25">
      <c r="J6619" s="48"/>
    </row>
    <row r="6620" spans="10:10" ht="18.75" customHeight="1" x14ac:dyDescent="0.25">
      <c r="J6620" s="48"/>
    </row>
    <row r="6621" spans="10:10" ht="18.75" customHeight="1" x14ac:dyDescent="0.25">
      <c r="J6621" s="48"/>
    </row>
    <row r="6622" spans="10:10" ht="18.75" customHeight="1" x14ac:dyDescent="0.25">
      <c r="J6622" s="48"/>
    </row>
    <row r="6623" spans="10:10" ht="18.75" customHeight="1" x14ac:dyDescent="0.25">
      <c r="J6623" s="48"/>
    </row>
    <row r="6624" spans="10:10" ht="18.75" customHeight="1" x14ac:dyDescent="0.25">
      <c r="J6624" s="48"/>
    </row>
    <row r="6625" spans="10:10" ht="18.75" customHeight="1" x14ac:dyDescent="0.25">
      <c r="J6625" s="48"/>
    </row>
    <row r="6626" spans="10:10" ht="18.75" customHeight="1" x14ac:dyDescent="0.25">
      <c r="J6626" s="48"/>
    </row>
    <row r="6627" spans="10:10" ht="18.75" customHeight="1" x14ac:dyDescent="0.25">
      <c r="J6627" s="48"/>
    </row>
    <row r="6628" spans="10:10" ht="18.75" customHeight="1" x14ac:dyDescent="0.25">
      <c r="J6628" s="48"/>
    </row>
    <row r="6629" spans="10:10" ht="18.75" customHeight="1" x14ac:dyDescent="0.25">
      <c r="J6629" s="48"/>
    </row>
    <row r="6630" spans="10:10" ht="18.75" customHeight="1" x14ac:dyDescent="0.25">
      <c r="J6630" s="48"/>
    </row>
    <row r="6631" spans="10:10" ht="18.75" customHeight="1" x14ac:dyDescent="0.25">
      <c r="J6631" s="48"/>
    </row>
    <row r="6632" spans="10:10" ht="18.75" customHeight="1" x14ac:dyDescent="0.25">
      <c r="J6632" s="48"/>
    </row>
    <row r="6633" spans="10:10" ht="18.75" customHeight="1" x14ac:dyDescent="0.25">
      <c r="J6633" s="48"/>
    </row>
    <row r="6634" spans="10:10" ht="18.75" customHeight="1" x14ac:dyDescent="0.25">
      <c r="J6634" s="48"/>
    </row>
    <row r="6635" spans="10:10" ht="18.75" customHeight="1" x14ac:dyDescent="0.25">
      <c r="J6635" s="48"/>
    </row>
    <row r="6636" spans="10:10" ht="18.75" customHeight="1" x14ac:dyDescent="0.25">
      <c r="J6636" s="48"/>
    </row>
    <row r="6637" spans="10:10" ht="18.75" customHeight="1" x14ac:dyDescent="0.25">
      <c r="J6637" s="48"/>
    </row>
    <row r="6638" spans="10:10" ht="18.75" customHeight="1" x14ac:dyDescent="0.25">
      <c r="J6638" s="48"/>
    </row>
    <row r="6639" spans="10:10" ht="18.75" customHeight="1" x14ac:dyDescent="0.25">
      <c r="J6639" s="48"/>
    </row>
    <row r="6640" spans="10:10" ht="18.75" customHeight="1" x14ac:dyDescent="0.25">
      <c r="J6640" s="48"/>
    </row>
    <row r="6641" spans="10:10" ht="18.75" customHeight="1" x14ac:dyDescent="0.25">
      <c r="J6641" s="48"/>
    </row>
    <row r="6642" spans="10:10" ht="18.75" customHeight="1" x14ac:dyDescent="0.25">
      <c r="J6642" s="48"/>
    </row>
    <row r="6643" spans="10:10" ht="18.75" customHeight="1" x14ac:dyDescent="0.25">
      <c r="J6643" s="48"/>
    </row>
    <row r="6644" spans="10:10" ht="18.75" customHeight="1" x14ac:dyDescent="0.25">
      <c r="J6644" s="48"/>
    </row>
    <row r="6645" spans="10:10" ht="18.75" customHeight="1" x14ac:dyDescent="0.25">
      <c r="J6645" s="48"/>
    </row>
    <row r="6646" spans="10:10" ht="18.75" customHeight="1" x14ac:dyDescent="0.25">
      <c r="J6646" s="48"/>
    </row>
    <row r="6647" spans="10:10" ht="18.75" customHeight="1" x14ac:dyDescent="0.25">
      <c r="J6647" s="48"/>
    </row>
    <row r="6648" spans="10:10" ht="18.75" customHeight="1" x14ac:dyDescent="0.25">
      <c r="J6648" s="48"/>
    </row>
    <row r="6649" spans="10:10" ht="18.75" customHeight="1" x14ac:dyDescent="0.25">
      <c r="J6649" s="48"/>
    </row>
    <row r="6650" spans="10:10" ht="18.75" customHeight="1" x14ac:dyDescent="0.25">
      <c r="J6650" s="48"/>
    </row>
    <row r="6651" spans="10:10" ht="18.75" customHeight="1" x14ac:dyDescent="0.25">
      <c r="J6651" s="48"/>
    </row>
    <row r="6652" spans="10:10" ht="18.75" customHeight="1" x14ac:dyDescent="0.25">
      <c r="J6652" s="48"/>
    </row>
    <row r="6653" spans="10:10" ht="18.75" customHeight="1" x14ac:dyDescent="0.25">
      <c r="J6653" s="48"/>
    </row>
    <row r="6654" spans="10:10" ht="18.75" customHeight="1" x14ac:dyDescent="0.25">
      <c r="J6654" s="48"/>
    </row>
    <row r="6655" spans="10:10" ht="18.75" customHeight="1" x14ac:dyDescent="0.25">
      <c r="J6655" s="48"/>
    </row>
    <row r="6656" spans="10:10" ht="18.75" customHeight="1" x14ac:dyDescent="0.25">
      <c r="J6656" s="48"/>
    </row>
    <row r="6657" spans="10:10" ht="18.75" customHeight="1" x14ac:dyDescent="0.25">
      <c r="J6657" s="48"/>
    </row>
    <row r="6658" spans="10:10" ht="18.75" customHeight="1" x14ac:dyDescent="0.25">
      <c r="J6658" s="48"/>
    </row>
    <row r="6659" spans="10:10" ht="18.75" customHeight="1" x14ac:dyDescent="0.25">
      <c r="J6659" s="48"/>
    </row>
    <row r="6660" spans="10:10" ht="18.75" customHeight="1" x14ac:dyDescent="0.25">
      <c r="J6660" s="48"/>
    </row>
    <row r="6661" spans="10:10" ht="18.75" customHeight="1" x14ac:dyDescent="0.25">
      <c r="J6661" s="48"/>
    </row>
    <row r="6662" spans="10:10" ht="18.75" customHeight="1" x14ac:dyDescent="0.25">
      <c r="J6662" s="48"/>
    </row>
    <row r="6663" spans="10:10" ht="18.75" customHeight="1" x14ac:dyDescent="0.25">
      <c r="J6663" s="48"/>
    </row>
    <row r="6664" spans="10:10" ht="18.75" customHeight="1" x14ac:dyDescent="0.25">
      <c r="J6664" s="48"/>
    </row>
    <row r="6665" spans="10:10" ht="18.75" customHeight="1" x14ac:dyDescent="0.25">
      <c r="J6665" s="48"/>
    </row>
    <row r="6666" spans="10:10" ht="18.75" customHeight="1" x14ac:dyDescent="0.25">
      <c r="J6666" s="48"/>
    </row>
    <row r="6667" spans="10:10" ht="18.75" customHeight="1" x14ac:dyDescent="0.25">
      <c r="J6667" s="48"/>
    </row>
    <row r="6668" spans="10:10" ht="18.75" customHeight="1" x14ac:dyDescent="0.25">
      <c r="J6668" s="48"/>
    </row>
    <row r="6669" spans="10:10" ht="18.75" customHeight="1" x14ac:dyDescent="0.25">
      <c r="J6669" s="48"/>
    </row>
    <row r="6670" spans="10:10" ht="18.75" customHeight="1" x14ac:dyDescent="0.25">
      <c r="J6670" s="48"/>
    </row>
    <row r="6671" spans="10:10" ht="18.75" customHeight="1" x14ac:dyDescent="0.25">
      <c r="J6671" s="48"/>
    </row>
    <row r="6672" spans="10:10" ht="18.75" customHeight="1" x14ac:dyDescent="0.25">
      <c r="J6672" s="48"/>
    </row>
    <row r="6673" spans="10:10" ht="18.75" customHeight="1" x14ac:dyDescent="0.25">
      <c r="J6673" s="48"/>
    </row>
    <row r="6674" spans="10:10" ht="18.75" customHeight="1" x14ac:dyDescent="0.25">
      <c r="J6674" s="48"/>
    </row>
    <row r="6675" spans="10:10" ht="18.75" customHeight="1" x14ac:dyDescent="0.25">
      <c r="J6675" s="48"/>
    </row>
    <row r="6676" spans="10:10" ht="18.75" customHeight="1" x14ac:dyDescent="0.25">
      <c r="J6676" s="48"/>
    </row>
    <row r="6677" spans="10:10" ht="18.75" customHeight="1" x14ac:dyDescent="0.25">
      <c r="J6677" s="48"/>
    </row>
    <row r="6678" spans="10:10" ht="18.75" customHeight="1" x14ac:dyDescent="0.25">
      <c r="J6678" s="48"/>
    </row>
    <row r="6679" spans="10:10" ht="18.75" customHeight="1" x14ac:dyDescent="0.25">
      <c r="J6679" s="48"/>
    </row>
    <row r="6680" spans="10:10" ht="18.75" customHeight="1" x14ac:dyDescent="0.25">
      <c r="J6680" s="48"/>
    </row>
    <row r="6681" spans="10:10" ht="18.75" customHeight="1" x14ac:dyDescent="0.25">
      <c r="J6681" s="48"/>
    </row>
    <row r="6682" spans="10:10" ht="18.75" customHeight="1" x14ac:dyDescent="0.25">
      <c r="J6682" s="48"/>
    </row>
    <row r="6683" spans="10:10" ht="18.75" customHeight="1" x14ac:dyDescent="0.25">
      <c r="J6683" s="48"/>
    </row>
    <row r="6684" spans="10:10" ht="18.75" customHeight="1" x14ac:dyDescent="0.25">
      <c r="J6684" s="48"/>
    </row>
    <row r="6685" spans="10:10" ht="18.75" customHeight="1" x14ac:dyDescent="0.25">
      <c r="J6685" s="48"/>
    </row>
    <row r="6686" spans="10:10" ht="18.75" customHeight="1" x14ac:dyDescent="0.25">
      <c r="J6686" s="48"/>
    </row>
    <row r="6687" spans="10:10" ht="18.75" customHeight="1" x14ac:dyDescent="0.25">
      <c r="J6687" s="48"/>
    </row>
    <row r="6688" spans="10:10" ht="18.75" customHeight="1" x14ac:dyDescent="0.25">
      <c r="J6688" s="48"/>
    </row>
    <row r="6689" spans="10:10" ht="18.75" customHeight="1" x14ac:dyDescent="0.25">
      <c r="J6689" s="48"/>
    </row>
    <row r="6690" spans="10:10" ht="18.75" customHeight="1" x14ac:dyDescent="0.25">
      <c r="J6690" s="48"/>
    </row>
    <row r="6691" spans="10:10" ht="18.75" customHeight="1" x14ac:dyDescent="0.25">
      <c r="J6691" s="48"/>
    </row>
    <row r="6692" spans="10:10" ht="18.75" customHeight="1" x14ac:dyDescent="0.25">
      <c r="J6692" s="48"/>
    </row>
    <row r="6693" spans="10:10" ht="18.75" customHeight="1" x14ac:dyDescent="0.25">
      <c r="J6693" s="48"/>
    </row>
    <row r="6694" spans="10:10" ht="18.75" customHeight="1" x14ac:dyDescent="0.25">
      <c r="J6694" s="48"/>
    </row>
    <row r="6695" spans="10:10" ht="18.75" customHeight="1" x14ac:dyDescent="0.25">
      <c r="J6695" s="48"/>
    </row>
    <row r="6696" spans="10:10" ht="18.75" customHeight="1" x14ac:dyDescent="0.25">
      <c r="J6696" s="48"/>
    </row>
    <row r="6697" spans="10:10" ht="18.75" customHeight="1" x14ac:dyDescent="0.25">
      <c r="J6697" s="48"/>
    </row>
    <row r="6698" spans="10:10" ht="18.75" customHeight="1" x14ac:dyDescent="0.25">
      <c r="J6698" s="48"/>
    </row>
    <row r="6699" spans="10:10" ht="18.75" customHeight="1" x14ac:dyDescent="0.25">
      <c r="J6699" s="48"/>
    </row>
    <row r="6700" spans="10:10" ht="18.75" customHeight="1" x14ac:dyDescent="0.25">
      <c r="J6700" s="48"/>
    </row>
    <row r="6701" spans="10:10" ht="18.75" customHeight="1" x14ac:dyDescent="0.25">
      <c r="J6701" s="48"/>
    </row>
    <row r="6702" spans="10:10" ht="18.75" customHeight="1" x14ac:dyDescent="0.25">
      <c r="J6702" s="48"/>
    </row>
    <row r="6703" spans="10:10" ht="18.75" customHeight="1" x14ac:dyDescent="0.25">
      <c r="J6703" s="48"/>
    </row>
    <row r="6704" spans="10:10" ht="18.75" customHeight="1" x14ac:dyDescent="0.25">
      <c r="J6704" s="48"/>
    </row>
    <row r="6705" spans="10:10" ht="18.75" customHeight="1" x14ac:dyDescent="0.25">
      <c r="J6705" s="48"/>
    </row>
    <row r="6706" spans="10:10" ht="18.75" customHeight="1" x14ac:dyDescent="0.25">
      <c r="J6706" s="48"/>
    </row>
    <row r="6707" spans="10:10" ht="18.75" customHeight="1" x14ac:dyDescent="0.25">
      <c r="J6707" s="48"/>
    </row>
    <row r="6708" spans="10:10" ht="18.75" customHeight="1" x14ac:dyDescent="0.25">
      <c r="J6708" s="48"/>
    </row>
    <row r="6709" spans="10:10" ht="18.75" customHeight="1" x14ac:dyDescent="0.25">
      <c r="J6709" s="48"/>
    </row>
    <row r="6710" spans="10:10" ht="18.75" customHeight="1" x14ac:dyDescent="0.25">
      <c r="J6710" s="48"/>
    </row>
    <row r="6711" spans="10:10" ht="18.75" customHeight="1" x14ac:dyDescent="0.25">
      <c r="J6711" s="48"/>
    </row>
    <row r="6712" spans="10:10" ht="18.75" customHeight="1" x14ac:dyDescent="0.25">
      <c r="J6712" s="48"/>
    </row>
    <row r="6713" spans="10:10" ht="18.75" customHeight="1" x14ac:dyDescent="0.25">
      <c r="J6713" s="48"/>
    </row>
    <row r="6714" spans="10:10" ht="18.75" customHeight="1" x14ac:dyDescent="0.25">
      <c r="J6714" s="48"/>
    </row>
    <row r="6715" spans="10:10" ht="18.75" customHeight="1" x14ac:dyDescent="0.25">
      <c r="J6715" s="48"/>
    </row>
    <row r="6716" spans="10:10" ht="18.75" customHeight="1" x14ac:dyDescent="0.25">
      <c r="J6716" s="48"/>
    </row>
    <row r="6717" spans="10:10" ht="18.75" customHeight="1" x14ac:dyDescent="0.25">
      <c r="J6717" s="48"/>
    </row>
    <row r="6718" spans="10:10" ht="18.75" customHeight="1" x14ac:dyDescent="0.25">
      <c r="J6718" s="48"/>
    </row>
    <row r="6719" spans="10:10" ht="18.75" customHeight="1" x14ac:dyDescent="0.25">
      <c r="J6719" s="48"/>
    </row>
    <row r="6720" spans="10:10" ht="18.75" customHeight="1" x14ac:dyDescent="0.25">
      <c r="J6720" s="48"/>
    </row>
    <row r="6721" spans="10:10" ht="18.75" customHeight="1" x14ac:dyDescent="0.25">
      <c r="J6721" s="48"/>
    </row>
    <row r="6722" spans="10:10" ht="18.75" customHeight="1" x14ac:dyDescent="0.25">
      <c r="J6722" s="48"/>
    </row>
    <row r="6723" spans="10:10" ht="18.75" customHeight="1" x14ac:dyDescent="0.25">
      <c r="J6723" s="48"/>
    </row>
    <row r="6724" spans="10:10" ht="18.75" customHeight="1" x14ac:dyDescent="0.25">
      <c r="J6724" s="48"/>
    </row>
    <row r="6725" spans="10:10" ht="18.75" customHeight="1" x14ac:dyDescent="0.25">
      <c r="J6725" s="48"/>
    </row>
    <row r="6726" spans="10:10" ht="18.75" customHeight="1" x14ac:dyDescent="0.25">
      <c r="J6726" s="48"/>
    </row>
    <row r="6727" spans="10:10" ht="18.75" customHeight="1" x14ac:dyDescent="0.25">
      <c r="J6727" s="48"/>
    </row>
    <row r="6728" spans="10:10" ht="18.75" customHeight="1" x14ac:dyDescent="0.25">
      <c r="J6728" s="48"/>
    </row>
    <row r="6729" spans="10:10" ht="18.75" customHeight="1" x14ac:dyDescent="0.25">
      <c r="J6729" s="48"/>
    </row>
    <row r="6730" spans="10:10" ht="18.75" customHeight="1" x14ac:dyDescent="0.25">
      <c r="J6730" s="48"/>
    </row>
    <row r="6731" spans="10:10" ht="18.75" customHeight="1" x14ac:dyDescent="0.25">
      <c r="J6731" s="48"/>
    </row>
    <row r="6732" spans="10:10" ht="18.75" customHeight="1" x14ac:dyDescent="0.25">
      <c r="J6732" s="48"/>
    </row>
    <row r="6733" spans="10:10" ht="18.75" customHeight="1" x14ac:dyDescent="0.25">
      <c r="J6733" s="48"/>
    </row>
    <row r="6734" spans="10:10" ht="18.75" customHeight="1" x14ac:dyDescent="0.25">
      <c r="J6734" s="48"/>
    </row>
    <row r="6735" spans="10:10" ht="18.75" customHeight="1" x14ac:dyDescent="0.25">
      <c r="J6735" s="48"/>
    </row>
    <row r="6736" spans="10:10" ht="18.75" customHeight="1" x14ac:dyDescent="0.25">
      <c r="J6736" s="48"/>
    </row>
    <row r="6737" spans="10:10" ht="18.75" customHeight="1" x14ac:dyDescent="0.25">
      <c r="J6737" s="48"/>
    </row>
    <row r="6738" spans="10:10" ht="18.75" customHeight="1" x14ac:dyDescent="0.25">
      <c r="J6738" s="48"/>
    </row>
    <row r="6739" spans="10:10" ht="18.75" customHeight="1" x14ac:dyDescent="0.25">
      <c r="J6739" s="48"/>
    </row>
    <row r="6740" spans="10:10" ht="18.75" customHeight="1" x14ac:dyDescent="0.25">
      <c r="J6740" s="48"/>
    </row>
    <row r="6741" spans="10:10" ht="18.75" customHeight="1" x14ac:dyDescent="0.25">
      <c r="J6741" s="48"/>
    </row>
    <row r="6742" spans="10:10" ht="18.75" customHeight="1" x14ac:dyDescent="0.25">
      <c r="J6742" s="48"/>
    </row>
    <row r="6743" spans="10:10" ht="18.75" customHeight="1" x14ac:dyDescent="0.25">
      <c r="J6743" s="48"/>
    </row>
    <row r="6744" spans="10:10" ht="18.75" customHeight="1" x14ac:dyDescent="0.25">
      <c r="J6744" s="48"/>
    </row>
    <row r="6745" spans="10:10" ht="18.75" customHeight="1" x14ac:dyDescent="0.25">
      <c r="J6745" s="48"/>
    </row>
    <row r="6746" spans="10:10" ht="18.75" customHeight="1" x14ac:dyDescent="0.25">
      <c r="J6746" s="48"/>
    </row>
    <row r="6747" spans="10:10" ht="18.75" customHeight="1" x14ac:dyDescent="0.25">
      <c r="J6747" s="48"/>
    </row>
    <row r="6748" spans="10:10" ht="18.75" customHeight="1" x14ac:dyDescent="0.25">
      <c r="J6748" s="48"/>
    </row>
    <row r="6749" spans="10:10" ht="18.75" customHeight="1" x14ac:dyDescent="0.25">
      <c r="J6749" s="48"/>
    </row>
    <row r="6750" spans="10:10" ht="18.75" customHeight="1" x14ac:dyDescent="0.25">
      <c r="J6750" s="48"/>
    </row>
    <row r="6751" spans="10:10" ht="18.75" customHeight="1" x14ac:dyDescent="0.25">
      <c r="J6751" s="48"/>
    </row>
    <row r="6752" spans="10:10" ht="18.75" customHeight="1" x14ac:dyDescent="0.25">
      <c r="J6752" s="48"/>
    </row>
    <row r="6753" spans="10:10" ht="18.75" customHeight="1" x14ac:dyDescent="0.25">
      <c r="J6753" s="48"/>
    </row>
    <row r="6754" spans="10:10" ht="18.75" customHeight="1" x14ac:dyDescent="0.25">
      <c r="J6754" s="48"/>
    </row>
    <row r="6755" spans="10:10" ht="18.75" customHeight="1" x14ac:dyDescent="0.25">
      <c r="J6755" s="48"/>
    </row>
    <row r="6756" spans="10:10" ht="18.75" customHeight="1" x14ac:dyDescent="0.25">
      <c r="J6756" s="48"/>
    </row>
    <row r="6757" spans="10:10" ht="18.75" customHeight="1" x14ac:dyDescent="0.25">
      <c r="J6757" s="48"/>
    </row>
    <row r="6758" spans="10:10" ht="18.75" customHeight="1" x14ac:dyDescent="0.25">
      <c r="J6758" s="48"/>
    </row>
    <row r="6759" spans="10:10" ht="18.75" customHeight="1" x14ac:dyDescent="0.25">
      <c r="J6759" s="48"/>
    </row>
    <row r="6760" spans="10:10" ht="18.75" customHeight="1" x14ac:dyDescent="0.25">
      <c r="J6760" s="48"/>
    </row>
    <row r="6761" spans="10:10" ht="18.75" customHeight="1" x14ac:dyDescent="0.25">
      <c r="J6761" s="48"/>
    </row>
    <row r="6762" spans="10:10" ht="18.75" customHeight="1" x14ac:dyDescent="0.25">
      <c r="J6762" s="48"/>
    </row>
    <row r="6763" spans="10:10" ht="18.75" customHeight="1" x14ac:dyDescent="0.25">
      <c r="J6763" s="48"/>
    </row>
    <row r="6764" spans="10:10" ht="18.75" customHeight="1" x14ac:dyDescent="0.25">
      <c r="J6764" s="48"/>
    </row>
    <row r="6765" spans="10:10" ht="18.75" customHeight="1" x14ac:dyDescent="0.25">
      <c r="J6765" s="48"/>
    </row>
    <row r="6766" spans="10:10" ht="18.75" customHeight="1" x14ac:dyDescent="0.25">
      <c r="J6766" s="48"/>
    </row>
    <row r="6767" spans="10:10" ht="18.75" customHeight="1" x14ac:dyDescent="0.25">
      <c r="J6767" s="48"/>
    </row>
    <row r="6768" spans="10:10" ht="18.75" customHeight="1" x14ac:dyDescent="0.25">
      <c r="J6768" s="48"/>
    </row>
    <row r="6769" spans="10:10" ht="18.75" customHeight="1" x14ac:dyDescent="0.25">
      <c r="J6769" s="48"/>
    </row>
    <row r="6770" spans="10:10" ht="18.75" customHeight="1" x14ac:dyDescent="0.25">
      <c r="J6770" s="48"/>
    </row>
    <row r="6771" spans="10:10" ht="18.75" customHeight="1" x14ac:dyDescent="0.25">
      <c r="J6771" s="48"/>
    </row>
    <row r="6772" spans="10:10" ht="18.75" customHeight="1" x14ac:dyDescent="0.25">
      <c r="J6772" s="48"/>
    </row>
    <row r="6773" spans="10:10" ht="18.75" customHeight="1" x14ac:dyDescent="0.25">
      <c r="J6773" s="48"/>
    </row>
    <row r="6774" spans="10:10" ht="18.75" customHeight="1" x14ac:dyDescent="0.25">
      <c r="J6774" s="48"/>
    </row>
    <row r="6775" spans="10:10" ht="18.75" customHeight="1" x14ac:dyDescent="0.25">
      <c r="J6775" s="48"/>
    </row>
    <row r="6776" spans="10:10" ht="18.75" customHeight="1" x14ac:dyDescent="0.25">
      <c r="J6776" s="48"/>
    </row>
    <row r="6777" spans="10:10" ht="18.75" customHeight="1" x14ac:dyDescent="0.25">
      <c r="J6777" s="48"/>
    </row>
    <row r="6778" spans="10:10" ht="18.75" customHeight="1" x14ac:dyDescent="0.25">
      <c r="J6778" s="48"/>
    </row>
    <row r="6779" spans="10:10" ht="18.75" customHeight="1" x14ac:dyDescent="0.25">
      <c r="J6779" s="48"/>
    </row>
    <row r="6780" spans="10:10" ht="18.75" customHeight="1" x14ac:dyDescent="0.25">
      <c r="J6780" s="48"/>
    </row>
    <row r="6781" spans="10:10" ht="18.75" customHeight="1" x14ac:dyDescent="0.25">
      <c r="J6781" s="48"/>
    </row>
    <row r="6782" spans="10:10" ht="18.75" customHeight="1" x14ac:dyDescent="0.25">
      <c r="J6782" s="48"/>
    </row>
    <row r="6783" spans="10:10" ht="18.75" customHeight="1" x14ac:dyDescent="0.25">
      <c r="J6783" s="48"/>
    </row>
    <row r="6784" spans="10:10" ht="18.75" customHeight="1" x14ac:dyDescent="0.25">
      <c r="J6784" s="48"/>
    </row>
    <row r="6785" spans="10:10" ht="18.75" customHeight="1" x14ac:dyDescent="0.25">
      <c r="J6785" s="48"/>
    </row>
    <row r="6786" spans="10:10" ht="18.75" customHeight="1" x14ac:dyDescent="0.25">
      <c r="J6786" s="48"/>
    </row>
    <row r="6787" spans="10:10" ht="18.75" customHeight="1" x14ac:dyDescent="0.25">
      <c r="J6787" s="48"/>
    </row>
    <row r="6788" spans="10:10" ht="18.75" customHeight="1" x14ac:dyDescent="0.25">
      <c r="J6788" s="48"/>
    </row>
    <row r="6789" spans="10:10" ht="18.75" customHeight="1" x14ac:dyDescent="0.25">
      <c r="J6789" s="48"/>
    </row>
    <row r="6790" spans="10:10" ht="18.75" customHeight="1" x14ac:dyDescent="0.25">
      <c r="J6790" s="48"/>
    </row>
    <row r="6791" spans="10:10" ht="18.75" customHeight="1" x14ac:dyDescent="0.25">
      <c r="J6791" s="48"/>
    </row>
    <row r="6792" spans="10:10" ht="18.75" customHeight="1" x14ac:dyDescent="0.25">
      <c r="J6792" s="48"/>
    </row>
    <row r="6793" spans="10:10" ht="18.75" customHeight="1" x14ac:dyDescent="0.25">
      <c r="J6793" s="48"/>
    </row>
    <row r="6794" spans="10:10" ht="18.75" customHeight="1" x14ac:dyDescent="0.25">
      <c r="J6794" s="48"/>
    </row>
    <row r="6795" spans="10:10" ht="18.75" customHeight="1" x14ac:dyDescent="0.25">
      <c r="J6795" s="48"/>
    </row>
    <row r="6796" spans="10:10" ht="18.75" customHeight="1" x14ac:dyDescent="0.25">
      <c r="J6796" s="48"/>
    </row>
    <row r="6797" spans="10:10" ht="18.75" customHeight="1" x14ac:dyDescent="0.25">
      <c r="J6797" s="48"/>
    </row>
    <row r="6798" spans="10:10" ht="18.75" customHeight="1" x14ac:dyDescent="0.25">
      <c r="J6798" s="48"/>
    </row>
    <row r="6799" spans="10:10" ht="18.75" customHeight="1" x14ac:dyDescent="0.25">
      <c r="J6799" s="48"/>
    </row>
    <row r="6800" spans="10:10" ht="18.75" customHeight="1" x14ac:dyDescent="0.25">
      <c r="J6800" s="48"/>
    </row>
    <row r="6801" spans="10:10" ht="18.75" customHeight="1" x14ac:dyDescent="0.25">
      <c r="J6801" s="48"/>
    </row>
    <row r="6802" spans="10:10" ht="18.75" customHeight="1" x14ac:dyDescent="0.25">
      <c r="J6802" s="48"/>
    </row>
    <row r="6803" spans="10:10" ht="18.75" customHeight="1" x14ac:dyDescent="0.25">
      <c r="J6803" s="48"/>
    </row>
    <row r="6804" spans="10:10" ht="18.75" customHeight="1" x14ac:dyDescent="0.25">
      <c r="J6804" s="48"/>
    </row>
    <row r="6805" spans="10:10" ht="18.75" customHeight="1" x14ac:dyDescent="0.25">
      <c r="J6805" s="48"/>
    </row>
    <row r="6806" spans="10:10" ht="18.75" customHeight="1" x14ac:dyDescent="0.25">
      <c r="J6806" s="48"/>
    </row>
    <row r="6807" spans="10:10" ht="18.75" customHeight="1" x14ac:dyDescent="0.25">
      <c r="J6807" s="48"/>
    </row>
    <row r="6808" spans="10:10" ht="18.75" customHeight="1" x14ac:dyDescent="0.25">
      <c r="J6808" s="48"/>
    </row>
    <row r="6809" spans="10:10" ht="18.75" customHeight="1" x14ac:dyDescent="0.25">
      <c r="J6809" s="48"/>
    </row>
    <row r="6810" spans="10:10" ht="18.75" customHeight="1" x14ac:dyDescent="0.25">
      <c r="J6810" s="48"/>
    </row>
    <row r="6811" spans="10:10" ht="18.75" customHeight="1" x14ac:dyDescent="0.25">
      <c r="J6811" s="48"/>
    </row>
    <row r="6812" spans="10:10" ht="18.75" customHeight="1" x14ac:dyDescent="0.25">
      <c r="J6812" s="48"/>
    </row>
    <row r="6813" spans="10:10" ht="18.75" customHeight="1" x14ac:dyDescent="0.25">
      <c r="J6813" s="48"/>
    </row>
    <row r="6814" spans="10:10" ht="18.75" customHeight="1" x14ac:dyDescent="0.25">
      <c r="J6814" s="48"/>
    </row>
    <row r="6815" spans="10:10" ht="18.75" customHeight="1" x14ac:dyDescent="0.25">
      <c r="J6815" s="48"/>
    </row>
    <row r="6816" spans="10:10" ht="18.75" customHeight="1" x14ac:dyDescent="0.25">
      <c r="J6816" s="48"/>
    </row>
    <row r="6817" spans="10:10" ht="18.75" customHeight="1" x14ac:dyDescent="0.25">
      <c r="J6817" s="48"/>
    </row>
    <row r="6818" spans="10:10" ht="18.75" customHeight="1" x14ac:dyDescent="0.25">
      <c r="J6818" s="48"/>
    </row>
    <row r="6819" spans="10:10" ht="18.75" customHeight="1" x14ac:dyDescent="0.25">
      <c r="J6819" s="48"/>
    </row>
    <row r="6820" spans="10:10" ht="18.75" customHeight="1" x14ac:dyDescent="0.25">
      <c r="J6820" s="48"/>
    </row>
    <row r="6821" spans="10:10" ht="18.75" customHeight="1" x14ac:dyDescent="0.25">
      <c r="J6821" s="48"/>
    </row>
    <row r="6822" spans="10:10" ht="18.75" customHeight="1" x14ac:dyDescent="0.25">
      <c r="J6822" s="48"/>
    </row>
    <row r="6823" spans="10:10" ht="18.75" customHeight="1" x14ac:dyDescent="0.25">
      <c r="J6823" s="48"/>
    </row>
    <row r="6824" spans="10:10" ht="18.75" customHeight="1" x14ac:dyDescent="0.25">
      <c r="J6824" s="48"/>
    </row>
    <row r="6825" spans="10:10" ht="18.75" customHeight="1" x14ac:dyDescent="0.25">
      <c r="J6825" s="48"/>
    </row>
    <row r="6826" spans="10:10" ht="18.75" customHeight="1" x14ac:dyDescent="0.25">
      <c r="J6826" s="48"/>
    </row>
    <row r="6827" spans="10:10" ht="18.75" customHeight="1" x14ac:dyDescent="0.25">
      <c r="J6827" s="48"/>
    </row>
    <row r="6828" spans="10:10" ht="18.75" customHeight="1" x14ac:dyDescent="0.25">
      <c r="J6828" s="48"/>
    </row>
    <row r="6829" spans="10:10" ht="18.75" customHeight="1" x14ac:dyDescent="0.25">
      <c r="J6829" s="48"/>
    </row>
    <row r="6830" spans="10:10" ht="18.75" customHeight="1" x14ac:dyDescent="0.25">
      <c r="J6830" s="48"/>
    </row>
    <row r="6831" spans="10:10" ht="18.75" customHeight="1" x14ac:dyDescent="0.25">
      <c r="J6831" s="48"/>
    </row>
    <row r="6832" spans="10:10" ht="18.75" customHeight="1" x14ac:dyDescent="0.25">
      <c r="J6832" s="48"/>
    </row>
    <row r="6833" spans="10:10" ht="18.75" customHeight="1" x14ac:dyDescent="0.25">
      <c r="J6833" s="48"/>
    </row>
    <row r="6834" spans="10:10" ht="18.75" customHeight="1" x14ac:dyDescent="0.25">
      <c r="J6834" s="48"/>
    </row>
    <row r="6835" spans="10:10" ht="18.75" customHeight="1" x14ac:dyDescent="0.25">
      <c r="J6835" s="48"/>
    </row>
    <row r="6836" spans="10:10" ht="18.75" customHeight="1" x14ac:dyDescent="0.25">
      <c r="J6836" s="48"/>
    </row>
    <row r="6837" spans="10:10" ht="18.75" customHeight="1" x14ac:dyDescent="0.25">
      <c r="J6837" s="48"/>
    </row>
    <row r="6838" spans="10:10" ht="18.75" customHeight="1" x14ac:dyDescent="0.25">
      <c r="J6838" s="48"/>
    </row>
    <row r="6839" spans="10:10" ht="18.75" customHeight="1" x14ac:dyDescent="0.25">
      <c r="J6839" s="48"/>
    </row>
    <row r="6840" spans="10:10" ht="18.75" customHeight="1" x14ac:dyDescent="0.25">
      <c r="J6840" s="48"/>
    </row>
    <row r="6841" spans="10:10" ht="18.75" customHeight="1" x14ac:dyDescent="0.25">
      <c r="J6841" s="48"/>
    </row>
    <row r="6842" spans="10:10" ht="18.75" customHeight="1" x14ac:dyDescent="0.25">
      <c r="J6842" s="48"/>
    </row>
    <row r="6843" spans="10:10" ht="18.75" customHeight="1" x14ac:dyDescent="0.25">
      <c r="J6843" s="48"/>
    </row>
    <row r="6844" spans="10:10" ht="18.75" customHeight="1" x14ac:dyDescent="0.25">
      <c r="J6844" s="48"/>
    </row>
    <row r="6845" spans="10:10" ht="18.75" customHeight="1" x14ac:dyDescent="0.25">
      <c r="J6845" s="48"/>
    </row>
    <row r="6846" spans="10:10" ht="18.75" customHeight="1" x14ac:dyDescent="0.25">
      <c r="J6846" s="48"/>
    </row>
    <row r="6847" spans="10:10" ht="18.75" customHeight="1" x14ac:dyDescent="0.25">
      <c r="J6847" s="48"/>
    </row>
    <row r="6848" spans="10:10" ht="18.75" customHeight="1" x14ac:dyDescent="0.25">
      <c r="J6848" s="48"/>
    </row>
    <row r="6849" spans="10:10" ht="18.75" customHeight="1" x14ac:dyDescent="0.25">
      <c r="J6849" s="48"/>
    </row>
    <row r="6850" spans="10:10" ht="18.75" customHeight="1" x14ac:dyDescent="0.25">
      <c r="J6850" s="48"/>
    </row>
    <row r="6851" spans="10:10" ht="18.75" customHeight="1" x14ac:dyDescent="0.25">
      <c r="J6851" s="48"/>
    </row>
    <row r="6852" spans="10:10" ht="18.75" customHeight="1" x14ac:dyDescent="0.25">
      <c r="J6852" s="48"/>
    </row>
    <row r="6853" spans="10:10" ht="18.75" customHeight="1" x14ac:dyDescent="0.25">
      <c r="J6853" s="48"/>
    </row>
    <row r="6854" spans="10:10" ht="18.75" customHeight="1" x14ac:dyDescent="0.25">
      <c r="J6854" s="48"/>
    </row>
    <row r="6855" spans="10:10" ht="18.75" customHeight="1" x14ac:dyDescent="0.25">
      <c r="J6855" s="48"/>
    </row>
    <row r="6856" spans="10:10" ht="18.75" customHeight="1" x14ac:dyDescent="0.25">
      <c r="J6856" s="48"/>
    </row>
    <row r="6857" spans="10:10" ht="18.75" customHeight="1" x14ac:dyDescent="0.25">
      <c r="J6857" s="48"/>
    </row>
    <row r="6858" spans="10:10" ht="18.75" customHeight="1" x14ac:dyDescent="0.25">
      <c r="J6858" s="48"/>
    </row>
    <row r="6859" spans="10:10" ht="18.75" customHeight="1" x14ac:dyDescent="0.25">
      <c r="J6859" s="48"/>
    </row>
    <row r="6860" spans="10:10" ht="18.75" customHeight="1" x14ac:dyDescent="0.25">
      <c r="J6860" s="48"/>
    </row>
    <row r="6861" spans="10:10" ht="18.75" customHeight="1" x14ac:dyDescent="0.25">
      <c r="J6861" s="48"/>
    </row>
    <row r="6862" spans="10:10" ht="18.75" customHeight="1" x14ac:dyDescent="0.25">
      <c r="J6862" s="48"/>
    </row>
    <row r="6863" spans="10:10" ht="18.75" customHeight="1" x14ac:dyDescent="0.25">
      <c r="J6863" s="48"/>
    </row>
    <row r="6864" spans="10:10" ht="18.75" customHeight="1" x14ac:dyDescent="0.25">
      <c r="J6864" s="48"/>
    </row>
    <row r="6865" spans="10:10" ht="18.75" customHeight="1" x14ac:dyDescent="0.25">
      <c r="J6865" s="48"/>
    </row>
    <row r="6866" spans="10:10" ht="18.75" customHeight="1" x14ac:dyDescent="0.25">
      <c r="J6866" s="48"/>
    </row>
    <row r="6867" spans="10:10" ht="18.75" customHeight="1" x14ac:dyDescent="0.25">
      <c r="J6867" s="48"/>
    </row>
    <row r="6868" spans="10:10" ht="18.75" customHeight="1" x14ac:dyDescent="0.25">
      <c r="J6868" s="48"/>
    </row>
    <row r="6869" spans="10:10" ht="18.75" customHeight="1" x14ac:dyDescent="0.25">
      <c r="J6869" s="48"/>
    </row>
    <row r="6870" spans="10:10" ht="18.75" customHeight="1" x14ac:dyDescent="0.25">
      <c r="J6870" s="48"/>
    </row>
    <row r="6871" spans="10:10" ht="18.75" customHeight="1" x14ac:dyDescent="0.25">
      <c r="J6871" s="48"/>
    </row>
    <row r="6872" spans="10:10" ht="18.75" customHeight="1" x14ac:dyDescent="0.25">
      <c r="J6872" s="48"/>
    </row>
    <row r="6873" spans="10:10" ht="18.75" customHeight="1" x14ac:dyDescent="0.25">
      <c r="J6873" s="48"/>
    </row>
    <row r="6874" spans="10:10" ht="18.75" customHeight="1" x14ac:dyDescent="0.25">
      <c r="J6874" s="48"/>
    </row>
    <row r="6875" spans="10:10" ht="18.75" customHeight="1" x14ac:dyDescent="0.25">
      <c r="J6875" s="48"/>
    </row>
    <row r="6876" spans="10:10" ht="18.75" customHeight="1" x14ac:dyDescent="0.25">
      <c r="J6876" s="48"/>
    </row>
    <row r="6877" spans="10:10" ht="18.75" customHeight="1" x14ac:dyDescent="0.25">
      <c r="J6877" s="48"/>
    </row>
    <row r="6878" spans="10:10" ht="18.75" customHeight="1" x14ac:dyDescent="0.25">
      <c r="J6878" s="48"/>
    </row>
    <row r="6879" spans="10:10" ht="18.75" customHeight="1" x14ac:dyDescent="0.25">
      <c r="J6879" s="48"/>
    </row>
    <row r="6880" spans="10:10" ht="18.75" customHeight="1" x14ac:dyDescent="0.25">
      <c r="J6880" s="48"/>
    </row>
    <row r="6881" spans="10:10" ht="18.75" customHeight="1" x14ac:dyDescent="0.25">
      <c r="J6881" s="48"/>
    </row>
    <row r="6882" spans="10:10" ht="18.75" customHeight="1" x14ac:dyDescent="0.25">
      <c r="J6882" s="48"/>
    </row>
    <row r="6883" spans="10:10" ht="18.75" customHeight="1" x14ac:dyDescent="0.25">
      <c r="J6883" s="48"/>
    </row>
    <row r="6884" spans="10:10" ht="18.75" customHeight="1" x14ac:dyDescent="0.25">
      <c r="J6884" s="48"/>
    </row>
    <row r="6885" spans="10:10" ht="18.75" customHeight="1" x14ac:dyDescent="0.25">
      <c r="J6885" s="48"/>
    </row>
    <row r="6886" spans="10:10" ht="18.75" customHeight="1" x14ac:dyDescent="0.25">
      <c r="J6886" s="48"/>
    </row>
    <row r="6887" spans="10:10" ht="18.75" customHeight="1" x14ac:dyDescent="0.25">
      <c r="J6887" s="48"/>
    </row>
    <row r="6888" spans="10:10" ht="18.75" customHeight="1" x14ac:dyDescent="0.25">
      <c r="J6888" s="48"/>
    </row>
    <row r="6889" spans="10:10" ht="18.75" customHeight="1" x14ac:dyDescent="0.25">
      <c r="J6889" s="48"/>
    </row>
    <row r="6890" spans="10:10" ht="18.75" customHeight="1" x14ac:dyDescent="0.25">
      <c r="J6890" s="48"/>
    </row>
    <row r="6891" spans="10:10" ht="18.75" customHeight="1" x14ac:dyDescent="0.25">
      <c r="J6891" s="48"/>
    </row>
    <row r="6892" spans="10:10" ht="18.75" customHeight="1" x14ac:dyDescent="0.25">
      <c r="J6892" s="48"/>
    </row>
    <row r="6893" spans="10:10" ht="18.75" customHeight="1" x14ac:dyDescent="0.25">
      <c r="J6893" s="48"/>
    </row>
    <row r="6894" spans="10:10" ht="18.75" customHeight="1" x14ac:dyDescent="0.25">
      <c r="J6894" s="48"/>
    </row>
    <row r="6895" spans="10:10" ht="18.75" customHeight="1" x14ac:dyDescent="0.25">
      <c r="J6895" s="48"/>
    </row>
    <row r="6896" spans="10:10" ht="18.75" customHeight="1" x14ac:dyDescent="0.25">
      <c r="J6896" s="48"/>
    </row>
    <row r="6897" spans="10:10" ht="18.75" customHeight="1" x14ac:dyDescent="0.25">
      <c r="J6897" s="48"/>
    </row>
    <row r="6898" spans="10:10" ht="18.75" customHeight="1" x14ac:dyDescent="0.25">
      <c r="J6898" s="48"/>
    </row>
    <row r="6899" spans="10:10" ht="18.75" customHeight="1" x14ac:dyDescent="0.25">
      <c r="J6899" s="48"/>
    </row>
    <row r="6900" spans="10:10" ht="18.75" customHeight="1" x14ac:dyDescent="0.25">
      <c r="J6900" s="48"/>
    </row>
    <row r="6901" spans="10:10" ht="18.75" customHeight="1" x14ac:dyDescent="0.25">
      <c r="J6901" s="48"/>
    </row>
    <row r="6902" spans="10:10" ht="18.75" customHeight="1" x14ac:dyDescent="0.25">
      <c r="J6902" s="48"/>
    </row>
    <row r="6903" spans="10:10" ht="18.75" customHeight="1" x14ac:dyDescent="0.25">
      <c r="J6903" s="48"/>
    </row>
    <row r="6904" spans="10:10" ht="18.75" customHeight="1" x14ac:dyDescent="0.25">
      <c r="J6904" s="48"/>
    </row>
    <row r="6905" spans="10:10" ht="18.75" customHeight="1" x14ac:dyDescent="0.25">
      <c r="J6905" s="48"/>
    </row>
    <row r="6906" spans="10:10" ht="18.75" customHeight="1" x14ac:dyDescent="0.25">
      <c r="J6906" s="48"/>
    </row>
    <row r="6907" spans="10:10" ht="18.75" customHeight="1" x14ac:dyDescent="0.25">
      <c r="J6907" s="48"/>
    </row>
    <row r="6908" spans="10:10" ht="18.75" customHeight="1" x14ac:dyDescent="0.25">
      <c r="J6908" s="48"/>
    </row>
    <row r="6909" spans="10:10" ht="18.75" customHeight="1" x14ac:dyDescent="0.25">
      <c r="J6909" s="48"/>
    </row>
    <row r="6910" spans="10:10" ht="18.75" customHeight="1" x14ac:dyDescent="0.25">
      <c r="J6910" s="48"/>
    </row>
    <row r="6911" spans="10:10" ht="18.75" customHeight="1" x14ac:dyDescent="0.25">
      <c r="J6911" s="48"/>
    </row>
    <row r="6912" spans="10:10" ht="18.75" customHeight="1" x14ac:dyDescent="0.25">
      <c r="J6912" s="48"/>
    </row>
    <row r="6913" spans="10:10" ht="18.75" customHeight="1" x14ac:dyDescent="0.25">
      <c r="J6913" s="48"/>
    </row>
    <row r="6914" spans="10:10" ht="18.75" customHeight="1" x14ac:dyDescent="0.25">
      <c r="J6914" s="48"/>
    </row>
    <row r="6915" spans="10:10" ht="18.75" customHeight="1" x14ac:dyDescent="0.25">
      <c r="J6915" s="48"/>
    </row>
    <row r="6916" spans="10:10" ht="18.75" customHeight="1" x14ac:dyDescent="0.25">
      <c r="J6916" s="48"/>
    </row>
    <row r="6917" spans="10:10" ht="18.75" customHeight="1" x14ac:dyDescent="0.25">
      <c r="J6917" s="48"/>
    </row>
    <row r="6918" spans="10:10" ht="18.75" customHeight="1" x14ac:dyDescent="0.25">
      <c r="J6918" s="48"/>
    </row>
    <row r="6919" spans="10:10" ht="18.75" customHeight="1" x14ac:dyDescent="0.25">
      <c r="J6919" s="48"/>
    </row>
    <row r="6920" spans="10:10" ht="18.75" customHeight="1" x14ac:dyDescent="0.25">
      <c r="J6920" s="48"/>
    </row>
    <row r="6921" spans="10:10" ht="18.75" customHeight="1" x14ac:dyDescent="0.25">
      <c r="J6921" s="48"/>
    </row>
    <row r="6922" spans="10:10" ht="18.75" customHeight="1" x14ac:dyDescent="0.25">
      <c r="J6922" s="48"/>
    </row>
    <row r="6923" spans="10:10" ht="18.75" customHeight="1" x14ac:dyDescent="0.25">
      <c r="J6923" s="48"/>
    </row>
    <row r="6924" spans="10:10" ht="18.75" customHeight="1" x14ac:dyDescent="0.25">
      <c r="J6924" s="48"/>
    </row>
    <row r="6925" spans="10:10" ht="18.75" customHeight="1" x14ac:dyDescent="0.25">
      <c r="J6925" s="48"/>
    </row>
    <row r="6926" spans="10:10" ht="18.75" customHeight="1" x14ac:dyDescent="0.25">
      <c r="J6926" s="48"/>
    </row>
    <row r="6927" spans="10:10" ht="18.75" customHeight="1" x14ac:dyDescent="0.25">
      <c r="J6927" s="48"/>
    </row>
    <row r="6928" spans="10:10" ht="18.75" customHeight="1" x14ac:dyDescent="0.25">
      <c r="J6928" s="48"/>
    </row>
    <row r="6929" spans="10:10" ht="18.75" customHeight="1" x14ac:dyDescent="0.25">
      <c r="J6929" s="48"/>
    </row>
    <row r="6930" spans="10:10" ht="18.75" customHeight="1" x14ac:dyDescent="0.25">
      <c r="J6930" s="48"/>
    </row>
    <row r="6931" spans="10:10" ht="18.75" customHeight="1" x14ac:dyDescent="0.25">
      <c r="J6931" s="48"/>
    </row>
    <row r="6932" spans="10:10" ht="18.75" customHeight="1" x14ac:dyDescent="0.25">
      <c r="J6932" s="48"/>
    </row>
    <row r="6933" spans="10:10" ht="18.75" customHeight="1" x14ac:dyDescent="0.25">
      <c r="J6933" s="48"/>
    </row>
    <row r="6934" spans="10:10" ht="18.75" customHeight="1" x14ac:dyDescent="0.25">
      <c r="J6934" s="48"/>
    </row>
    <row r="6935" spans="10:10" ht="18.75" customHeight="1" x14ac:dyDescent="0.25">
      <c r="J6935" s="48"/>
    </row>
    <row r="6936" spans="10:10" ht="18.75" customHeight="1" x14ac:dyDescent="0.25">
      <c r="J6936" s="48"/>
    </row>
    <row r="6937" spans="10:10" ht="18.75" customHeight="1" x14ac:dyDescent="0.25">
      <c r="J6937" s="48"/>
    </row>
    <row r="6938" spans="10:10" ht="18.75" customHeight="1" x14ac:dyDescent="0.25">
      <c r="J6938" s="48"/>
    </row>
    <row r="6939" spans="10:10" ht="18.75" customHeight="1" x14ac:dyDescent="0.25">
      <c r="J6939" s="48"/>
    </row>
    <row r="6940" spans="10:10" ht="18.75" customHeight="1" x14ac:dyDescent="0.25">
      <c r="J6940" s="48"/>
    </row>
    <row r="6941" spans="10:10" ht="18.75" customHeight="1" x14ac:dyDescent="0.25">
      <c r="J6941" s="48"/>
    </row>
    <row r="6942" spans="10:10" ht="18.75" customHeight="1" x14ac:dyDescent="0.25">
      <c r="J6942" s="48"/>
    </row>
    <row r="6943" spans="10:10" ht="18.75" customHeight="1" x14ac:dyDescent="0.25">
      <c r="J6943" s="48"/>
    </row>
    <row r="6944" spans="10:10" ht="18.75" customHeight="1" x14ac:dyDescent="0.25">
      <c r="J6944" s="48"/>
    </row>
    <row r="6945" spans="10:10" ht="18.75" customHeight="1" x14ac:dyDescent="0.25">
      <c r="J6945" s="48"/>
    </row>
    <row r="6946" spans="10:10" ht="18.75" customHeight="1" x14ac:dyDescent="0.25">
      <c r="J6946" s="48"/>
    </row>
    <row r="6947" spans="10:10" ht="18.75" customHeight="1" x14ac:dyDescent="0.25">
      <c r="J6947" s="48"/>
    </row>
    <row r="6948" spans="10:10" ht="18.75" customHeight="1" x14ac:dyDescent="0.25">
      <c r="J6948" s="48"/>
    </row>
    <row r="6949" spans="10:10" ht="18.75" customHeight="1" x14ac:dyDescent="0.25">
      <c r="J6949" s="48"/>
    </row>
    <row r="6950" spans="10:10" ht="18.75" customHeight="1" x14ac:dyDescent="0.25">
      <c r="J6950" s="48"/>
    </row>
    <row r="6951" spans="10:10" ht="18.75" customHeight="1" x14ac:dyDescent="0.25">
      <c r="J6951" s="48"/>
    </row>
    <row r="6952" spans="10:10" ht="18.75" customHeight="1" x14ac:dyDescent="0.25">
      <c r="J6952" s="48"/>
    </row>
    <row r="6953" spans="10:10" ht="18.75" customHeight="1" x14ac:dyDescent="0.25">
      <c r="J6953" s="48"/>
    </row>
    <row r="6954" spans="10:10" ht="18.75" customHeight="1" x14ac:dyDescent="0.25">
      <c r="J6954" s="48"/>
    </row>
    <row r="6955" spans="10:10" ht="18.75" customHeight="1" x14ac:dyDescent="0.25">
      <c r="J6955" s="48"/>
    </row>
    <row r="6956" spans="10:10" ht="18.75" customHeight="1" x14ac:dyDescent="0.25">
      <c r="J6956" s="48"/>
    </row>
    <row r="6957" spans="10:10" ht="18.75" customHeight="1" x14ac:dyDescent="0.25">
      <c r="J6957" s="48"/>
    </row>
    <row r="6958" spans="10:10" ht="18.75" customHeight="1" x14ac:dyDescent="0.25">
      <c r="J6958" s="48"/>
    </row>
    <row r="6959" spans="10:10" ht="18.75" customHeight="1" x14ac:dyDescent="0.25">
      <c r="J6959" s="48"/>
    </row>
    <row r="6960" spans="10:10" ht="18.75" customHeight="1" x14ac:dyDescent="0.25">
      <c r="J6960" s="48"/>
    </row>
    <row r="6961" spans="10:10" ht="18.75" customHeight="1" x14ac:dyDescent="0.25">
      <c r="J6961" s="48"/>
    </row>
    <row r="6962" spans="10:10" ht="18.75" customHeight="1" x14ac:dyDescent="0.25">
      <c r="J6962" s="48"/>
    </row>
    <row r="6963" spans="10:10" ht="18.75" customHeight="1" x14ac:dyDescent="0.25">
      <c r="J6963" s="48"/>
    </row>
    <row r="6964" spans="10:10" ht="18.75" customHeight="1" x14ac:dyDescent="0.25">
      <c r="J6964" s="48"/>
    </row>
    <row r="6965" spans="10:10" ht="18.75" customHeight="1" x14ac:dyDescent="0.25">
      <c r="J6965" s="48"/>
    </row>
    <row r="6966" spans="10:10" ht="18.75" customHeight="1" x14ac:dyDescent="0.25">
      <c r="J6966" s="48"/>
    </row>
    <row r="6967" spans="10:10" ht="18.75" customHeight="1" x14ac:dyDescent="0.25">
      <c r="J6967" s="48"/>
    </row>
    <row r="6968" spans="10:10" ht="18.75" customHeight="1" x14ac:dyDescent="0.25">
      <c r="J6968" s="48"/>
    </row>
    <row r="6969" spans="10:10" ht="18.75" customHeight="1" x14ac:dyDescent="0.25">
      <c r="J6969" s="48"/>
    </row>
    <row r="6970" spans="10:10" ht="18.75" customHeight="1" x14ac:dyDescent="0.25">
      <c r="J6970" s="48"/>
    </row>
    <row r="6971" spans="10:10" ht="18.75" customHeight="1" x14ac:dyDescent="0.25">
      <c r="J6971" s="48"/>
    </row>
    <row r="6972" spans="10:10" ht="18.75" customHeight="1" x14ac:dyDescent="0.25">
      <c r="J6972" s="48"/>
    </row>
    <row r="6973" spans="10:10" ht="18.75" customHeight="1" x14ac:dyDescent="0.25">
      <c r="J6973" s="48"/>
    </row>
    <row r="6974" spans="10:10" ht="18.75" customHeight="1" x14ac:dyDescent="0.25">
      <c r="J6974" s="48"/>
    </row>
    <row r="6975" spans="10:10" ht="18.75" customHeight="1" x14ac:dyDescent="0.25">
      <c r="J6975" s="48"/>
    </row>
    <row r="6976" spans="10:10" ht="18.75" customHeight="1" x14ac:dyDescent="0.25">
      <c r="J6976" s="48"/>
    </row>
    <row r="6977" spans="10:10" ht="18.75" customHeight="1" x14ac:dyDescent="0.25">
      <c r="J6977" s="48"/>
    </row>
    <row r="6978" spans="10:10" ht="18.75" customHeight="1" x14ac:dyDescent="0.25">
      <c r="J6978" s="48"/>
    </row>
    <row r="6979" spans="10:10" ht="18.75" customHeight="1" x14ac:dyDescent="0.25">
      <c r="J6979" s="48"/>
    </row>
    <row r="6980" spans="10:10" ht="18.75" customHeight="1" x14ac:dyDescent="0.25">
      <c r="J6980" s="48"/>
    </row>
    <row r="6981" spans="10:10" ht="18.75" customHeight="1" x14ac:dyDescent="0.25">
      <c r="J6981" s="48"/>
    </row>
    <row r="6982" spans="10:10" ht="18.75" customHeight="1" x14ac:dyDescent="0.25">
      <c r="J6982" s="48"/>
    </row>
    <row r="6983" spans="10:10" ht="18.75" customHeight="1" x14ac:dyDescent="0.25">
      <c r="J6983" s="48"/>
    </row>
    <row r="6984" spans="10:10" ht="18.75" customHeight="1" x14ac:dyDescent="0.25">
      <c r="J6984" s="48"/>
    </row>
    <row r="6985" spans="10:10" ht="18.75" customHeight="1" x14ac:dyDescent="0.25">
      <c r="J6985" s="48"/>
    </row>
    <row r="6986" spans="10:10" ht="18.75" customHeight="1" x14ac:dyDescent="0.25">
      <c r="J6986" s="48"/>
    </row>
    <row r="6987" spans="10:10" ht="18.75" customHeight="1" x14ac:dyDescent="0.25">
      <c r="J6987" s="48"/>
    </row>
    <row r="6988" spans="10:10" ht="18.75" customHeight="1" x14ac:dyDescent="0.25">
      <c r="J6988" s="48"/>
    </row>
    <row r="6989" spans="10:10" ht="18.75" customHeight="1" x14ac:dyDescent="0.25">
      <c r="J6989" s="48"/>
    </row>
    <row r="6990" spans="10:10" ht="18.75" customHeight="1" x14ac:dyDescent="0.25">
      <c r="J6990" s="48"/>
    </row>
    <row r="6991" spans="10:10" ht="18.75" customHeight="1" x14ac:dyDescent="0.25">
      <c r="J6991" s="48"/>
    </row>
    <row r="6992" spans="10:10" ht="18.75" customHeight="1" x14ac:dyDescent="0.25">
      <c r="J6992" s="48"/>
    </row>
    <row r="6993" spans="10:10" ht="18.75" customHeight="1" x14ac:dyDescent="0.25">
      <c r="J6993" s="48"/>
    </row>
    <row r="6994" spans="10:10" ht="18.75" customHeight="1" x14ac:dyDescent="0.25">
      <c r="J6994" s="48"/>
    </row>
    <row r="6995" spans="10:10" ht="18.75" customHeight="1" x14ac:dyDescent="0.25">
      <c r="J6995" s="48"/>
    </row>
    <row r="6996" spans="10:10" ht="18.75" customHeight="1" x14ac:dyDescent="0.25">
      <c r="J6996" s="48"/>
    </row>
    <row r="6997" spans="10:10" ht="18.75" customHeight="1" x14ac:dyDescent="0.25">
      <c r="J6997" s="48"/>
    </row>
    <row r="6998" spans="10:10" ht="18.75" customHeight="1" x14ac:dyDescent="0.25">
      <c r="J6998" s="48"/>
    </row>
    <row r="6999" spans="10:10" ht="18.75" customHeight="1" x14ac:dyDescent="0.25">
      <c r="J6999" s="48"/>
    </row>
    <row r="7000" spans="10:10" ht="18.75" customHeight="1" x14ac:dyDescent="0.25">
      <c r="J7000" s="48"/>
    </row>
    <row r="7001" spans="10:10" ht="18.75" customHeight="1" x14ac:dyDescent="0.25">
      <c r="J7001" s="48"/>
    </row>
    <row r="7002" spans="10:10" ht="18.75" customHeight="1" x14ac:dyDescent="0.25">
      <c r="J7002" s="48"/>
    </row>
    <row r="7003" spans="10:10" ht="18.75" customHeight="1" x14ac:dyDescent="0.25">
      <c r="J7003" s="48"/>
    </row>
    <row r="7004" spans="10:10" ht="18.75" customHeight="1" x14ac:dyDescent="0.25">
      <c r="J7004" s="48"/>
    </row>
    <row r="7005" spans="10:10" ht="18.75" customHeight="1" x14ac:dyDescent="0.25">
      <c r="J7005" s="48"/>
    </row>
    <row r="7006" spans="10:10" ht="18.75" customHeight="1" x14ac:dyDescent="0.25">
      <c r="J7006" s="48"/>
    </row>
    <row r="7007" spans="10:10" ht="18.75" customHeight="1" x14ac:dyDescent="0.25">
      <c r="J7007" s="48"/>
    </row>
    <row r="7008" spans="10:10" ht="18.75" customHeight="1" x14ac:dyDescent="0.25">
      <c r="J7008" s="48"/>
    </row>
    <row r="7009" spans="10:10" ht="18.75" customHeight="1" x14ac:dyDescent="0.25">
      <c r="J7009" s="48"/>
    </row>
    <row r="7010" spans="10:10" ht="18.75" customHeight="1" x14ac:dyDescent="0.25">
      <c r="J7010" s="48"/>
    </row>
    <row r="7011" spans="10:10" ht="18.75" customHeight="1" x14ac:dyDescent="0.25">
      <c r="J7011" s="48"/>
    </row>
    <row r="7012" spans="10:10" ht="18.75" customHeight="1" x14ac:dyDescent="0.25">
      <c r="J7012" s="48"/>
    </row>
    <row r="7013" spans="10:10" ht="18.75" customHeight="1" x14ac:dyDescent="0.25">
      <c r="J7013" s="48"/>
    </row>
    <row r="7014" spans="10:10" ht="18.75" customHeight="1" x14ac:dyDescent="0.25">
      <c r="J7014" s="48"/>
    </row>
    <row r="7015" spans="10:10" ht="18.75" customHeight="1" x14ac:dyDescent="0.25">
      <c r="J7015" s="48"/>
    </row>
    <row r="7016" spans="10:10" ht="18.75" customHeight="1" x14ac:dyDescent="0.25">
      <c r="J7016" s="48"/>
    </row>
    <row r="7017" spans="10:10" ht="18.75" customHeight="1" x14ac:dyDescent="0.25">
      <c r="J7017" s="48"/>
    </row>
    <row r="7018" spans="10:10" ht="18.75" customHeight="1" x14ac:dyDescent="0.25">
      <c r="J7018" s="48"/>
    </row>
    <row r="7019" spans="10:10" ht="18.75" customHeight="1" x14ac:dyDescent="0.25">
      <c r="J7019" s="48"/>
    </row>
    <row r="7020" spans="10:10" ht="18.75" customHeight="1" x14ac:dyDescent="0.25">
      <c r="J7020" s="48"/>
    </row>
    <row r="7021" spans="10:10" ht="18.75" customHeight="1" x14ac:dyDescent="0.25">
      <c r="J7021" s="48"/>
    </row>
    <row r="7022" spans="10:10" ht="18.75" customHeight="1" x14ac:dyDescent="0.25">
      <c r="J7022" s="48"/>
    </row>
    <row r="7023" spans="10:10" ht="18.75" customHeight="1" x14ac:dyDescent="0.25">
      <c r="J7023" s="48"/>
    </row>
    <row r="7024" spans="10:10" ht="18.75" customHeight="1" x14ac:dyDescent="0.25">
      <c r="J7024" s="48"/>
    </row>
    <row r="7025" spans="10:10" ht="18.75" customHeight="1" x14ac:dyDescent="0.25">
      <c r="J7025" s="48"/>
    </row>
    <row r="7026" spans="10:10" ht="18.75" customHeight="1" x14ac:dyDescent="0.25">
      <c r="J7026" s="48"/>
    </row>
    <row r="7027" spans="10:10" ht="18.75" customHeight="1" x14ac:dyDescent="0.25">
      <c r="J7027" s="48"/>
    </row>
    <row r="7028" spans="10:10" ht="18.75" customHeight="1" x14ac:dyDescent="0.25">
      <c r="J7028" s="48"/>
    </row>
    <row r="7029" spans="10:10" ht="18.75" customHeight="1" x14ac:dyDescent="0.25">
      <c r="J7029" s="48"/>
    </row>
    <row r="7030" spans="10:10" ht="18.75" customHeight="1" x14ac:dyDescent="0.25">
      <c r="J7030" s="48"/>
    </row>
    <row r="7031" spans="10:10" ht="18.75" customHeight="1" x14ac:dyDescent="0.25">
      <c r="J7031" s="48"/>
    </row>
    <row r="7032" spans="10:10" ht="18.75" customHeight="1" x14ac:dyDescent="0.25">
      <c r="J7032" s="48"/>
    </row>
    <row r="7033" spans="10:10" ht="18.75" customHeight="1" x14ac:dyDescent="0.25">
      <c r="J7033" s="48"/>
    </row>
    <row r="7034" spans="10:10" ht="18.75" customHeight="1" x14ac:dyDescent="0.25">
      <c r="J7034" s="48"/>
    </row>
    <row r="7035" spans="10:10" ht="18.75" customHeight="1" x14ac:dyDescent="0.25">
      <c r="J7035" s="48"/>
    </row>
    <row r="7036" spans="10:10" ht="18.75" customHeight="1" x14ac:dyDescent="0.25">
      <c r="J7036" s="48"/>
    </row>
    <row r="7037" spans="10:10" ht="18.75" customHeight="1" x14ac:dyDescent="0.25">
      <c r="J7037" s="48"/>
    </row>
    <row r="7038" spans="10:10" ht="18.75" customHeight="1" x14ac:dyDescent="0.25">
      <c r="J7038" s="48"/>
    </row>
    <row r="7039" spans="10:10" ht="18.75" customHeight="1" x14ac:dyDescent="0.25">
      <c r="J7039" s="48"/>
    </row>
    <row r="7040" spans="10:10" ht="18.75" customHeight="1" x14ac:dyDescent="0.25">
      <c r="J7040" s="48"/>
    </row>
    <row r="7041" spans="10:10" ht="18.75" customHeight="1" x14ac:dyDescent="0.25">
      <c r="J7041" s="48"/>
    </row>
    <row r="7042" spans="10:10" ht="18.75" customHeight="1" x14ac:dyDescent="0.25">
      <c r="J7042" s="48"/>
    </row>
    <row r="7043" spans="10:10" ht="18.75" customHeight="1" x14ac:dyDescent="0.25">
      <c r="J7043" s="48"/>
    </row>
    <row r="7044" spans="10:10" ht="18.75" customHeight="1" x14ac:dyDescent="0.25">
      <c r="J7044" s="48"/>
    </row>
    <row r="7045" spans="10:10" ht="18.75" customHeight="1" x14ac:dyDescent="0.25">
      <c r="J7045" s="48"/>
    </row>
    <row r="7046" spans="10:10" ht="18.75" customHeight="1" x14ac:dyDescent="0.25">
      <c r="J7046" s="48"/>
    </row>
    <row r="7047" spans="10:10" ht="18.75" customHeight="1" x14ac:dyDescent="0.25">
      <c r="J7047" s="48"/>
    </row>
    <row r="7048" spans="10:10" ht="18.75" customHeight="1" x14ac:dyDescent="0.25">
      <c r="J7048" s="48"/>
    </row>
    <row r="7049" spans="10:10" ht="18.75" customHeight="1" x14ac:dyDescent="0.25">
      <c r="J7049" s="48"/>
    </row>
    <row r="7050" spans="10:10" ht="18.75" customHeight="1" x14ac:dyDescent="0.25">
      <c r="J7050" s="48"/>
    </row>
    <row r="7051" spans="10:10" ht="18.75" customHeight="1" x14ac:dyDescent="0.25">
      <c r="J7051" s="48"/>
    </row>
    <row r="7052" spans="10:10" ht="18.75" customHeight="1" x14ac:dyDescent="0.25">
      <c r="J7052" s="48"/>
    </row>
    <row r="7053" spans="10:10" ht="18.75" customHeight="1" x14ac:dyDescent="0.25">
      <c r="J7053" s="48"/>
    </row>
    <row r="7054" spans="10:10" ht="18.75" customHeight="1" x14ac:dyDescent="0.25">
      <c r="J7054" s="48"/>
    </row>
    <row r="7055" spans="10:10" ht="18.75" customHeight="1" x14ac:dyDescent="0.25">
      <c r="J7055" s="48"/>
    </row>
    <row r="7056" spans="10:10" ht="18.75" customHeight="1" x14ac:dyDescent="0.25">
      <c r="J7056" s="48"/>
    </row>
    <row r="7057" spans="10:10" ht="18.75" customHeight="1" x14ac:dyDescent="0.25">
      <c r="J7057" s="48"/>
    </row>
    <row r="7058" spans="10:10" ht="18.75" customHeight="1" x14ac:dyDescent="0.25">
      <c r="J7058" s="48"/>
    </row>
    <row r="7059" spans="10:10" ht="18.75" customHeight="1" x14ac:dyDescent="0.25">
      <c r="J7059" s="48"/>
    </row>
    <row r="7060" spans="10:10" ht="18.75" customHeight="1" x14ac:dyDescent="0.25">
      <c r="J7060" s="48"/>
    </row>
    <row r="7061" spans="10:10" ht="18.75" customHeight="1" x14ac:dyDescent="0.25">
      <c r="J7061" s="48"/>
    </row>
    <row r="7062" spans="10:10" ht="18.75" customHeight="1" x14ac:dyDescent="0.25">
      <c r="J7062" s="48"/>
    </row>
    <row r="7063" spans="10:10" ht="18.75" customHeight="1" x14ac:dyDescent="0.25">
      <c r="J7063" s="48"/>
    </row>
    <row r="7064" spans="10:10" ht="18.75" customHeight="1" x14ac:dyDescent="0.25">
      <c r="J7064" s="48"/>
    </row>
    <row r="7065" spans="10:10" ht="18.75" customHeight="1" x14ac:dyDescent="0.25">
      <c r="J7065" s="48"/>
    </row>
    <row r="7066" spans="10:10" ht="18.75" customHeight="1" x14ac:dyDescent="0.25">
      <c r="J7066" s="48"/>
    </row>
    <row r="7067" spans="10:10" ht="18.75" customHeight="1" x14ac:dyDescent="0.25">
      <c r="J7067" s="48"/>
    </row>
    <row r="7068" spans="10:10" ht="18.75" customHeight="1" x14ac:dyDescent="0.25">
      <c r="J7068" s="48"/>
    </row>
    <row r="7069" spans="10:10" ht="18.75" customHeight="1" x14ac:dyDescent="0.25">
      <c r="J7069" s="48"/>
    </row>
    <row r="7070" spans="10:10" ht="18.75" customHeight="1" x14ac:dyDescent="0.25">
      <c r="J7070" s="48"/>
    </row>
    <row r="7071" spans="10:10" ht="18.75" customHeight="1" x14ac:dyDescent="0.25">
      <c r="J7071" s="48"/>
    </row>
    <row r="7072" spans="10:10" ht="18.75" customHeight="1" x14ac:dyDescent="0.25">
      <c r="J7072" s="48"/>
    </row>
    <row r="7073" spans="10:10" ht="18.75" customHeight="1" x14ac:dyDescent="0.25">
      <c r="J7073" s="48"/>
    </row>
    <row r="7074" spans="10:10" ht="18.75" customHeight="1" x14ac:dyDescent="0.25">
      <c r="J7074" s="48"/>
    </row>
    <row r="7075" spans="10:10" ht="18.75" customHeight="1" x14ac:dyDescent="0.25">
      <c r="J7075" s="48"/>
    </row>
    <row r="7076" spans="10:10" ht="18.75" customHeight="1" x14ac:dyDescent="0.25">
      <c r="J7076" s="48"/>
    </row>
    <row r="7077" spans="10:10" ht="18.75" customHeight="1" x14ac:dyDescent="0.25">
      <c r="J7077" s="48"/>
    </row>
    <row r="7078" spans="10:10" ht="18.75" customHeight="1" x14ac:dyDescent="0.25">
      <c r="J7078" s="48"/>
    </row>
    <row r="7079" spans="10:10" ht="18.75" customHeight="1" x14ac:dyDescent="0.25">
      <c r="J7079" s="48"/>
    </row>
    <row r="7080" spans="10:10" ht="18.75" customHeight="1" x14ac:dyDescent="0.25">
      <c r="J7080" s="48"/>
    </row>
    <row r="7081" spans="10:10" ht="18.75" customHeight="1" x14ac:dyDescent="0.25">
      <c r="J7081" s="48"/>
    </row>
    <row r="7082" spans="10:10" ht="18.75" customHeight="1" x14ac:dyDescent="0.25">
      <c r="J7082" s="48"/>
    </row>
    <row r="7083" spans="10:10" ht="18.75" customHeight="1" x14ac:dyDescent="0.25">
      <c r="J7083" s="48"/>
    </row>
    <row r="7084" spans="10:10" ht="18.75" customHeight="1" x14ac:dyDescent="0.25">
      <c r="J7084" s="48"/>
    </row>
    <row r="7085" spans="10:10" ht="18.75" customHeight="1" x14ac:dyDescent="0.25">
      <c r="J7085" s="48"/>
    </row>
    <row r="7086" spans="10:10" ht="18.75" customHeight="1" x14ac:dyDescent="0.25">
      <c r="J7086" s="48"/>
    </row>
    <row r="7087" spans="10:10" ht="18.75" customHeight="1" x14ac:dyDescent="0.25">
      <c r="J7087" s="48"/>
    </row>
    <row r="7088" spans="10:10" ht="18.75" customHeight="1" x14ac:dyDescent="0.25">
      <c r="J7088" s="48"/>
    </row>
    <row r="7089" spans="10:10" ht="18.75" customHeight="1" x14ac:dyDescent="0.25">
      <c r="J7089" s="48"/>
    </row>
    <row r="7090" spans="10:10" ht="18.75" customHeight="1" x14ac:dyDescent="0.25">
      <c r="J7090" s="48"/>
    </row>
    <row r="7091" spans="10:10" ht="18.75" customHeight="1" x14ac:dyDescent="0.25">
      <c r="J7091" s="48"/>
    </row>
    <row r="7092" spans="10:10" ht="18.75" customHeight="1" x14ac:dyDescent="0.25">
      <c r="J7092" s="48"/>
    </row>
    <row r="7093" spans="10:10" ht="18.75" customHeight="1" x14ac:dyDescent="0.25">
      <c r="J7093" s="48"/>
    </row>
    <row r="7094" spans="10:10" ht="18.75" customHeight="1" x14ac:dyDescent="0.25">
      <c r="J7094" s="48"/>
    </row>
    <row r="7095" spans="10:10" ht="18.75" customHeight="1" x14ac:dyDescent="0.25">
      <c r="J7095" s="48"/>
    </row>
    <row r="7096" spans="10:10" ht="18.75" customHeight="1" x14ac:dyDescent="0.25">
      <c r="J7096" s="48"/>
    </row>
    <row r="7097" spans="10:10" ht="18.75" customHeight="1" x14ac:dyDescent="0.25">
      <c r="J7097" s="48"/>
    </row>
    <row r="7098" spans="10:10" ht="18.75" customHeight="1" x14ac:dyDescent="0.25">
      <c r="J7098" s="48"/>
    </row>
    <row r="7099" spans="10:10" ht="18.75" customHeight="1" x14ac:dyDescent="0.25">
      <c r="J7099" s="48"/>
    </row>
    <row r="7100" spans="10:10" ht="18.75" customHeight="1" x14ac:dyDescent="0.25">
      <c r="J7100" s="48"/>
    </row>
    <row r="7101" spans="10:10" ht="18.75" customHeight="1" x14ac:dyDescent="0.25">
      <c r="J7101" s="48"/>
    </row>
    <row r="7102" spans="10:10" ht="18.75" customHeight="1" x14ac:dyDescent="0.25">
      <c r="J7102" s="48"/>
    </row>
    <row r="7103" spans="10:10" ht="18.75" customHeight="1" x14ac:dyDescent="0.25">
      <c r="J7103" s="48"/>
    </row>
    <row r="7104" spans="10:10" ht="18.75" customHeight="1" x14ac:dyDescent="0.25">
      <c r="J7104" s="48"/>
    </row>
    <row r="7105" spans="10:10" ht="18.75" customHeight="1" x14ac:dyDescent="0.25">
      <c r="J7105" s="48"/>
    </row>
    <row r="7106" spans="10:10" ht="18.75" customHeight="1" x14ac:dyDescent="0.25">
      <c r="J7106" s="48"/>
    </row>
    <row r="7107" spans="10:10" ht="18.75" customHeight="1" x14ac:dyDescent="0.25">
      <c r="J7107" s="48"/>
    </row>
    <row r="7108" spans="10:10" ht="18.75" customHeight="1" x14ac:dyDescent="0.25">
      <c r="J7108" s="48"/>
    </row>
    <row r="7109" spans="10:10" ht="18.75" customHeight="1" x14ac:dyDescent="0.25">
      <c r="J7109" s="48"/>
    </row>
    <row r="7110" spans="10:10" ht="18.75" customHeight="1" x14ac:dyDescent="0.25">
      <c r="J7110" s="48"/>
    </row>
    <row r="7111" spans="10:10" ht="18.75" customHeight="1" x14ac:dyDescent="0.25">
      <c r="J7111" s="48"/>
    </row>
    <row r="7112" spans="10:10" ht="18.75" customHeight="1" x14ac:dyDescent="0.25">
      <c r="J7112" s="48"/>
    </row>
    <row r="7113" spans="10:10" ht="18.75" customHeight="1" x14ac:dyDescent="0.25">
      <c r="J7113" s="48"/>
    </row>
    <row r="7114" spans="10:10" ht="18.75" customHeight="1" x14ac:dyDescent="0.25">
      <c r="J7114" s="48"/>
    </row>
    <row r="7115" spans="10:10" ht="18.75" customHeight="1" x14ac:dyDescent="0.25">
      <c r="J7115" s="48"/>
    </row>
    <row r="7116" spans="10:10" ht="18.75" customHeight="1" x14ac:dyDescent="0.25">
      <c r="J7116" s="48"/>
    </row>
    <row r="7117" spans="10:10" ht="18.75" customHeight="1" x14ac:dyDescent="0.25">
      <c r="J7117" s="48"/>
    </row>
    <row r="7118" spans="10:10" ht="18.75" customHeight="1" x14ac:dyDescent="0.25">
      <c r="J7118" s="48"/>
    </row>
    <row r="7119" spans="10:10" ht="18.75" customHeight="1" x14ac:dyDescent="0.25">
      <c r="J7119" s="48"/>
    </row>
    <row r="7120" spans="10:10" ht="18.75" customHeight="1" x14ac:dyDescent="0.25">
      <c r="J7120" s="48"/>
    </row>
    <row r="7121" spans="10:10" ht="18.75" customHeight="1" x14ac:dyDescent="0.25">
      <c r="J7121" s="48"/>
    </row>
    <row r="7122" spans="10:10" ht="18.75" customHeight="1" x14ac:dyDescent="0.25">
      <c r="J7122" s="48"/>
    </row>
    <row r="7123" spans="10:10" ht="18.75" customHeight="1" x14ac:dyDescent="0.25">
      <c r="J7123" s="48"/>
    </row>
    <row r="7124" spans="10:10" ht="18.75" customHeight="1" x14ac:dyDescent="0.25">
      <c r="J7124" s="48"/>
    </row>
    <row r="7125" spans="10:10" ht="18.75" customHeight="1" x14ac:dyDescent="0.25">
      <c r="J7125" s="48"/>
    </row>
    <row r="7126" spans="10:10" ht="18.75" customHeight="1" x14ac:dyDescent="0.25">
      <c r="J7126" s="48"/>
    </row>
    <row r="7127" spans="10:10" ht="18.75" customHeight="1" x14ac:dyDescent="0.25">
      <c r="J7127" s="48"/>
    </row>
    <row r="7128" spans="10:10" ht="18.75" customHeight="1" x14ac:dyDescent="0.25">
      <c r="J7128" s="48"/>
    </row>
    <row r="7129" spans="10:10" ht="18.75" customHeight="1" x14ac:dyDescent="0.25">
      <c r="J7129" s="48"/>
    </row>
    <row r="7130" spans="10:10" ht="18.75" customHeight="1" x14ac:dyDescent="0.25">
      <c r="J7130" s="48"/>
    </row>
    <row r="7131" spans="10:10" ht="18.75" customHeight="1" x14ac:dyDescent="0.25">
      <c r="J7131" s="48"/>
    </row>
    <row r="7132" spans="10:10" ht="18.75" customHeight="1" x14ac:dyDescent="0.25">
      <c r="J7132" s="48"/>
    </row>
    <row r="7133" spans="10:10" ht="18.75" customHeight="1" x14ac:dyDescent="0.25">
      <c r="J7133" s="48"/>
    </row>
    <row r="7134" spans="10:10" ht="18.75" customHeight="1" x14ac:dyDescent="0.25">
      <c r="J7134" s="48"/>
    </row>
    <row r="7135" spans="10:10" ht="18.75" customHeight="1" x14ac:dyDescent="0.25">
      <c r="J7135" s="48"/>
    </row>
    <row r="7136" spans="10:10" ht="18.75" customHeight="1" x14ac:dyDescent="0.25">
      <c r="J7136" s="48"/>
    </row>
    <row r="7137" spans="10:10" ht="18.75" customHeight="1" x14ac:dyDescent="0.25">
      <c r="J7137" s="48"/>
    </row>
    <row r="7138" spans="10:10" ht="18.75" customHeight="1" x14ac:dyDescent="0.25">
      <c r="J7138" s="48"/>
    </row>
    <row r="7139" spans="10:10" ht="18.75" customHeight="1" x14ac:dyDescent="0.25">
      <c r="J7139" s="48"/>
    </row>
    <row r="7140" spans="10:10" ht="18.75" customHeight="1" x14ac:dyDescent="0.25">
      <c r="J7140" s="48"/>
    </row>
    <row r="7141" spans="10:10" ht="18.75" customHeight="1" x14ac:dyDescent="0.25">
      <c r="J7141" s="48"/>
    </row>
    <row r="7142" spans="10:10" ht="18.75" customHeight="1" x14ac:dyDescent="0.25">
      <c r="J7142" s="48"/>
    </row>
    <row r="7143" spans="10:10" ht="18.75" customHeight="1" x14ac:dyDescent="0.25">
      <c r="J7143" s="48"/>
    </row>
    <row r="7144" spans="10:10" ht="18.75" customHeight="1" x14ac:dyDescent="0.25">
      <c r="J7144" s="48"/>
    </row>
    <row r="7145" spans="10:10" ht="18.75" customHeight="1" x14ac:dyDescent="0.25">
      <c r="J7145" s="48"/>
    </row>
    <row r="7146" spans="10:10" ht="18.75" customHeight="1" x14ac:dyDescent="0.25">
      <c r="J7146" s="48"/>
    </row>
    <row r="7147" spans="10:10" ht="18.75" customHeight="1" x14ac:dyDescent="0.25">
      <c r="J7147" s="48"/>
    </row>
    <row r="7148" spans="10:10" ht="18.75" customHeight="1" x14ac:dyDescent="0.25">
      <c r="J7148" s="48"/>
    </row>
    <row r="7149" spans="10:10" ht="18.75" customHeight="1" x14ac:dyDescent="0.25">
      <c r="J7149" s="48"/>
    </row>
    <row r="7150" spans="10:10" ht="18.75" customHeight="1" x14ac:dyDescent="0.25">
      <c r="J7150" s="48"/>
    </row>
    <row r="7151" spans="10:10" ht="18.75" customHeight="1" x14ac:dyDescent="0.25">
      <c r="J7151" s="48"/>
    </row>
    <row r="7152" spans="10:10" ht="18.75" customHeight="1" x14ac:dyDescent="0.25">
      <c r="J7152" s="48"/>
    </row>
    <row r="7153" spans="10:10" ht="18.75" customHeight="1" x14ac:dyDescent="0.25">
      <c r="J7153" s="48"/>
    </row>
    <row r="7154" spans="10:10" ht="18.75" customHeight="1" x14ac:dyDescent="0.25">
      <c r="J7154" s="48"/>
    </row>
    <row r="7155" spans="10:10" ht="18.75" customHeight="1" x14ac:dyDescent="0.25">
      <c r="J7155" s="48"/>
    </row>
    <row r="7156" spans="10:10" ht="18.75" customHeight="1" x14ac:dyDescent="0.25">
      <c r="J7156" s="48"/>
    </row>
    <row r="7157" spans="10:10" ht="18.75" customHeight="1" x14ac:dyDescent="0.25">
      <c r="J7157" s="48"/>
    </row>
    <row r="7158" spans="10:10" ht="18.75" customHeight="1" x14ac:dyDescent="0.25">
      <c r="J7158" s="48"/>
    </row>
    <row r="7159" spans="10:10" ht="18.75" customHeight="1" x14ac:dyDescent="0.25">
      <c r="J7159" s="48"/>
    </row>
    <row r="7160" spans="10:10" ht="18.75" customHeight="1" x14ac:dyDescent="0.25">
      <c r="J7160" s="48"/>
    </row>
    <row r="7161" spans="10:10" ht="18.75" customHeight="1" x14ac:dyDescent="0.25">
      <c r="J7161" s="48"/>
    </row>
    <row r="7162" spans="10:10" ht="18.75" customHeight="1" x14ac:dyDescent="0.25">
      <c r="J7162" s="48"/>
    </row>
    <row r="7163" spans="10:10" ht="18.75" customHeight="1" x14ac:dyDescent="0.25">
      <c r="J7163" s="48"/>
    </row>
    <row r="7164" spans="10:10" ht="18.75" customHeight="1" x14ac:dyDescent="0.25">
      <c r="J7164" s="48"/>
    </row>
    <row r="7165" spans="10:10" ht="18.75" customHeight="1" x14ac:dyDescent="0.25">
      <c r="J7165" s="48"/>
    </row>
    <row r="7166" spans="10:10" ht="18.75" customHeight="1" x14ac:dyDescent="0.25">
      <c r="J7166" s="48"/>
    </row>
    <row r="7167" spans="10:10" ht="18.75" customHeight="1" x14ac:dyDescent="0.25">
      <c r="J7167" s="48"/>
    </row>
    <row r="7168" spans="10:10" ht="18.75" customHeight="1" x14ac:dyDescent="0.25">
      <c r="J7168" s="48"/>
    </row>
    <row r="7169" spans="10:10" ht="18.75" customHeight="1" x14ac:dyDescent="0.25">
      <c r="J7169" s="48"/>
    </row>
    <row r="7170" spans="10:10" ht="18.75" customHeight="1" x14ac:dyDescent="0.25">
      <c r="J7170" s="48"/>
    </row>
    <row r="7171" spans="10:10" ht="18.75" customHeight="1" x14ac:dyDescent="0.25">
      <c r="J7171" s="48"/>
    </row>
    <row r="7172" spans="10:10" ht="18.75" customHeight="1" x14ac:dyDescent="0.25">
      <c r="J7172" s="48"/>
    </row>
    <row r="7173" spans="10:10" ht="18.75" customHeight="1" x14ac:dyDescent="0.25">
      <c r="J7173" s="48"/>
    </row>
    <row r="7174" spans="10:10" ht="18.75" customHeight="1" x14ac:dyDescent="0.25">
      <c r="J7174" s="48"/>
    </row>
    <row r="7175" spans="10:10" ht="18.75" customHeight="1" x14ac:dyDescent="0.25">
      <c r="J7175" s="48"/>
    </row>
    <row r="7176" spans="10:10" ht="18.75" customHeight="1" x14ac:dyDescent="0.25">
      <c r="J7176" s="48"/>
    </row>
    <row r="7177" spans="10:10" ht="18.75" customHeight="1" x14ac:dyDescent="0.25">
      <c r="J7177" s="48"/>
    </row>
    <row r="7178" spans="10:10" ht="18.75" customHeight="1" x14ac:dyDescent="0.25">
      <c r="J7178" s="48"/>
    </row>
    <row r="7179" spans="10:10" ht="18.75" customHeight="1" x14ac:dyDescent="0.25">
      <c r="J7179" s="48"/>
    </row>
    <row r="7180" spans="10:10" ht="18.75" customHeight="1" x14ac:dyDescent="0.25">
      <c r="J7180" s="48"/>
    </row>
    <row r="7181" spans="10:10" ht="18.75" customHeight="1" x14ac:dyDescent="0.25">
      <c r="J7181" s="48"/>
    </row>
    <row r="7182" spans="10:10" ht="18.75" customHeight="1" x14ac:dyDescent="0.25">
      <c r="J7182" s="48"/>
    </row>
    <row r="7183" spans="10:10" ht="18.75" customHeight="1" x14ac:dyDescent="0.25">
      <c r="J7183" s="48"/>
    </row>
    <row r="7184" spans="10:10" ht="18.75" customHeight="1" x14ac:dyDescent="0.25">
      <c r="J7184" s="48"/>
    </row>
    <row r="7185" spans="10:10" ht="18.75" customHeight="1" x14ac:dyDescent="0.25">
      <c r="J7185" s="48"/>
    </row>
    <row r="7186" spans="10:10" ht="18.75" customHeight="1" x14ac:dyDescent="0.25">
      <c r="J7186" s="48"/>
    </row>
    <row r="7187" spans="10:10" ht="18.75" customHeight="1" x14ac:dyDescent="0.25">
      <c r="J7187" s="48"/>
    </row>
    <row r="7188" spans="10:10" ht="18.75" customHeight="1" x14ac:dyDescent="0.25">
      <c r="J7188" s="48"/>
    </row>
    <row r="7189" spans="10:10" ht="18.75" customHeight="1" x14ac:dyDescent="0.25">
      <c r="J7189" s="48"/>
    </row>
    <row r="7190" spans="10:10" ht="18.75" customHeight="1" x14ac:dyDescent="0.25">
      <c r="J7190" s="48"/>
    </row>
    <row r="7191" spans="10:10" ht="18.75" customHeight="1" x14ac:dyDescent="0.25">
      <c r="J7191" s="48"/>
    </row>
    <row r="7192" spans="10:10" ht="18.75" customHeight="1" x14ac:dyDescent="0.25">
      <c r="J7192" s="48"/>
    </row>
    <row r="7193" spans="10:10" ht="18.75" customHeight="1" x14ac:dyDescent="0.25">
      <c r="J7193" s="48"/>
    </row>
    <row r="7194" spans="10:10" ht="18.75" customHeight="1" x14ac:dyDescent="0.25">
      <c r="J7194" s="48"/>
    </row>
    <row r="7195" spans="10:10" ht="18.75" customHeight="1" x14ac:dyDescent="0.25">
      <c r="J7195" s="48"/>
    </row>
    <row r="7196" spans="10:10" ht="18.75" customHeight="1" x14ac:dyDescent="0.25">
      <c r="J7196" s="48"/>
    </row>
    <row r="7197" spans="10:10" ht="18.75" customHeight="1" x14ac:dyDescent="0.25">
      <c r="J7197" s="48"/>
    </row>
    <row r="7198" spans="10:10" ht="18.75" customHeight="1" x14ac:dyDescent="0.25">
      <c r="J7198" s="48"/>
    </row>
    <row r="7199" spans="10:10" ht="18.75" customHeight="1" x14ac:dyDescent="0.25">
      <c r="J7199" s="48"/>
    </row>
    <row r="7200" spans="10:10" ht="18.75" customHeight="1" x14ac:dyDescent="0.25">
      <c r="J7200" s="48"/>
    </row>
    <row r="7201" spans="10:10" ht="18.75" customHeight="1" x14ac:dyDescent="0.25">
      <c r="J7201" s="48"/>
    </row>
    <row r="7202" spans="10:10" ht="18.75" customHeight="1" x14ac:dyDescent="0.25">
      <c r="J7202" s="48"/>
    </row>
    <row r="7203" spans="10:10" ht="18.75" customHeight="1" x14ac:dyDescent="0.25">
      <c r="J7203" s="48"/>
    </row>
    <row r="7204" spans="10:10" ht="18.75" customHeight="1" x14ac:dyDescent="0.25">
      <c r="J7204" s="48"/>
    </row>
    <row r="7205" spans="10:10" ht="18.75" customHeight="1" x14ac:dyDescent="0.25">
      <c r="J7205" s="48"/>
    </row>
    <row r="7206" spans="10:10" ht="18.75" customHeight="1" x14ac:dyDescent="0.25">
      <c r="J7206" s="48"/>
    </row>
    <row r="7207" spans="10:10" ht="18.75" customHeight="1" x14ac:dyDescent="0.25">
      <c r="J7207" s="48"/>
    </row>
    <row r="7208" spans="10:10" ht="18.75" customHeight="1" x14ac:dyDescent="0.25">
      <c r="J7208" s="48"/>
    </row>
    <row r="7209" spans="10:10" ht="18.75" customHeight="1" x14ac:dyDescent="0.25">
      <c r="J7209" s="48"/>
    </row>
    <row r="7210" spans="10:10" ht="18.75" customHeight="1" x14ac:dyDescent="0.25">
      <c r="J7210" s="48"/>
    </row>
    <row r="7211" spans="10:10" ht="18.75" customHeight="1" x14ac:dyDescent="0.25">
      <c r="J7211" s="48"/>
    </row>
    <row r="7212" spans="10:10" ht="18.75" customHeight="1" x14ac:dyDescent="0.25">
      <c r="J7212" s="48"/>
    </row>
    <row r="7213" spans="10:10" ht="18.75" customHeight="1" x14ac:dyDescent="0.25">
      <c r="J7213" s="48"/>
    </row>
    <row r="7214" spans="10:10" ht="18.75" customHeight="1" x14ac:dyDescent="0.25">
      <c r="J7214" s="48"/>
    </row>
    <row r="7215" spans="10:10" ht="18.75" customHeight="1" x14ac:dyDescent="0.25">
      <c r="J7215" s="48"/>
    </row>
    <row r="7216" spans="10:10" ht="18.75" customHeight="1" x14ac:dyDescent="0.25">
      <c r="J7216" s="48"/>
    </row>
    <row r="7217" spans="10:10" ht="18.75" customHeight="1" x14ac:dyDescent="0.25">
      <c r="J7217" s="48"/>
    </row>
    <row r="7218" spans="10:10" ht="18.75" customHeight="1" x14ac:dyDescent="0.25">
      <c r="J7218" s="48"/>
    </row>
    <row r="7219" spans="10:10" ht="18.75" customHeight="1" x14ac:dyDescent="0.25">
      <c r="J7219" s="48"/>
    </row>
    <row r="7220" spans="10:10" ht="18.75" customHeight="1" x14ac:dyDescent="0.25">
      <c r="J7220" s="48"/>
    </row>
    <row r="7221" spans="10:10" ht="18.75" customHeight="1" x14ac:dyDescent="0.25">
      <c r="J7221" s="48"/>
    </row>
    <row r="7222" spans="10:10" ht="18.75" customHeight="1" x14ac:dyDescent="0.25">
      <c r="J7222" s="48"/>
    </row>
    <row r="7223" spans="10:10" ht="18.75" customHeight="1" x14ac:dyDescent="0.25">
      <c r="J7223" s="48"/>
    </row>
    <row r="7224" spans="10:10" ht="18.75" customHeight="1" x14ac:dyDescent="0.25">
      <c r="J7224" s="48"/>
    </row>
    <row r="7225" spans="10:10" ht="18.75" customHeight="1" x14ac:dyDescent="0.25">
      <c r="J7225" s="48"/>
    </row>
    <row r="7226" spans="10:10" ht="18.75" customHeight="1" x14ac:dyDescent="0.25">
      <c r="J7226" s="48"/>
    </row>
    <row r="7227" spans="10:10" ht="18.75" customHeight="1" x14ac:dyDescent="0.25">
      <c r="J7227" s="48"/>
    </row>
    <row r="7228" spans="10:10" ht="18.75" customHeight="1" x14ac:dyDescent="0.25">
      <c r="J7228" s="48"/>
    </row>
    <row r="7229" spans="10:10" ht="18.75" customHeight="1" x14ac:dyDescent="0.25">
      <c r="J7229" s="48"/>
    </row>
    <row r="7230" spans="10:10" ht="18.75" customHeight="1" x14ac:dyDescent="0.25">
      <c r="J7230" s="48"/>
    </row>
    <row r="7231" spans="10:10" ht="18.75" customHeight="1" x14ac:dyDescent="0.25">
      <c r="J7231" s="48"/>
    </row>
    <row r="7232" spans="10:10" ht="18.75" customHeight="1" x14ac:dyDescent="0.25">
      <c r="J7232" s="48"/>
    </row>
    <row r="7233" spans="10:10" ht="18.75" customHeight="1" x14ac:dyDescent="0.25">
      <c r="J7233" s="48"/>
    </row>
    <row r="7234" spans="10:10" ht="18.75" customHeight="1" x14ac:dyDescent="0.25">
      <c r="J7234" s="48"/>
    </row>
    <row r="7235" spans="10:10" ht="18.75" customHeight="1" x14ac:dyDescent="0.25">
      <c r="J7235" s="48"/>
    </row>
    <row r="7236" spans="10:10" ht="18.75" customHeight="1" x14ac:dyDescent="0.25">
      <c r="J7236" s="48"/>
    </row>
    <row r="7237" spans="10:10" ht="18.75" customHeight="1" x14ac:dyDescent="0.25">
      <c r="J7237" s="48"/>
    </row>
    <row r="7238" spans="10:10" ht="18.75" customHeight="1" x14ac:dyDescent="0.25">
      <c r="J7238" s="48"/>
    </row>
    <row r="7239" spans="10:10" ht="18.75" customHeight="1" x14ac:dyDescent="0.25">
      <c r="J7239" s="48"/>
    </row>
    <row r="7240" spans="10:10" ht="18.75" customHeight="1" x14ac:dyDescent="0.25">
      <c r="J7240" s="48"/>
    </row>
    <row r="7241" spans="10:10" ht="18.75" customHeight="1" x14ac:dyDescent="0.25">
      <c r="J7241" s="48"/>
    </row>
    <row r="7242" spans="10:10" ht="18.75" customHeight="1" x14ac:dyDescent="0.25">
      <c r="J7242" s="48"/>
    </row>
    <row r="7243" spans="10:10" ht="18.75" customHeight="1" x14ac:dyDescent="0.25">
      <c r="J7243" s="48"/>
    </row>
    <row r="7244" spans="10:10" ht="18.75" customHeight="1" x14ac:dyDescent="0.25">
      <c r="J7244" s="48"/>
    </row>
    <row r="7245" spans="10:10" ht="18.75" customHeight="1" x14ac:dyDescent="0.25">
      <c r="J7245" s="48"/>
    </row>
    <row r="7246" spans="10:10" ht="18.75" customHeight="1" x14ac:dyDescent="0.25">
      <c r="J7246" s="48"/>
    </row>
    <row r="7247" spans="10:10" ht="18.75" customHeight="1" x14ac:dyDescent="0.25">
      <c r="J7247" s="48"/>
    </row>
    <row r="7248" spans="10:10" ht="18.75" customHeight="1" x14ac:dyDescent="0.25">
      <c r="J7248" s="48"/>
    </row>
    <row r="7249" spans="10:10" ht="18.75" customHeight="1" x14ac:dyDescent="0.25">
      <c r="J7249" s="48"/>
    </row>
    <row r="7250" spans="10:10" ht="18.75" customHeight="1" x14ac:dyDescent="0.25">
      <c r="J7250" s="48"/>
    </row>
    <row r="7251" spans="10:10" ht="18.75" customHeight="1" x14ac:dyDescent="0.25">
      <c r="J7251" s="48"/>
    </row>
    <row r="7252" spans="10:10" ht="18.75" customHeight="1" x14ac:dyDescent="0.25">
      <c r="J7252" s="48"/>
    </row>
    <row r="7253" spans="10:10" ht="18.75" customHeight="1" x14ac:dyDescent="0.25">
      <c r="J7253" s="48"/>
    </row>
    <row r="7254" spans="10:10" ht="18.75" customHeight="1" x14ac:dyDescent="0.25">
      <c r="J7254" s="48"/>
    </row>
    <row r="7255" spans="10:10" ht="18.75" customHeight="1" x14ac:dyDescent="0.25">
      <c r="J7255" s="48"/>
    </row>
    <row r="7256" spans="10:10" ht="18.75" customHeight="1" x14ac:dyDescent="0.25">
      <c r="J7256" s="48"/>
    </row>
    <row r="7257" spans="10:10" ht="18.75" customHeight="1" x14ac:dyDescent="0.25">
      <c r="J7257" s="48"/>
    </row>
    <row r="7258" spans="10:10" ht="18.75" customHeight="1" x14ac:dyDescent="0.25">
      <c r="J7258" s="48"/>
    </row>
    <row r="7259" spans="10:10" ht="18.75" customHeight="1" x14ac:dyDescent="0.25">
      <c r="J7259" s="48"/>
    </row>
    <row r="7260" spans="10:10" ht="18.75" customHeight="1" x14ac:dyDescent="0.25">
      <c r="J7260" s="48"/>
    </row>
    <row r="7261" spans="10:10" ht="18.75" customHeight="1" x14ac:dyDescent="0.25">
      <c r="J7261" s="48"/>
    </row>
    <row r="7262" spans="10:10" ht="18.75" customHeight="1" x14ac:dyDescent="0.25">
      <c r="J7262" s="48"/>
    </row>
    <row r="7263" spans="10:10" ht="18.75" customHeight="1" x14ac:dyDescent="0.25">
      <c r="J7263" s="48"/>
    </row>
    <row r="7264" spans="10:10" ht="18.75" customHeight="1" x14ac:dyDescent="0.25">
      <c r="J7264" s="48"/>
    </row>
    <row r="7265" spans="10:10" ht="18.75" customHeight="1" x14ac:dyDescent="0.25">
      <c r="J7265" s="48"/>
    </row>
    <row r="7266" spans="10:10" ht="18.75" customHeight="1" x14ac:dyDescent="0.25">
      <c r="J7266" s="48"/>
    </row>
    <row r="7267" spans="10:10" ht="18.75" customHeight="1" x14ac:dyDescent="0.25">
      <c r="J7267" s="48"/>
    </row>
    <row r="7268" spans="10:10" ht="18.75" customHeight="1" x14ac:dyDescent="0.25">
      <c r="J7268" s="48"/>
    </row>
    <row r="7269" spans="10:10" ht="18.75" customHeight="1" x14ac:dyDescent="0.25">
      <c r="J7269" s="48"/>
    </row>
    <row r="7270" spans="10:10" ht="18.75" customHeight="1" x14ac:dyDescent="0.25">
      <c r="J7270" s="48"/>
    </row>
    <row r="7271" spans="10:10" ht="18.75" customHeight="1" x14ac:dyDescent="0.25">
      <c r="J7271" s="48"/>
    </row>
    <row r="7272" spans="10:10" ht="18.75" customHeight="1" x14ac:dyDescent="0.25">
      <c r="J7272" s="48"/>
    </row>
    <row r="7273" spans="10:10" ht="18.75" customHeight="1" x14ac:dyDescent="0.25">
      <c r="J7273" s="48"/>
    </row>
    <row r="7274" spans="10:10" ht="18.75" customHeight="1" x14ac:dyDescent="0.25">
      <c r="J7274" s="48"/>
    </row>
    <row r="7275" spans="10:10" ht="18.75" customHeight="1" x14ac:dyDescent="0.25">
      <c r="J7275" s="48"/>
    </row>
    <row r="7276" spans="10:10" ht="18.75" customHeight="1" x14ac:dyDescent="0.25">
      <c r="J7276" s="48"/>
    </row>
    <row r="7277" spans="10:10" ht="18.75" customHeight="1" x14ac:dyDescent="0.25">
      <c r="J7277" s="48"/>
    </row>
    <row r="7278" spans="10:10" ht="18.75" customHeight="1" x14ac:dyDescent="0.25">
      <c r="J7278" s="48"/>
    </row>
    <row r="7279" spans="10:10" ht="18.75" customHeight="1" x14ac:dyDescent="0.25">
      <c r="J7279" s="48"/>
    </row>
    <row r="7280" spans="10:10" ht="18.75" customHeight="1" x14ac:dyDescent="0.25">
      <c r="J7280" s="48"/>
    </row>
    <row r="7281" spans="10:10" ht="18.75" customHeight="1" x14ac:dyDescent="0.25">
      <c r="J7281" s="48"/>
    </row>
    <row r="7282" spans="10:10" ht="18.75" customHeight="1" x14ac:dyDescent="0.25">
      <c r="J7282" s="48"/>
    </row>
    <row r="7283" spans="10:10" ht="18.75" customHeight="1" x14ac:dyDescent="0.25">
      <c r="J7283" s="48"/>
    </row>
    <row r="7284" spans="10:10" ht="18.75" customHeight="1" x14ac:dyDescent="0.25">
      <c r="J7284" s="48"/>
    </row>
    <row r="7285" spans="10:10" ht="18.75" customHeight="1" x14ac:dyDescent="0.25">
      <c r="J7285" s="48"/>
    </row>
    <row r="7286" spans="10:10" ht="18.75" customHeight="1" x14ac:dyDescent="0.25">
      <c r="J7286" s="48"/>
    </row>
    <row r="7287" spans="10:10" ht="18.75" customHeight="1" x14ac:dyDescent="0.25">
      <c r="J7287" s="48"/>
    </row>
    <row r="7288" spans="10:10" ht="18.75" customHeight="1" x14ac:dyDescent="0.25">
      <c r="J7288" s="48"/>
    </row>
    <row r="7289" spans="10:10" ht="18.75" customHeight="1" x14ac:dyDescent="0.25">
      <c r="J7289" s="48"/>
    </row>
    <row r="7290" spans="10:10" ht="18.75" customHeight="1" x14ac:dyDescent="0.25">
      <c r="J7290" s="48"/>
    </row>
    <row r="7291" spans="10:10" ht="18.75" customHeight="1" x14ac:dyDescent="0.25">
      <c r="J7291" s="48"/>
    </row>
    <row r="7292" spans="10:10" ht="18.75" customHeight="1" x14ac:dyDescent="0.25">
      <c r="J7292" s="48"/>
    </row>
    <row r="7293" spans="10:10" ht="18.75" customHeight="1" x14ac:dyDescent="0.25">
      <c r="J7293" s="48"/>
    </row>
    <row r="7294" spans="10:10" ht="18.75" customHeight="1" x14ac:dyDescent="0.25">
      <c r="J7294" s="48"/>
    </row>
    <row r="7295" spans="10:10" ht="18.75" customHeight="1" x14ac:dyDescent="0.25">
      <c r="J7295" s="48"/>
    </row>
    <row r="7296" spans="10:10" ht="18.75" customHeight="1" x14ac:dyDescent="0.25">
      <c r="J7296" s="48"/>
    </row>
    <row r="7297" spans="10:10" ht="18.75" customHeight="1" x14ac:dyDescent="0.25">
      <c r="J7297" s="48"/>
    </row>
    <row r="7298" spans="10:10" ht="18.75" customHeight="1" x14ac:dyDescent="0.25">
      <c r="J7298" s="48"/>
    </row>
    <row r="7299" spans="10:10" ht="18.75" customHeight="1" x14ac:dyDescent="0.25">
      <c r="J7299" s="48"/>
    </row>
    <row r="7300" spans="10:10" ht="18.75" customHeight="1" x14ac:dyDescent="0.25">
      <c r="J7300" s="48"/>
    </row>
    <row r="7301" spans="10:10" ht="18.75" customHeight="1" x14ac:dyDescent="0.25">
      <c r="J7301" s="48"/>
    </row>
    <row r="7302" spans="10:10" ht="18.75" customHeight="1" x14ac:dyDescent="0.25">
      <c r="J7302" s="48"/>
    </row>
    <row r="7303" spans="10:10" ht="18.75" customHeight="1" x14ac:dyDescent="0.25">
      <c r="J7303" s="48"/>
    </row>
    <row r="7304" spans="10:10" ht="18.75" customHeight="1" x14ac:dyDescent="0.25">
      <c r="J7304" s="48"/>
    </row>
    <row r="7305" spans="10:10" ht="18.75" customHeight="1" x14ac:dyDescent="0.25">
      <c r="J7305" s="48"/>
    </row>
    <row r="7306" spans="10:10" ht="18.75" customHeight="1" x14ac:dyDescent="0.25">
      <c r="J7306" s="48"/>
    </row>
    <row r="7307" spans="10:10" ht="18.75" customHeight="1" x14ac:dyDescent="0.25">
      <c r="J7307" s="48"/>
    </row>
    <row r="7308" spans="10:10" ht="18.75" customHeight="1" x14ac:dyDescent="0.25">
      <c r="J7308" s="48"/>
    </row>
    <row r="7309" spans="10:10" ht="18.75" customHeight="1" x14ac:dyDescent="0.25">
      <c r="J7309" s="48"/>
    </row>
    <row r="7310" spans="10:10" ht="18.75" customHeight="1" x14ac:dyDescent="0.25">
      <c r="J7310" s="48"/>
    </row>
    <row r="7311" spans="10:10" ht="18.75" customHeight="1" x14ac:dyDescent="0.25">
      <c r="J7311" s="48"/>
    </row>
    <row r="7312" spans="10:10" ht="18.75" customHeight="1" x14ac:dyDescent="0.25">
      <c r="J7312" s="48"/>
    </row>
    <row r="7313" spans="10:10" ht="18.75" customHeight="1" x14ac:dyDescent="0.25">
      <c r="J7313" s="48"/>
    </row>
    <row r="7314" spans="10:10" ht="18.75" customHeight="1" x14ac:dyDescent="0.25">
      <c r="J7314" s="48"/>
    </row>
    <row r="7315" spans="10:10" ht="18.75" customHeight="1" x14ac:dyDescent="0.25">
      <c r="J7315" s="48"/>
    </row>
    <row r="7316" spans="10:10" ht="18.75" customHeight="1" x14ac:dyDescent="0.25">
      <c r="J7316" s="48"/>
    </row>
    <row r="7317" spans="10:10" ht="18.75" customHeight="1" x14ac:dyDescent="0.25">
      <c r="J7317" s="48"/>
    </row>
    <row r="7318" spans="10:10" ht="18.75" customHeight="1" x14ac:dyDescent="0.25">
      <c r="J7318" s="48"/>
    </row>
    <row r="7319" spans="10:10" ht="18.75" customHeight="1" x14ac:dyDescent="0.25">
      <c r="J7319" s="48"/>
    </row>
    <row r="7320" spans="10:10" ht="18.75" customHeight="1" x14ac:dyDescent="0.25">
      <c r="J7320" s="48"/>
    </row>
    <row r="7321" spans="10:10" ht="18.75" customHeight="1" x14ac:dyDescent="0.25">
      <c r="J7321" s="48"/>
    </row>
    <row r="7322" spans="10:10" ht="18.75" customHeight="1" x14ac:dyDescent="0.25">
      <c r="J7322" s="48"/>
    </row>
    <row r="7323" spans="10:10" ht="18.75" customHeight="1" x14ac:dyDescent="0.25">
      <c r="J7323" s="48"/>
    </row>
    <row r="7324" spans="10:10" ht="18.75" customHeight="1" x14ac:dyDescent="0.25">
      <c r="J7324" s="48"/>
    </row>
    <row r="7325" spans="10:10" ht="18.75" customHeight="1" x14ac:dyDescent="0.25">
      <c r="J7325" s="48"/>
    </row>
    <row r="7326" spans="10:10" ht="18.75" customHeight="1" x14ac:dyDescent="0.25">
      <c r="J7326" s="48"/>
    </row>
    <row r="7327" spans="10:10" ht="18.75" customHeight="1" x14ac:dyDescent="0.25">
      <c r="J7327" s="48"/>
    </row>
    <row r="7328" spans="10:10" ht="18.75" customHeight="1" x14ac:dyDescent="0.25">
      <c r="J7328" s="48"/>
    </row>
    <row r="7329" spans="10:10" ht="18.75" customHeight="1" x14ac:dyDescent="0.25">
      <c r="J7329" s="48"/>
    </row>
    <row r="7330" spans="10:10" ht="18.75" customHeight="1" x14ac:dyDescent="0.25">
      <c r="J7330" s="48"/>
    </row>
    <row r="7331" spans="10:10" ht="18.75" customHeight="1" x14ac:dyDescent="0.25">
      <c r="J7331" s="48"/>
    </row>
    <row r="7332" spans="10:10" ht="18.75" customHeight="1" x14ac:dyDescent="0.25">
      <c r="J7332" s="48"/>
    </row>
    <row r="7333" spans="10:10" ht="18.75" customHeight="1" x14ac:dyDescent="0.25">
      <c r="J7333" s="48"/>
    </row>
    <row r="7334" spans="10:10" ht="18.75" customHeight="1" x14ac:dyDescent="0.25">
      <c r="J7334" s="48"/>
    </row>
    <row r="7335" spans="10:10" ht="18.75" customHeight="1" x14ac:dyDescent="0.25">
      <c r="J7335" s="48"/>
    </row>
    <row r="7336" spans="10:10" ht="18.75" customHeight="1" x14ac:dyDescent="0.25">
      <c r="J7336" s="48"/>
    </row>
    <row r="7337" spans="10:10" ht="18.75" customHeight="1" x14ac:dyDescent="0.25">
      <c r="J7337" s="48"/>
    </row>
    <row r="7338" spans="10:10" ht="18.75" customHeight="1" x14ac:dyDescent="0.25">
      <c r="J7338" s="48"/>
    </row>
    <row r="7339" spans="10:10" ht="18.75" customHeight="1" x14ac:dyDescent="0.25">
      <c r="J7339" s="48"/>
    </row>
    <row r="7340" spans="10:10" ht="18.75" customHeight="1" x14ac:dyDescent="0.25">
      <c r="J7340" s="48"/>
    </row>
    <row r="7341" spans="10:10" ht="18.75" customHeight="1" x14ac:dyDescent="0.25">
      <c r="J7341" s="48"/>
    </row>
    <row r="7342" spans="10:10" ht="18.75" customHeight="1" x14ac:dyDescent="0.25">
      <c r="J7342" s="48"/>
    </row>
    <row r="7343" spans="10:10" ht="18.75" customHeight="1" x14ac:dyDescent="0.25">
      <c r="J7343" s="48"/>
    </row>
    <row r="7344" spans="10:10" ht="18.75" customHeight="1" x14ac:dyDescent="0.25">
      <c r="J7344" s="48"/>
    </row>
    <row r="7345" spans="10:10" ht="18.75" customHeight="1" x14ac:dyDescent="0.25">
      <c r="J7345" s="48"/>
    </row>
    <row r="7346" spans="10:10" ht="18.75" customHeight="1" x14ac:dyDescent="0.25">
      <c r="J7346" s="48"/>
    </row>
    <row r="7347" spans="10:10" ht="18.75" customHeight="1" x14ac:dyDescent="0.25">
      <c r="J7347" s="48"/>
    </row>
    <row r="7348" spans="10:10" ht="18.75" customHeight="1" x14ac:dyDescent="0.25">
      <c r="J7348" s="48"/>
    </row>
    <row r="7349" spans="10:10" ht="18.75" customHeight="1" x14ac:dyDescent="0.25">
      <c r="J7349" s="48"/>
    </row>
    <row r="7350" spans="10:10" ht="18.75" customHeight="1" x14ac:dyDescent="0.25">
      <c r="J7350" s="48"/>
    </row>
    <row r="7351" spans="10:10" ht="18.75" customHeight="1" x14ac:dyDescent="0.25">
      <c r="J7351" s="48"/>
    </row>
    <row r="7352" spans="10:10" ht="18.75" customHeight="1" x14ac:dyDescent="0.25">
      <c r="J7352" s="48"/>
    </row>
    <row r="7353" spans="10:10" ht="18.75" customHeight="1" x14ac:dyDescent="0.25">
      <c r="J7353" s="48"/>
    </row>
    <row r="7354" spans="10:10" ht="18.75" customHeight="1" x14ac:dyDescent="0.25">
      <c r="J7354" s="48"/>
    </row>
    <row r="7355" spans="10:10" ht="18.75" customHeight="1" x14ac:dyDescent="0.25">
      <c r="J7355" s="48"/>
    </row>
    <row r="7356" spans="10:10" ht="18.75" customHeight="1" x14ac:dyDescent="0.25">
      <c r="J7356" s="48"/>
    </row>
    <row r="7357" spans="10:10" ht="18.75" customHeight="1" x14ac:dyDescent="0.25">
      <c r="J7357" s="48"/>
    </row>
    <row r="7358" spans="10:10" ht="18.75" customHeight="1" x14ac:dyDescent="0.25">
      <c r="J7358" s="48"/>
    </row>
    <row r="7359" spans="10:10" ht="18.75" customHeight="1" x14ac:dyDescent="0.25">
      <c r="J7359" s="48"/>
    </row>
    <row r="7360" spans="10:10" ht="18.75" customHeight="1" x14ac:dyDescent="0.25">
      <c r="J7360" s="48"/>
    </row>
    <row r="7361" spans="10:10" ht="18.75" customHeight="1" x14ac:dyDescent="0.25">
      <c r="J7361" s="48"/>
    </row>
    <row r="7362" spans="10:10" ht="18.75" customHeight="1" x14ac:dyDescent="0.25">
      <c r="J7362" s="48"/>
    </row>
    <row r="7363" spans="10:10" ht="18.75" customHeight="1" x14ac:dyDescent="0.25">
      <c r="J7363" s="48"/>
    </row>
    <row r="7364" spans="10:10" ht="18.75" customHeight="1" x14ac:dyDescent="0.25">
      <c r="J7364" s="48"/>
    </row>
    <row r="7365" spans="10:10" ht="18.75" customHeight="1" x14ac:dyDescent="0.25">
      <c r="J7365" s="48"/>
    </row>
    <row r="7366" spans="10:10" ht="18.75" customHeight="1" x14ac:dyDescent="0.25">
      <c r="J7366" s="48"/>
    </row>
    <row r="7367" spans="10:10" ht="18.75" customHeight="1" x14ac:dyDescent="0.25">
      <c r="J7367" s="48"/>
    </row>
    <row r="7368" spans="10:10" ht="18.75" customHeight="1" x14ac:dyDescent="0.25">
      <c r="J7368" s="48"/>
    </row>
    <row r="7369" spans="10:10" ht="18.75" customHeight="1" x14ac:dyDescent="0.25">
      <c r="J7369" s="48"/>
    </row>
    <row r="7370" spans="10:10" ht="18.75" customHeight="1" x14ac:dyDescent="0.25">
      <c r="J7370" s="48"/>
    </row>
    <row r="7371" spans="10:10" ht="18.75" customHeight="1" x14ac:dyDescent="0.25">
      <c r="J7371" s="48"/>
    </row>
    <row r="7372" spans="10:10" ht="18.75" customHeight="1" x14ac:dyDescent="0.25">
      <c r="J7372" s="48"/>
    </row>
    <row r="7373" spans="10:10" ht="18.75" customHeight="1" x14ac:dyDescent="0.25">
      <c r="J7373" s="48"/>
    </row>
    <row r="7374" spans="10:10" ht="18.75" customHeight="1" x14ac:dyDescent="0.25">
      <c r="J7374" s="48"/>
    </row>
    <row r="7375" spans="10:10" ht="18.75" customHeight="1" x14ac:dyDescent="0.25">
      <c r="J7375" s="48"/>
    </row>
    <row r="7376" spans="10:10" ht="18.75" customHeight="1" x14ac:dyDescent="0.25">
      <c r="J7376" s="48"/>
    </row>
    <row r="7377" spans="10:10" ht="18.75" customHeight="1" x14ac:dyDescent="0.25">
      <c r="J7377" s="48"/>
    </row>
    <row r="7378" spans="10:10" ht="18.75" customHeight="1" x14ac:dyDescent="0.25">
      <c r="J7378" s="48"/>
    </row>
    <row r="7379" spans="10:10" ht="18.75" customHeight="1" x14ac:dyDescent="0.25">
      <c r="J7379" s="48"/>
    </row>
    <row r="7380" spans="10:10" ht="18.75" customHeight="1" x14ac:dyDescent="0.25">
      <c r="J7380" s="48"/>
    </row>
    <row r="7381" spans="10:10" ht="18.75" customHeight="1" x14ac:dyDescent="0.25">
      <c r="J7381" s="48"/>
    </row>
    <row r="7382" spans="10:10" ht="18.75" customHeight="1" x14ac:dyDescent="0.25">
      <c r="J7382" s="48"/>
    </row>
    <row r="7383" spans="10:10" ht="18.75" customHeight="1" x14ac:dyDescent="0.25">
      <c r="J7383" s="48"/>
    </row>
    <row r="7384" spans="10:10" ht="18.75" customHeight="1" x14ac:dyDescent="0.25">
      <c r="J7384" s="48"/>
    </row>
    <row r="7385" spans="10:10" ht="18.75" customHeight="1" x14ac:dyDescent="0.25">
      <c r="J7385" s="48"/>
    </row>
    <row r="7386" spans="10:10" ht="18.75" customHeight="1" x14ac:dyDescent="0.25">
      <c r="J7386" s="48"/>
    </row>
    <row r="7387" spans="10:10" ht="18.75" customHeight="1" x14ac:dyDescent="0.25">
      <c r="J7387" s="48"/>
    </row>
    <row r="7388" spans="10:10" ht="18.75" customHeight="1" x14ac:dyDescent="0.25">
      <c r="J7388" s="48"/>
    </row>
    <row r="7389" spans="10:10" ht="18.75" customHeight="1" x14ac:dyDescent="0.25">
      <c r="J7389" s="48"/>
    </row>
    <row r="7390" spans="10:10" ht="18.75" customHeight="1" x14ac:dyDescent="0.25">
      <c r="J7390" s="48"/>
    </row>
    <row r="7391" spans="10:10" ht="18.75" customHeight="1" x14ac:dyDescent="0.25">
      <c r="J7391" s="48"/>
    </row>
    <row r="7392" spans="10:10" ht="18.75" customHeight="1" x14ac:dyDescent="0.25">
      <c r="J7392" s="48"/>
    </row>
    <row r="7393" spans="10:10" ht="18.75" customHeight="1" x14ac:dyDescent="0.25">
      <c r="J7393" s="48"/>
    </row>
    <row r="7394" spans="10:10" ht="18.75" customHeight="1" x14ac:dyDescent="0.25">
      <c r="J7394" s="48"/>
    </row>
    <row r="7395" spans="10:10" ht="18.75" customHeight="1" x14ac:dyDescent="0.25">
      <c r="J7395" s="48"/>
    </row>
    <row r="7396" spans="10:10" ht="18.75" customHeight="1" x14ac:dyDescent="0.25">
      <c r="J7396" s="48"/>
    </row>
    <row r="7397" spans="10:10" ht="18.75" customHeight="1" x14ac:dyDescent="0.25">
      <c r="J7397" s="48"/>
    </row>
    <row r="7398" spans="10:10" ht="18.75" customHeight="1" x14ac:dyDescent="0.25">
      <c r="J7398" s="48"/>
    </row>
    <row r="7399" spans="10:10" ht="18.75" customHeight="1" x14ac:dyDescent="0.25">
      <c r="J7399" s="48"/>
    </row>
    <row r="7400" spans="10:10" ht="18.75" customHeight="1" x14ac:dyDescent="0.25">
      <c r="J7400" s="48"/>
    </row>
    <row r="7401" spans="10:10" ht="18.75" customHeight="1" x14ac:dyDescent="0.25">
      <c r="J7401" s="48"/>
    </row>
    <row r="7402" spans="10:10" ht="18.75" customHeight="1" x14ac:dyDescent="0.25">
      <c r="J7402" s="48"/>
    </row>
    <row r="7403" spans="10:10" ht="18.75" customHeight="1" x14ac:dyDescent="0.25">
      <c r="J7403" s="48"/>
    </row>
    <row r="7404" spans="10:10" ht="18.75" customHeight="1" x14ac:dyDescent="0.25">
      <c r="J7404" s="48"/>
    </row>
    <row r="7405" spans="10:10" ht="18.75" customHeight="1" x14ac:dyDescent="0.25">
      <c r="J7405" s="48"/>
    </row>
    <row r="7406" spans="10:10" ht="18.75" customHeight="1" x14ac:dyDescent="0.25">
      <c r="J7406" s="48"/>
    </row>
    <row r="7407" spans="10:10" ht="18.75" customHeight="1" x14ac:dyDescent="0.25">
      <c r="J7407" s="48"/>
    </row>
    <row r="7408" spans="10:10" ht="18.75" customHeight="1" x14ac:dyDescent="0.25">
      <c r="J7408" s="48"/>
    </row>
    <row r="7409" spans="10:10" ht="18.75" customHeight="1" x14ac:dyDescent="0.25">
      <c r="J7409" s="48"/>
    </row>
    <row r="7410" spans="10:10" ht="18.75" customHeight="1" x14ac:dyDescent="0.25">
      <c r="J7410" s="48"/>
    </row>
    <row r="7411" spans="10:10" ht="18.75" customHeight="1" x14ac:dyDescent="0.25">
      <c r="J7411" s="48"/>
    </row>
    <row r="7412" spans="10:10" ht="18.75" customHeight="1" x14ac:dyDescent="0.25">
      <c r="J7412" s="48"/>
    </row>
    <row r="7413" spans="10:10" ht="18.75" customHeight="1" x14ac:dyDescent="0.25">
      <c r="J7413" s="48"/>
    </row>
    <row r="7414" spans="10:10" ht="18.75" customHeight="1" x14ac:dyDescent="0.25">
      <c r="J7414" s="48"/>
    </row>
    <row r="7415" spans="10:10" ht="18.75" customHeight="1" x14ac:dyDescent="0.25">
      <c r="J7415" s="48"/>
    </row>
    <row r="7416" spans="10:10" ht="18.75" customHeight="1" x14ac:dyDescent="0.25">
      <c r="J7416" s="48"/>
    </row>
    <row r="7417" spans="10:10" ht="18.75" customHeight="1" x14ac:dyDescent="0.25">
      <c r="J7417" s="48"/>
    </row>
    <row r="7418" spans="10:10" ht="18.75" customHeight="1" x14ac:dyDescent="0.25">
      <c r="J7418" s="48"/>
    </row>
    <row r="7419" spans="10:10" ht="18.75" customHeight="1" x14ac:dyDescent="0.25">
      <c r="J7419" s="48"/>
    </row>
    <row r="7420" spans="10:10" ht="18.75" customHeight="1" x14ac:dyDescent="0.25">
      <c r="J7420" s="48"/>
    </row>
    <row r="7421" spans="10:10" ht="18.75" customHeight="1" x14ac:dyDescent="0.25">
      <c r="J7421" s="48"/>
    </row>
    <row r="7422" spans="10:10" ht="18.75" customHeight="1" x14ac:dyDescent="0.25">
      <c r="J7422" s="48"/>
    </row>
    <row r="7423" spans="10:10" ht="18.75" customHeight="1" x14ac:dyDescent="0.25">
      <c r="J7423" s="48"/>
    </row>
    <row r="7424" spans="10:10" ht="18.75" customHeight="1" x14ac:dyDescent="0.25">
      <c r="J7424" s="48"/>
    </row>
    <row r="7425" spans="10:10" ht="18.75" customHeight="1" x14ac:dyDescent="0.25">
      <c r="J7425" s="48"/>
    </row>
    <row r="7426" spans="10:10" ht="18.75" customHeight="1" x14ac:dyDescent="0.25">
      <c r="J7426" s="48"/>
    </row>
    <row r="7427" spans="10:10" ht="18.75" customHeight="1" x14ac:dyDescent="0.25">
      <c r="J7427" s="48"/>
    </row>
    <row r="7428" spans="10:10" ht="18.75" customHeight="1" x14ac:dyDescent="0.25">
      <c r="J7428" s="48"/>
    </row>
    <row r="7429" spans="10:10" ht="18.75" customHeight="1" x14ac:dyDescent="0.25">
      <c r="J7429" s="48"/>
    </row>
    <row r="7430" spans="10:10" ht="18.75" customHeight="1" x14ac:dyDescent="0.25">
      <c r="J7430" s="48"/>
    </row>
    <row r="7431" spans="10:10" ht="18.75" customHeight="1" x14ac:dyDescent="0.25">
      <c r="J7431" s="48"/>
    </row>
    <row r="7432" spans="10:10" ht="18.75" customHeight="1" x14ac:dyDescent="0.25">
      <c r="J7432" s="48"/>
    </row>
    <row r="7433" spans="10:10" ht="18.75" customHeight="1" x14ac:dyDescent="0.25">
      <c r="J7433" s="48"/>
    </row>
    <row r="7434" spans="10:10" ht="18.75" customHeight="1" x14ac:dyDescent="0.25">
      <c r="J7434" s="48"/>
    </row>
    <row r="7435" spans="10:10" ht="18.75" customHeight="1" x14ac:dyDescent="0.25">
      <c r="J7435" s="48"/>
    </row>
    <row r="7436" spans="10:10" ht="18.75" customHeight="1" x14ac:dyDescent="0.25">
      <c r="J7436" s="48"/>
    </row>
    <row r="7437" spans="10:10" ht="18.75" customHeight="1" x14ac:dyDescent="0.25">
      <c r="J7437" s="48"/>
    </row>
    <row r="7438" spans="10:10" ht="18.75" customHeight="1" x14ac:dyDescent="0.25">
      <c r="J7438" s="48"/>
    </row>
    <row r="7439" spans="10:10" ht="18.75" customHeight="1" x14ac:dyDescent="0.25">
      <c r="J7439" s="48"/>
    </row>
    <row r="7440" spans="10:10" ht="18.75" customHeight="1" x14ac:dyDescent="0.25">
      <c r="J7440" s="48"/>
    </row>
    <row r="7441" spans="10:10" ht="18.75" customHeight="1" x14ac:dyDescent="0.25">
      <c r="J7441" s="48"/>
    </row>
    <row r="7442" spans="10:10" ht="18.75" customHeight="1" x14ac:dyDescent="0.25">
      <c r="J7442" s="48"/>
    </row>
    <row r="7443" spans="10:10" ht="18.75" customHeight="1" x14ac:dyDescent="0.25">
      <c r="J7443" s="48"/>
    </row>
    <row r="7444" spans="10:10" ht="18.75" customHeight="1" x14ac:dyDescent="0.25">
      <c r="J7444" s="48"/>
    </row>
    <row r="7445" spans="10:10" ht="18.75" customHeight="1" x14ac:dyDescent="0.25">
      <c r="J7445" s="48"/>
    </row>
    <row r="7446" spans="10:10" ht="18.75" customHeight="1" x14ac:dyDescent="0.25">
      <c r="J7446" s="48"/>
    </row>
    <row r="7447" spans="10:10" ht="18.75" customHeight="1" x14ac:dyDescent="0.25">
      <c r="J7447" s="48"/>
    </row>
    <row r="7448" spans="10:10" ht="18.75" customHeight="1" x14ac:dyDescent="0.25">
      <c r="J7448" s="48"/>
    </row>
    <row r="7449" spans="10:10" ht="18.75" customHeight="1" x14ac:dyDescent="0.25">
      <c r="J7449" s="48"/>
    </row>
    <row r="7450" spans="10:10" ht="18.75" customHeight="1" x14ac:dyDescent="0.25">
      <c r="J7450" s="48"/>
    </row>
    <row r="7451" spans="10:10" ht="18.75" customHeight="1" x14ac:dyDescent="0.25">
      <c r="J7451" s="48"/>
    </row>
    <row r="7452" spans="10:10" ht="18.75" customHeight="1" x14ac:dyDescent="0.25">
      <c r="J7452" s="48"/>
    </row>
    <row r="7453" spans="10:10" ht="18.75" customHeight="1" x14ac:dyDescent="0.25">
      <c r="J7453" s="48"/>
    </row>
    <row r="7454" spans="10:10" ht="18.75" customHeight="1" x14ac:dyDescent="0.25">
      <c r="J7454" s="48"/>
    </row>
    <row r="7455" spans="10:10" ht="18.75" customHeight="1" x14ac:dyDescent="0.25">
      <c r="J7455" s="48"/>
    </row>
    <row r="7456" spans="10:10" ht="18.75" customHeight="1" x14ac:dyDescent="0.25">
      <c r="J7456" s="48"/>
    </row>
    <row r="7457" spans="10:10" ht="18.75" customHeight="1" x14ac:dyDescent="0.25">
      <c r="J7457" s="48"/>
    </row>
    <row r="7458" spans="10:10" ht="18.75" customHeight="1" x14ac:dyDescent="0.25">
      <c r="J7458" s="48"/>
    </row>
    <row r="7459" spans="10:10" ht="18.75" customHeight="1" x14ac:dyDescent="0.25">
      <c r="J7459" s="48"/>
    </row>
    <row r="7460" spans="10:10" ht="18.75" customHeight="1" x14ac:dyDescent="0.25">
      <c r="J7460" s="48"/>
    </row>
    <row r="7461" spans="10:10" ht="18.75" customHeight="1" x14ac:dyDescent="0.25">
      <c r="J7461" s="48"/>
    </row>
    <row r="7462" spans="10:10" ht="18.75" customHeight="1" x14ac:dyDescent="0.25">
      <c r="J7462" s="48"/>
    </row>
    <row r="7463" spans="10:10" ht="18.75" customHeight="1" x14ac:dyDescent="0.25">
      <c r="J7463" s="48"/>
    </row>
    <row r="7464" spans="10:10" ht="18.75" customHeight="1" x14ac:dyDescent="0.25">
      <c r="J7464" s="48"/>
    </row>
    <row r="7465" spans="10:10" ht="18.75" customHeight="1" x14ac:dyDescent="0.25">
      <c r="J7465" s="48"/>
    </row>
    <row r="7466" spans="10:10" ht="18.75" customHeight="1" x14ac:dyDescent="0.25">
      <c r="J7466" s="48"/>
    </row>
    <row r="7467" spans="10:10" ht="18.75" customHeight="1" x14ac:dyDescent="0.25">
      <c r="J7467" s="48"/>
    </row>
    <row r="7468" spans="10:10" ht="18.75" customHeight="1" x14ac:dyDescent="0.25">
      <c r="J7468" s="48"/>
    </row>
    <row r="7469" spans="10:10" ht="18.75" customHeight="1" x14ac:dyDescent="0.25">
      <c r="J7469" s="48"/>
    </row>
    <row r="7470" spans="10:10" ht="18.75" customHeight="1" x14ac:dyDescent="0.25">
      <c r="J7470" s="48"/>
    </row>
    <row r="7471" spans="10:10" ht="18.75" customHeight="1" x14ac:dyDescent="0.25">
      <c r="J7471" s="48"/>
    </row>
    <row r="7472" spans="10:10" ht="18.75" customHeight="1" x14ac:dyDescent="0.25">
      <c r="J7472" s="48"/>
    </row>
    <row r="7473" spans="10:10" ht="18.75" customHeight="1" x14ac:dyDescent="0.25">
      <c r="J7473" s="48"/>
    </row>
    <row r="7474" spans="10:10" ht="18.75" customHeight="1" x14ac:dyDescent="0.25">
      <c r="J7474" s="48"/>
    </row>
    <row r="7475" spans="10:10" ht="18.75" customHeight="1" x14ac:dyDescent="0.25">
      <c r="J7475" s="48"/>
    </row>
    <row r="7476" spans="10:10" ht="18.75" customHeight="1" x14ac:dyDescent="0.25">
      <c r="J7476" s="48"/>
    </row>
    <row r="7477" spans="10:10" ht="18.75" customHeight="1" x14ac:dyDescent="0.25">
      <c r="J7477" s="48"/>
    </row>
    <row r="7478" spans="10:10" ht="18.75" customHeight="1" x14ac:dyDescent="0.25">
      <c r="J7478" s="48"/>
    </row>
    <row r="7479" spans="10:10" ht="18.75" customHeight="1" x14ac:dyDescent="0.25">
      <c r="J7479" s="48"/>
    </row>
    <row r="7480" spans="10:10" ht="18.75" customHeight="1" x14ac:dyDescent="0.25">
      <c r="J7480" s="48"/>
    </row>
    <row r="7481" spans="10:10" ht="18.75" customHeight="1" x14ac:dyDescent="0.25">
      <c r="J7481" s="48"/>
    </row>
    <row r="7482" spans="10:10" ht="18.75" customHeight="1" x14ac:dyDescent="0.25">
      <c r="J7482" s="48"/>
    </row>
    <row r="7483" spans="10:10" ht="18.75" customHeight="1" x14ac:dyDescent="0.25">
      <c r="J7483" s="48"/>
    </row>
    <row r="7484" spans="10:10" ht="18.75" customHeight="1" x14ac:dyDescent="0.25">
      <c r="J7484" s="48"/>
    </row>
    <row r="7485" spans="10:10" ht="18.75" customHeight="1" x14ac:dyDescent="0.25">
      <c r="J7485" s="48"/>
    </row>
    <row r="7486" spans="10:10" ht="18.75" customHeight="1" x14ac:dyDescent="0.25">
      <c r="J7486" s="48"/>
    </row>
    <row r="7487" spans="10:10" ht="18.75" customHeight="1" x14ac:dyDescent="0.25">
      <c r="J7487" s="48"/>
    </row>
    <row r="7488" spans="10:10" ht="18.75" customHeight="1" x14ac:dyDescent="0.25">
      <c r="J7488" s="48"/>
    </row>
    <row r="7489" spans="10:10" ht="18.75" customHeight="1" x14ac:dyDescent="0.25">
      <c r="J7489" s="48"/>
    </row>
    <row r="7490" spans="10:10" ht="18.75" customHeight="1" x14ac:dyDescent="0.25">
      <c r="J7490" s="48"/>
    </row>
    <row r="7491" spans="10:10" ht="18.75" customHeight="1" x14ac:dyDescent="0.25">
      <c r="J7491" s="48"/>
    </row>
    <row r="7492" spans="10:10" ht="18.75" customHeight="1" x14ac:dyDescent="0.25">
      <c r="J7492" s="48"/>
    </row>
    <row r="7493" spans="10:10" ht="18.75" customHeight="1" x14ac:dyDescent="0.25">
      <c r="J7493" s="48"/>
    </row>
    <row r="7494" spans="10:10" ht="18.75" customHeight="1" x14ac:dyDescent="0.25">
      <c r="J7494" s="48"/>
    </row>
    <row r="7495" spans="10:10" ht="18.75" customHeight="1" x14ac:dyDescent="0.25">
      <c r="J7495" s="48"/>
    </row>
    <row r="7496" spans="10:10" ht="18.75" customHeight="1" x14ac:dyDescent="0.25">
      <c r="J7496" s="48"/>
    </row>
    <row r="7497" spans="10:10" ht="18.75" customHeight="1" x14ac:dyDescent="0.25">
      <c r="J7497" s="48"/>
    </row>
    <row r="7498" spans="10:10" ht="18.75" customHeight="1" x14ac:dyDescent="0.25">
      <c r="J7498" s="48"/>
    </row>
    <row r="7499" spans="10:10" ht="18.75" customHeight="1" x14ac:dyDescent="0.25">
      <c r="J7499" s="48"/>
    </row>
    <row r="7500" spans="10:10" ht="18.75" customHeight="1" x14ac:dyDescent="0.25">
      <c r="J7500" s="48"/>
    </row>
    <row r="7501" spans="10:10" ht="18.75" customHeight="1" x14ac:dyDescent="0.25">
      <c r="J7501" s="48"/>
    </row>
    <row r="7502" spans="10:10" ht="18.75" customHeight="1" x14ac:dyDescent="0.25">
      <c r="J7502" s="48"/>
    </row>
    <row r="7503" spans="10:10" ht="18.75" customHeight="1" x14ac:dyDescent="0.25">
      <c r="J7503" s="48"/>
    </row>
    <row r="7504" spans="10:10" ht="18.75" customHeight="1" x14ac:dyDescent="0.25">
      <c r="J7504" s="48"/>
    </row>
    <row r="7505" spans="10:10" ht="18.75" customHeight="1" x14ac:dyDescent="0.25">
      <c r="J7505" s="48"/>
    </row>
    <row r="7506" spans="10:10" ht="18.75" customHeight="1" x14ac:dyDescent="0.25">
      <c r="J7506" s="48"/>
    </row>
    <row r="7507" spans="10:10" ht="18.75" customHeight="1" x14ac:dyDescent="0.25">
      <c r="J7507" s="48"/>
    </row>
    <row r="7508" spans="10:10" ht="18.75" customHeight="1" x14ac:dyDescent="0.25">
      <c r="J7508" s="48"/>
    </row>
    <row r="7509" spans="10:10" ht="18.75" customHeight="1" x14ac:dyDescent="0.25">
      <c r="J7509" s="48"/>
    </row>
    <row r="7510" spans="10:10" ht="18.75" customHeight="1" x14ac:dyDescent="0.25">
      <c r="J7510" s="48"/>
    </row>
    <row r="7511" spans="10:10" ht="18.75" customHeight="1" x14ac:dyDescent="0.25">
      <c r="J7511" s="48"/>
    </row>
    <row r="7512" spans="10:10" ht="18.75" customHeight="1" x14ac:dyDescent="0.25">
      <c r="J7512" s="48"/>
    </row>
    <row r="7513" spans="10:10" ht="18.75" customHeight="1" x14ac:dyDescent="0.25">
      <c r="J7513" s="48"/>
    </row>
    <row r="7514" spans="10:10" ht="18.75" customHeight="1" x14ac:dyDescent="0.25">
      <c r="J7514" s="48"/>
    </row>
    <row r="7515" spans="10:10" ht="18.75" customHeight="1" x14ac:dyDescent="0.25">
      <c r="J7515" s="48"/>
    </row>
    <row r="7516" spans="10:10" ht="18.75" customHeight="1" x14ac:dyDescent="0.25">
      <c r="J7516" s="48"/>
    </row>
    <row r="7517" spans="10:10" ht="18.75" customHeight="1" x14ac:dyDescent="0.25">
      <c r="J7517" s="48"/>
    </row>
    <row r="7518" spans="10:10" ht="18.75" customHeight="1" x14ac:dyDescent="0.25">
      <c r="J7518" s="48"/>
    </row>
    <row r="7519" spans="10:10" ht="18.75" customHeight="1" x14ac:dyDescent="0.25">
      <c r="J7519" s="48"/>
    </row>
    <row r="7520" spans="10:10" ht="18.75" customHeight="1" x14ac:dyDescent="0.25">
      <c r="J7520" s="48"/>
    </row>
    <row r="7521" spans="10:10" ht="18.75" customHeight="1" x14ac:dyDescent="0.25">
      <c r="J7521" s="48"/>
    </row>
    <row r="7522" spans="10:10" ht="18.75" customHeight="1" x14ac:dyDescent="0.25">
      <c r="J7522" s="48"/>
    </row>
    <row r="7523" spans="10:10" ht="18.75" customHeight="1" x14ac:dyDescent="0.25">
      <c r="J7523" s="48"/>
    </row>
    <row r="7524" spans="10:10" ht="18.75" customHeight="1" x14ac:dyDescent="0.25">
      <c r="J7524" s="48"/>
    </row>
    <row r="7525" spans="10:10" ht="18.75" customHeight="1" x14ac:dyDescent="0.25">
      <c r="J7525" s="48"/>
    </row>
    <row r="7526" spans="10:10" ht="18.75" customHeight="1" x14ac:dyDescent="0.25">
      <c r="J7526" s="48"/>
    </row>
    <row r="7527" spans="10:10" ht="18.75" customHeight="1" x14ac:dyDescent="0.25">
      <c r="J7527" s="48"/>
    </row>
    <row r="7528" spans="10:10" ht="18.75" customHeight="1" x14ac:dyDescent="0.25">
      <c r="J7528" s="48"/>
    </row>
    <row r="7529" spans="10:10" ht="18.75" customHeight="1" x14ac:dyDescent="0.25">
      <c r="J7529" s="48"/>
    </row>
    <row r="7530" spans="10:10" ht="18.75" customHeight="1" x14ac:dyDescent="0.25">
      <c r="J7530" s="48"/>
    </row>
    <row r="7531" spans="10:10" ht="18.75" customHeight="1" x14ac:dyDescent="0.25">
      <c r="J7531" s="48"/>
    </row>
    <row r="7532" spans="10:10" ht="18.75" customHeight="1" x14ac:dyDescent="0.25">
      <c r="J7532" s="48"/>
    </row>
    <row r="7533" spans="10:10" ht="18.75" customHeight="1" x14ac:dyDescent="0.25">
      <c r="J7533" s="48"/>
    </row>
    <row r="7534" spans="10:10" ht="18.75" customHeight="1" x14ac:dyDescent="0.25">
      <c r="J7534" s="48"/>
    </row>
    <row r="7535" spans="10:10" ht="18.75" customHeight="1" x14ac:dyDescent="0.25">
      <c r="J7535" s="48"/>
    </row>
    <row r="7536" spans="10:10" ht="18.75" customHeight="1" x14ac:dyDescent="0.25">
      <c r="J7536" s="48"/>
    </row>
    <row r="7537" spans="10:10" ht="18.75" customHeight="1" x14ac:dyDescent="0.25">
      <c r="J7537" s="48"/>
    </row>
    <row r="7538" spans="10:10" ht="18.75" customHeight="1" x14ac:dyDescent="0.25">
      <c r="J7538" s="48"/>
    </row>
    <row r="7539" spans="10:10" ht="18.75" customHeight="1" x14ac:dyDescent="0.25">
      <c r="J7539" s="48"/>
    </row>
    <row r="7540" spans="10:10" ht="18.75" customHeight="1" x14ac:dyDescent="0.25">
      <c r="J7540" s="48"/>
    </row>
    <row r="7541" spans="10:10" ht="18.75" customHeight="1" x14ac:dyDescent="0.25">
      <c r="J7541" s="48"/>
    </row>
    <row r="7542" spans="10:10" ht="18.75" customHeight="1" x14ac:dyDescent="0.25">
      <c r="J7542" s="48"/>
    </row>
    <row r="7543" spans="10:10" ht="18.75" customHeight="1" x14ac:dyDescent="0.25">
      <c r="J7543" s="48"/>
    </row>
    <row r="7544" spans="10:10" ht="18.75" customHeight="1" x14ac:dyDescent="0.25">
      <c r="J7544" s="48"/>
    </row>
    <row r="7545" spans="10:10" ht="18.75" customHeight="1" x14ac:dyDescent="0.25">
      <c r="J7545" s="48"/>
    </row>
    <row r="7546" spans="10:10" ht="18.75" customHeight="1" x14ac:dyDescent="0.25">
      <c r="J7546" s="48"/>
    </row>
    <row r="7547" spans="10:10" ht="18.75" customHeight="1" x14ac:dyDescent="0.25">
      <c r="J7547" s="48"/>
    </row>
    <row r="7548" spans="10:10" ht="18.75" customHeight="1" x14ac:dyDescent="0.25">
      <c r="J7548" s="48"/>
    </row>
    <row r="7549" spans="10:10" ht="18.75" customHeight="1" x14ac:dyDescent="0.25">
      <c r="J7549" s="48"/>
    </row>
    <row r="7550" spans="10:10" ht="18.75" customHeight="1" x14ac:dyDescent="0.25">
      <c r="J7550" s="48"/>
    </row>
    <row r="7551" spans="10:10" ht="18.75" customHeight="1" x14ac:dyDescent="0.25">
      <c r="J7551" s="48"/>
    </row>
    <row r="7552" spans="10:10" ht="18.75" customHeight="1" x14ac:dyDescent="0.25">
      <c r="J7552" s="48"/>
    </row>
    <row r="7553" spans="10:10" ht="18.75" customHeight="1" x14ac:dyDescent="0.25">
      <c r="J7553" s="48"/>
    </row>
    <row r="7554" spans="10:10" ht="18.75" customHeight="1" x14ac:dyDescent="0.25">
      <c r="J7554" s="48"/>
    </row>
    <row r="7555" spans="10:10" ht="18.75" customHeight="1" x14ac:dyDescent="0.25">
      <c r="J7555" s="48"/>
    </row>
    <row r="7556" spans="10:10" ht="18.75" customHeight="1" x14ac:dyDescent="0.25">
      <c r="J7556" s="48"/>
    </row>
    <row r="7557" spans="10:10" ht="18.75" customHeight="1" x14ac:dyDescent="0.25">
      <c r="J7557" s="48"/>
    </row>
    <row r="7558" spans="10:10" ht="18.75" customHeight="1" x14ac:dyDescent="0.25">
      <c r="J7558" s="48"/>
    </row>
    <row r="7559" spans="10:10" ht="18.75" customHeight="1" x14ac:dyDescent="0.25">
      <c r="J7559" s="48"/>
    </row>
    <row r="7560" spans="10:10" ht="18.75" customHeight="1" x14ac:dyDescent="0.25">
      <c r="J7560" s="48"/>
    </row>
    <row r="7561" spans="10:10" ht="18.75" customHeight="1" x14ac:dyDescent="0.25">
      <c r="J7561" s="48"/>
    </row>
    <row r="7562" spans="10:10" ht="18.75" customHeight="1" x14ac:dyDescent="0.25">
      <c r="J7562" s="48"/>
    </row>
    <row r="7563" spans="10:10" ht="18.75" customHeight="1" x14ac:dyDescent="0.25">
      <c r="J7563" s="48"/>
    </row>
    <row r="7564" spans="10:10" ht="18.75" customHeight="1" x14ac:dyDescent="0.25">
      <c r="J7564" s="48"/>
    </row>
    <row r="7565" spans="10:10" ht="18.75" customHeight="1" x14ac:dyDescent="0.25">
      <c r="J7565" s="48"/>
    </row>
    <row r="7566" spans="10:10" ht="18.75" customHeight="1" x14ac:dyDescent="0.25">
      <c r="J7566" s="48"/>
    </row>
    <row r="7567" spans="10:10" ht="18.75" customHeight="1" x14ac:dyDescent="0.25">
      <c r="J7567" s="48"/>
    </row>
    <row r="7568" spans="10:10" ht="18.75" customHeight="1" x14ac:dyDescent="0.25">
      <c r="J7568" s="48"/>
    </row>
    <row r="7569" spans="10:10" ht="18.75" customHeight="1" x14ac:dyDescent="0.25">
      <c r="J7569" s="48"/>
    </row>
    <row r="7570" spans="10:10" ht="18.75" customHeight="1" x14ac:dyDescent="0.25">
      <c r="J7570" s="48"/>
    </row>
    <row r="7571" spans="10:10" ht="18.75" customHeight="1" x14ac:dyDescent="0.25">
      <c r="J7571" s="48"/>
    </row>
    <row r="7572" spans="10:10" ht="18.75" customHeight="1" x14ac:dyDescent="0.25">
      <c r="J7572" s="48"/>
    </row>
    <row r="7573" spans="10:10" ht="18.75" customHeight="1" x14ac:dyDescent="0.25">
      <c r="J7573" s="48"/>
    </row>
    <row r="7574" spans="10:10" ht="18.75" customHeight="1" x14ac:dyDescent="0.25">
      <c r="J7574" s="48"/>
    </row>
    <row r="7575" spans="10:10" ht="18.75" customHeight="1" x14ac:dyDescent="0.25">
      <c r="J7575" s="48"/>
    </row>
    <row r="7576" spans="10:10" ht="18.75" customHeight="1" x14ac:dyDescent="0.25">
      <c r="J7576" s="48"/>
    </row>
    <row r="7577" spans="10:10" ht="18.75" customHeight="1" x14ac:dyDescent="0.25">
      <c r="J7577" s="48"/>
    </row>
    <row r="7578" spans="10:10" ht="18.75" customHeight="1" x14ac:dyDescent="0.25">
      <c r="J7578" s="48"/>
    </row>
    <row r="7579" spans="10:10" ht="18.75" customHeight="1" x14ac:dyDescent="0.25">
      <c r="J7579" s="48"/>
    </row>
    <row r="7580" spans="10:10" ht="18.75" customHeight="1" x14ac:dyDescent="0.25">
      <c r="J7580" s="48"/>
    </row>
    <row r="7581" spans="10:10" ht="18.75" customHeight="1" x14ac:dyDescent="0.25">
      <c r="J7581" s="48"/>
    </row>
    <row r="7582" spans="10:10" ht="18.75" customHeight="1" x14ac:dyDescent="0.25">
      <c r="J7582" s="48"/>
    </row>
    <row r="7583" spans="10:10" ht="18.75" customHeight="1" x14ac:dyDescent="0.25">
      <c r="J7583" s="48"/>
    </row>
    <row r="7584" spans="10:10" ht="18.75" customHeight="1" x14ac:dyDescent="0.25">
      <c r="J7584" s="48"/>
    </row>
    <row r="7585" spans="10:10" ht="18.75" customHeight="1" x14ac:dyDescent="0.25">
      <c r="J7585" s="48"/>
    </row>
    <row r="7586" spans="10:10" ht="18.75" customHeight="1" x14ac:dyDescent="0.25">
      <c r="J7586" s="48"/>
    </row>
    <row r="7587" spans="10:10" ht="18.75" customHeight="1" x14ac:dyDescent="0.25">
      <c r="J7587" s="48"/>
    </row>
    <row r="7588" spans="10:10" ht="18.75" customHeight="1" x14ac:dyDescent="0.25">
      <c r="J7588" s="48"/>
    </row>
    <row r="7589" spans="10:10" ht="18.75" customHeight="1" x14ac:dyDescent="0.25">
      <c r="J7589" s="48"/>
    </row>
    <row r="7590" spans="10:10" ht="18.75" customHeight="1" x14ac:dyDescent="0.25">
      <c r="J7590" s="48"/>
    </row>
    <row r="7591" spans="10:10" ht="18.75" customHeight="1" x14ac:dyDescent="0.25">
      <c r="J7591" s="48"/>
    </row>
    <row r="7592" spans="10:10" ht="18.75" customHeight="1" x14ac:dyDescent="0.25">
      <c r="J7592" s="48"/>
    </row>
    <row r="7593" spans="10:10" ht="18.75" customHeight="1" x14ac:dyDescent="0.25">
      <c r="J7593" s="48"/>
    </row>
    <row r="7594" spans="10:10" ht="18.75" customHeight="1" x14ac:dyDescent="0.25">
      <c r="J7594" s="48"/>
    </row>
    <row r="7595" spans="10:10" ht="18.75" customHeight="1" x14ac:dyDescent="0.25">
      <c r="J7595" s="48"/>
    </row>
    <row r="7596" spans="10:10" ht="18.75" customHeight="1" x14ac:dyDescent="0.25">
      <c r="J7596" s="48"/>
    </row>
    <row r="7597" spans="10:10" ht="18.75" customHeight="1" x14ac:dyDescent="0.25">
      <c r="J7597" s="48"/>
    </row>
    <row r="7598" spans="10:10" ht="18.75" customHeight="1" x14ac:dyDescent="0.25">
      <c r="J7598" s="48"/>
    </row>
    <row r="7599" spans="10:10" ht="18.75" customHeight="1" x14ac:dyDescent="0.25">
      <c r="J7599" s="48"/>
    </row>
    <row r="7600" spans="10:10" ht="18.75" customHeight="1" x14ac:dyDescent="0.25">
      <c r="J7600" s="48"/>
    </row>
    <row r="7601" spans="10:10" ht="18.75" customHeight="1" x14ac:dyDescent="0.25">
      <c r="J7601" s="48"/>
    </row>
    <row r="7602" spans="10:10" ht="18.75" customHeight="1" x14ac:dyDescent="0.25">
      <c r="J7602" s="48"/>
    </row>
    <row r="7603" spans="10:10" ht="18.75" customHeight="1" x14ac:dyDescent="0.25">
      <c r="J7603" s="48"/>
    </row>
    <row r="7604" spans="10:10" ht="18.75" customHeight="1" x14ac:dyDescent="0.25">
      <c r="J7604" s="48"/>
    </row>
    <row r="7605" spans="10:10" ht="18.75" customHeight="1" x14ac:dyDescent="0.25">
      <c r="J7605" s="48"/>
    </row>
    <row r="7606" spans="10:10" ht="18.75" customHeight="1" x14ac:dyDescent="0.25">
      <c r="J7606" s="48"/>
    </row>
    <row r="7607" spans="10:10" ht="18.75" customHeight="1" x14ac:dyDescent="0.25">
      <c r="J7607" s="48"/>
    </row>
    <row r="7608" spans="10:10" ht="18.75" customHeight="1" x14ac:dyDescent="0.25">
      <c r="J7608" s="48"/>
    </row>
    <row r="7609" spans="10:10" ht="18.75" customHeight="1" x14ac:dyDescent="0.25">
      <c r="J7609" s="48"/>
    </row>
    <row r="7610" spans="10:10" ht="18.75" customHeight="1" x14ac:dyDescent="0.25">
      <c r="J7610" s="48"/>
    </row>
    <row r="7611" spans="10:10" ht="18.75" customHeight="1" x14ac:dyDescent="0.25">
      <c r="J7611" s="48"/>
    </row>
    <row r="7612" spans="10:10" ht="18.75" customHeight="1" x14ac:dyDescent="0.25">
      <c r="J7612" s="48"/>
    </row>
    <row r="7613" spans="10:10" ht="18.75" customHeight="1" x14ac:dyDescent="0.25">
      <c r="J7613" s="48"/>
    </row>
    <row r="7614" spans="10:10" ht="18.75" customHeight="1" x14ac:dyDescent="0.25">
      <c r="J7614" s="48"/>
    </row>
    <row r="7615" spans="10:10" ht="18.75" customHeight="1" x14ac:dyDescent="0.25">
      <c r="J7615" s="48"/>
    </row>
    <row r="7616" spans="10:10" ht="18.75" customHeight="1" x14ac:dyDescent="0.25">
      <c r="J7616" s="48"/>
    </row>
    <row r="7617" spans="10:10" ht="18.75" customHeight="1" x14ac:dyDescent="0.25">
      <c r="J7617" s="48"/>
    </row>
    <row r="7618" spans="10:10" ht="18.75" customHeight="1" x14ac:dyDescent="0.25">
      <c r="J7618" s="48"/>
    </row>
    <row r="7619" spans="10:10" ht="18.75" customHeight="1" x14ac:dyDescent="0.25">
      <c r="J7619" s="48"/>
    </row>
    <row r="7620" spans="10:10" ht="18.75" customHeight="1" x14ac:dyDescent="0.25">
      <c r="J7620" s="48"/>
    </row>
    <row r="7621" spans="10:10" ht="18.75" customHeight="1" x14ac:dyDescent="0.25">
      <c r="J7621" s="48"/>
    </row>
    <row r="7622" spans="10:10" ht="18.75" customHeight="1" x14ac:dyDescent="0.25">
      <c r="J7622" s="48"/>
    </row>
    <row r="7623" spans="10:10" ht="18.75" customHeight="1" x14ac:dyDescent="0.25">
      <c r="J7623" s="48"/>
    </row>
    <row r="7624" spans="10:10" ht="18.75" customHeight="1" x14ac:dyDescent="0.25">
      <c r="J7624" s="48"/>
    </row>
    <row r="7625" spans="10:10" ht="18.75" customHeight="1" x14ac:dyDescent="0.25">
      <c r="J7625" s="48"/>
    </row>
    <row r="7626" spans="10:10" ht="18.75" customHeight="1" x14ac:dyDescent="0.25">
      <c r="J7626" s="48"/>
    </row>
    <row r="7627" spans="10:10" ht="18.75" customHeight="1" x14ac:dyDescent="0.25">
      <c r="J7627" s="48"/>
    </row>
    <row r="7628" spans="10:10" ht="18.75" customHeight="1" x14ac:dyDescent="0.25">
      <c r="J7628" s="48"/>
    </row>
    <row r="7629" spans="10:10" ht="18.75" customHeight="1" x14ac:dyDescent="0.25">
      <c r="J7629" s="48"/>
    </row>
    <row r="7630" spans="10:10" ht="18.75" customHeight="1" x14ac:dyDescent="0.25">
      <c r="J7630" s="48"/>
    </row>
    <row r="7631" spans="10:10" ht="18.75" customHeight="1" x14ac:dyDescent="0.25">
      <c r="J7631" s="48"/>
    </row>
    <row r="7632" spans="10:10" ht="18.75" customHeight="1" x14ac:dyDescent="0.25">
      <c r="J7632" s="48"/>
    </row>
    <row r="7633" spans="10:10" ht="18.75" customHeight="1" x14ac:dyDescent="0.25">
      <c r="J7633" s="48"/>
    </row>
    <row r="7634" spans="10:10" ht="18.75" customHeight="1" x14ac:dyDescent="0.25">
      <c r="J7634" s="48"/>
    </row>
    <row r="7635" spans="10:10" ht="18.75" customHeight="1" x14ac:dyDescent="0.25">
      <c r="J7635" s="48"/>
    </row>
    <row r="7636" spans="10:10" ht="18.75" customHeight="1" x14ac:dyDescent="0.25">
      <c r="J7636" s="48"/>
    </row>
    <row r="7637" spans="10:10" ht="18.75" customHeight="1" x14ac:dyDescent="0.25">
      <c r="J7637" s="48"/>
    </row>
    <row r="7638" spans="10:10" ht="18.75" customHeight="1" x14ac:dyDescent="0.25">
      <c r="J7638" s="48"/>
    </row>
    <row r="7639" spans="10:10" ht="18.75" customHeight="1" x14ac:dyDescent="0.25">
      <c r="J7639" s="48"/>
    </row>
    <row r="7640" spans="10:10" ht="18.75" customHeight="1" x14ac:dyDescent="0.25">
      <c r="J7640" s="48"/>
    </row>
    <row r="7641" spans="10:10" ht="18.75" customHeight="1" x14ac:dyDescent="0.25">
      <c r="J7641" s="48"/>
    </row>
    <row r="7642" spans="10:10" ht="18.75" customHeight="1" x14ac:dyDescent="0.25">
      <c r="J7642" s="48"/>
    </row>
    <row r="7643" spans="10:10" ht="18.75" customHeight="1" x14ac:dyDescent="0.25">
      <c r="J7643" s="48"/>
    </row>
    <row r="7644" spans="10:10" ht="18.75" customHeight="1" x14ac:dyDescent="0.25">
      <c r="J7644" s="48"/>
    </row>
    <row r="7645" spans="10:10" ht="18.75" customHeight="1" x14ac:dyDescent="0.25">
      <c r="J7645" s="48"/>
    </row>
    <row r="7646" spans="10:10" ht="18.75" customHeight="1" x14ac:dyDescent="0.25">
      <c r="J7646" s="48"/>
    </row>
    <row r="7647" spans="10:10" ht="18.75" customHeight="1" x14ac:dyDescent="0.25">
      <c r="J7647" s="48"/>
    </row>
    <row r="7648" spans="10:10" ht="18.75" customHeight="1" x14ac:dyDescent="0.25">
      <c r="J7648" s="48"/>
    </row>
    <row r="7649" spans="10:10" ht="18.75" customHeight="1" x14ac:dyDescent="0.25">
      <c r="J7649" s="48"/>
    </row>
    <row r="7650" spans="10:10" ht="18.75" customHeight="1" x14ac:dyDescent="0.25">
      <c r="J7650" s="48"/>
    </row>
    <row r="7651" spans="10:10" ht="18.75" customHeight="1" x14ac:dyDescent="0.25">
      <c r="J7651" s="48"/>
    </row>
    <row r="7652" spans="10:10" ht="18.75" customHeight="1" x14ac:dyDescent="0.25">
      <c r="J7652" s="48"/>
    </row>
    <row r="7653" spans="10:10" ht="18.75" customHeight="1" x14ac:dyDescent="0.25">
      <c r="J7653" s="48"/>
    </row>
    <row r="7654" spans="10:10" ht="18.75" customHeight="1" x14ac:dyDescent="0.25">
      <c r="J7654" s="48"/>
    </row>
    <row r="7655" spans="10:10" ht="18.75" customHeight="1" x14ac:dyDescent="0.25">
      <c r="J7655" s="48"/>
    </row>
    <row r="7656" spans="10:10" ht="18.75" customHeight="1" x14ac:dyDescent="0.25">
      <c r="J7656" s="48"/>
    </row>
    <row r="7657" spans="10:10" ht="18.75" customHeight="1" x14ac:dyDescent="0.25">
      <c r="J7657" s="48"/>
    </row>
    <row r="7658" spans="10:10" ht="18.75" customHeight="1" x14ac:dyDescent="0.25">
      <c r="J7658" s="48"/>
    </row>
    <row r="7659" spans="10:10" ht="18.75" customHeight="1" x14ac:dyDescent="0.25">
      <c r="J7659" s="48"/>
    </row>
    <row r="7660" spans="10:10" ht="18.75" customHeight="1" x14ac:dyDescent="0.25">
      <c r="J7660" s="48"/>
    </row>
    <row r="7661" spans="10:10" ht="18.75" customHeight="1" x14ac:dyDescent="0.25">
      <c r="J7661" s="48"/>
    </row>
    <row r="7662" spans="10:10" ht="18.75" customHeight="1" x14ac:dyDescent="0.25">
      <c r="J7662" s="48"/>
    </row>
    <row r="7663" spans="10:10" ht="18.75" customHeight="1" x14ac:dyDescent="0.25">
      <c r="J7663" s="48"/>
    </row>
    <row r="7664" spans="10:10" ht="18.75" customHeight="1" x14ac:dyDescent="0.25">
      <c r="J7664" s="48"/>
    </row>
    <row r="7665" spans="10:10" ht="18.75" customHeight="1" x14ac:dyDescent="0.25">
      <c r="J7665" s="48"/>
    </row>
    <row r="7666" spans="10:10" ht="18.75" customHeight="1" x14ac:dyDescent="0.25">
      <c r="J7666" s="48"/>
    </row>
    <row r="7667" spans="10:10" ht="18.75" customHeight="1" x14ac:dyDescent="0.25">
      <c r="J7667" s="48"/>
    </row>
    <row r="7668" spans="10:10" ht="18.75" customHeight="1" x14ac:dyDescent="0.25">
      <c r="J7668" s="48"/>
    </row>
    <row r="7669" spans="10:10" ht="18.75" customHeight="1" x14ac:dyDescent="0.25">
      <c r="J7669" s="48"/>
    </row>
    <row r="7670" spans="10:10" ht="18.75" customHeight="1" x14ac:dyDescent="0.25">
      <c r="J7670" s="48"/>
    </row>
    <row r="7671" spans="10:10" ht="18.75" customHeight="1" x14ac:dyDescent="0.25">
      <c r="J7671" s="48"/>
    </row>
    <row r="7672" spans="10:10" ht="18.75" customHeight="1" x14ac:dyDescent="0.25">
      <c r="J7672" s="48"/>
    </row>
    <row r="7673" spans="10:10" ht="18.75" customHeight="1" x14ac:dyDescent="0.25">
      <c r="J7673" s="48"/>
    </row>
    <row r="7674" spans="10:10" ht="18.75" customHeight="1" x14ac:dyDescent="0.25">
      <c r="J7674" s="48"/>
    </row>
    <row r="7675" spans="10:10" ht="18.75" customHeight="1" x14ac:dyDescent="0.25">
      <c r="J7675" s="48"/>
    </row>
    <row r="7676" spans="10:10" ht="18.75" customHeight="1" x14ac:dyDescent="0.25">
      <c r="J7676" s="48"/>
    </row>
    <row r="7677" spans="10:10" ht="18.75" customHeight="1" x14ac:dyDescent="0.25">
      <c r="J7677" s="48"/>
    </row>
    <row r="7678" spans="10:10" ht="18.75" customHeight="1" x14ac:dyDescent="0.25">
      <c r="J7678" s="48"/>
    </row>
    <row r="7679" spans="10:10" ht="18.75" customHeight="1" x14ac:dyDescent="0.25">
      <c r="J7679" s="48"/>
    </row>
    <row r="7680" spans="10:10" ht="18.75" customHeight="1" x14ac:dyDescent="0.25">
      <c r="J7680" s="48"/>
    </row>
    <row r="7681" spans="10:10" ht="18.75" customHeight="1" x14ac:dyDescent="0.25">
      <c r="J7681" s="48"/>
    </row>
    <row r="7682" spans="10:10" ht="18.75" customHeight="1" x14ac:dyDescent="0.25">
      <c r="J7682" s="48"/>
    </row>
    <row r="7683" spans="10:10" ht="18.75" customHeight="1" x14ac:dyDescent="0.25">
      <c r="J7683" s="48"/>
    </row>
    <row r="7684" spans="10:10" ht="18.75" customHeight="1" x14ac:dyDescent="0.25">
      <c r="J7684" s="48"/>
    </row>
    <row r="7685" spans="10:10" ht="18.75" customHeight="1" x14ac:dyDescent="0.25">
      <c r="J7685" s="48"/>
    </row>
    <row r="7686" spans="10:10" ht="18.75" customHeight="1" x14ac:dyDescent="0.25">
      <c r="J7686" s="48"/>
    </row>
    <row r="7687" spans="10:10" ht="18.75" customHeight="1" x14ac:dyDescent="0.25">
      <c r="J7687" s="48"/>
    </row>
    <row r="7688" spans="10:10" ht="18.75" customHeight="1" x14ac:dyDescent="0.25">
      <c r="J7688" s="48"/>
    </row>
    <row r="7689" spans="10:10" ht="18.75" customHeight="1" x14ac:dyDescent="0.25">
      <c r="J7689" s="48"/>
    </row>
    <row r="7690" spans="10:10" ht="18.75" customHeight="1" x14ac:dyDescent="0.25">
      <c r="J7690" s="48"/>
    </row>
    <row r="7691" spans="10:10" ht="18.75" customHeight="1" x14ac:dyDescent="0.25">
      <c r="J7691" s="48"/>
    </row>
    <row r="7692" spans="10:10" ht="18.75" customHeight="1" x14ac:dyDescent="0.25">
      <c r="J7692" s="48"/>
    </row>
    <row r="7693" spans="10:10" ht="18.75" customHeight="1" x14ac:dyDescent="0.25">
      <c r="J7693" s="48"/>
    </row>
    <row r="7694" spans="10:10" ht="18.75" customHeight="1" x14ac:dyDescent="0.25">
      <c r="J7694" s="48"/>
    </row>
    <row r="7695" spans="10:10" ht="18.75" customHeight="1" x14ac:dyDescent="0.25">
      <c r="J7695" s="48"/>
    </row>
    <row r="7696" spans="10:10" ht="18.75" customHeight="1" x14ac:dyDescent="0.25">
      <c r="J7696" s="48"/>
    </row>
    <row r="7697" spans="10:10" ht="18.75" customHeight="1" x14ac:dyDescent="0.25">
      <c r="J7697" s="48"/>
    </row>
    <row r="7698" spans="10:10" ht="18.75" customHeight="1" x14ac:dyDescent="0.25">
      <c r="J7698" s="48"/>
    </row>
    <row r="7699" spans="10:10" ht="18.75" customHeight="1" x14ac:dyDescent="0.25">
      <c r="J7699" s="48"/>
    </row>
    <row r="7700" spans="10:10" ht="18.75" customHeight="1" x14ac:dyDescent="0.25">
      <c r="J7700" s="48"/>
    </row>
    <row r="7701" spans="10:10" ht="18.75" customHeight="1" x14ac:dyDescent="0.25">
      <c r="J7701" s="48"/>
    </row>
    <row r="7702" spans="10:10" ht="18.75" customHeight="1" x14ac:dyDescent="0.25">
      <c r="J7702" s="48"/>
    </row>
    <row r="7703" spans="10:10" ht="18.75" customHeight="1" x14ac:dyDescent="0.25">
      <c r="J7703" s="48"/>
    </row>
    <row r="7704" spans="10:10" ht="18.75" customHeight="1" x14ac:dyDescent="0.25">
      <c r="J7704" s="48"/>
    </row>
    <row r="7705" spans="10:10" ht="18.75" customHeight="1" x14ac:dyDescent="0.25">
      <c r="J7705" s="48"/>
    </row>
    <row r="7706" spans="10:10" ht="18.75" customHeight="1" x14ac:dyDescent="0.25">
      <c r="J7706" s="48"/>
    </row>
    <row r="7707" spans="10:10" ht="18.75" customHeight="1" x14ac:dyDescent="0.25">
      <c r="J7707" s="48"/>
    </row>
    <row r="7708" spans="10:10" ht="18.75" customHeight="1" x14ac:dyDescent="0.25">
      <c r="J7708" s="48"/>
    </row>
    <row r="7709" spans="10:10" ht="18.75" customHeight="1" x14ac:dyDescent="0.25">
      <c r="J7709" s="48"/>
    </row>
    <row r="7710" spans="10:10" ht="18.75" customHeight="1" x14ac:dyDescent="0.25">
      <c r="J7710" s="48"/>
    </row>
    <row r="7711" spans="10:10" ht="18.75" customHeight="1" x14ac:dyDescent="0.25">
      <c r="J7711" s="48"/>
    </row>
    <row r="7712" spans="10:10" ht="18.75" customHeight="1" x14ac:dyDescent="0.25">
      <c r="J7712" s="48"/>
    </row>
    <row r="7713" spans="10:10" ht="18.75" customHeight="1" x14ac:dyDescent="0.25">
      <c r="J7713" s="48"/>
    </row>
    <row r="7714" spans="10:10" ht="18.75" customHeight="1" x14ac:dyDescent="0.25">
      <c r="J7714" s="48"/>
    </row>
    <row r="7715" spans="10:10" ht="18.75" customHeight="1" x14ac:dyDescent="0.25">
      <c r="J7715" s="48"/>
    </row>
    <row r="7716" spans="10:10" ht="18.75" customHeight="1" x14ac:dyDescent="0.25">
      <c r="J7716" s="48"/>
    </row>
    <row r="7717" spans="10:10" ht="18.75" customHeight="1" x14ac:dyDescent="0.25">
      <c r="J7717" s="48"/>
    </row>
    <row r="7718" spans="10:10" ht="18.75" customHeight="1" x14ac:dyDescent="0.25">
      <c r="J7718" s="48"/>
    </row>
    <row r="7719" spans="10:10" ht="18.75" customHeight="1" x14ac:dyDescent="0.25">
      <c r="J7719" s="48"/>
    </row>
    <row r="7720" spans="10:10" ht="18.75" customHeight="1" x14ac:dyDescent="0.25">
      <c r="J7720" s="48"/>
    </row>
    <row r="7721" spans="10:10" ht="18.75" customHeight="1" x14ac:dyDescent="0.25">
      <c r="J7721" s="48"/>
    </row>
    <row r="7722" spans="10:10" ht="18.75" customHeight="1" x14ac:dyDescent="0.25">
      <c r="J7722" s="48"/>
    </row>
    <row r="7723" spans="10:10" ht="18.75" customHeight="1" x14ac:dyDescent="0.25">
      <c r="J7723" s="48"/>
    </row>
    <row r="7724" spans="10:10" ht="18.75" customHeight="1" x14ac:dyDescent="0.25">
      <c r="J7724" s="48"/>
    </row>
    <row r="7725" spans="10:10" ht="18.75" customHeight="1" x14ac:dyDescent="0.25">
      <c r="J7725" s="48"/>
    </row>
    <row r="7726" spans="10:10" ht="18.75" customHeight="1" x14ac:dyDescent="0.25">
      <c r="J7726" s="48"/>
    </row>
    <row r="7727" spans="10:10" ht="18.75" customHeight="1" x14ac:dyDescent="0.25">
      <c r="J7727" s="48"/>
    </row>
    <row r="7728" spans="10:10" ht="18.75" customHeight="1" x14ac:dyDescent="0.25">
      <c r="J7728" s="48"/>
    </row>
    <row r="7729" spans="10:10" ht="18.75" customHeight="1" x14ac:dyDescent="0.25">
      <c r="J7729" s="48"/>
    </row>
    <row r="7730" spans="10:10" ht="18.75" customHeight="1" x14ac:dyDescent="0.25">
      <c r="J7730" s="48"/>
    </row>
    <row r="7731" spans="10:10" ht="18.75" customHeight="1" x14ac:dyDescent="0.25">
      <c r="J7731" s="48"/>
    </row>
    <row r="7732" spans="10:10" ht="18.75" customHeight="1" x14ac:dyDescent="0.25">
      <c r="J7732" s="48"/>
    </row>
    <row r="7733" spans="10:10" ht="18.75" customHeight="1" x14ac:dyDescent="0.25">
      <c r="J7733" s="48"/>
    </row>
    <row r="7734" spans="10:10" ht="18.75" customHeight="1" x14ac:dyDescent="0.25">
      <c r="J7734" s="48"/>
    </row>
    <row r="7735" spans="10:10" ht="18.75" customHeight="1" x14ac:dyDescent="0.25">
      <c r="J7735" s="48"/>
    </row>
    <row r="7736" spans="10:10" ht="18.75" customHeight="1" x14ac:dyDescent="0.25">
      <c r="J7736" s="48"/>
    </row>
    <row r="7737" spans="10:10" ht="18.75" customHeight="1" x14ac:dyDescent="0.25">
      <c r="J7737" s="48"/>
    </row>
    <row r="7738" spans="10:10" ht="18.75" customHeight="1" x14ac:dyDescent="0.25">
      <c r="J7738" s="48"/>
    </row>
    <row r="7739" spans="10:10" ht="18.75" customHeight="1" x14ac:dyDescent="0.25">
      <c r="J7739" s="48"/>
    </row>
    <row r="7740" spans="10:10" ht="18.75" customHeight="1" x14ac:dyDescent="0.25">
      <c r="J7740" s="48"/>
    </row>
    <row r="7741" spans="10:10" ht="18.75" customHeight="1" x14ac:dyDescent="0.25">
      <c r="J7741" s="48"/>
    </row>
    <row r="7742" spans="10:10" ht="18.75" customHeight="1" x14ac:dyDescent="0.25">
      <c r="J7742" s="48"/>
    </row>
    <row r="7743" spans="10:10" ht="18.75" customHeight="1" x14ac:dyDescent="0.25">
      <c r="J7743" s="48"/>
    </row>
    <row r="7744" spans="10:10" ht="18.75" customHeight="1" x14ac:dyDescent="0.25">
      <c r="J7744" s="48"/>
    </row>
    <row r="7745" spans="10:10" ht="18.75" customHeight="1" x14ac:dyDescent="0.25">
      <c r="J7745" s="48"/>
    </row>
    <row r="7746" spans="10:10" ht="18.75" customHeight="1" x14ac:dyDescent="0.25">
      <c r="J7746" s="48"/>
    </row>
    <row r="7747" spans="10:10" ht="18.75" customHeight="1" x14ac:dyDescent="0.25">
      <c r="J7747" s="48"/>
    </row>
    <row r="7748" spans="10:10" ht="18.75" customHeight="1" x14ac:dyDescent="0.25">
      <c r="J7748" s="48"/>
    </row>
    <row r="7749" spans="10:10" ht="18.75" customHeight="1" x14ac:dyDescent="0.25">
      <c r="J7749" s="48"/>
    </row>
    <row r="7750" spans="10:10" ht="18.75" customHeight="1" x14ac:dyDescent="0.25">
      <c r="J7750" s="48"/>
    </row>
    <row r="7751" spans="10:10" ht="18.75" customHeight="1" x14ac:dyDescent="0.25">
      <c r="J7751" s="48"/>
    </row>
    <row r="7752" spans="10:10" ht="18.75" customHeight="1" x14ac:dyDescent="0.25">
      <c r="J7752" s="48"/>
    </row>
    <row r="7753" spans="10:10" ht="18.75" customHeight="1" x14ac:dyDescent="0.25">
      <c r="J7753" s="48"/>
    </row>
    <row r="7754" spans="10:10" ht="18.75" customHeight="1" x14ac:dyDescent="0.25">
      <c r="J7754" s="48"/>
    </row>
    <row r="7755" spans="10:10" ht="18.75" customHeight="1" x14ac:dyDescent="0.25">
      <c r="J7755" s="48"/>
    </row>
    <row r="7756" spans="10:10" ht="18.75" customHeight="1" x14ac:dyDescent="0.25">
      <c r="J7756" s="48"/>
    </row>
    <row r="7757" spans="10:10" ht="18.75" customHeight="1" x14ac:dyDescent="0.25">
      <c r="J7757" s="48"/>
    </row>
    <row r="7758" spans="10:10" ht="18.75" customHeight="1" x14ac:dyDescent="0.25">
      <c r="J7758" s="48"/>
    </row>
    <row r="7759" spans="10:10" ht="18.75" customHeight="1" x14ac:dyDescent="0.25">
      <c r="J7759" s="48"/>
    </row>
    <row r="7760" spans="10:10" ht="18.75" customHeight="1" x14ac:dyDescent="0.25">
      <c r="J7760" s="48"/>
    </row>
    <row r="7761" spans="10:10" ht="18.75" customHeight="1" x14ac:dyDescent="0.25">
      <c r="J7761" s="48"/>
    </row>
    <row r="7762" spans="10:10" ht="18.75" customHeight="1" x14ac:dyDescent="0.25">
      <c r="J7762" s="48"/>
    </row>
    <row r="7763" spans="10:10" ht="18.75" customHeight="1" x14ac:dyDescent="0.25">
      <c r="J7763" s="48"/>
    </row>
    <row r="7764" spans="10:10" ht="18.75" customHeight="1" x14ac:dyDescent="0.25">
      <c r="J7764" s="48"/>
    </row>
    <row r="7765" spans="10:10" ht="18.75" customHeight="1" x14ac:dyDescent="0.25">
      <c r="J7765" s="48"/>
    </row>
    <row r="7766" spans="10:10" ht="18.75" customHeight="1" x14ac:dyDescent="0.25">
      <c r="J7766" s="48"/>
    </row>
    <row r="7767" spans="10:10" ht="18.75" customHeight="1" x14ac:dyDescent="0.25">
      <c r="J7767" s="48"/>
    </row>
    <row r="7768" spans="10:10" ht="18.75" customHeight="1" x14ac:dyDescent="0.25">
      <c r="J7768" s="48"/>
    </row>
    <row r="7769" spans="10:10" ht="18.75" customHeight="1" x14ac:dyDescent="0.25">
      <c r="J7769" s="48"/>
    </row>
    <row r="7770" spans="10:10" ht="18.75" customHeight="1" x14ac:dyDescent="0.25">
      <c r="J7770" s="48"/>
    </row>
    <row r="7771" spans="10:10" ht="18.75" customHeight="1" x14ac:dyDescent="0.25">
      <c r="J7771" s="48"/>
    </row>
    <row r="7772" spans="10:10" ht="18.75" customHeight="1" x14ac:dyDescent="0.25">
      <c r="J7772" s="48"/>
    </row>
    <row r="7773" spans="10:10" ht="18.75" customHeight="1" x14ac:dyDescent="0.25">
      <c r="J7773" s="48"/>
    </row>
    <row r="7774" spans="10:10" ht="18.75" customHeight="1" x14ac:dyDescent="0.25">
      <c r="J7774" s="48"/>
    </row>
    <row r="7775" spans="10:10" ht="18.75" customHeight="1" x14ac:dyDescent="0.25">
      <c r="J7775" s="48"/>
    </row>
    <row r="7776" spans="10:10" ht="18.75" customHeight="1" x14ac:dyDescent="0.25">
      <c r="J7776" s="48"/>
    </row>
    <row r="7777" spans="10:10" ht="18.75" customHeight="1" x14ac:dyDescent="0.25">
      <c r="J7777" s="48"/>
    </row>
    <row r="7778" spans="10:10" ht="18.75" customHeight="1" x14ac:dyDescent="0.25">
      <c r="J7778" s="48"/>
    </row>
    <row r="7779" spans="10:10" ht="18.75" customHeight="1" x14ac:dyDescent="0.25">
      <c r="J7779" s="48"/>
    </row>
    <row r="7780" spans="10:10" ht="18.75" customHeight="1" x14ac:dyDescent="0.25">
      <c r="J7780" s="48"/>
    </row>
    <row r="7781" spans="10:10" ht="18.75" customHeight="1" x14ac:dyDescent="0.25">
      <c r="J7781" s="48"/>
    </row>
    <row r="7782" spans="10:10" ht="18.75" customHeight="1" x14ac:dyDescent="0.25">
      <c r="J7782" s="48"/>
    </row>
    <row r="7783" spans="10:10" ht="18.75" customHeight="1" x14ac:dyDescent="0.25">
      <c r="J7783" s="48"/>
    </row>
    <row r="7784" spans="10:10" ht="18.75" customHeight="1" x14ac:dyDescent="0.25">
      <c r="J7784" s="48"/>
    </row>
    <row r="7785" spans="10:10" ht="18.75" customHeight="1" x14ac:dyDescent="0.25">
      <c r="J7785" s="48"/>
    </row>
    <row r="7786" spans="10:10" ht="18.75" customHeight="1" x14ac:dyDescent="0.25">
      <c r="J7786" s="48"/>
    </row>
    <row r="7787" spans="10:10" ht="18.75" customHeight="1" x14ac:dyDescent="0.25">
      <c r="J7787" s="48"/>
    </row>
    <row r="7788" spans="10:10" ht="18.75" customHeight="1" x14ac:dyDescent="0.25">
      <c r="J7788" s="48"/>
    </row>
    <row r="7789" spans="10:10" ht="18.75" customHeight="1" x14ac:dyDescent="0.25">
      <c r="J7789" s="48"/>
    </row>
    <row r="7790" spans="10:10" ht="18.75" customHeight="1" x14ac:dyDescent="0.25">
      <c r="J7790" s="48"/>
    </row>
    <row r="7791" spans="10:10" ht="18.75" customHeight="1" x14ac:dyDescent="0.25">
      <c r="J7791" s="48"/>
    </row>
    <row r="7792" spans="10:10" ht="18.75" customHeight="1" x14ac:dyDescent="0.25">
      <c r="J7792" s="48"/>
    </row>
    <row r="7793" spans="10:10" ht="18.75" customHeight="1" x14ac:dyDescent="0.25">
      <c r="J7793" s="48"/>
    </row>
    <row r="7794" spans="10:10" ht="18.75" customHeight="1" x14ac:dyDescent="0.25">
      <c r="J7794" s="48"/>
    </row>
    <row r="7795" spans="10:10" ht="18.75" customHeight="1" x14ac:dyDescent="0.25">
      <c r="J7795" s="48"/>
    </row>
    <row r="7796" spans="10:10" ht="18.75" customHeight="1" x14ac:dyDescent="0.25">
      <c r="J7796" s="48"/>
    </row>
    <row r="7797" spans="10:10" ht="18.75" customHeight="1" x14ac:dyDescent="0.25">
      <c r="J7797" s="48"/>
    </row>
    <row r="7798" spans="10:10" ht="18.75" customHeight="1" x14ac:dyDescent="0.25">
      <c r="J7798" s="48"/>
    </row>
    <row r="7799" spans="10:10" ht="18.75" customHeight="1" x14ac:dyDescent="0.25">
      <c r="J7799" s="48"/>
    </row>
    <row r="7800" spans="10:10" ht="18.75" customHeight="1" x14ac:dyDescent="0.25">
      <c r="J7800" s="48"/>
    </row>
    <row r="7801" spans="10:10" ht="18.75" customHeight="1" x14ac:dyDescent="0.25">
      <c r="J7801" s="48"/>
    </row>
    <row r="7802" spans="10:10" ht="18.75" customHeight="1" x14ac:dyDescent="0.25">
      <c r="J7802" s="48"/>
    </row>
    <row r="7803" spans="10:10" ht="18.75" customHeight="1" x14ac:dyDescent="0.25">
      <c r="J7803" s="48"/>
    </row>
    <row r="7804" spans="10:10" ht="18.75" customHeight="1" x14ac:dyDescent="0.25">
      <c r="J7804" s="48"/>
    </row>
    <row r="7805" spans="10:10" ht="18.75" customHeight="1" x14ac:dyDescent="0.25">
      <c r="J7805" s="48"/>
    </row>
    <row r="7806" spans="10:10" ht="18.75" customHeight="1" x14ac:dyDescent="0.25">
      <c r="J7806" s="48"/>
    </row>
    <row r="7807" spans="10:10" ht="18.75" customHeight="1" x14ac:dyDescent="0.25">
      <c r="J7807" s="48"/>
    </row>
    <row r="7808" spans="10:10" ht="18.75" customHeight="1" x14ac:dyDescent="0.25">
      <c r="J7808" s="48"/>
    </row>
    <row r="7809" spans="10:10" ht="18.75" customHeight="1" x14ac:dyDescent="0.25">
      <c r="J7809" s="48"/>
    </row>
    <row r="7810" spans="10:10" ht="18.75" customHeight="1" x14ac:dyDescent="0.25">
      <c r="J7810" s="48"/>
    </row>
    <row r="7811" spans="10:10" ht="18.75" customHeight="1" x14ac:dyDescent="0.25">
      <c r="J7811" s="48"/>
    </row>
    <row r="7812" spans="10:10" ht="18.75" customHeight="1" x14ac:dyDescent="0.25">
      <c r="J7812" s="48"/>
    </row>
    <row r="7813" spans="10:10" ht="18.75" customHeight="1" x14ac:dyDescent="0.25">
      <c r="J7813" s="48"/>
    </row>
    <row r="7814" spans="10:10" ht="18.75" customHeight="1" x14ac:dyDescent="0.25">
      <c r="J7814" s="48"/>
    </row>
    <row r="7815" spans="10:10" ht="18.75" customHeight="1" x14ac:dyDescent="0.25">
      <c r="J7815" s="48"/>
    </row>
    <row r="7816" spans="10:10" ht="18.75" customHeight="1" x14ac:dyDescent="0.25">
      <c r="J7816" s="48"/>
    </row>
    <row r="7817" spans="10:10" ht="18.75" customHeight="1" x14ac:dyDescent="0.25">
      <c r="J7817" s="48"/>
    </row>
    <row r="7818" spans="10:10" ht="18.75" customHeight="1" x14ac:dyDescent="0.25">
      <c r="J7818" s="48"/>
    </row>
    <row r="7819" spans="10:10" ht="18.75" customHeight="1" x14ac:dyDescent="0.25">
      <c r="J7819" s="48"/>
    </row>
    <row r="7820" spans="10:10" ht="18.75" customHeight="1" x14ac:dyDescent="0.25">
      <c r="J7820" s="48"/>
    </row>
    <row r="7821" spans="10:10" ht="18.75" customHeight="1" x14ac:dyDescent="0.25">
      <c r="J7821" s="48"/>
    </row>
    <row r="7822" spans="10:10" ht="18.75" customHeight="1" x14ac:dyDescent="0.25">
      <c r="J7822" s="48"/>
    </row>
    <row r="7823" spans="10:10" ht="18.75" customHeight="1" x14ac:dyDescent="0.25">
      <c r="J7823" s="48"/>
    </row>
    <row r="7824" spans="10:10" ht="18.75" customHeight="1" x14ac:dyDescent="0.25">
      <c r="J7824" s="48"/>
    </row>
    <row r="7825" spans="10:10" ht="18.75" customHeight="1" x14ac:dyDescent="0.25">
      <c r="J7825" s="48"/>
    </row>
    <row r="7826" spans="10:10" ht="18.75" customHeight="1" x14ac:dyDescent="0.25">
      <c r="J7826" s="48"/>
    </row>
    <row r="7827" spans="10:10" ht="18.75" customHeight="1" x14ac:dyDescent="0.25">
      <c r="J7827" s="48"/>
    </row>
    <row r="7828" spans="10:10" ht="18.75" customHeight="1" x14ac:dyDescent="0.25">
      <c r="J7828" s="48"/>
    </row>
    <row r="7829" spans="10:10" ht="18.75" customHeight="1" x14ac:dyDescent="0.25">
      <c r="J7829" s="48"/>
    </row>
    <row r="7830" spans="10:10" ht="18.75" customHeight="1" x14ac:dyDescent="0.25">
      <c r="J7830" s="48"/>
    </row>
    <row r="7831" spans="10:10" ht="18.75" customHeight="1" x14ac:dyDescent="0.25">
      <c r="J7831" s="48"/>
    </row>
    <row r="7832" spans="10:10" ht="18.75" customHeight="1" x14ac:dyDescent="0.25">
      <c r="J7832" s="48"/>
    </row>
    <row r="7833" spans="10:10" ht="18.75" customHeight="1" x14ac:dyDescent="0.25">
      <c r="J7833" s="48"/>
    </row>
    <row r="7834" spans="10:10" ht="18.75" customHeight="1" x14ac:dyDescent="0.25">
      <c r="J7834" s="48"/>
    </row>
    <row r="7835" spans="10:10" ht="18.75" customHeight="1" x14ac:dyDescent="0.25">
      <c r="J7835" s="48"/>
    </row>
    <row r="7836" spans="10:10" ht="18.75" customHeight="1" x14ac:dyDescent="0.25">
      <c r="J7836" s="48"/>
    </row>
    <row r="7837" spans="10:10" ht="18.75" customHeight="1" x14ac:dyDescent="0.25">
      <c r="J7837" s="48"/>
    </row>
    <row r="7838" spans="10:10" ht="18.75" customHeight="1" x14ac:dyDescent="0.25">
      <c r="J7838" s="48"/>
    </row>
    <row r="7839" spans="10:10" ht="18.75" customHeight="1" x14ac:dyDescent="0.25">
      <c r="J7839" s="48"/>
    </row>
    <row r="7840" spans="10:10" ht="18.75" customHeight="1" x14ac:dyDescent="0.25">
      <c r="J7840" s="48"/>
    </row>
    <row r="7841" spans="10:10" ht="18.75" customHeight="1" x14ac:dyDescent="0.25">
      <c r="J7841" s="48"/>
    </row>
    <row r="7842" spans="10:10" ht="18.75" customHeight="1" x14ac:dyDescent="0.25">
      <c r="J7842" s="48"/>
    </row>
    <row r="7843" spans="10:10" ht="18.75" customHeight="1" x14ac:dyDescent="0.25">
      <c r="J7843" s="48"/>
    </row>
    <row r="7844" spans="10:10" ht="18.75" customHeight="1" x14ac:dyDescent="0.25">
      <c r="J7844" s="48"/>
    </row>
    <row r="7845" spans="10:10" ht="18.75" customHeight="1" x14ac:dyDescent="0.25">
      <c r="J7845" s="48"/>
    </row>
    <row r="7846" spans="10:10" ht="18.75" customHeight="1" x14ac:dyDescent="0.25">
      <c r="J7846" s="48"/>
    </row>
    <row r="7847" spans="10:10" ht="18.75" customHeight="1" x14ac:dyDescent="0.25">
      <c r="J7847" s="48"/>
    </row>
    <row r="7848" spans="10:10" ht="18.75" customHeight="1" x14ac:dyDescent="0.25">
      <c r="J7848" s="48"/>
    </row>
    <row r="7849" spans="10:10" ht="18.75" customHeight="1" x14ac:dyDescent="0.25">
      <c r="J7849" s="48"/>
    </row>
    <row r="7850" spans="10:10" ht="18.75" customHeight="1" x14ac:dyDescent="0.25">
      <c r="J7850" s="48"/>
    </row>
    <row r="7851" spans="10:10" ht="18.75" customHeight="1" x14ac:dyDescent="0.25">
      <c r="J7851" s="48"/>
    </row>
    <row r="7852" spans="10:10" ht="18.75" customHeight="1" x14ac:dyDescent="0.25">
      <c r="J7852" s="48"/>
    </row>
    <row r="7853" spans="10:10" ht="18.75" customHeight="1" x14ac:dyDescent="0.25">
      <c r="J7853" s="48"/>
    </row>
    <row r="7854" spans="10:10" ht="18.75" customHeight="1" x14ac:dyDescent="0.25">
      <c r="J7854" s="48"/>
    </row>
    <row r="7855" spans="10:10" ht="18.75" customHeight="1" x14ac:dyDescent="0.25">
      <c r="J7855" s="48"/>
    </row>
    <row r="7856" spans="10:10" ht="18.75" customHeight="1" x14ac:dyDescent="0.25">
      <c r="J7856" s="48"/>
    </row>
    <row r="7857" spans="10:10" ht="18.75" customHeight="1" x14ac:dyDescent="0.25">
      <c r="J7857" s="48"/>
    </row>
    <row r="7858" spans="10:10" ht="18.75" customHeight="1" x14ac:dyDescent="0.25">
      <c r="J7858" s="48"/>
    </row>
    <row r="7859" spans="10:10" ht="18.75" customHeight="1" x14ac:dyDescent="0.25">
      <c r="J7859" s="48"/>
    </row>
    <row r="7860" spans="10:10" ht="18.75" customHeight="1" x14ac:dyDescent="0.25">
      <c r="J7860" s="48"/>
    </row>
    <row r="7861" spans="10:10" ht="18.75" customHeight="1" x14ac:dyDescent="0.25">
      <c r="J7861" s="48"/>
    </row>
    <row r="7862" spans="10:10" ht="18.75" customHeight="1" x14ac:dyDescent="0.25">
      <c r="J7862" s="48"/>
    </row>
    <row r="7863" spans="10:10" ht="18.75" customHeight="1" x14ac:dyDescent="0.25">
      <c r="J7863" s="48"/>
    </row>
    <row r="7864" spans="10:10" ht="18.75" customHeight="1" x14ac:dyDescent="0.25">
      <c r="J7864" s="48"/>
    </row>
    <row r="7865" spans="10:10" ht="18.75" customHeight="1" x14ac:dyDescent="0.25">
      <c r="J7865" s="48"/>
    </row>
    <row r="7866" spans="10:10" ht="18.75" customHeight="1" x14ac:dyDescent="0.25">
      <c r="J7866" s="48"/>
    </row>
    <row r="7867" spans="10:10" ht="18.75" customHeight="1" x14ac:dyDescent="0.25">
      <c r="J7867" s="48"/>
    </row>
    <row r="7868" spans="10:10" ht="18.75" customHeight="1" x14ac:dyDescent="0.25">
      <c r="J7868" s="48"/>
    </row>
    <row r="7869" spans="10:10" ht="18.75" customHeight="1" x14ac:dyDescent="0.25">
      <c r="J7869" s="48"/>
    </row>
    <row r="7870" spans="10:10" ht="18.75" customHeight="1" x14ac:dyDescent="0.25">
      <c r="J7870" s="48"/>
    </row>
    <row r="7871" spans="10:10" ht="18.75" customHeight="1" x14ac:dyDescent="0.25">
      <c r="J7871" s="48"/>
    </row>
    <row r="7872" spans="10:10" ht="18.75" customHeight="1" x14ac:dyDescent="0.25">
      <c r="J7872" s="48"/>
    </row>
    <row r="7873" spans="10:10" ht="18.75" customHeight="1" x14ac:dyDescent="0.25">
      <c r="J7873" s="48"/>
    </row>
    <row r="7874" spans="10:10" ht="18.75" customHeight="1" x14ac:dyDescent="0.25">
      <c r="J7874" s="48"/>
    </row>
    <row r="7875" spans="10:10" ht="18.75" customHeight="1" x14ac:dyDescent="0.25">
      <c r="J7875" s="48"/>
    </row>
    <row r="7876" spans="10:10" ht="18.75" customHeight="1" x14ac:dyDescent="0.25">
      <c r="J7876" s="48"/>
    </row>
    <row r="7877" spans="10:10" ht="18.75" customHeight="1" x14ac:dyDescent="0.25">
      <c r="J7877" s="48"/>
    </row>
    <row r="7878" spans="10:10" ht="18.75" customHeight="1" x14ac:dyDescent="0.25">
      <c r="J7878" s="48"/>
    </row>
    <row r="7879" spans="10:10" ht="18.75" customHeight="1" x14ac:dyDescent="0.25">
      <c r="J7879" s="48"/>
    </row>
    <row r="7880" spans="10:10" ht="18.75" customHeight="1" x14ac:dyDescent="0.25">
      <c r="J7880" s="48"/>
    </row>
    <row r="7881" spans="10:10" ht="18.75" customHeight="1" x14ac:dyDescent="0.25">
      <c r="J7881" s="48"/>
    </row>
    <row r="7882" spans="10:10" ht="18.75" customHeight="1" x14ac:dyDescent="0.25">
      <c r="J7882" s="48"/>
    </row>
    <row r="7883" spans="10:10" ht="18.75" customHeight="1" x14ac:dyDescent="0.25">
      <c r="J7883" s="48"/>
    </row>
    <row r="7884" spans="10:10" ht="18.75" customHeight="1" x14ac:dyDescent="0.25">
      <c r="J7884" s="48"/>
    </row>
    <row r="7885" spans="10:10" ht="18.75" customHeight="1" x14ac:dyDescent="0.25">
      <c r="J7885" s="48"/>
    </row>
    <row r="7886" spans="10:10" ht="18.75" customHeight="1" x14ac:dyDescent="0.25">
      <c r="J7886" s="48"/>
    </row>
    <row r="7887" spans="10:10" ht="18.75" customHeight="1" x14ac:dyDescent="0.25">
      <c r="J7887" s="48"/>
    </row>
    <row r="7888" spans="10:10" ht="18.75" customHeight="1" x14ac:dyDescent="0.25">
      <c r="J7888" s="48"/>
    </row>
    <row r="7889" spans="10:10" ht="18.75" customHeight="1" x14ac:dyDescent="0.25">
      <c r="J7889" s="48"/>
    </row>
    <row r="7890" spans="10:10" ht="18.75" customHeight="1" x14ac:dyDescent="0.25">
      <c r="J7890" s="48"/>
    </row>
    <row r="7891" spans="10:10" ht="18.75" customHeight="1" x14ac:dyDescent="0.25">
      <c r="J7891" s="48"/>
    </row>
    <row r="7892" spans="10:10" ht="18.75" customHeight="1" x14ac:dyDescent="0.25">
      <c r="J7892" s="48"/>
    </row>
    <row r="7893" spans="10:10" ht="18.75" customHeight="1" x14ac:dyDescent="0.25">
      <c r="J7893" s="48"/>
    </row>
    <row r="7894" spans="10:10" ht="18.75" customHeight="1" x14ac:dyDescent="0.25">
      <c r="J7894" s="48"/>
    </row>
    <row r="7895" spans="10:10" ht="18.75" customHeight="1" x14ac:dyDescent="0.25">
      <c r="J7895" s="48"/>
    </row>
    <row r="7896" spans="10:10" ht="18.75" customHeight="1" x14ac:dyDescent="0.25">
      <c r="J7896" s="48"/>
    </row>
    <row r="7897" spans="10:10" ht="18.75" customHeight="1" x14ac:dyDescent="0.25">
      <c r="J7897" s="48"/>
    </row>
    <row r="7898" spans="10:10" ht="18.75" customHeight="1" x14ac:dyDescent="0.25">
      <c r="J7898" s="48"/>
    </row>
    <row r="7899" spans="10:10" ht="18.75" customHeight="1" x14ac:dyDescent="0.25">
      <c r="J7899" s="48"/>
    </row>
    <row r="7900" spans="10:10" ht="18.75" customHeight="1" x14ac:dyDescent="0.25">
      <c r="J7900" s="48"/>
    </row>
    <row r="7901" spans="10:10" ht="18.75" customHeight="1" x14ac:dyDescent="0.25">
      <c r="J7901" s="48"/>
    </row>
    <row r="7902" spans="10:10" ht="18.75" customHeight="1" x14ac:dyDescent="0.25">
      <c r="J7902" s="48"/>
    </row>
    <row r="7903" spans="10:10" ht="18.75" customHeight="1" x14ac:dyDescent="0.25">
      <c r="J7903" s="48"/>
    </row>
    <row r="7904" spans="10:10" ht="18.75" customHeight="1" x14ac:dyDescent="0.25">
      <c r="J7904" s="48"/>
    </row>
    <row r="7905" spans="10:10" ht="18.75" customHeight="1" x14ac:dyDescent="0.25">
      <c r="J7905" s="48"/>
    </row>
    <row r="7906" spans="10:10" ht="18.75" customHeight="1" x14ac:dyDescent="0.25">
      <c r="J7906" s="48"/>
    </row>
    <row r="7907" spans="10:10" ht="18.75" customHeight="1" x14ac:dyDescent="0.25">
      <c r="J7907" s="48"/>
    </row>
    <row r="7908" spans="10:10" ht="18.75" customHeight="1" x14ac:dyDescent="0.25">
      <c r="J7908" s="48"/>
    </row>
    <row r="7909" spans="10:10" ht="18.75" customHeight="1" x14ac:dyDescent="0.25">
      <c r="J7909" s="48"/>
    </row>
    <row r="7910" spans="10:10" ht="18.75" customHeight="1" x14ac:dyDescent="0.25">
      <c r="J7910" s="48"/>
    </row>
    <row r="7911" spans="10:10" ht="18.75" customHeight="1" x14ac:dyDescent="0.25">
      <c r="J7911" s="48"/>
    </row>
    <row r="7912" spans="10:10" ht="18.75" customHeight="1" x14ac:dyDescent="0.25">
      <c r="J7912" s="48"/>
    </row>
    <row r="7913" spans="10:10" ht="18.75" customHeight="1" x14ac:dyDescent="0.25">
      <c r="J7913" s="48"/>
    </row>
    <row r="7914" spans="10:10" ht="18.75" customHeight="1" x14ac:dyDescent="0.25">
      <c r="J7914" s="48"/>
    </row>
    <row r="7915" spans="10:10" ht="18.75" customHeight="1" x14ac:dyDescent="0.25">
      <c r="J7915" s="48"/>
    </row>
    <row r="7916" spans="10:10" ht="18.75" customHeight="1" x14ac:dyDescent="0.25">
      <c r="J7916" s="48"/>
    </row>
    <row r="7917" spans="10:10" ht="18.75" customHeight="1" x14ac:dyDescent="0.25">
      <c r="J7917" s="48"/>
    </row>
    <row r="7918" spans="10:10" ht="18.75" customHeight="1" x14ac:dyDescent="0.25">
      <c r="J7918" s="48"/>
    </row>
    <row r="7919" spans="10:10" ht="18.75" customHeight="1" x14ac:dyDescent="0.25">
      <c r="J7919" s="48"/>
    </row>
    <row r="7920" spans="10:10" ht="18.75" customHeight="1" x14ac:dyDescent="0.25">
      <c r="J7920" s="48"/>
    </row>
    <row r="7921" spans="10:10" ht="18.75" customHeight="1" x14ac:dyDescent="0.25">
      <c r="J7921" s="48"/>
    </row>
    <row r="7922" spans="10:10" ht="18.75" customHeight="1" x14ac:dyDescent="0.25">
      <c r="J7922" s="48"/>
    </row>
    <row r="7923" spans="10:10" ht="18.75" customHeight="1" x14ac:dyDescent="0.25">
      <c r="J7923" s="48"/>
    </row>
    <row r="7924" spans="10:10" ht="18.75" customHeight="1" x14ac:dyDescent="0.25">
      <c r="J7924" s="48"/>
    </row>
    <row r="7925" spans="10:10" ht="18.75" customHeight="1" x14ac:dyDescent="0.25">
      <c r="J7925" s="48"/>
    </row>
    <row r="7926" spans="10:10" ht="18.75" customHeight="1" x14ac:dyDescent="0.25">
      <c r="J7926" s="48"/>
    </row>
    <row r="7927" spans="10:10" ht="18.75" customHeight="1" x14ac:dyDescent="0.25">
      <c r="J7927" s="48"/>
    </row>
    <row r="7928" spans="10:10" ht="18.75" customHeight="1" x14ac:dyDescent="0.25">
      <c r="J7928" s="48"/>
    </row>
    <row r="7929" spans="10:10" ht="18.75" customHeight="1" x14ac:dyDescent="0.25">
      <c r="J7929" s="48"/>
    </row>
    <row r="7930" spans="10:10" ht="18.75" customHeight="1" x14ac:dyDescent="0.25">
      <c r="J7930" s="48"/>
    </row>
    <row r="7931" spans="10:10" ht="18.75" customHeight="1" x14ac:dyDescent="0.25">
      <c r="J7931" s="48"/>
    </row>
    <row r="7932" spans="10:10" ht="18.75" customHeight="1" x14ac:dyDescent="0.25">
      <c r="J7932" s="48"/>
    </row>
    <row r="7933" spans="10:10" ht="18.75" customHeight="1" x14ac:dyDescent="0.25">
      <c r="J7933" s="48"/>
    </row>
    <row r="7934" spans="10:10" ht="18.75" customHeight="1" x14ac:dyDescent="0.25">
      <c r="J7934" s="48"/>
    </row>
    <row r="7935" spans="10:10" ht="18.75" customHeight="1" x14ac:dyDescent="0.25">
      <c r="J7935" s="48"/>
    </row>
    <row r="7936" spans="10:10" ht="18.75" customHeight="1" x14ac:dyDescent="0.25">
      <c r="J7936" s="48"/>
    </row>
    <row r="7937" spans="10:10" ht="18.75" customHeight="1" x14ac:dyDescent="0.25">
      <c r="J7937" s="48"/>
    </row>
    <row r="7938" spans="10:10" ht="18.75" customHeight="1" x14ac:dyDescent="0.25">
      <c r="J7938" s="48"/>
    </row>
    <row r="7939" spans="10:10" ht="18.75" customHeight="1" x14ac:dyDescent="0.25">
      <c r="J7939" s="48"/>
    </row>
    <row r="7940" spans="10:10" ht="18.75" customHeight="1" x14ac:dyDescent="0.25">
      <c r="J7940" s="48"/>
    </row>
    <row r="7941" spans="10:10" ht="18.75" customHeight="1" x14ac:dyDescent="0.25">
      <c r="J7941" s="48"/>
    </row>
    <row r="7942" spans="10:10" ht="18.75" customHeight="1" x14ac:dyDescent="0.25">
      <c r="J7942" s="48"/>
    </row>
    <row r="7943" spans="10:10" ht="18.75" customHeight="1" x14ac:dyDescent="0.25">
      <c r="J7943" s="48"/>
    </row>
    <row r="7944" spans="10:10" ht="18.75" customHeight="1" x14ac:dyDescent="0.25">
      <c r="J7944" s="48"/>
    </row>
    <row r="7945" spans="10:10" ht="18.75" customHeight="1" x14ac:dyDescent="0.25">
      <c r="J7945" s="48"/>
    </row>
    <row r="7946" spans="10:10" ht="18.75" customHeight="1" x14ac:dyDescent="0.25">
      <c r="J7946" s="48"/>
    </row>
    <row r="7947" spans="10:10" ht="18.75" customHeight="1" x14ac:dyDescent="0.25">
      <c r="J7947" s="48"/>
    </row>
    <row r="7948" spans="10:10" ht="18.75" customHeight="1" x14ac:dyDescent="0.25">
      <c r="J7948" s="48"/>
    </row>
    <row r="7949" spans="10:10" ht="18.75" customHeight="1" x14ac:dyDescent="0.25">
      <c r="J7949" s="48"/>
    </row>
    <row r="7950" spans="10:10" ht="18.75" customHeight="1" x14ac:dyDescent="0.25">
      <c r="J7950" s="48"/>
    </row>
    <row r="7951" spans="10:10" ht="18.75" customHeight="1" x14ac:dyDescent="0.25">
      <c r="J7951" s="48"/>
    </row>
    <row r="7952" spans="10:10" ht="18.75" customHeight="1" x14ac:dyDescent="0.25">
      <c r="J7952" s="48"/>
    </row>
    <row r="7953" spans="10:10" ht="18.75" customHeight="1" x14ac:dyDescent="0.25">
      <c r="J7953" s="48"/>
    </row>
    <row r="7954" spans="10:10" ht="18.75" customHeight="1" x14ac:dyDescent="0.25">
      <c r="J7954" s="48"/>
    </row>
    <row r="7955" spans="10:10" ht="18.75" customHeight="1" x14ac:dyDescent="0.25">
      <c r="J7955" s="48"/>
    </row>
    <row r="7956" spans="10:10" ht="18.75" customHeight="1" x14ac:dyDescent="0.25">
      <c r="J7956" s="48"/>
    </row>
    <row r="7957" spans="10:10" ht="18.75" customHeight="1" x14ac:dyDescent="0.25">
      <c r="J7957" s="48"/>
    </row>
    <row r="7958" spans="10:10" ht="18.75" customHeight="1" x14ac:dyDescent="0.25">
      <c r="J7958" s="48"/>
    </row>
    <row r="7959" spans="10:10" ht="18.75" customHeight="1" x14ac:dyDescent="0.25">
      <c r="J7959" s="48"/>
    </row>
    <row r="7960" spans="10:10" ht="18.75" customHeight="1" x14ac:dyDescent="0.25">
      <c r="J7960" s="48"/>
    </row>
    <row r="7961" spans="10:10" ht="18.75" customHeight="1" x14ac:dyDescent="0.25">
      <c r="J7961" s="48"/>
    </row>
    <row r="7962" spans="10:10" ht="18.75" customHeight="1" x14ac:dyDescent="0.25">
      <c r="J7962" s="48"/>
    </row>
    <row r="7963" spans="10:10" ht="18.75" customHeight="1" x14ac:dyDescent="0.25">
      <c r="J7963" s="48"/>
    </row>
    <row r="7964" spans="10:10" ht="18.75" customHeight="1" x14ac:dyDescent="0.25">
      <c r="J7964" s="48"/>
    </row>
    <row r="7965" spans="10:10" ht="18.75" customHeight="1" x14ac:dyDescent="0.25">
      <c r="J7965" s="48"/>
    </row>
    <row r="7966" spans="10:10" ht="18.75" customHeight="1" x14ac:dyDescent="0.25">
      <c r="J7966" s="48"/>
    </row>
    <row r="7967" spans="10:10" ht="18.75" customHeight="1" x14ac:dyDescent="0.25">
      <c r="J7967" s="48"/>
    </row>
    <row r="7968" spans="10:10" ht="18.75" customHeight="1" x14ac:dyDescent="0.25">
      <c r="J7968" s="48"/>
    </row>
    <row r="7969" spans="10:10" ht="18.75" customHeight="1" x14ac:dyDescent="0.25">
      <c r="J7969" s="48"/>
    </row>
    <row r="7970" spans="10:10" ht="18.75" customHeight="1" x14ac:dyDescent="0.25">
      <c r="J7970" s="48"/>
    </row>
    <row r="7971" spans="10:10" ht="18.75" customHeight="1" x14ac:dyDescent="0.25">
      <c r="J7971" s="48"/>
    </row>
    <row r="7972" spans="10:10" ht="18.75" customHeight="1" x14ac:dyDescent="0.25">
      <c r="J7972" s="48"/>
    </row>
    <row r="7973" spans="10:10" ht="18.75" customHeight="1" x14ac:dyDescent="0.25">
      <c r="J7973" s="48"/>
    </row>
    <row r="7974" spans="10:10" ht="18.75" customHeight="1" x14ac:dyDescent="0.25">
      <c r="J7974" s="48"/>
    </row>
    <row r="7975" spans="10:10" ht="18.75" customHeight="1" x14ac:dyDescent="0.25">
      <c r="J7975" s="48"/>
    </row>
    <row r="7976" spans="10:10" ht="18.75" customHeight="1" x14ac:dyDescent="0.25">
      <c r="J7976" s="48"/>
    </row>
    <row r="7977" spans="10:10" ht="18.75" customHeight="1" x14ac:dyDescent="0.25">
      <c r="J7977" s="48"/>
    </row>
    <row r="7978" spans="10:10" ht="18.75" customHeight="1" x14ac:dyDescent="0.25">
      <c r="J7978" s="48"/>
    </row>
    <row r="7979" spans="10:10" ht="18.75" customHeight="1" x14ac:dyDescent="0.25">
      <c r="J7979" s="48"/>
    </row>
    <row r="7980" spans="10:10" ht="18.75" customHeight="1" x14ac:dyDescent="0.25">
      <c r="J7980" s="48"/>
    </row>
    <row r="7981" spans="10:10" ht="18.75" customHeight="1" x14ac:dyDescent="0.25">
      <c r="J7981" s="48"/>
    </row>
    <row r="7982" spans="10:10" ht="18.75" customHeight="1" x14ac:dyDescent="0.25">
      <c r="J7982" s="48"/>
    </row>
    <row r="7983" spans="10:10" ht="18.75" customHeight="1" x14ac:dyDescent="0.25">
      <c r="J7983" s="48"/>
    </row>
    <row r="7984" spans="10:10" ht="18.75" customHeight="1" x14ac:dyDescent="0.25">
      <c r="J7984" s="48"/>
    </row>
    <row r="7985" spans="10:10" ht="18.75" customHeight="1" x14ac:dyDescent="0.25">
      <c r="J7985" s="48"/>
    </row>
    <row r="7986" spans="10:10" ht="18.75" customHeight="1" x14ac:dyDescent="0.25">
      <c r="J7986" s="48"/>
    </row>
    <row r="7987" spans="10:10" ht="18.75" customHeight="1" x14ac:dyDescent="0.25">
      <c r="J7987" s="48"/>
    </row>
    <row r="7988" spans="10:10" ht="18.75" customHeight="1" x14ac:dyDescent="0.25">
      <c r="J7988" s="48"/>
    </row>
    <row r="7989" spans="10:10" ht="18.75" customHeight="1" x14ac:dyDescent="0.25">
      <c r="J7989" s="48"/>
    </row>
    <row r="7990" spans="10:10" ht="18.75" customHeight="1" x14ac:dyDescent="0.25">
      <c r="J7990" s="48"/>
    </row>
    <row r="7991" spans="10:10" ht="18.75" customHeight="1" x14ac:dyDescent="0.25">
      <c r="J7991" s="48"/>
    </row>
    <row r="7992" spans="10:10" ht="18.75" customHeight="1" x14ac:dyDescent="0.25">
      <c r="J7992" s="48"/>
    </row>
    <row r="7993" spans="10:10" ht="18.75" customHeight="1" x14ac:dyDescent="0.25">
      <c r="J7993" s="48"/>
    </row>
    <row r="7994" spans="10:10" ht="18.75" customHeight="1" x14ac:dyDescent="0.25">
      <c r="J7994" s="48"/>
    </row>
    <row r="7995" spans="10:10" ht="18.75" customHeight="1" x14ac:dyDescent="0.25">
      <c r="J7995" s="48"/>
    </row>
    <row r="7996" spans="10:10" ht="18.75" customHeight="1" x14ac:dyDescent="0.25">
      <c r="J7996" s="48"/>
    </row>
    <row r="7997" spans="10:10" ht="18.75" customHeight="1" x14ac:dyDescent="0.25">
      <c r="J7997" s="48"/>
    </row>
    <row r="7998" spans="10:10" ht="18.75" customHeight="1" x14ac:dyDescent="0.25">
      <c r="J7998" s="48"/>
    </row>
    <row r="7999" spans="10:10" ht="18.75" customHeight="1" x14ac:dyDescent="0.25">
      <c r="J7999" s="48"/>
    </row>
    <row r="8000" spans="10:10" ht="18.75" customHeight="1" x14ac:dyDescent="0.25">
      <c r="J8000" s="48"/>
    </row>
    <row r="8001" spans="10:10" ht="18.75" customHeight="1" x14ac:dyDescent="0.25">
      <c r="J8001" s="48"/>
    </row>
    <row r="8002" spans="10:10" ht="18.75" customHeight="1" x14ac:dyDescent="0.25">
      <c r="J8002" s="48"/>
    </row>
    <row r="8003" spans="10:10" ht="18.75" customHeight="1" x14ac:dyDescent="0.25">
      <c r="J8003" s="48"/>
    </row>
    <row r="8004" spans="10:10" ht="18.75" customHeight="1" x14ac:dyDescent="0.25">
      <c r="J8004" s="48"/>
    </row>
    <row r="8005" spans="10:10" ht="18.75" customHeight="1" x14ac:dyDescent="0.25">
      <c r="J8005" s="48"/>
    </row>
    <row r="8006" spans="10:10" ht="18.75" customHeight="1" x14ac:dyDescent="0.25">
      <c r="J8006" s="48"/>
    </row>
    <row r="8007" spans="10:10" ht="18.75" customHeight="1" x14ac:dyDescent="0.25">
      <c r="J8007" s="48"/>
    </row>
    <row r="8008" spans="10:10" ht="18.75" customHeight="1" x14ac:dyDescent="0.25">
      <c r="J8008" s="48"/>
    </row>
    <row r="8009" spans="10:10" ht="18.75" customHeight="1" x14ac:dyDescent="0.25">
      <c r="J8009" s="48"/>
    </row>
    <row r="8010" spans="10:10" ht="18.75" customHeight="1" x14ac:dyDescent="0.25">
      <c r="J8010" s="48"/>
    </row>
    <row r="8011" spans="10:10" ht="18.75" customHeight="1" x14ac:dyDescent="0.25">
      <c r="J8011" s="48"/>
    </row>
    <row r="8012" spans="10:10" ht="18.75" customHeight="1" x14ac:dyDescent="0.25">
      <c r="J8012" s="48"/>
    </row>
    <row r="8013" spans="10:10" ht="18.75" customHeight="1" x14ac:dyDescent="0.25">
      <c r="J8013" s="48"/>
    </row>
    <row r="8014" spans="10:10" ht="18.75" customHeight="1" x14ac:dyDescent="0.25">
      <c r="J8014" s="48"/>
    </row>
    <row r="8015" spans="10:10" ht="18.75" customHeight="1" x14ac:dyDescent="0.25">
      <c r="J8015" s="48"/>
    </row>
    <row r="8016" spans="10:10" ht="18.75" customHeight="1" x14ac:dyDescent="0.25">
      <c r="J8016" s="48"/>
    </row>
    <row r="8017" spans="10:10" ht="18.75" customHeight="1" x14ac:dyDescent="0.25">
      <c r="J8017" s="48"/>
    </row>
    <row r="8018" spans="10:10" ht="18.75" customHeight="1" x14ac:dyDescent="0.25">
      <c r="J8018" s="48"/>
    </row>
    <row r="8019" spans="10:10" ht="18.75" customHeight="1" x14ac:dyDescent="0.25">
      <c r="J8019" s="48"/>
    </row>
    <row r="8020" spans="10:10" ht="18.75" customHeight="1" x14ac:dyDescent="0.25">
      <c r="J8020" s="48"/>
    </row>
    <row r="8021" spans="10:10" ht="18.75" customHeight="1" x14ac:dyDescent="0.25">
      <c r="J8021" s="48"/>
    </row>
    <row r="8022" spans="10:10" ht="18.75" customHeight="1" x14ac:dyDescent="0.25">
      <c r="J8022" s="48"/>
    </row>
    <row r="8023" spans="10:10" ht="18.75" customHeight="1" x14ac:dyDescent="0.25">
      <c r="J8023" s="48"/>
    </row>
    <row r="8024" spans="10:10" ht="18.75" customHeight="1" x14ac:dyDescent="0.25">
      <c r="J8024" s="48"/>
    </row>
    <row r="8025" spans="10:10" ht="18.75" customHeight="1" x14ac:dyDescent="0.25">
      <c r="J8025" s="48"/>
    </row>
    <row r="8026" spans="10:10" ht="18.75" customHeight="1" x14ac:dyDescent="0.25">
      <c r="J8026" s="48"/>
    </row>
    <row r="8027" spans="10:10" ht="18.75" customHeight="1" x14ac:dyDescent="0.25">
      <c r="J8027" s="48"/>
    </row>
    <row r="8028" spans="10:10" ht="18.75" customHeight="1" x14ac:dyDescent="0.25">
      <c r="J8028" s="48"/>
    </row>
    <row r="8029" spans="10:10" ht="18.75" customHeight="1" x14ac:dyDescent="0.25">
      <c r="J8029" s="48"/>
    </row>
    <row r="8030" spans="10:10" ht="18.75" customHeight="1" x14ac:dyDescent="0.25">
      <c r="J8030" s="48"/>
    </row>
    <row r="8031" spans="10:10" ht="18.75" customHeight="1" x14ac:dyDescent="0.25">
      <c r="J8031" s="48"/>
    </row>
    <row r="8032" spans="10:10" ht="18.75" customHeight="1" x14ac:dyDescent="0.25">
      <c r="J8032" s="48"/>
    </row>
    <row r="8033" spans="10:10" ht="18.75" customHeight="1" x14ac:dyDescent="0.25">
      <c r="J8033" s="48"/>
    </row>
    <row r="8034" spans="10:10" ht="18.75" customHeight="1" x14ac:dyDescent="0.25">
      <c r="J8034" s="48"/>
    </row>
    <row r="8035" spans="10:10" ht="18.75" customHeight="1" x14ac:dyDescent="0.25">
      <c r="J8035" s="48"/>
    </row>
    <row r="8036" spans="10:10" ht="18.75" customHeight="1" x14ac:dyDescent="0.25">
      <c r="J8036" s="48"/>
    </row>
    <row r="8037" spans="10:10" ht="18.75" customHeight="1" x14ac:dyDescent="0.25">
      <c r="J8037" s="48"/>
    </row>
    <row r="8038" spans="10:10" ht="18.75" customHeight="1" x14ac:dyDescent="0.25">
      <c r="J8038" s="48"/>
    </row>
    <row r="8039" spans="10:10" ht="18.75" customHeight="1" x14ac:dyDescent="0.25">
      <c r="J8039" s="48"/>
    </row>
    <row r="8040" spans="10:10" ht="18.75" customHeight="1" x14ac:dyDescent="0.25">
      <c r="J8040" s="48"/>
    </row>
    <row r="8041" spans="10:10" ht="18.75" customHeight="1" x14ac:dyDescent="0.25">
      <c r="J8041" s="48"/>
    </row>
    <row r="8042" spans="10:10" ht="18.75" customHeight="1" x14ac:dyDescent="0.25">
      <c r="J8042" s="48"/>
    </row>
    <row r="8043" spans="10:10" ht="18.75" customHeight="1" x14ac:dyDescent="0.25">
      <c r="J8043" s="48"/>
    </row>
    <row r="8044" spans="10:10" ht="18.75" customHeight="1" x14ac:dyDescent="0.25">
      <c r="J8044" s="48"/>
    </row>
    <row r="8045" spans="10:10" ht="18.75" customHeight="1" x14ac:dyDescent="0.25">
      <c r="J8045" s="48"/>
    </row>
    <row r="8046" spans="10:10" ht="18.75" customHeight="1" x14ac:dyDescent="0.25">
      <c r="J8046" s="48"/>
    </row>
    <row r="8047" spans="10:10" ht="18.75" customHeight="1" x14ac:dyDescent="0.25">
      <c r="J8047" s="48"/>
    </row>
    <row r="8048" spans="10:10" ht="18.75" customHeight="1" x14ac:dyDescent="0.25">
      <c r="J8048" s="48"/>
    </row>
    <row r="8049" spans="10:10" ht="18.75" customHeight="1" x14ac:dyDescent="0.25">
      <c r="J8049" s="48"/>
    </row>
    <row r="8050" spans="10:10" ht="18.75" customHeight="1" x14ac:dyDescent="0.25">
      <c r="J8050" s="48"/>
    </row>
    <row r="8051" spans="10:10" ht="18.75" customHeight="1" x14ac:dyDescent="0.25">
      <c r="J8051" s="48"/>
    </row>
    <row r="8052" spans="10:10" ht="18.75" customHeight="1" x14ac:dyDescent="0.25">
      <c r="J8052" s="48"/>
    </row>
    <row r="8053" spans="10:10" ht="18.75" customHeight="1" x14ac:dyDescent="0.25">
      <c r="J8053" s="48"/>
    </row>
    <row r="8054" spans="10:10" ht="18.75" customHeight="1" x14ac:dyDescent="0.25">
      <c r="J8054" s="48"/>
    </row>
    <row r="8055" spans="10:10" ht="18.75" customHeight="1" x14ac:dyDescent="0.25">
      <c r="J8055" s="48"/>
    </row>
    <row r="8056" spans="10:10" ht="18.75" customHeight="1" x14ac:dyDescent="0.25">
      <c r="J8056" s="48"/>
    </row>
    <row r="8057" spans="10:10" ht="18.75" customHeight="1" x14ac:dyDescent="0.25">
      <c r="J8057" s="48"/>
    </row>
    <row r="8058" spans="10:10" ht="18.75" customHeight="1" x14ac:dyDescent="0.25">
      <c r="J8058" s="48"/>
    </row>
    <row r="8059" spans="10:10" ht="18.75" customHeight="1" x14ac:dyDescent="0.25">
      <c r="J8059" s="48"/>
    </row>
    <row r="8060" spans="10:10" ht="18.75" customHeight="1" x14ac:dyDescent="0.25">
      <c r="J8060" s="48"/>
    </row>
    <row r="8061" spans="10:10" ht="18.75" customHeight="1" x14ac:dyDescent="0.25">
      <c r="J8061" s="48"/>
    </row>
    <row r="8062" spans="10:10" ht="18.75" customHeight="1" x14ac:dyDescent="0.25">
      <c r="J8062" s="48"/>
    </row>
    <row r="8063" spans="10:10" ht="18.75" customHeight="1" x14ac:dyDescent="0.25">
      <c r="J8063" s="48"/>
    </row>
    <row r="8064" spans="10:10" ht="18.75" customHeight="1" x14ac:dyDescent="0.25">
      <c r="J8064" s="48"/>
    </row>
    <row r="8065" spans="10:10" ht="18.75" customHeight="1" x14ac:dyDescent="0.25">
      <c r="J8065" s="48"/>
    </row>
    <row r="8066" spans="10:10" ht="18.75" customHeight="1" x14ac:dyDescent="0.25">
      <c r="J8066" s="48"/>
    </row>
    <row r="8067" spans="10:10" ht="18.75" customHeight="1" x14ac:dyDescent="0.25">
      <c r="J8067" s="48"/>
    </row>
    <row r="8068" spans="10:10" ht="18.75" customHeight="1" x14ac:dyDescent="0.25">
      <c r="J8068" s="48"/>
    </row>
    <row r="8069" spans="10:10" ht="18.75" customHeight="1" x14ac:dyDescent="0.25">
      <c r="J8069" s="48"/>
    </row>
    <row r="8070" spans="10:10" ht="18.75" customHeight="1" x14ac:dyDescent="0.25">
      <c r="J8070" s="48"/>
    </row>
    <row r="8071" spans="10:10" ht="18.75" customHeight="1" x14ac:dyDescent="0.25">
      <c r="J8071" s="48"/>
    </row>
    <row r="8072" spans="10:10" ht="18.75" customHeight="1" x14ac:dyDescent="0.25">
      <c r="J8072" s="48"/>
    </row>
    <row r="8073" spans="10:10" ht="18.75" customHeight="1" x14ac:dyDescent="0.25">
      <c r="J8073" s="48"/>
    </row>
    <row r="8074" spans="10:10" ht="18.75" customHeight="1" x14ac:dyDescent="0.25">
      <c r="J8074" s="48"/>
    </row>
    <row r="8075" spans="10:10" ht="18.75" customHeight="1" x14ac:dyDescent="0.25">
      <c r="J8075" s="48"/>
    </row>
    <row r="8076" spans="10:10" ht="18.75" customHeight="1" x14ac:dyDescent="0.25">
      <c r="J8076" s="48"/>
    </row>
    <row r="8077" spans="10:10" ht="18.75" customHeight="1" x14ac:dyDescent="0.25">
      <c r="J8077" s="48"/>
    </row>
    <row r="8078" spans="10:10" ht="18.75" customHeight="1" x14ac:dyDescent="0.25">
      <c r="J8078" s="48"/>
    </row>
    <row r="8079" spans="10:10" ht="18.75" customHeight="1" x14ac:dyDescent="0.25">
      <c r="J8079" s="48"/>
    </row>
    <row r="8080" spans="10:10" ht="18.75" customHeight="1" x14ac:dyDescent="0.25">
      <c r="J8080" s="48"/>
    </row>
    <row r="8081" spans="10:10" ht="18.75" customHeight="1" x14ac:dyDescent="0.25">
      <c r="J8081" s="48"/>
    </row>
    <row r="8082" spans="10:10" ht="18.75" customHeight="1" x14ac:dyDescent="0.25">
      <c r="J8082" s="48"/>
    </row>
    <row r="8083" spans="10:10" ht="18.75" customHeight="1" x14ac:dyDescent="0.25">
      <c r="J8083" s="48"/>
    </row>
    <row r="8084" spans="10:10" ht="18.75" customHeight="1" x14ac:dyDescent="0.25">
      <c r="J8084" s="48"/>
    </row>
    <row r="8085" spans="10:10" ht="18.75" customHeight="1" x14ac:dyDescent="0.25">
      <c r="J8085" s="48"/>
    </row>
    <row r="8086" spans="10:10" ht="18.75" customHeight="1" x14ac:dyDescent="0.25">
      <c r="J8086" s="48"/>
    </row>
    <row r="8087" spans="10:10" ht="18.75" customHeight="1" x14ac:dyDescent="0.25">
      <c r="J8087" s="48"/>
    </row>
    <row r="8088" spans="10:10" ht="18.75" customHeight="1" x14ac:dyDescent="0.25">
      <c r="J8088" s="48"/>
    </row>
    <row r="8089" spans="10:10" ht="18.75" customHeight="1" x14ac:dyDescent="0.25">
      <c r="J8089" s="48"/>
    </row>
    <row r="8090" spans="10:10" ht="18.75" customHeight="1" x14ac:dyDescent="0.25">
      <c r="J8090" s="48"/>
    </row>
    <row r="8091" spans="10:10" ht="18.75" customHeight="1" x14ac:dyDescent="0.25">
      <c r="J8091" s="48"/>
    </row>
    <row r="8092" spans="10:10" ht="18.75" customHeight="1" x14ac:dyDescent="0.25">
      <c r="J8092" s="48"/>
    </row>
    <row r="8093" spans="10:10" ht="18.75" customHeight="1" x14ac:dyDescent="0.25">
      <c r="J8093" s="48"/>
    </row>
    <row r="8094" spans="10:10" ht="18.75" customHeight="1" x14ac:dyDescent="0.25">
      <c r="J8094" s="48"/>
    </row>
    <row r="8095" spans="10:10" ht="18.75" customHeight="1" x14ac:dyDescent="0.25">
      <c r="J8095" s="48"/>
    </row>
    <row r="8096" spans="10:10" ht="18.75" customHeight="1" x14ac:dyDescent="0.25">
      <c r="J8096" s="48"/>
    </row>
    <row r="8097" spans="10:10" ht="18.75" customHeight="1" x14ac:dyDescent="0.25">
      <c r="J8097" s="48"/>
    </row>
    <row r="8098" spans="10:10" ht="18.75" customHeight="1" x14ac:dyDescent="0.25">
      <c r="J8098" s="48"/>
    </row>
    <row r="8099" spans="10:10" ht="18.75" customHeight="1" x14ac:dyDescent="0.25">
      <c r="J8099" s="48"/>
    </row>
    <row r="8100" spans="10:10" ht="18.75" customHeight="1" x14ac:dyDescent="0.25">
      <c r="J8100" s="48"/>
    </row>
    <row r="8101" spans="10:10" ht="18.75" customHeight="1" x14ac:dyDescent="0.25">
      <c r="J8101" s="48"/>
    </row>
    <row r="8102" spans="10:10" ht="18.75" customHeight="1" x14ac:dyDescent="0.25">
      <c r="J8102" s="48"/>
    </row>
    <row r="8103" spans="10:10" ht="18.75" customHeight="1" x14ac:dyDescent="0.25">
      <c r="J8103" s="48"/>
    </row>
    <row r="8104" spans="10:10" ht="18.75" customHeight="1" x14ac:dyDescent="0.25">
      <c r="J8104" s="48"/>
    </row>
    <row r="8105" spans="10:10" ht="18.75" customHeight="1" x14ac:dyDescent="0.25">
      <c r="J8105" s="48"/>
    </row>
    <row r="8106" spans="10:10" ht="18.75" customHeight="1" x14ac:dyDescent="0.25">
      <c r="J8106" s="48"/>
    </row>
    <row r="8107" spans="10:10" ht="18.75" customHeight="1" x14ac:dyDescent="0.25">
      <c r="J8107" s="48"/>
    </row>
    <row r="8108" spans="10:10" ht="18.75" customHeight="1" x14ac:dyDescent="0.25">
      <c r="J8108" s="48"/>
    </row>
    <row r="8109" spans="10:10" ht="18.75" customHeight="1" x14ac:dyDescent="0.25">
      <c r="J8109" s="48"/>
    </row>
    <row r="8110" spans="10:10" ht="18.75" customHeight="1" x14ac:dyDescent="0.25">
      <c r="J8110" s="48"/>
    </row>
    <row r="8111" spans="10:10" ht="18.75" customHeight="1" x14ac:dyDescent="0.25">
      <c r="J8111" s="48"/>
    </row>
    <row r="8112" spans="10:10" ht="18.75" customHeight="1" x14ac:dyDescent="0.25">
      <c r="J8112" s="48"/>
    </row>
    <row r="8113" spans="10:10" ht="18.75" customHeight="1" x14ac:dyDescent="0.25">
      <c r="J8113" s="48"/>
    </row>
    <row r="8114" spans="10:10" ht="18.75" customHeight="1" x14ac:dyDescent="0.25">
      <c r="J8114" s="48"/>
    </row>
    <row r="8115" spans="10:10" ht="18.75" customHeight="1" x14ac:dyDescent="0.25">
      <c r="J8115" s="48"/>
    </row>
    <row r="8116" spans="10:10" ht="18.75" customHeight="1" x14ac:dyDescent="0.25">
      <c r="J8116" s="48"/>
    </row>
    <row r="8117" spans="10:10" ht="18.75" customHeight="1" x14ac:dyDescent="0.25">
      <c r="J8117" s="48"/>
    </row>
    <row r="8118" spans="10:10" ht="18.75" customHeight="1" x14ac:dyDescent="0.25">
      <c r="J8118" s="48"/>
    </row>
    <row r="8119" spans="10:10" ht="18.75" customHeight="1" x14ac:dyDescent="0.25">
      <c r="J8119" s="48"/>
    </row>
    <row r="8120" spans="10:10" ht="18.75" customHeight="1" x14ac:dyDescent="0.25">
      <c r="J8120" s="48"/>
    </row>
    <row r="8121" spans="10:10" ht="18.75" customHeight="1" x14ac:dyDescent="0.25">
      <c r="J8121" s="48"/>
    </row>
    <row r="8122" spans="10:10" ht="18.75" customHeight="1" x14ac:dyDescent="0.25">
      <c r="J8122" s="48"/>
    </row>
    <row r="8123" spans="10:10" ht="18.75" customHeight="1" x14ac:dyDescent="0.25">
      <c r="J8123" s="48"/>
    </row>
    <row r="8124" spans="10:10" ht="18.75" customHeight="1" x14ac:dyDescent="0.25">
      <c r="J8124" s="48"/>
    </row>
    <row r="8125" spans="10:10" ht="18.75" customHeight="1" x14ac:dyDescent="0.25">
      <c r="J8125" s="48"/>
    </row>
    <row r="8126" spans="10:10" ht="18.75" customHeight="1" x14ac:dyDescent="0.25">
      <c r="J8126" s="48"/>
    </row>
    <row r="8127" spans="10:10" ht="18.75" customHeight="1" x14ac:dyDescent="0.25">
      <c r="J8127" s="48"/>
    </row>
    <row r="8128" spans="10:10" ht="18.75" customHeight="1" x14ac:dyDescent="0.25">
      <c r="J8128" s="48"/>
    </row>
    <row r="8129" spans="10:10" ht="18.75" customHeight="1" x14ac:dyDescent="0.25">
      <c r="J8129" s="48"/>
    </row>
    <row r="8130" spans="10:10" ht="18.75" customHeight="1" x14ac:dyDescent="0.25">
      <c r="J8130" s="48"/>
    </row>
    <row r="8131" spans="10:10" ht="18.75" customHeight="1" x14ac:dyDescent="0.25">
      <c r="J8131" s="48"/>
    </row>
    <row r="8132" spans="10:10" ht="18.75" customHeight="1" x14ac:dyDescent="0.25">
      <c r="J8132" s="48"/>
    </row>
    <row r="8133" spans="10:10" ht="18.75" customHeight="1" x14ac:dyDescent="0.25">
      <c r="J8133" s="48"/>
    </row>
    <row r="8134" spans="10:10" ht="18.75" customHeight="1" x14ac:dyDescent="0.25">
      <c r="J8134" s="48"/>
    </row>
    <row r="8135" spans="10:10" ht="18.75" customHeight="1" x14ac:dyDescent="0.25">
      <c r="J8135" s="48"/>
    </row>
    <row r="8136" spans="10:10" ht="18.75" customHeight="1" x14ac:dyDescent="0.25">
      <c r="J8136" s="48"/>
    </row>
    <row r="8137" spans="10:10" ht="18.75" customHeight="1" x14ac:dyDescent="0.25">
      <c r="J8137" s="48"/>
    </row>
    <row r="8138" spans="10:10" ht="18.75" customHeight="1" x14ac:dyDescent="0.25">
      <c r="J8138" s="48"/>
    </row>
    <row r="8139" spans="10:10" ht="18.75" customHeight="1" x14ac:dyDescent="0.25">
      <c r="J8139" s="48"/>
    </row>
    <row r="8140" spans="10:10" ht="18.75" customHeight="1" x14ac:dyDescent="0.25">
      <c r="J8140" s="48"/>
    </row>
    <row r="8141" spans="10:10" ht="18.75" customHeight="1" x14ac:dyDescent="0.25">
      <c r="J8141" s="48"/>
    </row>
    <row r="8142" spans="10:10" ht="18.75" customHeight="1" x14ac:dyDescent="0.25">
      <c r="J8142" s="48"/>
    </row>
    <row r="8143" spans="10:10" ht="18.75" customHeight="1" x14ac:dyDescent="0.25">
      <c r="J8143" s="48"/>
    </row>
    <row r="8144" spans="10:10" ht="18.75" customHeight="1" x14ac:dyDescent="0.25">
      <c r="J8144" s="48"/>
    </row>
    <row r="8145" spans="10:10" ht="18.75" customHeight="1" x14ac:dyDescent="0.25">
      <c r="J8145" s="48"/>
    </row>
    <row r="8146" spans="10:10" ht="18.75" customHeight="1" x14ac:dyDescent="0.25">
      <c r="J8146" s="48"/>
    </row>
    <row r="8147" spans="10:10" ht="18.75" customHeight="1" x14ac:dyDescent="0.25">
      <c r="J8147" s="48"/>
    </row>
    <row r="8148" spans="10:10" ht="18.75" customHeight="1" x14ac:dyDescent="0.25">
      <c r="J8148" s="48"/>
    </row>
    <row r="8149" spans="10:10" ht="18.75" customHeight="1" x14ac:dyDescent="0.25">
      <c r="J8149" s="48"/>
    </row>
    <row r="8150" spans="10:10" ht="18.75" customHeight="1" x14ac:dyDescent="0.25">
      <c r="J8150" s="48"/>
    </row>
    <row r="8151" spans="10:10" ht="18.75" customHeight="1" x14ac:dyDescent="0.25">
      <c r="J8151" s="48"/>
    </row>
    <row r="8152" spans="10:10" ht="18.75" customHeight="1" x14ac:dyDescent="0.25">
      <c r="J8152" s="48"/>
    </row>
    <row r="8153" spans="10:10" ht="18.75" customHeight="1" x14ac:dyDescent="0.25">
      <c r="J8153" s="48"/>
    </row>
    <row r="8154" spans="10:10" ht="18.75" customHeight="1" x14ac:dyDescent="0.25">
      <c r="J8154" s="48"/>
    </row>
    <row r="8155" spans="10:10" ht="18.75" customHeight="1" x14ac:dyDescent="0.25">
      <c r="J8155" s="48"/>
    </row>
    <row r="8156" spans="10:10" ht="18.75" customHeight="1" x14ac:dyDescent="0.25">
      <c r="J8156" s="48"/>
    </row>
    <row r="8157" spans="10:10" ht="18.75" customHeight="1" x14ac:dyDescent="0.25">
      <c r="J8157" s="48"/>
    </row>
    <row r="8158" spans="10:10" ht="18.75" customHeight="1" x14ac:dyDescent="0.25">
      <c r="J8158" s="48"/>
    </row>
    <row r="8159" spans="10:10" ht="18.75" customHeight="1" x14ac:dyDescent="0.25">
      <c r="J8159" s="48"/>
    </row>
    <row r="8160" spans="10:10" ht="18.75" customHeight="1" x14ac:dyDescent="0.25">
      <c r="J8160" s="48"/>
    </row>
    <row r="8161" spans="10:10" ht="18.75" customHeight="1" x14ac:dyDescent="0.25">
      <c r="J8161" s="48"/>
    </row>
    <row r="8162" spans="10:10" ht="18.75" customHeight="1" x14ac:dyDescent="0.25">
      <c r="J8162" s="48"/>
    </row>
    <row r="8163" spans="10:10" ht="18.75" customHeight="1" x14ac:dyDescent="0.25">
      <c r="J8163" s="48"/>
    </row>
    <row r="8164" spans="10:10" ht="18.75" customHeight="1" x14ac:dyDescent="0.25">
      <c r="J8164" s="48"/>
    </row>
    <row r="8165" spans="10:10" ht="18.75" customHeight="1" x14ac:dyDescent="0.25">
      <c r="J8165" s="48"/>
    </row>
    <row r="8166" spans="10:10" ht="18.75" customHeight="1" x14ac:dyDescent="0.25">
      <c r="J8166" s="48"/>
    </row>
    <row r="8167" spans="10:10" ht="18.75" customHeight="1" x14ac:dyDescent="0.25">
      <c r="J8167" s="48"/>
    </row>
    <row r="8168" spans="10:10" ht="18.75" customHeight="1" x14ac:dyDescent="0.25">
      <c r="J8168" s="48"/>
    </row>
    <row r="8169" spans="10:10" ht="18.75" customHeight="1" x14ac:dyDescent="0.25">
      <c r="J8169" s="48"/>
    </row>
    <row r="8170" spans="10:10" ht="18.75" customHeight="1" x14ac:dyDescent="0.25">
      <c r="J8170" s="48"/>
    </row>
    <row r="8171" spans="10:10" ht="18.75" customHeight="1" x14ac:dyDescent="0.25">
      <c r="J8171" s="48"/>
    </row>
    <row r="8172" spans="10:10" ht="18.75" customHeight="1" x14ac:dyDescent="0.25">
      <c r="J8172" s="48"/>
    </row>
    <row r="8173" spans="10:10" ht="18.75" customHeight="1" x14ac:dyDescent="0.25">
      <c r="J8173" s="48"/>
    </row>
    <row r="8174" spans="10:10" ht="18.75" customHeight="1" x14ac:dyDescent="0.25">
      <c r="J8174" s="48"/>
    </row>
    <row r="8175" spans="10:10" ht="18.75" customHeight="1" x14ac:dyDescent="0.25">
      <c r="J8175" s="48"/>
    </row>
    <row r="8176" spans="10:10" ht="18.75" customHeight="1" x14ac:dyDescent="0.25">
      <c r="J8176" s="48"/>
    </row>
    <row r="8177" spans="10:10" ht="18.75" customHeight="1" x14ac:dyDescent="0.25">
      <c r="J8177" s="48"/>
    </row>
    <row r="8178" spans="10:10" ht="18.75" customHeight="1" x14ac:dyDescent="0.25">
      <c r="J8178" s="48"/>
    </row>
    <row r="8179" spans="10:10" ht="18.75" customHeight="1" x14ac:dyDescent="0.25">
      <c r="J8179" s="48"/>
    </row>
    <row r="8180" spans="10:10" ht="18.75" customHeight="1" x14ac:dyDescent="0.25">
      <c r="J8180" s="48"/>
    </row>
    <row r="8181" spans="10:10" ht="18.75" customHeight="1" x14ac:dyDescent="0.25">
      <c r="J8181" s="48"/>
    </row>
    <row r="8182" spans="10:10" ht="18.75" customHeight="1" x14ac:dyDescent="0.25">
      <c r="J8182" s="48"/>
    </row>
    <row r="8183" spans="10:10" ht="18.75" customHeight="1" x14ac:dyDescent="0.25">
      <c r="J8183" s="48"/>
    </row>
    <row r="8184" spans="10:10" ht="18.75" customHeight="1" x14ac:dyDescent="0.25">
      <c r="J8184" s="48"/>
    </row>
    <row r="8185" spans="10:10" ht="18.75" customHeight="1" x14ac:dyDescent="0.25">
      <c r="J8185" s="48"/>
    </row>
    <row r="8186" spans="10:10" ht="18.75" customHeight="1" x14ac:dyDescent="0.25">
      <c r="J8186" s="48"/>
    </row>
    <row r="8187" spans="10:10" ht="18.75" customHeight="1" x14ac:dyDescent="0.25">
      <c r="J8187" s="48"/>
    </row>
    <row r="8188" spans="10:10" ht="18.75" customHeight="1" x14ac:dyDescent="0.25">
      <c r="J8188" s="48"/>
    </row>
    <row r="8189" spans="10:10" ht="18.75" customHeight="1" x14ac:dyDescent="0.25">
      <c r="J8189" s="48"/>
    </row>
    <row r="8190" spans="10:10" ht="18.75" customHeight="1" x14ac:dyDescent="0.25">
      <c r="J8190" s="48"/>
    </row>
    <row r="8191" spans="10:10" ht="18.75" customHeight="1" x14ac:dyDescent="0.25">
      <c r="J8191" s="48"/>
    </row>
    <row r="8192" spans="10:10" ht="18.75" customHeight="1" x14ac:dyDescent="0.25">
      <c r="J8192" s="48"/>
    </row>
    <row r="8193" spans="10:10" ht="18.75" customHeight="1" x14ac:dyDescent="0.25">
      <c r="J8193" s="48"/>
    </row>
    <row r="8194" spans="10:10" ht="18.75" customHeight="1" x14ac:dyDescent="0.25">
      <c r="J8194" s="48"/>
    </row>
    <row r="8195" spans="10:10" ht="18.75" customHeight="1" x14ac:dyDescent="0.25">
      <c r="J8195" s="48"/>
    </row>
    <row r="8196" spans="10:10" ht="18.75" customHeight="1" x14ac:dyDescent="0.25">
      <c r="J8196" s="48"/>
    </row>
    <row r="8197" spans="10:10" ht="18.75" customHeight="1" x14ac:dyDescent="0.25">
      <c r="J8197" s="48"/>
    </row>
    <row r="8198" spans="10:10" ht="18.75" customHeight="1" x14ac:dyDescent="0.25">
      <c r="J8198" s="48"/>
    </row>
    <row r="8199" spans="10:10" ht="18.75" customHeight="1" x14ac:dyDescent="0.25">
      <c r="J8199" s="48"/>
    </row>
    <row r="8200" spans="10:10" ht="18.75" customHeight="1" x14ac:dyDescent="0.25">
      <c r="J8200" s="48"/>
    </row>
    <row r="8201" spans="10:10" ht="18.75" customHeight="1" x14ac:dyDescent="0.25">
      <c r="J8201" s="48"/>
    </row>
    <row r="8202" spans="10:10" ht="18.75" customHeight="1" x14ac:dyDescent="0.25">
      <c r="J8202" s="48"/>
    </row>
    <row r="8203" spans="10:10" ht="18.75" customHeight="1" x14ac:dyDescent="0.25">
      <c r="J8203" s="48"/>
    </row>
    <row r="8204" spans="10:10" ht="18.75" customHeight="1" x14ac:dyDescent="0.25">
      <c r="J8204" s="48"/>
    </row>
    <row r="8205" spans="10:10" ht="18.75" customHeight="1" x14ac:dyDescent="0.25">
      <c r="J8205" s="48"/>
    </row>
    <row r="8206" spans="10:10" ht="18.75" customHeight="1" x14ac:dyDescent="0.25">
      <c r="J8206" s="48"/>
    </row>
    <row r="8207" spans="10:10" ht="18.75" customHeight="1" x14ac:dyDescent="0.25">
      <c r="J8207" s="48"/>
    </row>
    <row r="8208" spans="10:10" ht="18.75" customHeight="1" x14ac:dyDescent="0.25">
      <c r="J8208" s="48"/>
    </row>
    <row r="8209" spans="10:10" ht="18.75" customHeight="1" x14ac:dyDescent="0.25">
      <c r="J8209" s="48"/>
    </row>
    <row r="8210" spans="10:10" ht="18.75" customHeight="1" x14ac:dyDescent="0.25">
      <c r="J8210" s="48"/>
    </row>
    <row r="8211" spans="10:10" ht="18.75" customHeight="1" x14ac:dyDescent="0.25">
      <c r="J8211" s="48"/>
    </row>
    <row r="8212" spans="10:10" ht="18.75" customHeight="1" x14ac:dyDescent="0.25">
      <c r="J8212" s="48"/>
    </row>
    <row r="8213" spans="10:10" ht="18.75" customHeight="1" x14ac:dyDescent="0.25">
      <c r="J8213" s="48"/>
    </row>
    <row r="8214" spans="10:10" ht="18.75" customHeight="1" x14ac:dyDescent="0.25">
      <c r="J8214" s="48"/>
    </row>
    <row r="8215" spans="10:10" ht="18.75" customHeight="1" x14ac:dyDescent="0.25">
      <c r="J8215" s="48"/>
    </row>
    <row r="8216" spans="10:10" ht="18.75" customHeight="1" x14ac:dyDescent="0.25">
      <c r="J8216" s="48"/>
    </row>
    <row r="8217" spans="10:10" ht="18.75" customHeight="1" x14ac:dyDescent="0.25">
      <c r="J8217" s="48"/>
    </row>
    <row r="8218" spans="10:10" ht="18.75" customHeight="1" x14ac:dyDescent="0.25">
      <c r="J8218" s="48"/>
    </row>
    <row r="8219" spans="10:10" ht="18.75" customHeight="1" x14ac:dyDescent="0.25">
      <c r="J8219" s="48"/>
    </row>
    <row r="8220" spans="10:10" ht="18.75" customHeight="1" x14ac:dyDescent="0.25">
      <c r="J8220" s="48"/>
    </row>
    <row r="8221" spans="10:10" ht="18.75" customHeight="1" x14ac:dyDescent="0.25">
      <c r="J8221" s="48"/>
    </row>
    <row r="8222" spans="10:10" ht="18.75" customHeight="1" x14ac:dyDescent="0.25">
      <c r="J8222" s="48"/>
    </row>
    <row r="8223" spans="10:10" ht="18.75" customHeight="1" x14ac:dyDescent="0.25">
      <c r="J8223" s="48"/>
    </row>
    <row r="8224" spans="10:10" ht="18.75" customHeight="1" x14ac:dyDescent="0.25">
      <c r="J8224" s="48"/>
    </row>
    <row r="8225" spans="10:10" ht="18.75" customHeight="1" x14ac:dyDescent="0.25">
      <c r="J8225" s="48"/>
    </row>
    <row r="8226" spans="10:10" ht="18.75" customHeight="1" x14ac:dyDescent="0.25">
      <c r="J8226" s="48"/>
    </row>
    <row r="8227" spans="10:10" ht="18.75" customHeight="1" x14ac:dyDescent="0.25">
      <c r="J8227" s="48"/>
    </row>
    <row r="8228" spans="10:10" ht="18.75" customHeight="1" x14ac:dyDescent="0.25">
      <c r="J8228" s="48"/>
    </row>
    <row r="8229" spans="10:10" ht="18.75" customHeight="1" x14ac:dyDescent="0.25">
      <c r="J8229" s="48"/>
    </row>
    <row r="8230" spans="10:10" ht="18.75" customHeight="1" x14ac:dyDescent="0.25">
      <c r="J8230" s="48"/>
    </row>
    <row r="8231" spans="10:10" ht="18.75" customHeight="1" x14ac:dyDescent="0.25">
      <c r="J8231" s="48"/>
    </row>
    <row r="8232" spans="10:10" ht="18.75" customHeight="1" x14ac:dyDescent="0.25">
      <c r="J8232" s="48"/>
    </row>
    <row r="8233" spans="10:10" ht="18.75" customHeight="1" x14ac:dyDescent="0.25">
      <c r="J8233" s="48"/>
    </row>
    <row r="8234" spans="10:10" ht="18.75" customHeight="1" x14ac:dyDescent="0.25">
      <c r="J8234" s="48"/>
    </row>
    <row r="8235" spans="10:10" ht="18.75" customHeight="1" x14ac:dyDescent="0.25">
      <c r="J8235" s="48"/>
    </row>
    <row r="8236" spans="10:10" ht="18.75" customHeight="1" x14ac:dyDescent="0.25">
      <c r="J8236" s="48"/>
    </row>
    <row r="8237" spans="10:10" ht="18.75" customHeight="1" x14ac:dyDescent="0.25">
      <c r="J8237" s="48"/>
    </row>
    <row r="8238" spans="10:10" ht="18.75" customHeight="1" x14ac:dyDescent="0.25">
      <c r="J8238" s="48"/>
    </row>
    <row r="8239" spans="10:10" ht="18.75" customHeight="1" x14ac:dyDescent="0.25">
      <c r="J8239" s="48"/>
    </row>
    <row r="8240" spans="10:10" ht="18.75" customHeight="1" x14ac:dyDescent="0.25">
      <c r="J8240" s="48"/>
    </row>
    <row r="8241" spans="10:10" ht="18.75" customHeight="1" x14ac:dyDescent="0.25">
      <c r="J8241" s="48"/>
    </row>
    <row r="8242" spans="10:10" ht="18.75" customHeight="1" x14ac:dyDescent="0.25">
      <c r="J8242" s="48"/>
    </row>
    <row r="8243" spans="10:10" ht="18.75" customHeight="1" x14ac:dyDescent="0.25">
      <c r="J8243" s="48"/>
    </row>
    <row r="8244" spans="10:10" ht="18.75" customHeight="1" x14ac:dyDescent="0.25">
      <c r="J8244" s="48"/>
    </row>
    <row r="8245" spans="10:10" ht="18.75" customHeight="1" x14ac:dyDescent="0.25">
      <c r="J8245" s="48"/>
    </row>
    <row r="8246" spans="10:10" ht="18.75" customHeight="1" x14ac:dyDescent="0.25">
      <c r="J8246" s="48"/>
    </row>
    <row r="8247" spans="10:10" ht="18.75" customHeight="1" x14ac:dyDescent="0.25">
      <c r="J8247" s="48"/>
    </row>
    <row r="8248" spans="10:10" ht="18.75" customHeight="1" x14ac:dyDescent="0.25">
      <c r="J8248" s="48"/>
    </row>
    <row r="8249" spans="10:10" ht="18.75" customHeight="1" x14ac:dyDescent="0.25">
      <c r="J8249" s="48"/>
    </row>
    <row r="8250" spans="10:10" ht="18.75" customHeight="1" x14ac:dyDescent="0.25">
      <c r="J8250" s="48"/>
    </row>
    <row r="8251" spans="10:10" ht="18.75" customHeight="1" x14ac:dyDescent="0.25">
      <c r="J8251" s="48"/>
    </row>
    <row r="8252" spans="10:10" ht="18.75" customHeight="1" x14ac:dyDescent="0.25">
      <c r="J8252" s="48"/>
    </row>
    <row r="8253" spans="10:10" ht="18.75" customHeight="1" x14ac:dyDescent="0.25">
      <c r="J8253" s="48"/>
    </row>
    <row r="8254" spans="10:10" ht="18.75" customHeight="1" x14ac:dyDescent="0.25">
      <c r="J8254" s="48"/>
    </row>
    <row r="8255" spans="10:10" ht="18.75" customHeight="1" x14ac:dyDescent="0.25">
      <c r="J8255" s="48"/>
    </row>
    <row r="8256" spans="10:10" ht="18.75" customHeight="1" x14ac:dyDescent="0.25">
      <c r="J8256" s="48"/>
    </row>
    <row r="8257" spans="10:10" ht="18.75" customHeight="1" x14ac:dyDescent="0.25">
      <c r="J8257" s="48"/>
    </row>
    <row r="8258" spans="10:10" ht="18.75" customHeight="1" x14ac:dyDescent="0.25">
      <c r="J8258" s="48"/>
    </row>
    <row r="8259" spans="10:10" ht="18.75" customHeight="1" x14ac:dyDescent="0.25">
      <c r="J8259" s="48"/>
    </row>
    <row r="8260" spans="10:10" ht="18.75" customHeight="1" x14ac:dyDescent="0.25">
      <c r="J8260" s="48"/>
    </row>
    <row r="8261" spans="10:10" ht="18.75" customHeight="1" x14ac:dyDescent="0.25">
      <c r="J8261" s="48"/>
    </row>
    <row r="8262" spans="10:10" ht="18.75" customHeight="1" x14ac:dyDescent="0.25">
      <c r="J8262" s="48"/>
    </row>
    <row r="8263" spans="10:10" ht="18.75" customHeight="1" x14ac:dyDescent="0.25">
      <c r="J8263" s="48"/>
    </row>
    <row r="8264" spans="10:10" ht="18.75" customHeight="1" x14ac:dyDescent="0.25">
      <c r="J8264" s="48"/>
    </row>
    <row r="8265" spans="10:10" ht="18.75" customHeight="1" x14ac:dyDescent="0.25">
      <c r="J8265" s="48"/>
    </row>
    <row r="8266" spans="10:10" ht="18.75" customHeight="1" x14ac:dyDescent="0.25">
      <c r="J8266" s="48"/>
    </row>
    <row r="8267" spans="10:10" ht="18.75" customHeight="1" x14ac:dyDescent="0.25">
      <c r="J8267" s="48"/>
    </row>
    <row r="8268" spans="10:10" ht="18.75" customHeight="1" x14ac:dyDescent="0.25">
      <c r="J8268" s="48"/>
    </row>
    <row r="8269" spans="10:10" ht="18.75" customHeight="1" x14ac:dyDescent="0.25">
      <c r="J8269" s="48"/>
    </row>
    <row r="8270" spans="10:10" ht="18.75" customHeight="1" x14ac:dyDescent="0.25">
      <c r="J8270" s="48"/>
    </row>
    <row r="8271" spans="10:10" ht="18.75" customHeight="1" x14ac:dyDescent="0.25">
      <c r="J8271" s="48"/>
    </row>
    <row r="8272" spans="10:10" ht="18.75" customHeight="1" x14ac:dyDescent="0.25">
      <c r="J8272" s="48"/>
    </row>
    <row r="8273" spans="10:10" ht="18.75" customHeight="1" x14ac:dyDescent="0.25">
      <c r="J8273" s="48"/>
    </row>
    <row r="8274" spans="10:10" ht="18.75" customHeight="1" x14ac:dyDescent="0.25">
      <c r="J8274" s="48"/>
    </row>
    <row r="8275" spans="10:10" ht="18.75" customHeight="1" x14ac:dyDescent="0.25">
      <c r="J8275" s="48"/>
    </row>
    <row r="8276" spans="10:10" ht="18.75" customHeight="1" x14ac:dyDescent="0.25">
      <c r="J8276" s="48"/>
    </row>
    <row r="8277" spans="10:10" ht="18.75" customHeight="1" x14ac:dyDescent="0.25">
      <c r="J8277" s="48"/>
    </row>
    <row r="8278" spans="10:10" ht="18.75" customHeight="1" x14ac:dyDescent="0.25">
      <c r="J8278" s="48"/>
    </row>
    <row r="8279" spans="10:10" ht="18.75" customHeight="1" x14ac:dyDescent="0.25">
      <c r="J8279" s="48"/>
    </row>
    <row r="8280" spans="10:10" ht="18.75" customHeight="1" x14ac:dyDescent="0.25">
      <c r="J8280" s="48"/>
    </row>
    <row r="8281" spans="10:10" ht="18.75" customHeight="1" x14ac:dyDescent="0.25">
      <c r="J8281" s="48"/>
    </row>
    <row r="8282" spans="10:10" ht="18.75" customHeight="1" x14ac:dyDescent="0.25">
      <c r="J8282" s="48"/>
    </row>
    <row r="8283" spans="10:10" ht="18.75" customHeight="1" x14ac:dyDescent="0.25">
      <c r="J8283" s="48"/>
    </row>
    <row r="8284" spans="10:10" ht="18.75" customHeight="1" x14ac:dyDescent="0.25">
      <c r="J8284" s="48"/>
    </row>
    <row r="8285" spans="10:10" ht="18.75" customHeight="1" x14ac:dyDescent="0.25">
      <c r="J8285" s="48"/>
    </row>
    <row r="8286" spans="10:10" ht="18.75" customHeight="1" x14ac:dyDescent="0.25">
      <c r="J8286" s="48"/>
    </row>
    <row r="8287" spans="10:10" ht="18.75" customHeight="1" x14ac:dyDescent="0.25">
      <c r="J8287" s="48"/>
    </row>
    <row r="8288" spans="10:10" ht="18.75" customHeight="1" x14ac:dyDescent="0.25">
      <c r="J8288" s="48"/>
    </row>
    <row r="8289" spans="10:10" ht="18.75" customHeight="1" x14ac:dyDescent="0.25">
      <c r="J8289" s="48"/>
    </row>
    <row r="8290" spans="10:10" ht="18.75" customHeight="1" x14ac:dyDescent="0.25">
      <c r="J8290" s="48"/>
    </row>
    <row r="8291" spans="10:10" ht="18.75" customHeight="1" x14ac:dyDescent="0.25">
      <c r="J8291" s="48"/>
    </row>
    <row r="8292" spans="10:10" ht="18.75" customHeight="1" x14ac:dyDescent="0.25">
      <c r="J8292" s="48"/>
    </row>
    <row r="8293" spans="10:10" ht="18.75" customHeight="1" x14ac:dyDescent="0.25">
      <c r="J8293" s="48"/>
    </row>
    <row r="8294" spans="10:10" ht="18.75" customHeight="1" x14ac:dyDescent="0.25">
      <c r="J8294" s="48"/>
    </row>
    <row r="8295" spans="10:10" ht="18.75" customHeight="1" x14ac:dyDescent="0.25">
      <c r="J8295" s="48"/>
    </row>
    <row r="8296" spans="10:10" ht="18.75" customHeight="1" x14ac:dyDescent="0.25">
      <c r="J8296" s="48"/>
    </row>
    <row r="8297" spans="10:10" ht="18.75" customHeight="1" x14ac:dyDescent="0.25">
      <c r="J8297" s="48"/>
    </row>
    <row r="8298" spans="10:10" ht="18.75" customHeight="1" x14ac:dyDescent="0.25">
      <c r="J8298" s="48"/>
    </row>
    <row r="8299" spans="10:10" ht="18.75" customHeight="1" x14ac:dyDescent="0.25">
      <c r="J8299" s="48"/>
    </row>
    <row r="8300" spans="10:10" ht="18.75" customHeight="1" x14ac:dyDescent="0.25">
      <c r="J8300" s="48"/>
    </row>
    <row r="8301" spans="10:10" ht="18.75" customHeight="1" x14ac:dyDescent="0.25">
      <c r="J8301" s="48"/>
    </row>
    <row r="8302" spans="10:10" ht="18.75" customHeight="1" x14ac:dyDescent="0.25">
      <c r="J8302" s="48"/>
    </row>
    <row r="8303" spans="10:10" ht="18.75" customHeight="1" x14ac:dyDescent="0.25">
      <c r="J8303" s="48"/>
    </row>
    <row r="8304" spans="10:10" ht="18.75" customHeight="1" x14ac:dyDescent="0.25">
      <c r="J8304" s="48"/>
    </row>
    <row r="8305" spans="10:10" ht="18.75" customHeight="1" x14ac:dyDescent="0.25">
      <c r="J8305" s="48"/>
    </row>
    <row r="8306" spans="10:10" ht="18.75" customHeight="1" x14ac:dyDescent="0.25">
      <c r="J8306" s="48"/>
    </row>
    <row r="8307" spans="10:10" ht="18.75" customHeight="1" x14ac:dyDescent="0.25">
      <c r="J8307" s="48"/>
    </row>
    <row r="8308" spans="10:10" ht="18.75" customHeight="1" x14ac:dyDescent="0.25">
      <c r="J8308" s="48"/>
    </row>
    <row r="8309" spans="10:10" ht="18.75" customHeight="1" x14ac:dyDescent="0.25">
      <c r="J8309" s="48"/>
    </row>
    <row r="8310" spans="10:10" ht="18.75" customHeight="1" x14ac:dyDescent="0.25">
      <c r="J8310" s="48"/>
    </row>
    <row r="8311" spans="10:10" ht="18.75" customHeight="1" x14ac:dyDescent="0.25">
      <c r="J8311" s="48"/>
    </row>
    <row r="8312" spans="10:10" ht="18.75" customHeight="1" x14ac:dyDescent="0.25">
      <c r="J8312" s="48"/>
    </row>
    <row r="8313" spans="10:10" ht="18.75" customHeight="1" x14ac:dyDescent="0.25">
      <c r="J8313" s="48"/>
    </row>
    <row r="8314" spans="10:10" ht="18.75" customHeight="1" x14ac:dyDescent="0.25">
      <c r="J8314" s="48"/>
    </row>
    <row r="8315" spans="10:10" ht="18.75" customHeight="1" x14ac:dyDescent="0.25">
      <c r="J8315" s="48"/>
    </row>
    <row r="8316" spans="10:10" ht="18.75" customHeight="1" x14ac:dyDescent="0.25">
      <c r="J8316" s="48"/>
    </row>
    <row r="8317" spans="10:10" ht="18.75" customHeight="1" x14ac:dyDescent="0.25">
      <c r="J8317" s="48"/>
    </row>
    <row r="8318" spans="10:10" ht="18.75" customHeight="1" x14ac:dyDescent="0.25">
      <c r="J8318" s="48"/>
    </row>
    <row r="8319" spans="10:10" ht="18.75" customHeight="1" x14ac:dyDescent="0.25">
      <c r="J8319" s="48"/>
    </row>
    <row r="8320" spans="10:10" ht="18.75" customHeight="1" x14ac:dyDescent="0.25">
      <c r="J8320" s="48"/>
    </row>
    <row r="8321" spans="10:10" ht="18.75" customHeight="1" x14ac:dyDescent="0.25">
      <c r="J8321" s="48"/>
    </row>
    <row r="8322" spans="10:10" ht="18.75" customHeight="1" x14ac:dyDescent="0.25">
      <c r="J8322" s="48"/>
    </row>
    <row r="8323" spans="10:10" ht="18.75" customHeight="1" x14ac:dyDescent="0.25">
      <c r="J8323" s="48"/>
    </row>
    <row r="8324" spans="10:10" ht="18.75" customHeight="1" x14ac:dyDescent="0.25">
      <c r="J8324" s="48"/>
    </row>
    <row r="8325" spans="10:10" ht="18.75" customHeight="1" x14ac:dyDescent="0.25">
      <c r="J8325" s="48"/>
    </row>
    <row r="8326" spans="10:10" ht="18.75" customHeight="1" x14ac:dyDescent="0.25">
      <c r="J8326" s="48"/>
    </row>
    <row r="8327" spans="10:10" ht="18.75" customHeight="1" x14ac:dyDescent="0.25">
      <c r="J8327" s="48"/>
    </row>
    <row r="8328" spans="10:10" ht="18.75" customHeight="1" x14ac:dyDescent="0.25">
      <c r="J8328" s="48"/>
    </row>
    <row r="8329" spans="10:10" ht="18.75" customHeight="1" x14ac:dyDescent="0.25">
      <c r="J8329" s="48"/>
    </row>
    <row r="8330" spans="10:10" ht="18.75" customHeight="1" x14ac:dyDescent="0.25">
      <c r="J8330" s="48"/>
    </row>
    <row r="8331" spans="10:10" ht="18.75" customHeight="1" x14ac:dyDescent="0.25">
      <c r="J8331" s="48"/>
    </row>
    <row r="8332" spans="10:10" ht="18.75" customHeight="1" x14ac:dyDescent="0.25">
      <c r="J8332" s="48"/>
    </row>
    <row r="8333" spans="10:10" ht="18.75" customHeight="1" x14ac:dyDescent="0.25">
      <c r="J8333" s="48"/>
    </row>
    <row r="8334" spans="10:10" ht="18.75" customHeight="1" x14ac:dyDescent="0.25">
      <c r="J8334" s="48"/>
    </row>
    <row r="8335" spans="10:10" ht="18.75" customHeight="1" x14ac:dyDescent="0.25">
      <c r="J8335" s="48"/>
    </row>
    <row r="8336" spans="10:10" ht="18.75" customHeight="1" x14ac:dyDescent="0.25">
      <c r="J8336" s="48"/>
    </row>
    <row r="8337" spans="10:10" ht="18.75" customHeight="1" x14ac:dyDescent="0.25">
      <c r="J8337" s="48"/>
    </row>
    <row r="8338" spans="10:10" ht="18.75" customHeight="1" x14ac:dyDescent="0.25">
      <c r="J8338" s="48"/>
    </row>
    <row r="8339" spans="10:10" ht="18.75" customHeight="1" x14ac:dyDescent="0.25">
      <c r="J8339" s="48"/>
    </row>
    <row r="8340" spans="10:10" ht="18.75" customHeight="1" x14ac:dyDescent="0.25">
      <c r="J8340" s="48"/>
    </row>
    <row r="8341" spans="10:10" ht="18.75" customHeight="1" x14ac:dyDescent="0.25">
      <c r="J8341" s="48"/>
    </row>
    <row r="8342" spans="10:10" ht="18.75" customHeight="1" x14ac:dyDescent="0.25">
      <c r="J8342" s="48"/>
    </row>
    <row r="8343" spans="10:10" ht="18.75" customHeight="1" x14ac:dyDescent="0.25">
      <c r="J8343" s="48"/>
    </row>
    <row r="8344" spans="10:10" ht="18.75" customHeight="1" x14ac:dyDescent="0.25">
      <c r="J8344" s="48"/>
    </row>
    <row r="8345" spans="10:10" ht="18.75" customHeight="1" x14ac:dyDescent="0.25">
      <c r="J8345" s="48"/>
    </row>
    <row r="8346" spans="10:10" ht="18.75" customHeight="1" x14ac:dyDescent="0.25">
      <c r="J8346" s="48"/>
    </row>
    <row r="8347" spans="10:10" ht="18.75" customHeight="1" x14ac:dyDescent="0.25">
      <c r="J8347" s="48"/>
    </row>
    <row r="8348" spans="10:10" ht="18.75" customHeight="1" x14ac:dyDescent="0.25">
      <c r="J8348" s="48"/>
    </row>
    <row r="8349" spans="10:10" ht="18.75" customHeight="1" x14ac:dyDescent="0.25">
      <c r="J8349" s="48"/>
    </row>
    <row r="8350" spans="10:10" ht="18.75" customHeight="1" x14ac:dyDescent="0.25">
      <c r="J8350" s="48"/>
    </row>
    <row r="8351" spans="10:10" ht="18.75" customHeight="1" x14ac:dyDescent="0.25">
      <c r="J8351" s="48"/>
    </row>
    <row r="8352" spans="10:10" ht="18.75" customHeight="1" x14ac:dyDescent="0.25">
      <c r="J8352" s="48"/>
    </row>
    <row r="8353" spans="10:10" ht="18.75" customHeight="1" x14ac:dyDescent="0.25">
      <c r="J8353" s="48"/>
    </row>
    <row r="8354" spans="10:10" ht="18.75" customHeight="1" x14ac:dyDescent="0.25">
      <c r="J8354" s="48"/>
    </row>
    <row r="8355" spans="10:10" ht="18.75" customHeight="1" x14ac:dyDescent="0.25">
      <c r="J8355" s="48"/>
    </row>
    <row r="8356" spans="10:10" ht="18.75" customHeight="1" x14ac:dyDescent="0.25">
      <c r="J8356" s="48"/>
    </row>
    <row r="8357" spans="10:10" ht="18.75" customHeight="1" x14ac:dyDescent="0.25">
      <c r="J8357" s="48"/>
    </row>
    <row r="8358" spans="10:10" ht="18.75" customHeight="1" x14ac:dyDescent="0.25">
      <c r="J8358" s="48"/>
    </row>
    <row r="8359" spans="10:10" ht="18.75" customHeight="1" x14ac:dyDescent="0.25">
      <c r="J8359" s="48"/>
    </row>
    <row r="8360" spans="10:10" ht="18.75" customHeight="1" x14ac:dyDescent="0.25">
      <c r="J8360" s="48"/>
    </row>
    <row r="8361" spans="10:10" ht="18.75" customHeight="1" x14ac:dyDescent="0.25">
      <c r="J8361" s="48"/>
    </row>
    <row r="8362" spans="10:10" ht="18.75" customHeight="1" x14ac:dyDescent="0.25">
      <c r="J8362" s="48"/>
    </row>
    <row r="8363" spans="10:10" ht="18.75" customHeight="1" x14ac:dyDescent="0.25">
      <c r="J8363" s="48"/>
    </row>
    <row r="8364" spans="10:10" ht="18.75" customHeight="1" x14ac:dyDescent="0.25">
      <c r="J8364" s="48"/>
    </row>
    <row r="8365" spans="10:10" ht="18.75" customHeight="1" x14ac:dyDescent="0.25">
      <c r="J8365" s="48"/>
    </row>
    <row r="8366" spans="10:10" ht="18.75" customHeight="1" x14ac:dyDescent="0.25">
      <c r="J8366" s="48"/>
    </row>
    <row r="8367" spans="10:10" ht="18.75" customHeight="1" x14ac:dyDescent="0.25">
      <c r="J8367" s="48"/>
    </row>
    <row r="8368" spans="10:10" ht="18.75" customHeight="1" x14ac:dyDescent="0.25">
      <c r="J8368" s="48"/>
    </row>
    <row r="8369" spans="10:10" ht="18.75" customHeight="1" x14ac:dyDescent="0.25">
      <c r="J8369" s="48"/>
    </row>
    <row r="8370" spans="10:10" ht="18.75" customHeight="1" x14ac:dyDescent="0.25">
      <c r="J8370" s="48"/>
    </row>
    <row r="8371" spans="10:10" ht="18.75" customHeight="1" x14ac:dyDescent="0.25">
      <c r="J8371" s="48"/>
    </row>
    <row r="8372" spans="10:10" ht="18.75" customHeight="1" x14ac:dyDescent="0.25">
      <c r="J8372" s="48"/>
    </row>
    <row r="8373" spans="10:10" ht="18.75" customHeight="1" x14ac:dyDescent="0.25">
      <c r="J8373" s="48"/>
    </row>
    <row r="8374" spans="10:10" ht="18.75" customHeight="1" x14ac:dyDescent="0.25">
      <c r="J8374" s="48"/>
    </row>
    <row r="8375" spans="10:10" ht="18.75" customHeight="1" x14ac:dyDescent="0.25">
      <c r="J8375" s="48"/>
    </row>
    <row r="8376" spans="10:10" ht="18.75" customHeight="1" x14ac:dyDescent="0.25">
      <c r="J8376" s="48"/>
    </row>
    <row r="8377" spans="10:10" ht="18.75" customHeight="1" x14ac:dyDescent="0.25">
      <c r="J8377" s="48"/>
    </row>
    <row r="8378" spans="10:10" ht="18.75" customHeight="1" x14ac:dyDescent="0.25">
      <c r="J8378" s="48"/>
    </row>
    <row r="8379" spans="10:10" ht="18.75" customHeight="1" x14ac:dyDescent="0.25">
      <c r="J8379" s="48"/>
    </row>
    <row r="8380" spans="10:10" ht="18.75" customHeight="1" x14ac:dyDescent="0.25">
      <c r="J8380" s="48"/>
    </row>
    <row r="8381" spans="10:10" ht="18.75" customHeight="1" x14ac:dyDescent="0.25">
      <c r="J8381" s="48"/>
    </row>
    <row r="8382" spans="10:10" ht="18.75" customHeight="1" x14ac:dyDescent="0.25">
      <c r="J8382" s="48"/>
    </row>
    <row r="8383" spans="10:10" ht="18.75" customHeight="1" x14ac:dyDescent="0.25">
      <c r="J8383" s="48"/>
    </row>
    <row r="8384" spans="10:10" ht="18.75" customHeight="1" x14ac:dyDescent="0.25">
      <c r="J8384" s="48"/>
    </row>
    <row r="8385" spans="10:10" ht="18.75" customHeight="1" x14ac:dyDescent="0.25">
      <c r="J8385" s="48"/>
    </row>
    <row r="8386" spans="10:10" ht="18.75" customHeight="1" x14ac:dyDescent="0.25">
      <c r="J8386" s="48"/>
    </row>
    <row r="8387" spans="10:10" ht="18.75" customHeight="1" x14ac:dyDescent="0.25">
      <c r="J8387" s="48"/>
    </row>
    <row r="8388" spans="10:10" ht="18.75" customHeight="1" x14ac:dyDescent="0.25">
      <c r="J8388" s="48"/>
    </row>
    <row r="8389" spans="10:10" ht="18.75" customHeight="1" x14ac:dyDescent="0.25">
      <c r="J8389" s="48"/>
    </row>
    <row r="8390" spans="10:10" ht="18.75" customHeight="1" x14ac:dyDescent="0.25">
      <c r="J8390" s="48"/>
    </row>
    <row r="8391" spans="10:10" ht="18.75" customHeight="1" x14ac:dyDescent="0.25">
      <c r="J8391" s="48"/>
    </row>
    <row r="8392" spans="10:10" ht="18.75" customHeight="1" x14ac:dyDescent="0.25">
      <c r="J8392" s="48"/>
    </row>
    <row r="8393" spans="10:10" ht="18.75" customHeight="1" x14ac:dyDescent="0.25">
      <c r="J8393" s="48"/>
    </row>
    <row r="8394" spans="10:10" ht="18.75" customHeight="1" x14ac:dyDescent="0.25">
      <c r="J8394" s="48"/>
    </row>
    <row r="8395" spans="10:10" ht="18.75" customHeight="1" x14ac:dyDescent="0.25">
      <c r="J8395" s="48"/>
    </row>
    <row r="8396" spans="10:10" ht="18.75" customHeight="1" x14ac:dyDescent="0.25">
      <c r="J8396" s="48"/>
    </row>
    <row r="8397" spans="10:10" ht="18.75" customHeight="1" x14ac:dyDescent="0.25">
      <c r="J8397" s="48"/>
    </row>
    <row r="8398" spans="10:10" ht="18.75" customHeight="1" x14ac:dyDescent="0.25">
      <c r="J8398" s="48"/>
    </row>
    <row r="8399" spans="10:10" ht="18.75" customHeight="1" x14ac:dyDescent="0.25">
      <c r="J8399" s="48"/>
    </row>
    <row r="8400" spans="10:10" ht="18.75" customHeight="1" x14ac:dyDescent="0.25">
      <c r="J8400" s="48"/>
    </row>
    <row r="8401" spans="10:10" ht="18.75" customHeight="1" x14ac:dyDescent="0.25">
      <c r="J8401" s="48"/>
    </row>
    <row r="8402" spans="10:10" ht="18.75" customHeight="1" x14ac:dyDescent="0.25">
      <c r="J8402" s="48"/>
    </row>
    <row r="8403" spans="10:10" ht="18.75" customHeight="1" x14ac:dyDescent="0.25">
      <c r="J8403" s="48"/>
    </row>
    <row r="8404" spans="10:10" ht="18.75" customHeight="1" x14ac:dyDescent="0.25">
      <c r="J8404" s="48"/>
    </row>
    <row r="8405" spans="10:10" ht="18.75" customHeight="1" x14ac:dyDescent="0.25">
      <c r="J8405" s="48"/>
    </row>
    <row r="8406" spans="10:10" ht="18.75" customHeight="1" x14ac:dyDescent="0.25">
      <c r="J8406" s="48"/>
    </row>
    <row r="8407" spans="10:10" ht="18.75" customHeight="1" x14ac:dyDescent="0.25">
      <c r="J8407" s="48"/>
    </row>
    <row r="8408" spans="10:10" ht="18.75" customHeight="1" x14ac:dyDescent="0.25">
      <c r="J8408" s="48"/>
    </row>
    <row r="8409" spans="10:10" ht="18.75" customHeight="1" x14ac:dyDescent="0.25">
      <c r="J8409" s="48"/>
    </row>
    <row r="8410" spans="10:10" ht="18.75" customHeight="1" x14ac:dyDescent="0.25">
      <c r="J8410" s="48"/>
    </row>
    <row r="8411" spans="10:10" ht="18.75" customHeight="1" x14ac:dyDescent="0.25">
      <c r="J8411" s="48"/>
    </row>
    <row r="8412" spans="10:10" ht="18.75" customHeight="1" x14ac:dyDescent="0.25">
      <c r="J8412" s="48"/>
    </row>
    <row r="8413" spans="10:10" ht="18.75" customHeight="1" x14ac:dyDescent="0.25">
      <c r="J8413" s="48"/>
    </row>
    <row r="8414" spans="10:10" ht="18.75" customHeight="1" x14ac:dyDescent="0.25">
      <c r="J8414" s="48"/>
    </row>
    <row r="8415" spans="10:10" ht="18.75" customHeight="1" x14ac:dyDescent="0.25">
      <c r="J8415" s="48"/>
    </row>
    <row r="8416" spans="10:10" ht="18.75" customHeight="1" x14ac:dyDescent="0.25">
      <c r="J8416" s="48"/>
    </row>
    <row r="8417" spans="10:10" ht="18.75" customHeight="1" x14ac:dyDescent="0.25">
      <c r="J8417" s="48"/>
    </row>
    <row r="8418" spans="10:10" ht="18.75" customHeight="1" x14ac:dyDescent="0.25">
      <c r="J8418" s="48"/>
    </row>
    <row r="8419" spans="10:10" ht="18.75" customHeight="1" x14ac:dyDescent="0.25">
      <c r="J8419" s="48"/>
    </row>
    <row r="8420" spans="10:10" ht="18.75" customHeight="1" x14ac:dyDescent="0.25">
      <c r="J8420" s="48"/>
    </row>
    <row r="8421" spans="10:10" ht="18.75" customHeight="1" x14ac:dyDescent="0.25">
      <c r="J8421" s="48"/>
    </row>
    <row r="8422" spans="10:10" ht="18.75" customHeight="1" x14ac:dyDescent="0.25">
      <c r="J8422" s="48"/>
    </row>
    <row r="8423" spans="10:10" ht="18.75" customHeight="1" x14ac:dyDescent="0.25">
      <c r="J8423" s="48"/>
    </row>
    <row r="8424" spans="10:10" ht="18.75" customHeight="1" x14ac:dyDescent="0.25">
      <c r="J8424" s="48"/>
    </row>
    <row r="8425" spans="10:10" ht="18.75" customHeight="1" x14ac:dyDescent="0.25">
      <c r="J8425" s="48"/>
    </row>
    <row r="8426" spans="10:10" ht="18.75" customHeight="1" x14ac:dyDescent="0.25">
      <c r="J8426" s="48"/>
    </row>
    <row r="8427" spans="10:10" ht="18.75" customHeight="1" x14ac:dyDescent="0.25">
      <c r="J8427" s="48"/>
    </row>
    <row r="8428" spans="10:10" ht="18.75" customHeight="1" x14ac:dyDescent="0.25">
      <c r="J8428" s="48"/>
    </row>
    <row r="8429" spans="10:10" ht="18.75" customHeight="1" x14ac:dyDescent="0.25">
      <c r="J8429" s="48"/>
    </row>
    <row r="8430" spans="10:10" ht="18.75" customHeight="1" x14ac:dyDescent="0.25">
      <c r="J8430" s="48"/>
    </row>
    <row r="8431" spans="10:10" ht="18.75" customHeight="1" x14ac:dyDescent="0.25">
      <c r="J8431" s="48"/>
    </row>
    <row r="8432" spans="10:10" ht="18.75" customHeight="1" x14ac:dyDescent="0.25">
      <c r="J8432" s="48"/>
    </row>
    <row r="8433" spans="10:10" ht="18.75" customHeight="1" x14ac:dyDescent="0.25">
      <c r="J8433" s="48"/>
    </row>
    <row r="8434" spans="10:10" ht="18.75" customHeight="1" x14ac:dyDescent="0.25">
      <c r="J8434" s="48"/>
    </row>
    <row r="8435" spans="10:10" ht="18.75" customHeight="1" x14ac:dyDescent="0.25">
      <c r="J8435" s="48"/>
    </row>
    <row r="8436" spans="10:10" ht="18.75" customHeight="1" x14ac:dyDescent="0.25">
      <c r="J8436" s="48"/>
    </row>
    <row r="8437" spans="10:10" ht="18.75" customHeight="1" x14ac:dyDescent="0.25">
      <c r="J8437" s="48"/>
    </row>
    <row r="8438" spans="10:10" ht="18.75" customHeight="1" x14ac:dyDescent="0.25">
      <c r="J8438" s="48"/>
    </row>
    <row r="8439" spans="10:10" ht="18.75" customHeight="1" x14ac:dyDescent="0.25">
      <c r="J8439" s="48"/>
    </row>
    <row r="8440" spans="10:10" ht="18.75" customHeight="1" x14ac:dyDescent="0.25">
      <c r="J8440" s="48"/>
    </row>
    <row r="8441" spans="10:10" ht="18.75" customHeight="1" x14ac:dyDescent="0.25">
      <c r="J8441" s="48"/>
    </row>
    <row r="8442" spans="10:10" ht="18.75" customHeight="1" x14ac:dyDescent="0.25">
      <c r="J8442" s="48"/>
    </row>
    <row r="8443" spans="10:10" ht="18.75" customHeight="1" x14ac:dyDescent="0.25">
      <c r="J8443" s="48"/>
    </row>
    <row r="8444" spans="10:10" ht="18.75" customHeight="1" x14ac:dyDescent="0.25">
      <c r="J8444" s="48"/>
    </row>
    <row r="8445" spans="10:10" ht="18.75" customHeight="1" x14ac:dyDescent="0.25">
      <c r="J8445" s="48"/>
    </row>
    <row r="8446" spans="10:10" ht="18.75" customHeight="1" x14ac:dyDescent="0.25">
      <c r="J8446" s="48"/>
    </row>
    <row r="8447" spans="10:10" ht="18.75" customHeight="1" x14ac:dyDescent="0.25">
      <c r="J8447" s="48"/>
    </row>
    <row r="8448" spans="10:10" ht="18.75" customHeight="1" x14ac:dyDescent="0.25">
      <c r="J8448" s="48"/>
    </row>
    <row r="8449" spans="10:10" ht="18.75" customHeight="1" x14ac:dyDescent="0.25">
      <c r="J8449" s="48"/>
    </row>
    <row r="8450" spans="10:10" ht="18.75" customHeight="1" x14ac:dyDescent="0.25">
      <c r="J8450" s="48"/>
    </row>
    <row r="8451" spans="10:10" ht="18.75" customHeight="1" x14ac:dyDescent="0.25">
      <c r="J8451" s="48"/>
    </row>
    <row r="8452" spans="10:10" ht="18.75" customHeight="1" x14ac:dyDescent="0.25">
      <c r="J8452" s="48"/>
    </row>
    <row r="8453" spans="10:10" ht="18.75" customHeight="1" x14ac:dyDescent="0.25">
      <c r="J8453" s="48"/>
    </row>
    <row r="8454" spans="10:10" ht="18.75" customHeight="1" x14ac:dyDescent="0.25">
      <c r="J8454" s="48"/>
    </row>
    <row r="8455" spans="10:10" ht="18.75" customHeight="1" x14ac:dyDescent="0.25">
      <c r="J8455" s="48"/>
    </row>
    <row r="8456" spans="10:10" ht="18.75" customHeight="1" x14ac:dyDescent="0.25">
      <c r="J8456" s="48"/>
    </row>
    <row r="8457" spans="10:10" ht="18.75" customHeight="1" x14ac:dyDescent="0.25">
      <c r="J8457" s="48"/>
    </row>
    <row r="8458" spans="10:10" ht="18.75" customHeight="1" x14ac:dyDescent="0.25">
      <c r="J8458" s="48"/>
    </row>
    <row r="8459" spans="10:10" ht="18.75" customHeight="1" x14ac:dyDescent="0.25">
      <c r="J8459" s="48"/>
    </row>
    <row r="8460" spans="10:10" ht="18.75" customHeight="1" x14ac:dyDescent="0.25">
      <c r="J8460" s="48"/>
    </row>
    <row r="8461" spans="10:10" ht="18.75" customHeight="1" x14ac:dyDescent="0.25">
      <c r="J8461" s="48"/>
    </row>
    <row r="8462" spans="10:10" ht="18.75" customHeight="1" x14ac:dyDescent="0.25">
      <c r="J8462" s="48"/>
    </row>
    <row r="8463" spans="10:10" ht="18.75" customHeight="1" x14ac:dyDescent="0.25">
      <c r="J8463" s="48"/>
    </row>
    <row r="8464" spans="10:10" ht="18.75" customHeight="1" x14ac:dyDescent="0.25">
      <c r="J8464" s="48"/>
    </row>
    <row r="8465" spans="10:10" ht="18.75" customHeight="1" x14ac:dyDescent="0.25">
      <c r="J8465" s="48"/>
    </row>
    <row r="8466" spans="10:10" ht="18.75" customHeight="1" x14ac:dyDescent="0.25">
      <c r="J8466" s="48"/>
    </row>
    <row r="8467" spans="10:10" ht="18.75" customHeight="1" x14ac:dyDescent="0.25">
      <c r="J8467" s="48"/>
    </row>
    <row r="8468" spans="10:10" ht="18.75" customHeight="1" x14ac:dyDescent="0.25">
      <c r="J8468" s="48"/>
    </row>
    <row r="8469" spans="10:10" ht="18.75" customHeight="1" x14ac:dyDescent="0.25">
      <c r="J8469" s="48"/>
    </row>
    <row r="8470" spans="10:10" ht="18.75" customHeight="1" x14ac:dyDescent="0.25">
      <c r="J8470" s="48"/>
    </row>
    <row r="8471" spans="10:10" ht="18.75" customHeight="1" x14ac:dyDescent="0.25">
      <c r="J8471" s="48"/>
    </row>
    <row r="8472" spans="10:10" ht="18.75" customHeight="1" x14ac:dyDescent="0.25">
      <c r="J8472" s="48"/>
    </row>
    <row r="8473" spans="10:10" ht="18.75" customHeight="1" x14ac:dyDescent="0.25">
      <c r="J8473" s="48"/>
    </row>
    <row r="8474" spans="10:10" ht="18.75" customHeight="1" x14ac:dyDescent="0.25">
      <c r="J8474" s="48"/>
    </row>
    <row r="8475" spans="10:10" ht="18.75" customHeight="1" x14ac:dyDescent="0.25">
      <c r="J8475" s="48"/>
    </row>
    <row r="8476" spans="10:10" ht="18.75" customHeight="1" x14ac:dyDescent="0.25">
      <c r="J8476" s="48"/>
    </row>
    <row r="8477" spans="10:10" ht="18.75" customHeight="1" x14ac:dyDescent="0.25">
      <c r="J8477" s="48"/>
    </row>
    <row r="8478" spans="10:10" ht="18.75" customHeight="1" x14ac:dyDescent="0.25">
      <c r="J8478" s="48"/>
    </row>
    <row r="8479" spans="10:10" ht="18.75" customHeight="1" x14ac:dyDescent="0.25">
      <c r="J8479" s="48"/>
    </row>
    <row r="8480" spans="10:10" ht="18.75" customHeight="1" x14ac:dyDescent="0.25">
      <c r="J8480" s="48"/>
    </row>
    <row r="8481" spans="10:10" ht="18.75" customHeight="1" x14ac:dyDescent="0.25">
      <c r="J8481" s="48"/>
    </row>
    <row r="8482" spans="10:10" ht="18.75" customHeight="1" x14ac:dyDescent="0.25">
      <c r="J8482" s="48"/>
    </row>
    <row r="8483" spans="10:10" ht="18.75" customHeight="1" x14ac:dyDescent="0.25">
      <c r="J8483" s="48"/>
    </row>
    <row r="8484" spans="10:10" ht="18.75" customHeight="1" x14ac:dyDescent="0.25">
      <c r="J8484" s="48"/>
    </row>
    <row r="8485" spans="10:10" ht="18.75" customHeight="1" x14ac:dyDescent="0.25">
      <c r="J8485" s="48"/>
    </row>
    <row r="8486" spans="10:10" ht="18.75" customHeight="1" x14ac:dyDescent="0.25">
      <c r="J8486" s="48"/>
    </row>
    <row r="8487" spans="10:10" ht="18.75" customHeight="1" x14ac:dyDescent="0.25">
      <c r="J8487" s="48"/>
    </row>
    <row r="8488" spans="10:10" ht="18.75" customHeight="1" x14ac:dyDescent="0.25">
      <c r="J8488" s="48"/>
    </row>
    <row r="8489" spans="10:10" ht="18.75" customHeight="1" x14ac:dyDescent="0.25">
      <c r="J8489" s="48"/>
    </row>
    <row r="8490" spans="10:10" ht="18.75" customHeight="1" x14ac:dyDescent="0.25">
      <c r="J8490" s="48"/>
    </row>
    <row r="8491" spans="10:10" ht="18.75" customHeight="1" x14ac:dyDescent="0.25">
      <c r="J8491" s="48"/>
    </row>
    <row r="8492" spans="10:10" ht="18.75" customHeight="1" x14ac:dyDescent="0.25">
      <c r="J8492" s="48"/>
    </row>
    <row r="8493" spans="10:10" ht="18.75" customHeight="1" x14ac:dyDescent="0.25">
      <c r="J8493" s="48"/>
    </row>
    <row r="8494" spans="10:10" ht="18.75" customHeight="1" x14ac:dyDescent="0.25">
      <c r="J8494" s="48"/>
    </row>
    <row r="8495" spans="10:10" ht="18.75" customHeight="1" x14ac:dyDescent="0.25">
      <c r="J8495" s="48"/>
    </row>
    <row r="8496" spans="10:10" ht="18.75" customHeight="1" x14ac:dyDescent="0.25">
      <c r="J8496" s="48"/>
    </row>
    <row r="8497" spans="10:10" ht="18.75" customHeight="1" x14ac:dyDescent="0.25">
      <c r="J8497" s="48"/>
    </row>
    <row r="8498" spans="10:10" ht="18.75" customHeight="1" x14ac:dyDescent="0.25">
      <c r="J8498" s="48"/>
    </row>
    <row r="8499" spans="10:10" ht="18.75" customHeight="1" x14ac:dyDescent="0.25">
      <c r="J8499" s="48"/>
    </row>
    <row r="8500" spans="10:10" ht="18.75" customHeight="1" x14ac:dyDescent="0.25">
      <c r="J8500" s="48"/>
    </row>
    <row r="8501" spans="10:10" ht="18.75" customHeight="1" x14ac:dyDescent="0.25">
      <c r="J8501" s="48"/>
    </row>
    <row r="8502" spans="10:10" ht="18.75" customHeight="1" x14ac:dyDescent="0.25">
      <c r="J8502" s="48"/>
    </row>
    <row r="8503" spans="10:10" ht="18.75" customHeight="1" x14ac:dyDescent="0.25">
      <c r="J8503" s="48"/>
    </row>
    <row r="8504" spans="10:10" ht="18.75" customHeight="1" x14ac:dyDescent="0.25">
      <c r="J8504" s="48"/>
    </row>
    <row r="8505" spans="10:10" ht="18.75" customHeight="1" x14ac:dyDescent="0.25">
      <c r="J8505" s="48"/>
    </row>
    <row r="8506" spans="10:10" ht="18.75" customHeight="1" x14ac:dyDescent="0.25">
      <c r="J8506" s="48"/>
    </row>
    <row r="8507" spans="10:10" ht="18.75" customHeight="1" x14ac:dyDescent="0.25">
      <c r="J8507" s="48"/>
    </row>
    <row r="8508" spans="10:10" ht="18.75" customHeight="1" x14ac:dyDescent="0.25">
      <c r="J8508" s="48"/>
    </row>
    <row r="8509" spans="10:10" ht="18.75" customHeight="1" x14ac:dyDescent="0.25">
      <c r="J8509" s="48"/>
    </row>
    <row r="8510" spans="10:10" ht="18.75" customHeight="1" x14ac:dyDescent="0.25">
      <c r="J8510" s="48"/>
    </row>
    <row r="8511" spans="10:10" ht="18.75" customHeight="1" x14ac:dyDescent="0.25">
      <c r="J8511" s="48"/>
    </row>
    <row r="8512" spans="10:10" ht="18.75" customHeight="1" x14ac:dyDescent="0.25">
      <c r="J8512" s="48"/>
    </row>
    <row r="8513" spans="10:10" ht="18.75" customHeight="1" x14ac:dyDescent="0.25">
      <c r="J8513" s="48"/>
    </row>
    <row r="8514" spans="10:10" ht="18.75" customHeight="1" x14ac:dyDescent="0.25">
      <c r="J8514" s="48"/>
    </row>
    <row r="8515" spans="10:10" ht="18.75" customHeight="1" x14ac:dyDescent="0.25">
      <c r="J8515" s="48"/>
    </row>
    <row r="8516" spans="10:10" ht="18.75" customHeight="1" x14ac:dyDescent="0.25">
      <c r="J8516" s="48"/>
    </row>
    <row r="8517" spans="10:10" ht="18.75" customHeight="1" x14ac:dyDescent="0.25">
      <c r="J8517" s="48"/>
    </row>
    <row r="8518" spans="10:10" ht="18.75" customHeight="1" x14ac:dyDescent="0.25">
      <c r="J8518" s="48"/>
    </row>
    <row r="8519" spans="10:10" ht="18.75" customHeight="1" x14ac:dyDescent="0.25">
      <c r="J8519" s="48"/>
    </row>
    <row r="8520" spans="10:10" ht="18.75" customHeight="1" x14ac:dyDescent="0.25">
      <c r="J8520" s="48"/>
    </row>
    <row r="8521" spans="10:10" ht="18.75" customHeight="1" x14ac:dyDescent="0.25">
      <c r="J8521" s="48"/>
    </row>
    <row r="8522" spans="10:10" ht="18.75" customHeight="1" x14ac:dyDescent="0.25">
      <c r="J8522" s="48"/>
    </row>
    <row r="8523" spans="10:10" ht="18.75" customHeight="1" x14ac:dyDescent="0.25">
      <c r="J8523" s="48"/>
    </row>
    <row r="8524" spans="10:10" ht="18.75" customHeight="1" x14ac:dyDescent="0.25">
      <c r="J8524" s="48"/>
    </row>
    <row r="8525" spans="10:10" ht="18.75" customHeight="1" x14ac:dyDescent="0.25">
      <c r="J8525" s="48"/>
    </row>
    <row r="8526" spans="10:10" ht="18.75" customHeight="1" x14ac:dyDescent="0.25">
      <c r="J8526" s="48"/>
    </row>
    <row r="8527" spans="10:10" ht="18.75" customHeight="1" x14ac:dyDescent="0.25">
      <c r="J8527" s="48"/>
    </row>
    <row r="8528" spans="10:10" ht="18.75" customHeight="1" x14ac:dyDescent="0.25">
      <c r="J8528" s="48"/>
    </row>
    <row r="8529" spans="10:10" ht="18.75" customHeight="1" x14ac:dyDescent="0.25">
      <c r="J8529" s="48"/>
    </row>
    <row r="8530" spans="10:10" ht="18.75" customHeight="1" x14ac:dyDescent="0.25">
      <c r="J8530" s="48"/>
    </row>
    <row r="8531" spans="10:10" ht="18.75" customHeight="1" x14ac:dyDescent="0.25">
      <c r="J8531" s="48"/>
    </row>
    <row r="8532" spans="10:10" ht="18.75" customHeight="1" x14ac:dyDescent="0.25">
      <c r="J8532" s="48"/>
    </row>
    <row r="8533" spans="10:10" ht="18.75" customHeight="1" x14ac:dyDescent="0.25">
      <c r="J8533" s="48"/>
    </row>
    <row r="8534" spans="10:10" ht="18.75" customHeight="1" x14ac:dyDescent="0.25">
      <c r="J8534" s="48"/>
    </row>
    <row r="8535" spans="10:10" ht="18.75" customHeight="1" x14ac:dyDescent="0.25">
      <c r="J8535" s="48"/>
    </row>
    <row r="8536" spans="10:10" ht="18.75" customHeight="1" x14ac:dyDescent="0.25">
      <c r="J8536" s="48"/>
    </row>
    <row r="8537" spans="10:10" ht="18.75" customHeight="1" x14ac:dyDescent="0.25">
      <c r="J8537" s="48"/>
    </row>
    <row r="8538" spans="10:10" ht="18.75" customHeight="1" x14ac:dyDescent="0.25">
      <c r="J8538" s="48"/>
    </row>
    <row r="8539" spans="10:10" ht="18.75" customHeight="1" x14ac:dyDescent="0.25">
      <c r="J8539" s="48"/>
    </row>
    <row r="8540" spans="10:10" ht="18.75" customHeight="1" x14ac:dyDescent="0.25">
      <c r="J8540" s="48"/>
    </row>
    <row r="8541" spans="10:10" ht="18.75" customHeight="1" x14ac:dyDescent="0.25">
      <c r="J8541" s="48"/>
    </row>
    <row r="8542" spans="10:10" ht="18.75" customHeight="1" x14ac:dyDescent="0.25">
      <c r="J8542" s="48"/>
    </row>
    <row r="8543" spans="10:10" ht="18.75" customHeight="1" x14ac:dyDescent="0.25">
      <c r="J8543" s="48"/>
    </row>
    <row r="8544" spans="10:10" ht="18.75" customHeight="1" x14ac:dyDescent="0.25">
      <c r="J8544" s="48"/>
    </row>
    <row r="8545" spans="10:10" ht="18.75" customHeight="1" x14ac:dyDescent="0.25">
      <c r="J8545" s="48"/>
    </row>
    <row r="8546" spans="10:10" ht="18.75" customHeight="1" x14ac:dyDescent="0.25">
      <c r="J8546" s="48"/>
    </row>
    <row r="8547" spans="10:10" ht="18.75" customHeight="1" x14ac:dyDescent="0.25">
      <c r="J8547" s="48"/>
    </row>
    <row r="8548" spans="10:10" ht="18.75" customHeight="1" x14ac:dyDescent="0.25">
      <c r="J8548" s="48"/>
    </row>
    <row r="8549" spans="10:10" ht="18.75" customHeight="1" x14ac:dyDescent="0.25">
      <c r="J8549" s="48"/>
    </row>
    <row r="8550" spans="10:10" ht="18.75" customHeight="1" x14ac:dyDescent="0.25">
      <c r="J8550" s="48"/>
    </row>
    <row r="8551" spans="10:10" ht="18.75" customHeight="1" x14ac:dyDescent="0.25">
      <c r="J8551" s="48"/>
    </row>
    <row r="8552" spans="10:10" ht="18.75" customHeight="1" x14ac:dyDescent="0.25">
      <c r="J8552" s="48"/>
    </row>
    <row r="8553" spans="10:10" ht="18.75" customHeight="1" x14ac:dyDescent="0.25">
      <c r="J8553" s="48"/>
    </row>
    <row r="8554" spans="10:10" ht="18.75" customHeight="1" x14ac:dyDescent="0.25">
      <c r="J8554" s="48"/>
    </row>
    <row r="8555" spans="10:10" ht="18.75" customHeight="1" x14ac:dyDescent="0.25">
      <c r="J8555" s="48"/>
    </row>
    <row r="8556" spans="10:10" ht="18.75" customHeight="1" x14ac:dyDescent="0.25">
      <c r="J8556" s="48"/>
    </row>
    <row r="8557" spans="10:10" ht="18.75" customHeight="1" x14ac:dyDescent="0.25">
      <c r="J8557" s="48"/>
    </row>
    <row r="8558" spans="10:10" ht="18.75" customHeight="1" x14ac:dyDescent="0.25">
      <c r="J8558" s="48"/>
    </row>
    <row r="8559" spans="10:10" ht="18.75" customHeight="1" x14ac:dyDescent="0.25">
      <c r="J8559" s="48"/>
    </row>
    <row r="8560" spans="10:10" ht="18.75" customHeight="1" x14ac:dyDescent="0.25">
      <c r="J8560" s="48"/>
    </row>
    <row r="8561" spans="10:10" ht="18.75" customHeight="1" x14ac:dyDescent="0.25">
      <c r="J8561" s="48"/>
    </row>
    <row r="8562" spans="10:10" ht="18.75" customHeight="1" x14ac:dyDescent="0.25">
      <c r="J8562" s="48"/>
    </row>
    <row r="8563" spans="10:10" ht="18.75" customHeight="1" x14ac:dyDescent="0.25">
      <c r="J8563" s="48"/>
    </row>
    <row r="8564" spans="10:10" ht="18.75" customHeight="1" x14ac:dyDescent="0.25">
      <c r="J8564" s="48"/>
    </row>
    <row r="8565" spans="10:10" ht="18.75" customHeight="1" x14ac:dyDescent="0.25">
      <c r="J8565" s="48"/>
    </row>
    <row r="8566" spans="10:10" ht="18.75" customHeight="1" x14ac:dyDescent="0.25">
      <c r="J8566" s="48"/>
    </row>
    <row r="8567" spans="10:10" ht="18.75" customHeight="1" x14ac:dyDescent="0.25">
      <c r="J8567" s="48"/>
    </row>
    <row r="8568" spans="10:10" ht="18.75" customHeight="1" x14ac:dyDescent="0.25">
      <c r="J8568" s="48"/>
    </row>
    <row r="8569" spans="10:10" ht="18.75" customHeight="1" x14ac:dyDescent="0.25">
      <c r="J8569" s="48"/>
    </row>
    <row r="8570" spans="10:10" ht="18.75" customHeight="1" x14ac:dyDescent="0.25">
      <c r="J8570" s="48"/>
    </row>
    <row r="8571" spans="10:10" ht="18.75" customHeight="1" x14ac:dyDescent="0.25">
      <c r="J8571" s="48"/>
    </row>
    <row r="8572" spans="10:10" ht="18.75" customHeight="1" x14ac:dyDescent="0.25">
      <c r="J8572" s="48"/>
    </row>
    <row r="8573" spans="10:10" ht="18.75" customHeight="1" x14ac:dyDescent="0.25">
      <c r="J8573" s="48"/>
    </row>
    <row r="8574" spans="10:10" ht="18.75" customHeight="1" x14ac:dyDescent="0.25">
      <c r="J8574" s="48"/>
    </row>
    <row r="8575" spans="10:10" ht="18.75" customHeight="1" x14ac:dyDescent="0.25">
      <c r="J8575" s="48"/>
    </row>
    <row r="8576" spans="10:10" ht="18.75" customHeight="1" x14ac:dyDescent="0.25">
      <c r="J8576" s="48"/>
    </row>
    <row r="8577" spans="10:10" ht="18.75" customHeight="1" x14ac:dyDescent="0.25">
      <c r="J8577" s="48"/>
    </row>
    <row r="8578" spans="10:10" ht="18.75" customHeight="1" x14ac:dyDescent="0.25">
      <c r="J8578" s="48"/>
    </row>
    <row r="8579" spans="10:10" ht="18.75" customHeight="1" x14ac:dyDescent="0.25">
      <c r="J8579" s="48"/>
    </row>
    <row r="8580" spans="10:10" ht="18.75" customHeight="1" x14ac:dyDescent="0.25">
      <c r="J8580" s="48"/>
    </row>
    <row r="8581" spans="10:10" ht="18.75" customHeight="1" x14ac:dyDescent="0.25">
      <c r="J8581" s="48"/>
    </row>
    <row r="8582" spans="10:10" ht="18.75" customHeight="1" x14ac:dyDescent="0.25">
      <c r="J8582" s="48"/>
    </row>
    <row r="8583" spans="10:10" ht="18.75" customHeight="1" x14ac:dyDescent="0.25">
      <c r="J8583" s="48"/>
    </row>
    <row r="8584" spans="10:10" ht="18.75" customHeight="1" x14ac:dyDescent="0.25">
      <c r="J8584" s="48"/>
    </row>
    <row r="8585" spans="10:10" ht="18.75" customHeight="1" x14ac:dyDescent="0.25">
      <c r="J8585" s="48"/>
    </row>
    <row r="8586" spans="10:10" ht="18.75" customHeight="1" x14ac:dyDescent="0.25">
      <c r="J8586" s="48"/>
    </row>
    <row r="8587" spans="10:10" ht="18.75" customHeight="1" x14ac:dyDescent="0.25">
      <c r="J8587" s="48"/>
    </row>
    <row r="8588" spans="10:10" ht="18.75" customHeight="1" x14ac:dyDescent="0.25">
      <c r="J8588" s="48"/>
    </row>
    <row r="8589" spans="10:10" ht="18.75" customHeight="1" x14ac:dyDescent="0.25">
      <c r="J8589" s="48"/>
    </row>
    <row r="8590" spans="10:10" ht="18.75" customHeight="1" x14ac:dyDescent="0.25">
      <c r="J8590" s="48"/>
    </row>
    <row r="8591" spans="10:10" ht="18.75" customHeight="1" x14ac:dyDescent="0.25">
      <c r="J8591" s="48"/>
    </row>
    <row r="8592" spans="10:10" ht="18.75" customHeight="1" x14ac:dyDescent="0.25">
      <c r="J8592" s="48"/>
    </row>
    <row r="8593" spans="10:10" ht="18.75" customHeight="1" x14ac:dyDescent="0.25">
      <c r="J8593" s="48"/>
    </row>
    <row r="8594" spans="10:10" ht="18.75" customHeight="1" x14ac:dyDescent="0.25">
      <c r="J8594" s="48"/>
    </row>
    <row r="8595" spans="10:10" ht="18.75" customHeight="1" x14ac:dyDescent="0.25">
      <c r="J8595" s="48"/>
    </row>
    <row r="8596" spans="10:10" ht="18.75" customHeight="1" x14ac:dyDescent="0.25">
      <c r="J8596" s="48"/>
    </row>
    <row r="8597" spans="10:10" ht="18.75" customHeight="1" x14ac:dyDescent="0.25">
      <c r="J8597" s="48"/>
    </row>
    <row r="8598" spans="10:10" ht="18.75" customHeight="1" x14ac:dyDescent="0.25">
      <c r="J8598" s="48"/>
    </row>
    <row r="8599" spans="10:10" ht="18.75" customHeight="1" x14ac:dyDescent="0.25">
      <c r="J8599" s="48"/>
    </row>
    <row r="8600" spans="10:10" ht="18.75" customHeight="1" x14ac:dyDescent="0.25">
      <c r="J8600" s="48"/>
    </row>
    <row r="8601" spans="10:10" ht="18.75" customHeight="1" x14ac:dyDescent="0.25">
      <c r="J8601" s="48"/>
    </row>
    <row r="8602" spans="10:10" ht="18.75" customHeight="1" x14ac:dyDescent="0.25">
      <c r="J8602" s="48"/>
    </row>
    <row r="8603" spans="10:10" ht="18.75" customHeight="1" x14ac:dyDescent="0.25">
      <c r="J8603" s="48"/>
    </row>
    <row r="8604" spans="10:10" ht="18.75" customHeight="1" x14ac:dyDescent="0.25">
      <c r="J8604" s="48"/>
    </row>
    <row r="8605" spans="10:10" ht="18.75" customHeight="1" x14ac:dyDescent="0.25">
      <c r="J8605" s="48"/>
    </row>
    <row r="8606" spans="10:10" ht="18.75" customHeight="1" x14ac:dyDescent="0.25">
      <c r="J8606" s="48"/>
    </row>
    <row r="8607" spans="10:10" ht="18.75" customHeight="1" x14ac:dyDescent="0.25">
      <c r="J8607" s="48"/>
    </row>
    <row r="8608" spans="10:10" ht="18.75" customHeight="1" x14ac:dyDescent="0.25">
      <c r="J8608" s="48"/>
    </row>
    <row r="8609" spans="10:10" ht="18.75" customHeight="1" x14ac:dyDescent="0.25">
      <c r="J8609" s="48"/>
    </row>
    <row r="8610" spans="10:10" ht="18.75" customHeight="1" x14ac:dyDescent="0.25">
      <c r="J8610" s="48"/>
    </row>
    <row r="8611" spans="10:10" ht="18.75" customHeight="1" x14ac:dyDescent="0.25">
      <c r="J8611" s="48"/>
    </row>
    <row r="8612" spans="10:10" ht="18.75" customHeight="1" x14ac:dyDescent="0.25">
      <c r="J8612" s="48"/>
    </row>
    <row r="8613" spans="10:10" ht="18.75" customHeight="1" x14ac:dyDescent="0.25">
      <c r="J8613" s="48"/>
    </row>
    <row r="8614" spans="10:10" ht="18.75" customHeight="1" x14ac:dyDescent="0.25">
      <c r="J8614" s="48"/>
    </row>
    <row r="8615" spans="10:10" ht="18.75" customHeight="1" x14ac:dyDescent="0.25">
      <c r="J8615" s="48"/>
    </row>
    <row r="8616" spans="10:10" ht="18.75" customHeight="1" x14ac:dyDescent="0.25">
      <c r="J8616" s="48"/>
    </row>
    <row r="8617" spans="10:10" ht="18.75" customHeight="1" x14ac:dyDescent="0.25">
      <c r="J8617" s="48"/>
    </row>
    <row r="8618" spans="10:10" ht="18.75" customHeight="1" x14ac:dyDescent="0.25">
      <c r="J8618" s="48"/>
    </row>
    <row r="8619" spans="10:10" ht="18.75" customHeight="1" x14ac:dyDescent="0.25">
      <c r="J8619" s="48"/>
    </row>
    <row r="8620" spans="10:10" ht="18.75" customHeight="1" x14ac:dyDescent="0.25">
      <c r="J8620" s="48"/>
    </row>
    <row r="8621" spans="10:10" ht="18.75" customHeight="1" x14ac:dyDescent="0.25">
      <c r="J8621" s="48"/>
    </row>
    <row r="8622" spans="10:10" ht="18.75" customHeight="1" x14ac:dyDescent="0.25">
      <c r="J8622" s="48"/>
    </row>
    <row r="8623" spans="10:10" ht="18.75" customHeight="1" x14ac:dyDescent="0.25">
      <c r="J8623" s="48"/>
    </row>
    <row r="8624" spans="10:10" ht="18.75" customHeight="1" x14ac:dyDescent="0.25">
      <c r="J8624" s="48"/>
    </row>
    <row r="8625" spans="10:10" ht="18.75" customHeight="1" x14ac:dyDescent="0.25">
      <c r="J8625" s="48"/>
    </row>
    <row r="8626" spans="10:10" ht="18.75" customHeight="1" x14ac:dyDescent="0.25">
      <c r="J8626" s="48"/>
    </row>
    <row r="8627" spans="10:10" ht="18.75" customHeight="1" x14ac:dyDescent="0.25">
      <c r="J8627" s="48"/>
    </row>
    <row r="8628" spans="10:10" ht="18.75" customHeight="1" x14ac:dyDescent="0.25">
      <c r="J8628" s="48"/>
    </row>
    <row r="8629" spans="10:10" ht="18.75" customHeight="1" x14ac:dyDescent="0.25">
      <c r="J8629" s="48"/>
    </row>
    <row r="8630" spans="10:10" ht="18.75" customHeight="1" x14ac:dyDescent="0.25">
      <c r="J8630" s="48"/>
    </row>
    <row r="8631" spans="10:10" ht="18.75" customHeight="1" x14ac:dyDescent="0.25">
      <c r="J8631" s="48"/>
    </row>
    <row r="8632" spans="10:10" ht="18.75" customHeight="1" x14ac:dyDescent="0.25">
      <c r="J8632" s="48"/>
    </row>
    <row r="8633" spans="10:10" ht="18.75" customHeight="1" x14ac:dyDescent="0.25">
      <c r="J8633" s="48"/>
    </row>
    <row r="8634" spans="10:10" ht="18.75" customHeight="1" x14ac:dyDescent="0.25">
      <c r="J8634" s="48"/>
    </row>
    <row r="8635" spans="10:10" ht="18.75" customHeight="1" x14ac:dyDescent="0.25">
      <c r="J8635" s="48"/>
    </row>
    <row r="8636" spans="10:10" ht="18.75" customHeight="1" x14ac:dyDescent="0.25">
      <c r="J8636" s="48"/>
    </row>
    <row r="8637" spans="10:10" ht="18.75" customHeight="1" x14ac:dyDescent="0.25">
      <c r="J8637" s="48"/>
    </row>
    <row r="8638" spans="10:10" ht="18.75" customHeight="1" x14ac:dyDescent="0.25">
      <c r="J8638" s="48"/>
    </row>
    <row r="8639" spans="10:10" ht="18.75" customHeight="1" x14ac:dyDescent="0.25">
      <c r="J8639" s="48"/>
    </row>
    <row r="8640" spans="10:10" ht="18.75" customHeight="1" x14ac:dyDescent="0.25">
      <c r="J8640" s="48"/>
    </row>
    <row r="8641" spans="10:10" ht="18.75" customHeight="1" x14ac:dyDescent="0.25">
      <c r="J8641" s="48"/>
    </row>
    <row r="8642" spans="10:10" ht="18.75" customHeight="1" x14ac:dyDescent="0.25">
      <c r="J8642" s="48"/>
    </row>
    <row r="8643" spans="10:10" ht="18.75" customHeight="1" x14ac:dyDescent="0.25">
      <c r="J8643" s="48"/>
    </row>
    <row r="8644" spans="10:10" ht="18.75" customHeight="1" x14ac:dyDescent="0.25">
      <c r="J8644" s="48"/>
    </row>
    <row r="8645" spans="10:10" ht="18.75" customHeight="1" x14ac:dyDescent="0.25">
      <c r="J8645" s="48"/>
    </row>
    <row r="8646" spans="10:10" ht="18.75" customHeight="1" x14ac:dyDescent="0.25">
      <c r="J8646" s="48"/>
    </row>
    <row r="8647" spans="10:10" ht="18.75" customHeight="1" x14ac:dyDescent="0.25">
      <c r="J8647" s="48"/>
    </row>
    <row r="8648" spans="10:10" ht="18.75" customHeight="1" x14ac:dyDescent="0.25">
      <c r="J8648" s="48"/>
    </row>
    <row r="8649" spans="10:10" ht="18.75" customHeight="1" x14ac:dyDescent="0.25">
      <c r="J8649" s="48"/>
    </row>
    <row r="8650" spans="10:10" ht="18.75" customHeight="1" x14ac:dyDescent="0.25">
      <c r="J8650" s="48"/>
    </row>
    <row r="8651" spans="10:10" ht="18.75" customHeight="1" x14ac:dyDescent="0.25">
      <c r="J8651" s="48"/>
    </row>
    <row r="8652" spans="10:10" ht="18.75" customHeight="1" x14ac:dyDescent="0.25">
      <c r="J8652" s="48"/>
    </row>
    <row r="8653" spans="10:10" ht="18.75" customHeight="1" x14ac:dyDescent="0.25">
      <c r="J8653" s="48"/>
    </row>
    <row r="8654" spans="10:10" ht="18.75" customHeight="1" x14ac:dyDescent="0.25">
      <c r="J8654" s="48"/>
    </row>
    <row r="8655" spans="10:10" ht="18.75" customHeight="1" x14ac:dyDescent="0.25">
      <c r="J8655" s="48"/>
    </row>
    <row r="8656" spans="10:10" ht="18.75" customHeight="1" x14ac:dyDescent="0.25">
      <c r="J8656" s="48"/>
    </row>
    <row r="8657" spans="10:10" ht="18.75" customHeight="1" x14ac:dyDescent="0.25">
      <c r="J8657" s="48"/>
    </row>
    <row r="8658" spans="10:10" ht="18.75" customHeight="1" x14ac:dyDescent="0.25">
      <c r="J8658" s="48"/>
    </row>
    <row r="8659" spans="10:10" ht="18.75" customHeight="1" x14ac:dyDescent="0.25">
      <c r="J8659" s="48"/>
    </row>
    <row r="8660" spans="10:10" ht="18.75" customHeight="1" x14ac:dyDescent="0.25">
      <c r="J8660" s="48"/>
    </row>
    <row r="8661" spans="10:10" ht="18.75" customHeight="1" x14ac:dyDescent="0.25">
      <c r="J8661" s="48"/>
    </row>
    <row r="8662" spans="10:10" ht="18.75" customHeight="1" x14ac:dyDescent="0.25">
      <c r="J8662" s="48"/>
    </row>
    <row r="8663" spans="10:10" ht="18.75" customHeight="1" x14ac:dyDescent="0.25">
      <c r="J8663" s="48"/>
    </row>
    <row r="8664" spans="10:10" ht="18.75" customHeight="1" x14ac:dyDescent="0.25">
      <c r="J8664" s="48"/>
    </row>
    <row r="8665" spans="10:10" ht="18.75" customHeight="1" x14ac:dyDescent="0.25">
      <c r="J8665" s="48"/>
    </row>
    <row r="8666" spans="10:10" ht="18.75" customHeight="1" x14ac:dyDescent="0.25">
      <c r="J8666" s="48"/>
    </row>
    <row r="8667" spans="10:10" ht="18.75" customHeight="1" x14ac:dyDescent="0.25">
      <c r="J8667" s="48"/>
    </row>
    <row r="8668" spans="10:10" ht="18.75" customHeight="1" x14ac:dyDescent="0.25">
      <c r="J8668" s="48"/>
    </row>
    <row r="8669" spans="10:10" ht="18.75" customHeight="1" x14ac:dyDescent="0.25">
      <c r="J8669" s="48"/>
    </row>
    <row r="8670" spans="10:10" ht="18.75" customHeight="1" x14ac:dyDescent="0.25">
      <c r="J8670" s="48"/>
    </row>
    <row r="8671" spans="10:10" ht="18.75" customHeight="1" x14ac:dyDescent="0.25">
      <c r="J8671" s="48"/>
    </row>
    <row r="8672" spans="10:10" ht="18.75" customHeight="1" x14ac:dyDescent="0.25">
      <c r="J8672" s="48"/>
    </row>
    <row r="8673" spans="10:10" ht="18.75" customHeight="1" x14ac:dyDescent="0.25">
      <c r="J8673" s="48"/>
    </row>
    <row r="8674" spans="10:10" ht="18.75" customHeight="1" x14ac:dyDescent="0.25">
      <c r="J8674" s="48"/>
    </row>
    <row r="8675" spans="10:10" ht="18.75" customHeight="1" x14ac:dyDescent="0.25">
      <c r="J8675" s="48"/>
    </row>
    <row r="8676" spans="10:10" ht="18.75" customHeight="1" x14ac:dyDescent="0.25">
      <c r="J8676" s="48"/>
    </row>
    <row r="8677" spans="10:10" ht="18.75" customHeight="1" x14ac:dyDescent="0.25">
      <c r="J8677" s="48"/>
    </row>
    <row r="8678" spans="10:10" ht="18.75" customHeight="1" x14ac:dyDescent="0.25">
      <c r="J8678" s="48"/>
    </row>
    <row r="8679" spans="10:10" ht="18.75" customHeight="1" x14ac:dyDescent="0.25">
      <c r="J8679" s="48"/>
    </row>
    <row r="8680" spans="10:10" ht="18.75" customHeight="1" x14ac:dyDescent="0.25">
      <c r="J8680" s="48"/>
    </row>
    <row r="8681" spans="10:10" ht="18.75" customHeight="1" x14ac:dyDescent="0.25">
      <c r="J8681" s="48"/>
    </row>
    <row r="8682" spans="10:10" ht="18.75" customHeight="1" x14ac:dyDescent="0.25">
      <c r="J8682" s="48"/>
    </row>
    <row r="8683" spans="10:10" ht="18.75" customHeight="1" x14ac:dyDescent="0.25">
      <c r="J8683" s="48"/>
    </row>
    <row r="8684" spans="10:10" ht="18.75" customHeight="1" x14ac:dyDescent="0.25">
      <c r="J8684" s="48"/>
    </row>
    <row r="8685" spans="10:10" ht="18.75" customHeight="1" x14ac:dyDescent="0.25">
      <c r="J8685" s="48"/>
    </row>
    <row r="8686" spans="10:10" ht="18.75" customHeight="1" x14ac:dyDescent="0.25">
      <c r="J8686" s="48"/>
    </row>
    <row r="8687" spans="10:10" ht="18.75" customHeight="1" x14ac:dyDescent="0.25">
      <c r="J8687" s="48"/>
    </row>
    <row r="8688" spans="10:10" ht="18.75" customHeight="1" x14ac:dyDescent="0.25">
      <c r="J8688" s="48"/>
    </row>
    <row r="8689" spans="10:10" ht="18.75" customHeight="1" x14ac:dyDescent="0.25">
      <c r="J8689" s="48"/>
    </row>
    <row r="8690" spans="10:10" ht="18.75" customHeight="1" x14ac:dyDescent="0.25">
      <c r="J8690" s="48"/>
    </row>
    <row r="8691" spans="10:10" ht="18.75" customHeight="1" x14ac:dyDescent="0.25">
      <c r="J8691" s="48"/>
    </row>
    <row r="8692" spans="10:10" ht="18.75" customHeight="1" x14ac:dyDescent="0.25">
      <c r="J8692" s="48"/>
    </row>
    <row r="8693" spans="10:10" ht="18.75" customHeight="1" x14ac:dyDescent="0.25">
      <c r="J8693" s="48"/>
    </row>
    <row r="8694" spans="10:10" ht="18.75" customHeight="1" x14ac:dyDescent="0.25">
      <c r="J8694" s="48"/>
    </row>
    <row r="8695" spans="10:10" ht="18.75" customHeight="1" x14ac:dyDescent="0.25">
      <c r="J8695" s="48"/>
    </row>
    <row r="8696" spans="10:10" ht="18.75" customHeight="1" x14ac:dyDescent="0.25">
      <c r="J8696" s="48"/>
    </row>
    <row r="8697" spans="10:10" ht="18.75" customHeight="1" x14ac:dyDescent="0.25">
      <c r="J8697" s="48"/>
    </row>
    <row r="8698" spans="10:10" ht="18.75" customHeight="1" x14ac:dyDescent="0.25">
      <c r="J8698" s="48"/>
    </row>
    <row r="8699" spans="10:10" ht="18.75" customHeight="1" x14ac:dyDescent="0.25">
      <c r="J8699" s="48"/>
    </row>
    <row r="8700" spans="10:10" ht="18.75" customHeight="1" x14ac:dyDescent="0.25">
      <c r="J8700" s="48"/>
    </row>
    <row r="8701" spans="10:10" ht="18.75" customHeight="1" x14ac:dyDescent="0.25">
      <c r="J8701" s="48"/>
    </row>
    <row r="8702" spans="10:10" ht="18.75" customHeight="1" x14ac:dyDescent="0.25">
      <c r="J8702" s="48"/>
    </row>
    <row r="8703" spans="10:10" ht="18.75" customHeight="1" x14ac:dyDescent="0.25">
      <c r="J8703" s="48"/>
    </row>
    <row r="8704" spans="10:10" ht="18.75" customHeight="1" x14ac:dyDescent="0.25">
      <c r="J8704" s="48"/>
    </row>
    <row r="8705" spans="10:10" ht="18.75" customHeight="1" x14ac:dyDescent="0.25">
      <c r="J8705" s="48"/>
    </row>
    <row r="8706" spans="10:10" ht="18.75" customHeight="1" x14ac:dyDescent="0.25">
      <c r="J8706" s="48"/>
    </row>
    <row r="8707" spans="10:10" ht="18.75" customHeight="1" x14ac:dyDescent="0.25">
      <c r="J8707" s="48"/>
    </row>
    <row r="8708" spans="10:10" ht="18.75" customHeight="1" x14ac:dyDescent="0.25">
      <c r="J8708" s="48"/>
    </row>
    <row r="8709" spans="10:10" ht="18.75" customHeight="1" x14ac:dyDescent="0.25">
      <c r="J8709" s="48"/>
    </row>
    <row r="8710" spans="10:10" ht="18.75" customHeight="1" x14ac:dyDescent="0.25">
      <c r="J8710" s="48"/>
    </row>
    <row r="8711" spans="10:10" ht="18.75" customHeight="1" x14ac:dyDescent="0.25">
      <c r="J8711" s="48"/>
    </row>
    <row r="8712" spans="10:10" ht="18.75" customHeight="1" x14ac:dyDescent="0.25">
      <c r="J8712" s="48"/>
    </row>
    <row r="8713" spans="10:10" ht="18.75" customHeight="1" x14ac:dyDescent="0.25">
      <c r="J8713" s="48"/>
    </row>
    <row r="8714" spans="10:10" ht="18.75" customHeight="1" x14ac:dyDescent="0.25">
      <c r="J8714" s="48"/>
    </row>
    <row r="8715" spans="10:10" ht="18.75" customHeight="1" x14ac:dyDescent="0.25">
      <c r="J8715" s="48"/>
    </row>
    <row r="8716" spans="10:10" ht="18.75" customHeight="1" x14ac:dyDescent="0.25">
      <c r="J8716" s="48"/>
    </row>
    <row r="8717" spans="10:10" ht="18.75" customHeight="1" x14ac:dyDescent="0.25">
      <c r="J8717" s="48"/>
    </row>
    <row r="8718" spans="10:10" ht="18.75" customHeight="1" x14ac:dyDescent="0.25">
      <c r="J8718" s="48"/>
    </row>
    <row r="8719" spans="10:10" ht="18.75" customHeight="1" x14ac:dyDescent="0.25">
      <c r="J8719" s="48"/>
    </row>
    <row r="8720" spans="10:10" ht="18.75" customHeight="1" x14ac:dyDescent="0.25">
      <c r="J8720" s="48"/>
    </row>
    <row r="8721" spans="10:10" ht="18.75" customHeight="1" x14ac:dyDescent="0.25">
      <c r="J8721" s="48"/>
    </row>
    <row r="8722" spans="10:10" ht="18.75" customHeight="1" x14ac:dyDescent="0.25">
      <c r="J8722" s="48"/>
    </row>
    <row r="8723" spans="10:10" ht="18.75" customHeight="1" x14ac:dyDescent="0.25">
      <c r="J8723" s="48"/>
    </row>
    <row r="8724" spans="10:10" ht="18.75" customHeight="1" x14ac:dyDescent="0.25">
      <c r="J8724" s="48"/>
    </row>
    <row r="8725" spans="10:10" ht="18.75" customHeight="1" x14ac:dyDescent="0.25">
      <c r="J8725" s="48"/>
    </row>
    <row r="8726" spans="10:10" ht="18.75" customHeight="1" x14ac:dyDescent="0.25">
      <c r="J8726" s="48"/>
    </row>
    <row r="8727" spans="10:10" ht="18.75" customHeight="1" x14ac:dyDescent="0.25">
      <c r="J8727" s="48"/>
    </row>
    <row r="8728" spans="10:10" ht="18.75" customHeight="1" x14ac:dyDescent="0.25">
      <c r="J8728" s="48"/>
    </row>
    <row r="8729" spans="10:10" ht="18.75" customHeight="1" x14ac:dyDescent="0.25">
      <c r="J8729" s="48"/>
    </row>
    <row r="8730" spans="10:10" ht="18.75" customHeight="1" x14ac:dyDescent="0.25">
      <c r="J8730" s="48"/>
    </row>
    <row r="8731" spans="10:10" ht="18.75" customHeight="1" x14ac:dyDescent="0.25">
      <c r="J8731" s="48"/>
    </row>
    <row r="8732" spans="10:10" ht="18.75" customHeight="1" x14ac:dyDescent="0.25">
      <c r="J8732" s="48"/>
    </row>
    <row r="8733" spans="10:10" ht="18.75" customHeight="1" x14ac:dyDescent="0.25">
      <c r="J8733" s="48"/>
    </row>
    <row r="8734" spans="10:10" ht="18.75" customHeight="1" x14ac:dyDescent="0.25">
      <c r="J8734" s="48"/>
    </row>
    <row r="8735" spans="10:10" ht="18.75" customHeight="1" x14ac:dyDescent="0.25">
      <c r="J8735" s="48"/>
    </row>
    <row r="8736" spans="10:10" ht="18.75" customHeight="1" x14ac:dyDescent="0.25">
      <c r="J8736" s="48"/>
    </row>
    <row r="8737" spans="10:10" ht="18.75" customHeight="1" x14ac:dyDescent="0.25">
      <c r="J8737" s="48"/>
    </row>
    <row r="8738" spans="10:10" ht="18.75" customHeight="1" x14ac:dyDescent="0.25">
      <c r="J8738" s="48"/>
    </row>
    <row r="8739" spans="10:10" ht="18.75" customHeight="1" x14ac:dyDescent="0.25">
      <c r="J8739" s="48"/>
    </row>
    <row r="8740" spans="10:10" ht="18.75" customHeight="1" x14ac:dyDescent="0.25">
      <c r="J8740" s="48"/>
    </row>
    <row r="8741" spans="10:10" ht="18.75" customHeight="1" x14ac:dyDescent="0.25">
      <c r="J8741" s="48"/>
    </row>
    <row r="8742" spans="10:10" ht="18.75" customHeight="1" x14ac:dyDescent="0.25">
      <c r="J8742" s="48"/>
    </row>
    <row r="8743" spans="10:10" ht="18.75" customHeight="1" x14ac:dyDescent="0.25">
      <c r="J8743" s="48"/>
    </row>
    <row r="8744" spans="10:10" ht="18.75" customHeight="1" x14ac:dyDescent="0.25">
      <c r="J8744" s="48"/>
    </row>
    <row r="8745" spans="10:10" ht="18.75" customHeight="1" x14ac:dyDescent="0.25">
      <c r="J8745" s="48"/>
    </row>
    <row r="8746" spans="10:10" ht="18.75" customHeight="1" x14ac:dyDescent="0.25">
      <c r="J8746" s="48"/>
    </row>
    <row r="8747" spans="10:10" ht="18.75" customHeight="1" x14ac:dyDescent="0.25">
      <c r="J8747" s="48"/>
    </row>
    <row r="8748" spans="10:10" ht="18.75" customHeight="1" x14ac:dyDescent="0.25">
      <c r="J8748" s="48"/>
    </row>
    <row r="8749" spans="10:10" ht="18.75" customHeight="1" x14ac:dyDescent="0.25">
      <c r="J8749" s="48"/>
    </row>
    <row r="8750" spans="10:10" ht="18.75" customHeight="1" x14ac:dyDescent="0.25">
      <c r="J8750" s="48"/>
    </row>
    <row r="8751" spans="10:10" ht="18.75" customHeight="1" x14ac:dyDescent="0.25">
      <c r="J8751" s="48"/>
    </row>
    <row r="8752" spans="10:10" ht="18.75" customHeight="1" x14ac:dyDescent="0.25">
      <c r="J8752" s="48"/>
    </row>
    <row r="8753" spans="10:10" ht="18.75" customHeight="1" x14ac:dyDescent="0.25">
      <c r="J8753" s="48"/>
    </row>
    <row r="8754" spans="10:10" ht="18.75" customHeight="1" x14ac:dyDescent="0.25">
      <c r="J8754" s="48"/>
    </row>
    <row r="8755" spans="10:10" ht="18.75" customHeight="1" x14ac:dyDescent="0.25">
      <c r="J8755" s="48"/>
    </row>
    <row r="8756" spans="10:10" ht="18.75" customHeight="1" x14ac:dyDescent="0.25">
      <c r="J8756" s="48"/>
    </row>
    <row r="8757" spans="10:10" ht="18.75" customHeight="1" x14ac:dyDescent="0.25">
      <c r="J8757" s="48"/>
    </row>
    <row r="8758" spans="10:10" ht="18.75" customHeight="1" x14ac:dyDescent="0.25">
      <c r="J8758" s="48"/>
    </row>
    <row r="8759" spans="10:10" ht="18.75" customHeight="1" x14ac:dyDescent="0.25">
      <c r="J8759" s="48"/>
    </row>
    <row r="8760" spans="10:10" ht="18.75" customHeight="1" x14ac:dyDescent="0.25">
      <c r="J8760" s="48"/>
    </row>
    <row r="8761" spans="10:10" ht="18.75" customHeight="1" x14ac:dyDescent="0.25">
      <c r="J8761" s="48"/>
    </row>
    <row r="8762" spans="10:10" ht="18.75" customHeight="1" x14ac:dyDescent="0.25">
      <c r="J8762" s="48"/>
    </row>
    <row r="8763" spans="10:10" ht="18.75" customHeight="1" x14ac:dyDescent="0.25">
      <c r="J8763" s="48"/>
    </row>
    <row r="8764" spans="10:10" ht="18.75" customHeight="1" x14ac:dyDescent="0.25">
      <c r="J8764" s="48"/>
    </row>
    <row r="8765" spans="10:10" ht="18.75" customHeight="1" x14ac:dyDescent="0.25">
      <c r="J8765" s="48"/>
    </row>
    <row r="8766" spans="10:10" ht="18.75" customHeight="1" x14ac:dyDescent="0.25">
      <c r="J8766" s="48"/>
    </row>
    <row r="8767" spans="10:10" ht="18.75" customHeight="1" x14ac:dyDescent="0.25">
      <c r="J8767" s="48"/>
    </row>
    <row r="8768" spans="10:10" ht="18.75" customHeight="1" x14ac:dyDescent="0.25">
      <c r="J8768" s="48"/>
    </row>
    <row r="8769" spans="10:10" ht="18.75" customHeight="1" x14ac:dyDescent="0.25">
      <c r="J8769" s="48"/>
    </row>
    <row r="8770" spans="10:10" ht="18.75" customHeight="1" x14ac:dyDescent="0.25">
      <c r="J8770" s="48"/>
    </row>
    <row r="8771" spans="10:10" ht="18.75" customHeight="1" x14ac:dyDescent="0.25">
      <c r="J8771" s="48"/>
    </row>
    <row r="8772" spans="10:10" ht="18.75" customHeight="1" x14ac:dyDescent="0.25">
      <c r="J8772" s="48"/>
    </row>
    <row r="8773" spans="10:10" ht="18.75" customHeight="1" x14ac:dyDescent="0.25">
      <c r="J8773" s="48"/>
    </row>
    <row r="8774" spans="10:10" ht="18.75" customHeight="1" x14ac:dyDescent="0.25">
      <c r="J8774" s="48"/>
    </row>
    <row r="8775" spans="10:10" ht="18.75" customHeight="1" x14ac:dyDescent="0.25">
      <c r="J8775" s="48"/>
    </row>
    <row r="8776" spans="10:10" ht="18.75" customHeight="1" x14ac:dyDescent="0.25">
      <c r="J8776" s="48"/>
    </row>
    <row r="8777" spans="10:10" ht="18.75" customHeight="1" x14ac:dyDescent="0.25">
      <c r="J8777" s="48"/>
    </row>
    <row r="8778" spans="10:10" ht="18.75" customHeight="1" x14ac:dyDescent="0.25">
      <c r="J8778" s="48"/>
    </row>
    <row r="8779" spans="10:10" ht="18.75" customHeight="1" x14ac:dyDescent="0.25">
      <c r="J8779" s="48"/>
    </row>
    <row r="8780" spans="10:10" ht="18.75" customHeight="1" x14ac:dyDescent="0.25">
      <c r="J8780" s="48"/>
    </row>
    <row r="8781" spans="10:10" ht="18.75" customHeight="1" x14ac:dyDescent="0.25">
      <c r="J8781" s="48"/>
    </row>
    <row r="8782" spans="10:10" ht="18.75" customHeight="1" x14ac:dyDescent="0.25">
      <c r="J8782" s="48"/>
    </row>
    <row r="8783" spans="10:10" ht="18.75" customHeight="1" x14ac:dyDescent="0.25">
      <c r="J8783" s="48"/>
    </row>
    <row r="8784" spans="10:10" ht="18.75" customHeight="1" x14ac:dyDescent="0.25">
      <c r="J8784" s="48"/>
    </row>
    <row r="8785" spans="10:10" ht="18.75" customHeight="1" x14ac:dyDescent="0.25">
      <c r="J8785" s="48"/>
    </row>
    <row r="8786" spans="10:10" ht="18.75" customHeight="1" x14ac:dyDescent="0.25">
      <c r="J8786" s="48"/>
    </row>
    <row r="8787" spans="10:10" ht="18.75" customHeight="1" x14ac:dyDescent="0.25">
      <c r="J8787" s="48"/>
    </row>
    <row r="8788" spans="10:10" ht="18.75" customHeight="1" x14ac:dyDescent="0.25">
      <c r="J8788" s="48"/>
    </row>
    <row r="8789" spans="10:10" ht="18.75" customHeight="1" x14ac:dyDescent="0.25">
      <c r="J8789" s="48"/>
    </row>
    <row r="8790" spans="10:10" ht="18.75" customHeight="1" x14ac:dyDescent="0.25">
      <c r="J8790" s="48"/>
    </row>
    <row r="8791" spans="10:10" ht="18.75" customHeight="1" x14ac:dyDescent="0.25">
      <c r="J8791" s="48"/>
    </row>
    <row r="8792" spans="10:10" ht="18.75" customHeight="1" x14ac:dyDescent="0.25">
      <c r="J8792" s="48"/>
    </row>
    <row r="8793" spans="10:10" ht="18.75" customHeight="1" x14ac:dyDescent="0.25">
      <c r="J8793" s="48"/>
    </row>
    <row r="8794" spans="10:10" ht="18.75" customHeight="1" x14ac:dyDescent="0.25">
      <c r="J8794" s="48"/>
    </row>
    <row r="8795" spans="10:10" ht="18.75" customHeight="1" x14ac:dyDescent="0.25">
      <c r="J8795" s="48"/>
    </row>
    <row r="8796" spans="10:10" ht="18.75" customHeight="1" x14ac:dyDescent="0.25">
      <c r="J8796" s="48"/>
    </row>
    <row r="8797" spans="10:10" ht="18.75" customHeight="1" x14ac:dyDescent="0.25">
      <c r="J8797" s="48"/>
    </row>
    <row r="8798" spans="10:10" ht="18.75" customHeight="1" x14ac:dyDescent="0.25">
      <c r="J8798" s="48"/>
    </row>
    <row r="8799" spans="10:10" ht="18.75" customHeight="1" x14ac:dyDescent="0.25">
      <c r="J8799" s="48"/>
    </row>
    <row r="8800" spans="10:10" ht="18.75" customHeight="1" x14ac:dyDescent="0.25">
      <c r="J8800" s="48"/>
    </row>
    <row r="8801" spans="10:10" ht="18.75" customHeight="1" x14ac:dyDescent="0.25">
      <c r="J8801" s="48"/>
    </row>
    <row r="8802" spans="10:10" ht="18.75" customHeight="1" x14ac:dyDescent="0.25">
      <c r="J8802" s="48"/>
    </row>
    <row r="8803" spans="10:10" ht="18.75" customHeight="1" x14ac:dyDescent="0.25">
      <c r="J8803" s="48"/>
    </row>
    <row r="8804" spans="10:10" ht="18.75" customHeight="1" x14ac:dyDescent="0.25">
      <c r="J8804" s="48"/>
    </row>
    <row r="8805" spans="10:10" ht="18.75" customHeight="1" x14ac:dyDescent="0.25">
      <c r="J8805" s="48"/>
    </row>
    <row r="8806" spans="10:10" ht="18.75" customHeight="1" x14ac:dyDescent="0.25">
      <c r="J8806" s="48"/>
    </row>
    <row r="8807" spans="10:10" ht="18.75" customHeight="1" x14ac:dyDescent="0.25">
      <c r="J8807" s="48"/>
    </row>
    <row r="8808" spans="10:10" ht="18.75" customHeight="1" x14ac:dyDescent="0.25">
      <c r="J8808" s="48"/>
    </row>
    <row r="8809" spans="10:10" ht="18.75" customHeight="1" x14ac:dyDescent="0.25">
      <c r="J8809" s="48"/>
    </row>
    <row r="8810" spans="10:10" ht="18.75" customHeight="1" x14ac:dyDescent="0.25">
      <c r="J8810" s="48"/>
    </row>
    <row r="8811" spans="10:10" ht="18.75" customHeight="1" x14ac:dyDescent="0.25">
      <c r="J8811" s="48"/>
    </row>
    <row r="8812" spans="10:10" ht="18.75" customHeight="1" x14ac:dyDescent="0.25">
      <c r="J8812" s="48"/>
    </row>
    <row r="8813" spans="10:10" ht="18.75" customHeight="1" x14ac:dyDescent="0.25">
      <c r="J8813" s="48"/>
    </row>
    <row r="8814" spans="10:10" ht="18.75" customHeight="1" x14ac:dyDescent="0.25">
      <c r="J8814" s="48"/>
    </row>
    <row r="8815" spans="10:10" ht="18.75" customHeight="1" x14ac:dyDescent="0.25">
      <c r="J8815" s="48"/>
    </row>
    <row r="8816" spans="10:10" ht="18.75" customHeight="1" x14ac:dyDescent="0.25">
      <c r="J8816" s="48"/>
    </row>
    <row r="8817" spans="10:10" ht="18.75" customHeight="1" x14ac:dyDescent="0.25">
      <c r="J8817" s="48"/>
    </row>
    <row r="8818" spans="10:10" ht="18.75" customHeight="1" x14ac:dyDescent="0.25">
      <c r="J8818" s="48"/>
    </row>
    <row r="8819" spans="10:10" ht="18.75" customHeight="1" x14ac:dyDescent="0.25">
      <c r="J8819" s="48"/>
    </row>
    <row r="8820" spans="10:10" ht="18.75" customHeight="1" x14ac:dyDescent="0.25">
      <c r="J8820" s="48"/>
    </row>
    <row r="8821" spans="10:10" ht="18.75" customHeight="1" x14ac:dyDescent="0.25">
      <c r="J8821" s="48"/>
    </row>
    <row r="8822" spans="10:10" ht="18.75" customHeight="1" x14ac:dyDescent="0.25">
      <c r="J8822" s="48"/>
    </row>
    <row r="8823" spans="10:10" ht="18.75" customHeight="1" x14ac:dyDescent="0.25">
      <c r="J8823" s="48"/>
    </row>
    <row r="8824" spans="10:10" ht="18.75" customHeight="1" x14ac:dyDescent="0.25">
      <c r="J8824" s="48"/>
    </row>
    <row r="8825" spans="10:10" ht="18.75" customHeight="1" x14ac:dyDescent="0.25">
      <c r="J8825" s="48"/>
    </row>
    <row r="8826" spans="10:10" ht="18.75" customHeight="1" x14ac:dyDescent="0.25">
      <c r="J8826" s="48"/>
    </row>
    <row r="8827" spans="10:10" ht="18.75" customHeight="1" x14ac:dyDescent="0.25">
      <c r="J8827" s="48"/>
    </row>
    <row r="8828" spans="10:10" ht="18.75" customHeight="1" x14ac:dyDescent="0.25">
      <c r="J8828" s="48"/>
    </row>
    <row r="8829" spans="10:10" ht="18.75" customHeight="1" x14ac:dyDescent="0.25">
      <c r="J8829" s="48"/>
    </row>
    <row r="8830" spans="10:10" ht="18.75" customHeight="1" x14ac:dyDescent="0.25">
      <c r="J8830" s="48"/>
    </row>
    <row r="8831" spans="10:10" ht="18.75" customHeight="1" x14ac:dyDescent="0.25">
      <c r="J8831" s="48"/>
    </row>
    <row r="8832" spans="10:10" ht="18.75" customHeight="1" x14ac:dyDescent="0.25">
      <c r="J8832" s="48"/>
    </row>
    <row r="8833" spans="10:10" ht="18.75" customHeight="1" x14ac:dyDescent="0.25">
      <c r="J8833" s="48"/>
    </row>
    <row r="8834" spans="10:10" ht="18.75" customHeight="1" x14ac:dyDescent="0.25">
      <c r="J8834" s="48"/>
    </row>
    <row r="8835" spans="10:10" ht="18.75" customHeight="1" x14ac:dyDescent="0.25">
      <c r="J8835" s="48"/>
    </row>
    <row r="8836" spans="10:10" ht="18.75" customHeight="1" x14ac:dyDescent="0.25">
      <c r="J8836" s="48"/>
    </row>
    <row r="8837" spans="10:10" ht="18.75" customHeight="1" x14ac:dyDescent="0.25">
      <c r="J8837" s="48"/>
    </row>
    <row r="8838" spans="10:10" ht="18.75" customHeight="1" x14ac:dyDescent="0.25">
      <c r="J8838" s="48"/>
    </row>
    <row r="8839" spans="10:10" ht="18.75" customHeight="1" x14ac:dyDescent="0.25">
      <c r="J8839" s="48"/>
    </row>
    <row r="8840" spans="10:10" ht="18.75" customHeight="1" x14ac:dyDescent="0.25">
      <c r="J8840" s="48"/>
    </row>
    <row r="8841" spans="10:10" ht="18.75" customHeight="1" x14ac:dyDescent="0.25">
      <c r="J8841" s="48"/>
    </row>
    <row r="8842" spans="10:10" ht="18.75" customHeight="1" x14ac:dyDescent="0.25">
      <c r="J8842" s="48"/>
    </row>
    <row r="8843" spans="10:10" ht="18.75" customHeight="1" x14ac:dyDescent="0.25">
      <c r="J8843" s="48"/>
    </row>
    <row r="8844" spans="10:10" ht="18.75" customHeight="1" x14ac:dyDescent="0.25">
      <c r="J8844" s="48"/>
    </row>
    <row r="8845" spans="10:10" ht="18.75" customHeight="1" x14ac:dyDescent="0.25">
      <c r="J8845" s="48"/>
    </row>
    <row r="8846" spans="10:10" ht="18.75" customHeight="1" x14ac:dyDescent="0.25">
      <c r="J8846" s="48"/>
    </row>
    <row r="8847" spans="10:10" ht="18.75" customHeight="1" x14ac:dyDescent="0.25">
      <c r="J8847" s="48"/>
    </row>
    <row r="8848" spans="10:10" ht="18.75" customHeight="1" x14ac:dyDescent="0.25">
      <c r="J8848" s="48"/>
    </row>
    <row r="8849" spans="10:10" ht="18.75" customHeight="1" x14ac:dyDescent="0.25">
      <c r="J8849" s="48"/>
    </row>
    <row r="8850" spans="10:10" ht="18.75" customHeight="1" x14ac:dyDescent="0.25">
      <c r="J8850" s="48"/>
    </row>
    <row r="8851" spans="10:10" ht="18.75" customHeight="1" x14ac:dyDescent="0.25">
      <c r="J8851" s="48"/>
    </row>
    <row r="8852" spans="10:10" ht="18.75" customHeight="1" x14ac:dyDescent="0.25">
      <c r="J8852" s="48"/>
    </row>
    <row r="8853" spans="10:10" ht="18.75" customHeight="1" x14ac:dyDescent="0.25">
      <c r="J8853" s="48"/>
    </row>
    <row r="8854" spans="10:10" ht="18.75" customHeight="1" x14ac:dyDescent="0.25">
      <c r="J8854" s="48"/>
    </row>
    <row r="8855" spans="10:10" ht="18.75" customHeight="1" x14ac:dyDescent="0.25">
      <c r="J8855" s="48"/>
    </row>
    <row r="8856" spans="10:10" ht="18.75" customHeight="1" x14ac:dyDescent="0.25">
      <c r="J8856" s="48"/>
    </row>
    <row r="8857" spans="10:10" ht="18.75" customHeight="1" x14ac:dyDescent="0.25">
      <c r="J8857" s="48"/>
    </row>
    <row r="8858" spans="10:10" ht="18.75" customHeight="1" x14ac:dyDescent="0.25">
      <c r="J8858" s="48"/>
    </row>
    <row r="8859" spans="10:10" ht="18.75" customHeight="1" x14ac:dyDescent="0.25">
      <c r="J8859" s="48"/>
    </row>
    <row r="8860" spans="10:10" ht="18.75" customHeight="1" x14ac:dyDescent="0.25">
      <c r="J8860" s="48"/>
    </row>
    <row r="8861" spans="10:10" ht="18.75" customHeight="1" x14ac:dyDescent="0.25">
      <c r="J8861" s="48"/>
    </row>
    <row r="8862" spans="10:10" ht="18.75" customHeight="1" x14ac:dyDescent="0.25">
      <c r="J8862" s="48"/>
    </row>
    <row r="8863" spans="10:10" ht="18.75" customHeight="1" x14ac:dyDescent="0.25">
      <c r="J8863" s="48"/>
    </row>
    <row r="8864" spans="10:10" ht="18.75" customHeight="1" x14ac:dyDescent="0.25">
      <c r="J8864" s="48"/>
    </row>
    <row r="8865" spans="10:10" ht="18.75" customHeight="1" x14ac:dyDescent="0.25">
      <c r="J8865" s="48"/>
    </row>
    <row r="8866" spans="10:10" ht="18.75" customHeight="1" x14ac:dyDescent="0.25">
      <c r="J8866" s="48"/>
    </row>
    <row r="8867" spans="10:10" ht="18.75" customHeight="1" x14ac:dyDescent="0.25">
      <c r="J8867" s="48"/>
    </row>
    <row r="8868" spans="10:10" ht="18.75" customHeight="1" x14ac:dyDescent="0.25">
      <c r="J8868" s="48"/>
    </row>
    <row r="8869" spans="10:10" ht="18.75" customHeight="1" x14ac:dyDescent="0.25">
      <c r="J8869" s="48"/>
    </row>
    <row r="8870" spans="10:10" ht="18.75" customHeight="1" x14ac:dyDescent="0.25">
      <c r="J8870" s="48"/>
    </row>
    <row r="8871" spans="10:10" ht="18.75" customHeight="1" x14ac:dyDescent="0.25">
      <c r="J8871" s="48"/>
    </row>
    <row r="8872" spans="10:10" ht="18.75" customHeight="1" x14ac:dyDescent="0.25">
      <c r="J8872" s="48"/>
    </row>
    <row r="8873" spans="10:10" ht="18.75" customHeight="1" x14ac:dyDescent="0.25">
      <c r="J8873" s="48"/>
    </row>
    <row r="8874" spans="10:10" ht="18.75" customHeight="1" x14ac:dyDescent="0.25">
      <c r="J8874" s="48"/>
    </row>
    <row r="8875" spans="10:10" ht="18.75" customHeight="1" x14ac:dyDescent="0.25">
      <c r="J8875" s="48"/>
    </row>
    <row r="8876" spans="10:10" ht="18.75" customHeight="1" x14ac:dyDescent="0.25">
      <c r="J8876" s="48"/>
    </row>
    <row r="8877" spans="10:10" ht="18.75" customHeight="1" x14ac:dyDescent="0.25">
      <c r="J8877" s="48"/>
    </row>
    <row r="8878" spans="10:10" ht="18.75" customHeight="1" x14ac:dyDescent="0.25">
      <c r="J8878" s="48"/>
    </row>
    <row r="8879" spans="10:10" ht="18.75" customHeight="1" x14ac:dyDescent="0.25">
      <c r="J8879" s="48"/>
    </row>
    <row r="8880" spans="10:10" ht="18.75" customHeight="1" x14ac:dyDescent="0.25">
      <c r="J8880" s="48"/>
    </row>
    <row r="8881" spans="10:10" ht="18.75" customHeight="1" x14ac:dyDescent="0.25">
      <c r="J8881" s="48"/>
    </row>
    <row r="8882" spans="10:10" ht="18.75" customHeight="1" x14ac:dyDescent="0.25">
      <c r="J8882" s="48"/>
    </row>
    <row r="8883" spans="10:10" ht="18.75" customHeight="1" x14ac:dyDescent="0.25">
      <c r="J8883" s="48"/>
    </row>
    <row r="8884" spans="10:10" ht="18.75" customHeight="1" x14ac:dyDescent="0.25">
      <c r="J8884" s="48"/>
    </row>
    <row r="8885" spans="10:10" ht="18.75" customHeight="1" x14ac:dyDescent="0.25">
      <c r="J8885" s="48"/>
    </row>
    <row r="8886" spans="10:10" ht="18.75" customHeight="1" x14ac:dyDescent="0.25">
      <c r="J8886" s="48"/>
    </row>
    <row r="8887" spans="10:10" ht="18.75" customHeight="1" x14ac:dyDescent="0.25">
      <c r="J8887" s="48"/>
    </row>
    <row r="8888" spans="10:10" ht="18.75" customHeight="1" x14ac:dyDescent="0.25">
      <c r="J8888" s="48"/>
    </row>
    <row r="8889" spans="10:10" ht="18.75" customHeight="1" x14ac:dyDescent="0.25">
      <c r="J8889" s="48"/>
    </row>
    <row r="8890" spans="10:10" ht="18.75" customHeight="1" x14ac:dyDescent="0.25">
      <c r="J8890" s="48"/>
    </row>
    <row r="8891" spans="10:10" ht="18.75" customHeight="1" x14ac:dyDescent="0.25">
      <c r="J8891" s="48"/>
    </row>
    <row r="8892" spans="10:10" ht="18.75" customHeight="1" x14ac:dyDescent="0.25">
      <c r="J8892" s="48"/>
    </row>
    <row r="8893" spans="10:10" ht="18.75" customHeight="1" x14ac:dyDescent="0.25">
      <c r="J8893" s="48"/>
    </row>
    <row r="8894" spans="10:10" ht="18.75" customHeight="1" x14ac:dyDescent="0.25">
      <c r="J8894" s="48"/>
    </row>
    <row r="8895" spans="10:10" ht="18.75" customHeight="1" x14ac:dyDescent="0.25">
      <c r="J8895" s="48"/>
    </row>
    <row r="8896" spans="10:10" ht="18.75" customHeight="1" x14ac:dyDescent="0.25">
      <c r="J8896" s="48"/>
    </row>
    <row r="8897" spans="10:10" ht="18.75" customHeight="1" x14ac:dyDescent="0.25">
      <c r="J8897" s="48"/>
    </row>
    <row r="8898" spans="10:10" ht="18.75" customHeight="1" x14ac:dyDescent="0.25">
      <c r="J8898" s="48"/>
    </row>
    <row r="8899" spans="10:10" ht="18.75" customHeight="1" x14ac:dyDescent="0.25">
      <c r="J8899" s="48"/>
    </row>
    <row r="8900" spans="10:10" ht="18.75" customHeight="1" x14ac:dyDescent="0.25">
      <c r="J8900" s="48"/>
    </row>
    <row r="8901" spans="10:10" ht="18.75" customHeight="1" x14ac:dyDescent="0.25">
      <c r="J8901" s="48"/>
    </row>
    <row r="8902" spans="10:10" ht="18.75" customHeight="1" x14ac:dyDescent="0.25">
      <c r="J8902" s="48"/>
    </row>
    <row r="8903" spans="10:10" ht="18.75" customHeight="1" x14ac:dyDescent="0.25">
      <c r="J8903" s="48"/>
    </row>
    <row r="8904" spans="10:10" ht="18.75" customHeight="1" x14ac:dyDescent="0.25">
      <c r="J8904" s="48"/>
    </row>
    <row r="8905" spans="10:10" ht="18.75" customHeight="1" x14ac:dyDescent="0.25">
      <c r="J8905" s="48"/>
    </row>
    <row r="8906" spans="10:10" ht="18.75" customHeight="1" x14ac:dyDescent="0.25">
      <c r="J8906" s="48"/>
    </row>
    <row r="8907" spans="10:10" ht="18.75" customHeight="1" x14ac:dyDescent="0.25">
      <c r="J8907" s="48"/>
    </row>
    <row r="8908" spans="10:10" ht="18.75" customHeight="1" x14ac:dyDescent="0.25">
      <c r="J8908" s="48"/>
    </row>
    <row r="8909" spans="10:10" ht="18.75" customHeight="1" x14ac:dyDescent="0.25">
      <c r="J8909" s="48"/>
    </row>
    <row r="8910" spans="10:10" ht="18.75" customHeight="1" x14ac:dyDescent="0.25">
      <c r="J8910" s="48"/>
    </row>
    <row r="8911" spans="10:10" ht="18.75" customHeight="1" x14ac:dyDescent="0.25">
      <c r="J8911" s="48"/>
    </row>
    <row r="8912" spans="10:10" ht="18.75" customHeight="1" x14ac:dyDescent="0.25">
      <c r="J8912" s="48"/>
    </row>
    <row r="8913" spans="10:10" ht="18.75" customHeight="1" x14ac:dyDescent="0.25">
      <c r="J8913" s="48"/>
    </row>
    <row r="8914" spans="10:10" ht="18.75" customHeight="1" x14ac:dyDescent="0.25">
      <c r="J8914" s="48"/>
    </row>
    <row r="8915" spans="10:10" ht="18.75" customHeight="1" x14ac:dyDescent="0.25">
      <c r="J8915" s="48"/>
    </row>
    <row r="8916" spans="10:10" ht="18.75" customHeight="1" x14ac:dyDescent="0.25">
      <c r="J8916" s="48"/>
    </row>
    <row r="8917" spans="10:10" ht="18.75" customHeight="1" x14ac:dyDescent="0.25">
      <c r="J8917" s="48"/>
    </row>
    <row r="8918" spans="10:10" ht="18.75" customHeight="1" x14ac:dyDescent="0.25">
      <c r="J8918" s="48"/>
    </row>
    <row r="8919" spans="10:10" ht="18.75" customHeight="1" x14ac:dyDescent="0.25">
      <c r="J8919" s="48"/>
    </row>
    <row r="8920" spans="10:10" ht="18.75" customHeight="1" x14ac:dyDescent="0.25">
      <c r="J8920" s="48"/>
    </row>
    <row r="8921" spans="10:10" ht="18.75" customHeight="1" x14ac:dyDescent="0.25">
      <c r="J8921" s="48"/>
    </row>
    <row r="8922" spans="10:10" ht="18.75" customHeight="1" x14ac:dyDescent="0.25">
      <c r="J8922" s="48"/>
    </row>
    <row r="8923" spans="10:10" ht="18.75" customHeight="1" x14ac:dyDescent="0.25">
      <c r="J8923" s="48"/>
    </row>
    <row r="8924" spans="10:10" ht="18.75" customHeight="1" x14ac:dyDescent="0.25">
      <c r="J8924" s="48"/>
    </row>
    <row r="8925" spans="10:10" ht="18.75" customHeight="1" x14ac:dyDescent="0.25">
      <c r="J8925" s="48"/>
    </row>
    <row r="8926" spans="10:10" ht="18.75" customHeight="1" x14ac:dyDescent="0.25">
      <c r="J8926" s="48"/>
    </row>
    <row r="8927" spans="10:10" ht="18.75" customHeight="1" x14ac:dyDescent="0.25">
      <c r="J8927" s="48"/>
    </row>
    <row r="8928" spans="10:10" ht="18.75" customHeight="1" x14ac:dyDescent="0.25">
      <c r="J8928" s="48"/>
    </row>
    <row r="8929" spans="10:10" ht="18.75" customHeight="1" x14ac:dyDescent="0.25">
      <c r="J8929" s="48"/>
    </row>
    <row r="8930" spans="10:10" ht="18.75" customHeight="1" x14ac:dyDescent="0.25">
      <c r="J8930" s="48"/>
    </row>
    <row r="8931" spans="10:10" ht="18.75" customHeight="1" x14ac:dyDescent="0.25">
      <c r="J8931" s="48"/>
    </row>
    <row r="8932" spans="10:10" ht="18.75" customHeight="1" x14ac:dyDescent="0.25">
      <c r="J8932" s="48"/>
    </row>
    <row r="8933" spans="10:10" ht="18.75" customHeight="1" x14ac:dyDescent="0.25">
      <c r="J8933" s="48"/>
    </row>
    <row r="8934" spans="10:10" ht="18.75" customHeight="1" x14ac:dyDescent="0.25">
      <c r="J8934" s="48"/>
    </row>
    <row r="8935" spans="10:10" ht="18.75" customHeight="1" x14ac:dyDescent="0.25">
      <c r="J8935" s="48"/>
    </row>
    <row r="8936" spans="10:10" ht="18.75" customHeight="1" x14ac:dyDescent="0.25">
      <c r="J8936" s="48"/>
    </row>
    <row r="8937" spans="10:10" ht="18.75" customHeight="1" x14ac:dyDescent="0.25">
      <c r="J8937" s="48"/>
    </row>
    <row r="8938" spans="10:10" ht="18.75" customHeight="1" x14ac:dyDescent="0.25">
      <c r="J8938" s="48"/>
    </row>
    <row r="8939" spans="10:10" ht="18.75" customHeight="1" x14ac:dyDescent="0.25">
      <c r="J8939" s="48"/>
    </row>
    <row r="8940" spans="10:10" ht="18.75" customHeight="1" x14ac:dyDescent="0.25">
      <c r="J8940" s="48"/>
    </row>
    <row r="8941" spans="10:10" ht="18.75" customHeight="1" x14ac:dyDescent="0.25">
      <c r="J8941" s="48"/>
    </row>
    <row r="8942" spans="10:10" ht="18.75" customHeight="1" x14ac:dyDescent="0.25">
      <c r="J8942" s="48"/>
    </row>
    <row r="8943" spans="10:10" ht="18.75" customHeight="1" x14ac:dyDescent="0.25">
      <c r="J8943" s="48"/>
    </row>
    <row r="8944" spans="10:10" ht="18.75" customHeight="1" x14ac:dyDescent="0.25">
      <c r="J8944" s="48"/>
    </row>
    <row r="8945" spans="10:10" ht="18.75" customHeight="1" x14ac:dyDescent="0.25">
      <c r="J8945" s="48"/>
    </row>
    <row r="8946" spans="10:10" ht="18.75" customHeight="1" x14ac:dyDescent="0.25">
      <c r="J8946" s="48"/>
    </row>
    <row r="8947" spans="10:10" ht="18.75" customHeight="1" x14ac:dyDescent="0.25">
      <c r="J8947" s="48"/>
    </row>
    <row r="8948" spans="10:10" ht="18.75" customHeight="1" x14ac:dyDescent="0.25">
      <c r="J8948" s="48"/>
    </row>
    <row r="8949" spans="10:10" ht="18.75" customHeight="1" x14ac:dyDescent="0.25">
      <c r="J8949" s="48"/>
    </row>
    <row r="8950" spans="10:10" ht="18.75" customHeight="1" x14ac:dyDescent="0.25">
      <c r="J8950" s="48"/>
    </row>
    <row r="8951" spans="10:10" ht="18.75" customHeight="1" x14ac:dyDescent="0.25">
      <c r="J8951" s="48"/>
    </row>
    <row r="8952" spans="10:10" ht="18.75" customHeight="1" x14ac:dyDescent="0.25">
      <c r="J8952" s="48"/>
    </row>
    <row r="8953" spans="10:10" ht="18.75" customHeight="1" x14ac:dyDescent="0.25">
      <c r="J8953" s="48"/>
    </row>
    <row r="8954" spans="10:10" ht="18.75" customHeight="1" x14ac:dyDescent="0.25">
      <c r="J8954" s="48"/>
    </row>
    <row r="8955" spans="10:10" ht="18.75" customHeight="1" x14ac:dyDescent="0.25">
      <c r="J8955" s="48"/>
    </row>
    <row r="8956" spans="10:10" ht="18.75" customHeight="1" x14ac:dyDescent="0.25">
      <c r="J8956" s="48"/>
    </row>
    <row r="8957" spans="10:10" ht="18.75" customHeight="1" x14ac:dyDescent="0.25">
      <c r="J8957" s="48"/>
    </row>
    <row r="8958" spans="10:10" ht="18.75" customHeight="1" x14ac:dyDescent="0.25">
      <c r="J8958" s="48"/>
    </row>
    <row r="8959" spans="10:10" ht="18.75" customHeight="1" x14ac:dyDescent="0.25">
      <c r="J8959" s="48"/>
    </row>
    <row r="8960" spans="10:10" ht="18.75" customHeight="1" x14ac:dyDescent="0.25">
      <c r="J8960" s="48"/>
    </row>
    <row r="8961" spans="10:10" ht="18.75" customHeight="1" x14ac:dyDescent="0.25">
      <c r="J8961" s="48"/>
    </row>
    <row r="8962" spans="10:10" ht="18.75" customHeight="1" x14ac:dyDescent="0.25">
      <c r="J8962" s="48"/>
    </row>
    <row r="8963" spans="10:10" ht="18.75" customHeight="1" x14ac:dyDescent="0.25">
      <c r="J8963" s="48"/>
    </row>
    <row r="8964" spans="10:10" ht="18.75" customHeight="1" x14ac:dyDescent="0.25">
      <c r="J8964" s="48"/>
    </row>
    <row r="8965" spans="10:10" ht="18.75" customHeight="1" x14ac:dyDescent="0.25">
      <c r="J8965" s="48"/>
    </row>
    <row r="8966" spans="10:10" ht="18.75" customHeight="1" x14ac:dyDescent="0.25">
      <c r="J8966" s="48"/>
    </row>
    <row r="8967" spans="10:10" ht="18.75" customHeight="1" x14ac:dyDescent="0.25">
      <c r="J8967" s="48"/>
    </row>
    <row r="8968" spans="10:10" ht="18.75" customHeight="1" x14ac:dyDescent="0.25">
      <c r="J8968" s="48"/>
    </row>
    <row r="8969" spans="10:10" ht="18.75" customHeight="1" x14ac:dyDescent="0.25">
      <c r="J8969" s="48"/>
    </row>
    <row r="8970" spans="10:10" ht="18.75" customHeight="1" x14ac:dyDescent="0.25">
      <c r="J8970" s="48"/>
    </row>
    <row r="8971" spans="10:10" ht="18.75" customHeight="1" x14ac:dyDescent="0.25">
      <c r="J8971" s="48"/>
    </row>
    <row r="8972" spans="10:10" ht="18.75" customHeight="1" x14ac:dyDescent="0.25">
      <c r="J8972" s="48"/>
    </row>
    <row r="8973" spans="10:10" ht="18.75" customHeight="1" x14ac:dyDescent="0.25">
      <c r="J8973" s="48"/>
    </row>
    <row r="8974" spans="10:10" ht="18.75" customHeight="1" x14ac:dyDescent="0.25">
      <c r="J8974" s="48"/>
    </row>
    <row r="8975" spans="10:10" ht="18.75" customHeight="1" x14ac:dyDescent="0.25">
      <c r="J8975" s="48"/>
    </row>
    <row r="8976" spans="10:10" ht="18.75" customHeight="1" x14ac:dyDescent="0.25">
      <c r="J8976" s="48"/>
    </row>
    <row r="8977" spans="10:10" ht="18.75" customHeight="1" x14ac:dyDescent="0.25">
      <c r="J8977" s="48"/>
    </row>
    <row r="8978" spans="10:10" ht="18.75" customHeight="1" x14ac:dyDescent="0.25">
      <c r="J8978" s="48"/>
    </row>
    <row r="8979" spans="10:10" ht="18.75" customHeight="1" x14ac:dyDescent="0.25">
      <c r="J8979" s="48"/>
    </row>
    <row r="8980" spans="10:10" ht="18.75" customHeight="1" x14ac:dyDescent="0.25">
      <c r="J8980" s="48"/>
    </row>
    <row r="8981" spans="10:10" ht="18.75" customHeight="1" x14ac:dyDescent="0.25">
      <c r="J8981" s="48"/>
    </row>
    <row r="8982" spans="10:10" ht="18.75" customHeight="1" x14ac:dyDescent="0.25">
      <c r="J8982" s="48"/>
    </row>
    <row r="8983" spans="10:10" ht="18.75" customHeight="1" x14ac:dyDescent="0.25">
      <c r="J8983" s="48"/>
    </row>
    <row r="8984" spans="10:10" ht="18.75" customHeight="1" x14ac:dyDescent="0.25">
      <c r="J8984" s="48"/>
    </row>
    <row r="8985" spans="10:10" ht="18.75" customHeight="1" x14ac:dyDescent="0.25">
      <c r="J8985" s="48"/>
    </row>
    <row r="8986" spans="10:10" ht="18.75" customHeight="1" x14ac:dyDescent="0.25">
      <c r="J8986" s="48"/>
    </row>
    <row r="8987" spans="10:10" ht="18.75" customHeight="1" x14ac:dyDescent="0.25">
      <c r="J8987" s="48"/>
    </row>
    <row r="8988" spans="10:10" ht="18.75" customHeight="1" x14ac:dyDescent="0.25">
      <c r="J8988" s="48"/>
    </row>
    <row r="8989" spans="10:10" ht="18.75" customHeight="1" x14ac:dyDescent="0.25">
      <c r="J8989" s="48"/>
    </row>
    <row r="8990" spans="10:10" ht="18.75" customHeight="1" x14ac:dyDescent="0.25">
      <c r="J8990" s="48"/>
    </row>
    <row r="8991" spans="10:10" ht="18.75" customHeight="1" x14ac:dyDescent="0.25">
      <c r="J8991" s="48"/>
    </row>
    <row r="8992" spans="10:10" ht="18.75" customHeight="1" x14ac:dyDescent="0.25">
      <c r="J8992" s="48"/>
    </row>
    <row r="8993" spans="10:10" ht="18.75" customHeight="1" x14ac:dyDescent="0.25">
      <c r="J8993" s="48"/>
    </row>
    <row r="8994" spans="10:10" ht="18.75" customHeight="1" x14ac:dyDescent="0.25">
      <c r="J8994" s="48"/>
    </row>
    <row r="8995" spans="10:10" ht="18.75" customHeight="1" x14ac:dyDescent="0.25">
      <c r="J8995" s="48"/>
    </row>
    <row r="8996" spans="10:10" ht="18.75" customHeight="1" x14ac:dyDescent="0.25">
      <c r="J8996" s="48"/>
    </row>
    <row r="8997" spans="10:10" ht="18.75" customHeight="1" x14ac:dyDescent="0.25">
      <c r="J8997" s="48"/>
    </row>
    <row r="8998" spans="10:10" ht="18.75" customHeight="1" x14ac:dyDescent="0.25">
      <c r="J8998" s="48"/>
    </row>
    <row r="8999" spans="10:10" ht="18.75" customHeight="1" x14ac:dyDescent="0.25">
      <c r="J8999" s="48"/>
    </row>
    <row r="9000" spans="10:10" ht="18.75" customHeight="1" x14ac:dyDescent="0.25">
      <c r="J9000" s="48"/>
    </row>
    <row r="9001" spans="10:10" ht="18.75" customHeight="1" x14ac:dyDescent="0.25">
      <c r="J9001" s="48"/>
    </row>
    <row r="9002" spans="10:10" ht="18.75" customHeight="1" x14ac:dyDescent="0.25">
      <c r="J9002" s="48"/>
    </row>
    <row r="9003" spans="10:10" ht="18.75" customHeight="1" x14ac:dyDescent="0.25">
      <c r="J9003" s="48"/>
    </row>
    <row r="9004" spans="10:10" ht="18.75" customHeight="1" x14ac:dyDescent="0.25">
      <c r="J9004" s="48"/>
    </row>
    <row r="9005" spans="10:10" ht="18.75" customHeight="1" x14ac:dyDescent="0.25">
      <c r="J9005" s="48"/>
    </row>
    <row r="9006" spans="10:10" ht="18.75" customHeight="1" x14ac:dyDescent="0.25">
      <c r="J9006" s="48"/>
    </row>
    <row r="9007" spans="10:10" ht="18.75" customHeight="1" x14ac:dyDescent="0.25">
      <c r="J9007" s="48"/>
    </row>
    <row r="9008" spans="10:10" ht="18.75" customHeight="1" x14ac:dyDescent="0.25">
      <c r="J9008" s="48"/>
    </row>
    <row r="9009" spans="10:10" ht="18.75" customHeight="1" x14ac:dyDescent="0.25">
      <c r="J9009" s="48"/>
    </row>
    <row r="9010" spans="10:10" ht="18.75" customHeight="1" x14ac:dyDescent="0.25">
      <c r="J9010" s="48"/>
    </row>
    <row r="9011" spans="10:10" ht="18.75" customHeight="1" x14ac:dyDescent="0.25">
      <c r="J9011" s="48"/>
    </row>
    <row r="9012" spans="10:10" ht="18.75" customHeight="1" x14ac:dyDescent="0.25">
      <c r="J9012" s="48"/>
    </row>
    <row r="9013" spans="10:10" ht="18.75" customHeight="1" x14ac:dyDescent="0.25">
      <c r="J9013" s="48"/>
    </row>
    <row r="9014" spans="10:10" ht="18.75" customHeight="1" x14ac:dyDescent="0.25">
      <c r="J9014" s="48"/>
    </row>
    <row r="9015" spans="10:10" ht="18.75" customHeight="1" x14ac:dyDescent="0.25">
      <c r="J9015" s="48"/>
    </row>
    <row r="9016" spans="10:10" ht="18.75" customHeight="1" x14ac:dyDescent="0.25">
      <c r="J9016" s="48"/>
    </row>
    <row r="9017" spans="10:10" ht="18.75" customHeight="1" x14ac:dyDescent="0.25">
      <c r="J9017" s="48"/>
    </row>
    <row r="9018" spans="10:10" ht="18.75" customHeight="1" x14ac:dyDescent="0.25">
      <c r="J9018" s="48"/>
    </row>
    <row r="9019" spans="10:10" ht="18.75" customHeight="1" x14ac:dyDescent="0.25">
      <c r="J9019" s="48"/>
    </row>
    <row r="9020" spans="10:10" ht="18.75" customHeight="1" x14ac:dyDescent="0.25">
      <c r="J9020" s="48"/>
    </row>
    <row r="9021" spans="10:10" ht="18.75" customHeight="1" x14ac:dyDescent="0.25">
      <c r="J9021" s="48"/>
    </row>
    <row r="9022" spans="10:10" ht="18.75" customHeight="1" x14ac:dyDescent="0.25">
      <c r="J9022" s="48"/>
    </row>
    <row r="9023" spans="10:10" ht="18.75" customHeight="1" x14ac:dyDescent="0.25">
      <c r="J9023" s="48"/>
    </row>
    <row r="9024" spans="10:10" ht="18.75" customHeight="1" x14ac:dyDescent="0.25">
      <c r="J9024" s="48"/>
    </row>
    <row r="9025" spans="10:10" ht="18.75" customHeight="1" x14ac:dyDescent="0.25">
      <c r="J9025" s="48"/>
    </row>
    <row r="9026" spans="10:10" ht="18.75" customHeight="1" x14ac:dyDescent="0.25">
      <c r="J9026" s="48"/>
    </row>
    <row r="9027" spans="10:10" ht="18.75" customHeight="1" x14ac:dyDescent="0.25">
      <c r="J9027" s="48"/>
    </row>
    <row r="9028" spans="10:10" ht="18.75" customHeight="1" x14ac:dyDescent="0.25">
      <c r="J9028" s="48"/>
    </row>
    <row r="9029" spans="10:10" ht="18.75" customHeight="1" x14ac:dyDescent="0.25">
      <c r="J9029" s="48"/>
    </row>
    <row r="9030" spans="10:10" ht="18.75" customHeight="1" x14ac:dyDescent="0.25">
      <c r="J9030" s="48"/>
    </row>
    <row r="9031" spans="10:10" ht="18.75" customHeight="1" x14ac:dyDescent="0.25">
      <c r="J9031" s="48"/>
    </row>
    <row r="9032" spans="10:10" ht="18.75" customHeight="1" x14ac:dyDescent="0.25">
      <c r="J9032" s="48"/>
    </row>
    <row r="9033" spans="10:10" ht="18.75" customHeight="1" x14ac:dyDescent="0.25">
      <c r="J9033" s="48"/>
    </row>
    <row r="9034" spans="10:10" ht="18.75" customHeight="1" x14ac:dyDescent="0.25">
      <c r="J9034" s="48"/>
    </row>
    <row r="9035" spans="10:10" ht="18.75" customHeight="1" x14ac:dyDescent="0.25">
      <c r="J9035" s="48"/>
    </row>
    <row r="9036" spans="10:10" ht="18.75" customHeight="1" x14ac:dyDescent="0.25">
      <c r="J9036" s="48"/>
    </row>
    <row r="9037" spans="10:10" ht="18.75" customHeight="1" x14ac:dyDescent="0.25">
      <c r="J9037" s="48"/>
    </row>
    <row r="9038" spans="10:10" ht="18.75" customHeight="1" x14ac:dyDescent="0.25">
      <c r="J9038" s="48"/>
    </row>
    <row r="9039" spans="10:10" ht="18.75" customHeight="1" x14ac:dyDescent="0.25">
      <c r="J9039" s="48"/>
    </row>
    <row r="9040" spans="10:10" ht="18.75" customHeight="1" x14ac:dyDescent="0.25">
      <c r="J9040" s="48"/>
    </row>
    <row r="9041" spans="10:10" ht="18.75" customHeight="1" x14ac:dyDescent="0.25">
      <c r="J9041" s="48"/>
    </row>
    <row r="9042" spans="10:10" ht="18.75" customHeight="1" x14ac:dyDescent="0.25">
      <c r="J9042" s="48"/>
    </row>
    <row r="9043" spans="10:10" ht="18.75" customHeight="1" x14ac:dyDescent="0.25">
      <c r="J9043" s="48"/>
    </row>
    <row r="9044" spans="10:10" ht="18.75" customHeight="1" x14ac:dyDescent="0.25">
      <c r="J9044" s="48"/>
    </row>
    <row r="9045" spans="10:10" ht="18.75" customHeight="1" x14ac:dyDescent="0.25">
      <c r="J9045" s="48"/>
    </row>
    <row r="9046" spans="10:10" ht="18.75" customHeight="1" x14ac:dyDescent="0.25">
      <c r="J9046" s="48"/>
    </row>
    <row r="9047" spans="10:10" ht="18.75" customHeight="1" x14ac:dyDescent="0.25">
      <c r="J9047" s="48"/>
    </row>
    <row r="9048" spans="10:10" ht="18.75" customHeight="1" x14ac:dyDescent="0.25">
      <c r="J9048" s="48"/>
    </row>
    <row r="9049" spans="10:10" ht="18.75" customHeight="1" x14ac:dyDescent="0.25">
      <c r="J9049" s="48"/>
    </row>
    <row r="9050" spans="10:10" ht="18.75" customHeight="1" x14ac:dyDescent="0.25">
      <c r="J9050" s="48"/>
    </row>
    <row r="9051" spans="10:10" ht="18.75" customHeight="1" x14ac:dyDescent="0.25">
      <c r="J9051" s="48"/>
    </row>
    <row r="9052" spans="10:10" ht="18.75" customHeight="1" x14ac:dyDescent="0.25">
      <c r="J9052" s="48"/>
    </row>
    <row r="9053" spans="10:10" ht="18.75" customHeight="1" x14ac:dyDescent="0.25">
      <c r="J9053" s="48"/>
    </row>
    <row r="9054" spans="10:10" ht="18.75" customHeight="1" x14ac:dyDescent="0.25">
      <c r="J9054" s="48"/>
    </row>
    <row r="9055" spans="10:10" ht="18.75" customHeight="1" x14ac:dyDescent="0.25">
      <c r="J9055" s="48"/>
    </row>
    <row r="9056" spans="10:10" ht="18.75" customHeight="1" x14ac:dyDescent="0.25">
      <c r="J9056" s="48"/>
    </row>
    <row r="9057" spans="10:10" ht="18.75" customHeight="1" x14ac:dyDescent="0.25">
      <c r="J9057" s="48"/>
    </row>
    <row r="9058" spans="10:10" ht="18.75" customHeight="1" x14ac:dyDescent="0.25">
      <c r="J9058" s="48"/>
    </row>
    <row r="9059" spans="10:10" ht="18.75" customHeight="1" x14ac:dyDescent="0.25">
      <c r="J9059" s="48"/>
    </row>
    <row r="9060" spans="10:10" ht="18.75" customHeight="1" x14ac:dyDescent="0.25">
      <c r="J9060" s="48"/>
    </row>
    <row r="9061" spans="10:10" ht="18.75" customHeight="1" x14ac:dyDescent="0.25">
      <c r="J9061" s="48"/>
    </row>
    <row r="9062" spans="10:10" ht="18.75" customHeight="1" x14ac:dyDescent="0.25">
      <c r="J9062" s="48"/>
    </row>
    <row r="9063" spans="10:10" ht="18.75" customHeight="1" x14ac:dyDescent="0.25">
      <c r="J9063" s="48"/>
    </row>
    <row r="9064" spans="10:10" ht="18.75" customHeight="1" x14ac:dyDescent="0.25">
      <c r="J9064" s="48"/>
    </row>
    <row r="9065" spans="10:10" ht="18.75" customHeight="1" x14ac:dyDescent="0.25">
      <c r="J9065" s="48"/>
    </row>
    <row r="9066" spans="10:10" ht="18.75" customHeight="1" x14ac:dyDescent="0.25">
      <c r="J9066" s="48"/>
    </row>
    <row r="9067" spans="10:10" ht="18.75" customHeight="1" x14ac:dyDescent="0.25">
      <c r="J9067" s="48"/>
    </row>
    <row r="9068" spans="10:10" ht="18.75" customHeight="1" x14ac:dyDescent="0.25">
      <c r="J9068" s="48"/>
    </row>
    <row r="9069" spans="10:10" ht="18.75" customHeight="1" x14ac:dyDescent="0.25">
      <c r="J9069" s="48"/>
    </row>
    <row r="9070" spans="10:10" ht="18.75" customHeight="1" x14ac:dyDescent="0.25">
      <c r="J9070" s="48"/>
    </row>
    <row r="9071" spans="10:10" ht="18.75" customHeight="1" x14ac:dyDescent="0.25">
      <c r="J9071" s="48"/>
    </row>
    <row r="9072" spans="10:10" ht="18.75" customHeight="1" x14ac:dyDescent="0.25">
      <c r="J9072" s="48"/>
    </row>
    <row r="9073" spans="10:10" ht="18.75" customHeight="1" x14ac:dyDescent="0.25">
      <c r="J9073" s="48"/>
    </row>
    <row r="9074" spans="10:10" ht="18.75" customHeight="1" x14ac:dyDescent="0.25">
      <c r="J9074" s="48"/>
    </row>
    <row r="9075" spans="10:10" ht="18.75" customHeight="1" x14ac:dyDescent="0.25">
      <c r="J9075" s="48"/>
    </row>
    <row r="9076" spans="10:10" ht="18.75" customHeight="1" x14ac:dyDescent="0.25">
      <c r="J9076" s="48"/>
    </row>
    <row r="9077" spans="10:10" ht="18.75" customHeight="1" x14ac:dyDescent="0.25">
      <c r="J9077" s="48"/>
    </row>
    <row r="9078" spans="10:10" ht="18.75" customHeight="1" x14ac:dyDescent="0.25">
      <c r="J9078" s="48"/>
    </row>
    <row r="9079" spans="10:10" ht="18.75" customHeight="1" x14ac:dyDescent="0.25">
      <c r="J9079" s="48"/>
    </row>
    <row r="9080" spans="10:10" ht="18.75" customHeight="1" x14ac:dyDescent="0.25">
      <c r="J9080" s="48"/>
    </row>
    <row r="9081" spans="10:10" ht="18.75" customHeight="1" x14ac:dyDescent="0.25">
      <c r="J9081" s="48"/>
    </row>
    <row r="9082" spans="10:10" ht="18.75" customHeight="1" x14ac:dyDescent="0.25">
      <c r="J9082" s="48"/>
    </row>
    <row r="9083" spans="10:10" ht="18.75" customHeight="1" x14ac:dyDescent="0.25">
      <c r="J9083" s="48"/>
    </row>
    <row r="9084" spans="10:10" ht="18.75" customHeight="1" x14ac:dyDescent="0.25">
      <c r="J9084" s="48"/>
    </row>
    <row r="9085" spans="10:10" ht="18.75" customHeight="1" x14ac:dyDescent="0.25">
      <c r="J9085" s="48"/>
    </row>
    <row r="9086" spans="10:10" ht="18.75" customHeight="1" x14ac:dyDescent="0.25">
      <c r="J9086" s="48"/>
    </row>
    <row r="9087" spans="10:10" ht="18.75" customHeight="1" x14ac:dyDescent="0.25">
      <c r="J9087" s="48"/>
    </row>
    <row r="9088" spans="10:10" ht="18.75" customHeight="1" x14ac:dyDescent="0.25">
      <c r="J9088" s="48"/>
    </row>
    <row r="9089" spans="10:10" ht="18.75" customHeight="1" x14ac:dyDescent="0.25">
      <c r="J9089" s="48"/>
    </row>
    <row r="9090" spans="10:10" ht="18.75" customHeight="1" x14ac:dyDescent="0.25">
      <c r="J9090" s="48"/>
    </row>
    <row r="9091" spans="10:10" ht="18.75" customHeight="1" x14ac:dyDescent="0.25">
      <c r="J9091" s="48"/>
    </row>
    <row r="9092" spans="10:10" ht="18.75" customHeight="1" x14ac:dyDescent="0.25">
      <c r="J9092" s="48"/>
    </row>
    <row r="9093" spans="10:10" ht="18.75" customHeight="1" x14ac:dyDescent="0.25">
      <c r="J9093" s="48"/>
    </row>
    <row r="9094" spans="10:10" ht="18.75" customHeight="1" x14ac:dyDescent="0.25">
      <c r="J9094" s="48"/>
    </row>
    <row r="9095" spans="10:10" ht="18.75" customHeight="1" x14ac:dyDescent="0.25">
      <c r="J9095" s="48"/>
    </row>
    <row r="9096" spans="10:10" ht="18.75" customHeight="1" x14ac:dyDescent="0.25">
      <c r="J9096" s="48"/>
    </row>
    <row r="9097" spans="10:10" ht="18.75" customHeight="1" x14ac:dyDescent="0.25">
      <c r="J9097" s="48"/>
    </row>
    <row r="9098" spans="10:10" ht="18.75" customHeight="1" x14ac:dyDescent="0.25">
      <c r="J9098" s="48"/>
    </row>
    <row r="9099" spans="10:10" ht="18.75" customHeight="1" x14ac:dyDescent="0.25">
      <c r="J9099" s="48"/>
    </row>
    <row r="9100" spans="10:10" ht="18.75" customHeight="1" x14ac:dyDescent="0.25">
      <c r="J9100" s="48"/>
    </row>
    <row r="9101" spans="10:10" ht="18.75" customHeight="1" x14ac:dyDescent="0.25">
      <c r="J9101" s="48"/>
    </row>
    <row r="9102" spans="10:10" ht="18.75" customHeight="1" x14ac:dyDescent="0.25">
      <c r="J9102" s="48"/>
    </row>
    <row r="9103" spans="10:10" ht="18.75" customHeight="1" x14ac:dyDescent="0.25">
      <c r="J9103" s="48"/>
    </row>
    <row r="9104" spans="10:10" ht="18.75" customHeight="1" x14ac:dyDescent="0.25">
      <c r="J9104" s="48"/>
    </row>
    <row r="9105" spans="10:10" ht="18.75" customHeight="1" x14ac:dyDescent="0.25">
      <c r="J9105" s="48"/>
    </row>
    <row r="9106" spans="10:10" ht="18.75" customHeight="1" x14ac:dyDescent="0.25">
      <c r="J9106" s="48"/>
    </row>
    <row r="9107" spans="10:10" ht="18.75" customHeight="1" x14ac:dyDescent="0.25">
      <c r="J9107" s="48"/>
    </row>
    <row r="9108" spans="10:10" ht="18.75" customHeight="1" x14ac:dyDescent="0.25">
      <c r="J9108" s="48"/>
    </row>
    <row r="9109" spans="10:10" ht="18.75" customHeight="1" x14ac:dyDescent="0.25">
      <c r="J9109" s="48"/>
    </row>
    <row r="9110" spans="10:10" ht="18.75" customHeight="1" x14ac:dyDescent="0.25">
      <c r="J9110" s="48"/>
    </row>
    <row r="9111" spans="10:10" ht="18.75" customHeight="1" x14ac:dyDescent="0.25">
      <c r="J9111" s="48"/>
    </row>
    <row r="9112" spans="10:10" ht="18.75" customHeight="1" x14ac:dyDescent="0.25">
      <c r="J9112" s="48"/>
    </row>
    <row r="9113" spans="10:10" ht="18.75" customHeight="1" x14ac:dyDescent="0.25">
      <c r="J9113" s="48"/>
    </row>
    <row r="9114" spans="10:10" ht="18.75" customHeight="1" x14ac:dyDescent="0.25">
      <c r="J9114" s="48"/>
    </row>
    <row r="9115" spans="10:10" ht="18.75" customHeight="1" x14ac:dyDescent="0.25">
      <c r="J9115" s="48"/>
    </row>
    <row r="9116" spans="10:10" ht="18.75" customHeight="1" x14ac:dyDescent="0.25">
      <c r="J9116" s="48"/>
    </row>
    <row r="9117" spans="10:10" ht="18.75" customHeight="1" x14ac:dyDescent="0.25">
      <c r="J9117" s="48"/>
    </row>
    <row r="9118" spans="10:10" ht="18.75" customHeight="1" x14ac:dyDescent="0.25">
      <c r="J9118" s="48"/>
    </row>
    <row r="9119" spans="10:10" ht="18.75" customHeight="1" x14ac:dyDescent="0.25">
      <c r="J9119" s="48"/>
    </row>
    <row r="9120" spans="10:10" ht="18.75" customHeight="1" x14ac:dyDescent="0.25">
      <c r="J9120" s="48"/>
    </row>
    <row r="9121" spans="10:10" ht="18.75" customHeight="1" x14ac:dyDescent="0.25">
      <c r="J9121" s="48"/>
    </row>
    <row r="9122" spans="10:10" ht="18.75" customHeight="1" x14ac:dyDescent="0.25">
      <c r="J9122" s="48"/>
    </row>
    <row r="9123" spans="10:10" ht="18.75" customHeight="1" x14ac:dyDescent="0.25">
      <c r="J9123" s="48"/>
    </row>
    <row r="9124" spans="10:10" ht="18.75" customHeight="1" x14ac:dyDescent="0.25">
      <c r="J9124" s="48"/>
    </row>
    <row r="9125" spans="10:10" ht="18.75" customHeight="1" x14ac:dyDescent="0.25">
      <c r="J9125" s="48"/>
    </row>
    <row r="9126" spans="10:10" ht="18.75" customHeight="1" x14ac:dyDescent="0.25">
      <c r="J9126" s="48"/>
    </row>
    <row r="9127" spans="10:10" ht="18.75" customHeight="1" x14ac:dyDescent="0.25">
      <c r="J9127" s="48"/>
    </row>
    <row r="9128" spans="10:10" ht="18.75" customHeight="1" x14ac:dyDescent="0.25">
      <c r="J9128" s="48"/>
    </row>
    <row r="9129" spans="10:10" ht="18.75" customHeight="1" x14ac:dyDescent="0.25">
      <c r="J9129" s="48"/>
    </row>
    <row r="9130" spans="10:10" ht="18.75" customHeight="1" x14ac:dyDescent="0.25">
      <c r="J9130" s="48"/>
    </row>
    <row r="9131" spans="10:10" ht="18.75" customHeight="1" x14ac:dyDescent="0.25">
      <c r="J9131" s="48"/>
    </row>
    <row r="9132" spans="10:10" ht="18.75" customHeight="1" x14ac:dyDescent="0.25">
      <c r="J9132" s="48"/>
    </row>
    <row r="9133" spans="10:10" ht="18.75" customHeight="1" x14ac:dyDescent="0.25">
      <c r="J9133" s="48"/>
    </row>
    <row r="9134" spans="10:10" ht="18.75" customHeight="1" x14ac:dyDescent="0.25">
      <c r="J9134" s="48"/>
    </row>
    <row r="9135" spans="10:10" ht="18.75" customHeight="1" x14ac:dyDescent="0.25">
      <c r="J9135" s="48"/>
    </row>
    <row r="9136" spans="10:10" ht="18.75" customHeight="1" x14ac:dyDescent="0.25">
      <c r="J9136" s="48"/>
    </row>
    <row r="9137" spans="10:10" ht="18.75" customHeight="1" x14ac:dyDescent="0.25">
      <c r="J9137" s="48"/>
    </row>
    <row r="9138" spans="10:10" ht="18.75" customHeight="1" x14ac:dyDescent="0.25">
      <c r="J9138" s="48"/>
    </row>
    <row r="9139" spans="10:10" ht="18.75" customHeight="1" x14ac:dyDescent="0.25">
      <c r="J9139" s="48"/>
    </row>
    <row r="9140" spans="10:10" ht="18.75" customHeight="1" x14ac:dyDescent="0.25">
      <c r="J9140" s="48"/>
    </row>
    <row r="9141" spans="10:10" ht="18.75" customHeight="1" x14ac:dyDescent="0.25">
      <c r="J9141" s="48"/>
    </row>
    <row r="9142" spans="10:10" ht="18.75" customHeight="1" x14ac:dyDescent="0.25">
      <c r="J9142" s="48"/>
    </row>
    <row r="9143" spans="10:10" ht="18.75" customHeight="1" x14ac:dyDescent="0.25">
      <c r="J9143" s="48"/>
    </row>
    <row r="9144" spans="10:10" ht="18.75" customHeight="1" x14ac:dyDescent="0.25">
      <c r="J9144" s="48"/>
    </row>
    <row r="9145" spans="10:10" ht="18.75" customHeight="1" x14ac:dyDescent="0.25">
      <c r="J9145" s="48"/>
    </row>
    <row r="9146" spans="10:10" ht="18.75" customHeight="1" x14ac:dyDescent="0.25">
      <c r="J9146" s="48"/>
    </row>
    <row r="9147" spans="10:10" ht="18.75" customHeight="1" x14ac:dyDescent="0.25">
      <c r="J9147" s="48"/>
    </row>
    <row r="9148" spans="10:10" ht="18.75" customHeight="1" x14ac:dyDescent="0.25">
      <c r="J9148" s="48"/>
    </row>
    <row r="9149" spans="10:10" ht="18.75" customHeight="1" x14ac:dyDescent="0.25">
      <c r="J9149" s="48"/>
    </row>
    <row r="9150" spans="10:10" ht="18.75" customHeight="1" x14ac:dyDescent="0.25">
      <c r="J9150" s="48"/>
    </row>
    <row r="9151" spans="10:10" ht="18.75" customHeight="1" x14ac:dyDescent="0.25">
      <c r="J9151" s="48"/>
    </row>
    <row r="9152" spans="10:10" ht="18.75" customHeight="1" x14ac:dyDescent="0.25">
      <c r="J9152" s="48"/>
    </row>
    <row r="9153" spans="10:10" ht="18.75" customHeight="1" x14ac:dyDescent="0.25">
      <c r="J9153" s="48"/>
    </row>
    <row r="9154" spans="10:10" ht="18.75" customHeight="1" x14ac:dyDescent="0.25">
      <c r="J9154" s="48"/>
    </row>
    <row r="9155" spans="10:10" ht="18.75" customHeight="1" x14ac:dyDescent="0.25">
      <c r="J9155" s="48"/>
    </row>
    <row r="9156" spans="10:10" ht="18.75" customHeight="1" x14ac:dyDescent="0.25">
      <c r="J9156" s="48"/>
    </row>
    <row r="9157" spans="10:10" ht="18.75" customHeight="1" x14ac:dyDescent="0.25">
      <c r="J9157" s="48"/>
    </row>
    <row r="9158" spans="10:10" ht="18.75" customHeight="1" x14ac:dyDescent="0.25">
      <c r="J9158" s="48"/>
    </row>
    <row r="9159" spans="10:10" ht="18.75" customHeight="1" x14ac:dyDescent="0.25">
      <c r="J9159" s="48"/>
    </row>
    <row r="9160" spans="10:10" ht="18.75" customHeight="1" x14ac:dyDescent="0.25">
      <c r="J9160" s="48"/>
    </row>
    <row r="9161" spans="10:10" ht="18.75" customHeight="1" x14ac:dyDescent="0.25">
      <c r="J9161" s="48"/>
    </row>
    <row r="9162" spans="10:10" ht="18.75" customHeight="1" x14ac:dyDescent="0.25">
      <c r="J9162" s="48"/>
    </row>
    <row r="9163" spans="10:10" ht="18.75" customHeight="1" x14ac:dyDescent="0.25">
      <c r="J9163" s="48"/>
    </row>
    <row r="9164" spans="10:10" ht="18.75" customHeight="1" x14ac:dyDescent="0.25">
      <c r="J9164" s="48"/>
    </row>
    <row r="9165" spans="10:10" ht="18.75" customHeight="1" x14ac:dyDescent="0.25">
      <c r="J9165" s="48"/>
    </row>
    <row r="9166" spans="10:10" ht="18.75" customHeight="1" x14ac:dyDescent="0.25">
      <c r="J9166" s="48"/>
    </row>
    <row r="9167" spans="10:10" ht="18.75" customHeight="1" x14ac:dyDescent="0.25">
      <c r="J9167" s="48"/>
    </row>
    <row r="9168" spans="10:10" ht="18.75" customHeight="1" x14ac:dyDescent="0.25">
      <c r="J9168" s="48"/>
    </row>
    <row r="9169" spans="10:10" ht="18.75" customHeight="1" x14ac:dyDescent="0.25">
      <c r="J9169" s="48"/>
    </row>
    <row r="9170" spans="10:10" ht="18.75" customHeight="1" x14ac:dyDescent="0.25">
      <c r="J9170" s="48"/>
    </row>
    <row r="9171" spans="10:10" ht="18.75" customHeight="1" x14ac:dyDescent="0.25">
      <c r="J9171" s="48"/>
    </row>
    <row r="9172" spans="10:10" ht="18.75" customHeight="1" x14ac:dyDescent="0.25">
      <c r="J9172" s="48"/>
    </row>
    <row r="9173" spans="10:10" ht="18.75" customHeight="1" x14ac:dyDescent="0.25">
      <c r="J9173" s="48"/>
    </row>
    <row r="9174" spans="10:10" ht="18.75" customHeight="1" x14ac:dyDescent="0.25">
      <c r="J9174" s="48"/>
    </row>
    <row r="9175" spans="10:10" ht="18.75" customHeight="1" x14ac:dyDescent="0.25">
      <c r="J9175" s="48"/>
    </row>
    <row r="9176" spans="10:10" ht="18.75" customHeight="1" x14ac:dyDescent="0.25">
      <c r="J9176" s="48"/>
    </row>
    <row r="9177" spans="10:10" ht="18.75" customHeight="1" x14ac:dyDescent="0.25">
      <c r="J9177" s="48"/>
    </row>
    <row r="9178" spans="10:10" ht="18.75" customHeight="1" x14ac:dyDescent="0.25">
      <c r="J9178" s="48"/>
    </row>
    <row r="9179" spans="10:10" ht="18.75" customHeight="1" x14ac:dyDescent="0.25">
      <c r="J9179" s="48"/>
    </row>
    <row r="9180" spans="10:10" ht="18.75" customHeight="1" x14ac:dyDescent="0.25">
      <c r="J9180" s="48"/>
    </row>
    <row r="9181" spans="10:10" ht="18.75" customHeight="1" x14ac:dyDescent="0.25">
      <c r="J9181" s="48"/>
    </row>
    <row r="9182" spans="10:10" ht="18.75" customHeight="1" x14ac:dyDescent="0.25">
      <c r="J9182" s="48"/>
    </row>
    <row r="9183" spans="10:10" ht="18.75" customHeight="1" x14ac:dyDescent="0.25">
      <c r="J9183" s="48"/>
    </row>
    <row r="9184" spans="10:10" ht="18.75" customHeight="1" x14ac:dyDescent="0.25">
      <c r="J9184" s="48"/>
    </row>
    <row r="9185" spans="10:10" ht="18.75" customHeight="1" x14ac:dyDescent="0.25">
      <c r="J9185" s="48"/>
    </row>
    <row r="9186" spans="10:10" ht="18.75" customHeight="1" x14ac:dyDescent="0.25">
      <c r="J9186" s="48"/>
    </row>
    <row r="9187" spans="10:10" ht="18.75" customHeight="1" x14ac:dyDescent="0.25">
      <c r="J9187" s="48"/>
    </row>
    <row r="9188" spans="10:10" ht="18.75" customHeight="1" x14ac:dyDescent="0.25">
      <c r="J9188" s="48"/>
    </row>
    <row r="9189" spans="10:10" ht="18.75" customHeight="1" x14ac:dyDescent="0.25">
      <c r="J9189" s="48"/>
    </row>
    <row r="9190" spans="10:10" ht="18.75" customHeight="1" x14ac:dyDescent="0.25">
      <c r="J9190" s="48"/>
    </row>
    <row r="9191" spans="10:10" ht="18.75" customHeight="1" x14ac:dyDescent="0.25">
      <c r="J9191" s="48"/>
    </row>
    <row r="9192" spans="10:10" ht="18.75" customHeight="1" x14ac:dyDescent="0.25">
      <c r="J9192" s="48"/>
    </row>
    <row r="9193" spans="10:10" ht="18.75" customHeight="1" x14ac:dyDescent="0.25">
      <c r="J9193" s="48"/>
    </row>
    <row r="9194" spans="10:10" ht="18.75" customHeight="1" x14ac:dyDescent="0.25">
      <c r="J9194" s="48"/>
    </row>
    <row r="9195" spans="10:10" ht="18.75" customHeight="1" x14ac:dyDescent="0.25">
      <c r="J9195" s="48"/>
    </row>
    <row r="9196" spans="10:10" ht="18.75" customHeight="1" x14ac:dyDescent="0.25">
      <c r="J9196" s="48"/>
    </row>
    <row r="9197" spans="10:10" ht="18.75" customHeight="1" x14ac:dyDescent="0.25">
      <c r="J9197" s="48"/>
    </row>
    <row r="9198" spans="10:10" ht="18.75" customHeight="1" x14ac:dyDescent="0.25">
      <c r="J9198" s="48"/>
    </row>
    <row r="9199" spans="10:10" ht="18.75" customHeight="1" x14ac:dyDescent="0.25">
      <c r="J9199" s="48"/>
    </row>
    <row r="9200" spans="10:10" ht="18.75" customHeight="1" x14ac:dyDescent="0.25">
      <c r="J9200" s="48"/>
    </row>
    <row r="9201" spans="10:10" ht="18.75" customHeight="1" x14ac:dyDescent="0.25">
      <c r="J9201" s="48"/>
    </row>
    <row r="9202" spans="10:10" ht="18.75" customHeight="1" x14ac:dyDescent="0.25">
      <c r="J9202" s="48"/>
    </row>
    <row r="9203" spans="10:10" ht="18.75" customHeight="1" x14ac:dyDescent="0.25">
      <c r="J9203" s="48"/>
    </row>
    <row r="9204" spans="10:10" ht="18.75" customHeight="1" x14ac:dyDescent="0.25">
      <c r="J9204" s="48"/>
    </row>
    <row r="9205" spans="10:10" ht="18.75" customHeight="1" x14ac:dyDescent="0.25">
      <c r="J9205" s="48"/>
    </row>
    <row r="9206" spans="10:10" ht="18.75" customHeight="1" x14ac:dyDescent="0.25">
      <c r="J9206" s="48"/>
    </row>
    <row r="9207" spans="10:10" ht="18.75" customHeight="1" x14ac:dyDescent="0.25">
      <c r="J9207" s="48"/>
    </row>
    <row r="9208" spans="10:10" ht="18.75" customHeight="1" x14ac:dyDescent="0.25">
      <c r="J9208" s="48"/>
    </row>
    <row r="9209" spans="10:10" ht="18.75" customHeight="1" x14ac:dyDescent="0.25">
      <c r="J9209" s="48"/>
    </row>
    <row r="9210" spans="10:10" ht="18.75" customHeight="1" x14ac:dyDescent="0.25">
      <c r="J9210" s="48"/>
    </row>
    <row r="9211" spans="10:10" ht="18.75" customHeight="1" x14ac:dyDescent="0.25">
      <c r="J9211" s="48"/>
    </row>
    <row r="9212" spans="10:10" ht="18.75" customHeight="1" x14ac:dyDescent="0.25">
      <c r="J9212" s="48"/>
    </row>
    <row r="9213" spans="10:10" ht="18.75" customHeight="1" x14ac:dyDescent="0.25">
      <c r="J9213" s="48"/>
    </row>
    <row r="9214" spans="10:10" ht="18.75" customHeight="1" x14ac:dyDescent="0.25">
      <c r="J9214" s="48"/>
    </row>
    <row r="9215" spans="10:10" ht="18.75" customHeight="1" x14ac:dyDescent="0.25">
      <c r="J9215" s="48"/>
    </row>
    <row r="9216" spans="10:10" ht="18.75" customHeight="1" x14ac:dyDescent="0.25">
      <c r="J9216" s="48"/>
    </row>
    <row r="9217" spans="10:10" ht="18.75" customHeight="1" x14ac:dyDescent="0.25">
      <c r="J9217" s="48"/>
    </row>
    <row r="9218" spans="10:10" ht="18.75" customHeight="1" x14ac:dyDescent="0.25">
      <c r="J9218" s="48"/>
    </row>
    <row r="9219" spans="10:10" ht="18.75" customHeight="1" x14ac:dyDescent="0.25">
      <c r="J9219" s="48"/>
    </row>
    <row r="9220" spans="10:10" ht="18.75" customHeight="1" x14ac:dyDescent="0.25">
      <c r="J9220" s="48"/>
    </row>
    <row r="9221" spans="10:10" ht="18.75" customHeight="1" x14ac:dyDescent="0.25">
      <c r="J9221" s="48"/>
    </row>
    <row r="9222" spans="10:10" ht="18.75" customHeight="1" x14ac:dyDescent="0.25">
      <c r="J9222" s="48"/>
    </row>
    <row r="9223" spans="10:10" ht="18.75" customHeight="1" x14ac:dyDescent="0.25">
      <c r="J9223" s="48"/>
    </row>
    <row r="9224" spans="10:10" ht="18.75" customHeight="1" x14ac:dyDescent="0.25">
      <c r="J9224" s="48"/>
    </row>
    <row r="9225" spans="10:10" ht="18.75" customHeight="1" x14ac:dyDescent="0.25">
      <c r="J9225" s="48"/>
    </row>
    <row r="9226" spans="10:10" ht="18.75" customHeight="1" x14ac:dyDescent="0.25">
      <c r="J9226" s="48"/>
    </row>
    <row r="9227" spans="10:10" ht="18.75" customHeight="1" x14ac:dyDescent="0.25">
      <c r="J9227" s="48"/>
    </row>
    <row r="9228" spans="10:10" ht="18.75" customHeight="1" x14ac:dyDescent="0.25">
      <c r="J9228" s="48"/>
    </row>
    <row r="9229" spans="10:10" ht="18.75" customHeight="1" x14ac:dyDescent="0.25">
      <c r="J9229" s="48"/>
    </row>
    <row r="9230" spans="10:10" ht="18.75" customHeight="1" x14ac:dyDescent="0.25">
      <c r="J9230" s="48"/>
    </row>
    <row r="9231" spans="10:10" ht="18.75" customHeight="1" x14ac:dyDescent="0.25">
      <c r="J9231" s="48"/>
    </row>
    <row r="9232" spans="10:10" ht="18.75" customHeight="1" x14ac:dyDescent="0.25">
      <c r="J9232" s="48"/>
    </row>
    <row r="9233" spans="10:10" ht="18.75" customHeight="1" x14ac:dyDescent="0.25">
      <c r="J9233" s="48"/>
    </row>
    <row r="9234" spans="10:10" ht="18.75" customHeight="1" x14ac:dyDescent="0.25">
      <c r="J9234" s="48"/>
    </row>
    <row r="9235" spans="10:10" ht="18.75" customHeight="1" x14ac:dyDescent="0.25">
      <c r="J9235" s="48"/>
    </row>
    <row r="9236" spans="10:10" ht="18.75" customHeight="1" x14ac:dyDescent="0.25">
      <c r="J9236" s="48"/>
    </row>
    <row r="9237" spans="10:10" ht="18.75" customHeight="1" x14ac:dyDescent="0.25">
      <c r="J9237" s="48"/>
    </row>
    <row r="9238" spans="10:10" ht="18.75" customHeight="1" x14ac:dyDescent="0.25">
      <c r="J9238" s="48"/>
    </row>
    <row r="9239" spans="10:10" ht="18.75" customHeight="1" x14ac:dyDescent="0.25">
      <c r="J9239" s="48"/>
    </row>
    <row r="9240" spans="10:10" ht="18.75" customHeight="1" x14ac:dyDescent="0.25">
      <c r="J9240" s="48"/>
    </row>
    <row r="9241" spans="10:10" ht="18.75" customHeight="1" x14ac:dyDescent="0.25">
      <c r="J9241" s="48"/>
    </row>
    <row r="9242" spans="10:10" ht="18.75" customHeight="1" x14ac:dyDescent="0.25">
      <c r="J9242" s="48"/>
    </row>
    <row r="9243" spans="10:10" ht="18.75" customHeight="1" x14ac:dyDescent="0.25">
      <c r="J9243" s="48"/>
    </row>
    <row r="9244" spans="10:10" ht="18.75" customHeight="1" x14ac:dyDescent="0.25">
      <c r="J9244" s="48"/>
    </row>
    <row r="9245" spans="10:10" ht="18.75" customHeight="1" x14ac:dyDescent="0.25">
      <c r="J9245" s="48"/>
    </row>
    <row r="9246" spans="10:10" ht="18.75" customHeight="1" x14ac:dyDescent="0.25">
      <c r="J9246" s="48"/>
    </row>
    <row r="9247" spans="10:10" ht="18.75" customHeight="1" x14ac:dyDescent="0.25">
      <c r="J9247" s="48"/>
    </row>
    <row r="9248" spans="10:10" ht="18.75" customHeight="1" x14ac:dyDescent="0.25">
      <c r="J9248" s="48"/>
    </row>
    <row r="9249" spans="10:10" ht="18.75" customHeight="1" x14ac:dyDescent="0.25">
      <c r="J9249" s="48"/>
    </row>
    <row r="9250" spans="10:10" ht="18.75" customHeight="1" x14ac:dyDescent="0.25">
      <c r="J9250" s="48"/>
    </row>
    <row r="9251" spans="10:10" ht="18.75" customHeight="1" x14ac:dyDescent="0.25">
      <c r="J9251" s="48"/>
    </row>
    <row r="9252" spans="10:10" ht="18.75" customHeight="1" x14ac:dyDescent="0.25">
      <c r="J9252" s="48"/>
    </row>
    <row r="9253" spans="10:10" ht="18.75" customHeight="1" x14ac:dyDescent="0.25">
      <c r="J9253" s="48"/>
    </row>
    <row r="9254" spans="10:10" ht="18.75" customHeight="1" x14ac:dyDescent="0.25">
      <c r="J9254" s="48"/>
    </row>
    <row r="9255" spans="10:10" ht="18.75" customHeight="1" x14ac:dyDescent="0.25">
      <c r="J9255" s="48"/>
    </row>
    <row r="9256" spans="10:10" ht="18.75" customHeight="1" x14ac:dyDescent="0.25">
      <c r="J9256" s="48"/>
    </row>
    <row r="9257" spans="10:10" ht="18.75" customHeight="1" x14ac:dyDescent="0.25">
      <c r="J9257" s="48"/>
    </row>
    <row r="9258" spans="10:10" ht="18.75" customHeight="1" x14ac:dyDescent="0.25">
      <c r="J9258" s="48"/>
    </row>
    <row r="9259" spans="10:10" ht="18.75" customHeight="1" x14ac:dyDescent="0.25">
      <c r="J9259" s="48"/>
    </row>
    <row r="9260" spans="10:10" ht="18.75" customHeight="1" x14ac:dyDescent="0.25">
      <c r="J9260" s="48"/>
    </row>
    <row r="9261" spans="10:10" ht="18.75" customHeight="1" x14ac:dyDescent="0.25">
      <c r="J9261" s="48"/>
    </row>
    <row r="9262" spans="10:10" ht="18.75" customHeight="1" x14ac:dyDescent="0.25">
      <c r="J9262" s="48"/>
    </row>
    <row r="9263" spans="10:10" ht="18.75" customHeight="1" x14ac:dyDescent="0.25">
      <c r="J9263" s="48"/>
    </row>
    <row r="9264" spans="10:10" ht="18.75" customHeight="1" x14ac:dyDescent="0.25">
      <c r="J9264" s="48"/>
    </row>
    <row r="9265" spans="10:10" ht="18.75" customHeight="1" x14ac:dyDescent="0.25">
      <c r="J9265" s="48"/>
    </row>
    <row r="9266" spans="10:10" ht="18.75" customHeight="1" x14ac:dyDescent="0.25">
      <c r="J9266" s="48"/>
    </row>
    <row r="9267" spans="10:10" ht="18.75" customHeight="1" x14ac:dyDescent="0.25">
      <c r="J9267" s="48"/>
    </row>
    <row r="9268" spans="10:10" ht="18.75" customHeight="1" x14ac:dyDescent="0.25">
      <c r="J9268" s="48"/>
    </row>
    <row r="9269" spans="10:10" ht="18.75" customHeight="1" x14ac:dyDescent="0.25">
      <c r="J9269" s="48"/>
    </row>
    <row r="9270" spans="10:10" ht="18.75" customHeight="1" x14ac:dyDescent="0.25">
      <c r="J9270" s="48"/>
    </row>
    <row r="9271" spans="10:10" ht="18.75" customHeight="1" x14ac:dyDescent="0.25">
      <c r="J9271" s="48"/>
    </row>
    <row r="9272" spans="10:10" ht="18.75" customHeight="1" x14ac:dyDescent="0.25">
      <c r="J9272" s="48"/>
    </row>
    <row r="9273" spans="10:10" ht="18.75" customHeight="1" x14ac:dyDescent="0.25">
      <c r="J9273" s="48"/>
    </row>
    <row r="9274" spans="10:10" ht="18.75" customHeight="1" x14ac:dyDescent="0.25">
      <c r="J9274" s="48"/>
    </row>
    <row r="9275" spans="10:10" ht="18.75" customHeight="1" x14ac:dyDescent="0.25">
      <c r="J9275" s="48"/>
    </row>
    <row r="9276" spans="10:10" ht="18.75" customHeight="1" x14ac:dyDescent="0.25">
      <c r="J9276" s="48"/>
    </row>
    <row r="9277" spans="10:10" ht="18.75" customHeight="1" x14ac:dyDescent="0.25">
      <c r="J9277" s="48"/>
    </row>
    <row r="9278" spans="10:10" ht="18.75" customHeight="1" x14ac:dyDescent="0.25">
      <c r="J9278" s="48"/>
    </row>
    <row r="9279" spans="10:10" ht="18.75" customHeight="1" x14ac:dyDescent="0.25">
      <c r="J9279" s="48"/>
    </row>
    <row r="9280" spans="10:10" ht="18.75" customHeight="1" x14ac:dyDescent="0.25">
      <c r="J9280" s="48"/>
    </row>
    <row r="9281" spans="10:10" ht="18.75" customHeight="1" x14ac:dyDescent="0.25">
      <c r="J9281" s="48"/>
    </row>
    <row r="9282" spans="10:10" ht="18.75" customHeight="1" x14ac:dyDescent="0.25">
      <c r="J9282" s="48"/>
    </row>
    <row r="9283" spans="10:10" ht="18.75" customHeight="1" x14ac:dyDescent="0.25">
      <c r="J9283" s="48"/>
    </row>
    <row r="9284" spans="10:10" ht="18.75" customHeight="1" x14ac:dyDescent="0.25">
      <c r="J9284" s="48"/>
    </row>
    <row r="9285" spans="10:10" ht="18.75" customHeight="1" x14ac:dyDescent="0.25">
      <c r="J9285" s="48"/>
    </row>
    <row r="9286" spans="10:10" ht="18.75" customHeight="1" x14ac:dyDescent="0.25">
      <c r="J9286" s="48"/>
    </row>
    <row r="9287" spans="10:10" ht="18.75" customHeight="1" x14ac:dyDescent="0.25">
      <c r="J9287" s="48"/>
    </row>
    <row r="9288" spans="10:10" ht="18.75" customHeight="1" x14ac:dyDescent="0.25">
      <c r="J9288" s="48"/>
    </row>
    <row r="9289" spans="10:10" ht="18.75" customHeight="1" x14ac:dyDescent="0.25">
      <c r="J9289" s="48"/>
    </row>
    <row r="9290" spans="10:10" ht="18.75" customHeight="1" x14ac:dyDescent="0.25">
      <c r="J9290" s="48"/>
    </row>
    <row r="9291" spans="10:10" ht="18.75" customHeight="1" x14ac:dyDescent="0.25">
      <c r="J9291" s="48"/>
    </row>
    <row r="9292" spans="10:10" ht="18.75" customHeight="1" x14ac:dyDescent="0.25">
      <c r="J9292" s="48"/>
    </row>
    <row r="9293" spans="10:10" ht="18.75" customHeight="1" x14ac:dyDescent="0.25">
      <c r="J9293" s="48"/>
    </row>
    <row r="9294" spans="10:10" ht="18.75" customHeight="1" x14ac:dyDescent="0.25">
      <c r="J9294" s="48"/>
    </row>
    <row r="9295" spans="10:10" ht="18.75" customHeight="1" x14ac:dyDescent="0.25">
      <c r="J9295" s="48"/>
    </row>
    <row r="9296" spans="10:10" ht="18.75" customHeight="1" x14ac:dyDescent="0.25">
      <c r="J9296" s="48"/>
    </row>
    <row r="9297" spans="10:10" ht="18.75" customHeight="1" x14ac:dyDescent="0.25">
      <c r="J9297" s="48"/>
    </row>
    <row r="9298" spans="10:10" ht="18.75" customHeight="1" x14ac:dyDescent="0.25">
      <c r="J9298" s="48"/>
    </row>
    <row r="9299" spans="10:10" ht="18.75" customHeight="1" x14ac:dyDescent="0.25">
      <c r="J9299" s="48"/>
    </row>
    <row r="9300" spans="10:10" ht="18.75" customHeight="1" x14ac:dyDescent="0.25">
      <c r="J9300" s="48"/>
    </row>
    <row r="9301" spans="10:10" ht="18.75" customHeight="1" x14ac:dyDescent="0.25">
      <c r="J9301" s="48"/>
    </row>
    <row r="9302" spans="10:10" ht="18.75" customHeight="1" x14ac:dyDescent="0.25">
      <c r="J9302" s="48"/>
    </row>
    <row r="9303" spans="10:10" ht="18.75" customHeight="1" x14ac:dyDescent="0.25">
      <c r="J9303" s="48"/>
    </row>
    <row r="9304" spans="10:10" ht="18.75" customHeight="1" x14ac:dyDescent="0.25">
      <c r="J9304" s="48"/>
    </row>
    <row r="9305" spans="10:10" ht="18.75" customHeight="1" x14ac:dyDescent="0.25">
      <c r="J9305" s="48"/>
    </row>
    <row r="9306" spans="10:10" ht="18.75" customHeight="1" x14ac:dyDescent="0.25">
      <c r="J9306" s="48"/>
    </row>
    <row r="9307" spans="10:10" ht="18.75" customHeight="1" x14ac:dyDescent="0.25">
      <c r="J9307" s="48"/>
    </row>
    <row r="9308" spans="10:10" ht="18.75" customHeight="1" x14ac:dyDescent="0.25">
      <c r="J9308" s="48"/>
    </row>
    <row r="9309" spans="10:10" ht="18.75" customHeight="1" x14ac:dyDescent="0.25">
      <c r="J9309" s="48"/>
    </row>
    <row r="9310" spans="10:10" ht="18.75" customHeight="1" x14ac:dyDescent="0.25">
      <c r="J9310" s="48"/>
    </row>
    <row r="9311" spans="10:10" ht="18.75" customHeight="1" x14ac:dyDescent="0.25">
      <c r="J9311" s="48"/>
    </row>
    <row r="9312" spans="10:10" ht="18.75" customHeight="1" x14ac:dyDescent="0.25">
      <c r="J9312" s="48"/>
    </row>
    <row r="9313" spans="10:10" ht="18.75" customHeight="1" x14ac:dyDescent="0.25">
      <c r="J9313" s="48"/>
    </row>
    <row r="9314" spans="10:10" ht="18.75" customHeight="1" x14ac:dyDescent="0.25">
      <c r="J9314" s="48"/>
    </row>
    <row r="9315" spans="10:10" ht="18.75" customHeight="1" x14ac:dyDescent="0.25">
      <c r="J9315" s="48"/>
    </row>
    <row r="9316" spans="10:10" ht="18.75" customHeight="1" x14ac:dyDescent="0.25">
      <c r="J9316" s="48"/>
    </row>
    <row r="9317" spans="10:10" ht="18.75" customHeight="1" x14ac:dyDescent="0.25">
      <c r="J9317" s="48"/>
    </row>
    <row r="9318" spans="10:10" ht="18.75" customHeight="1" x14ac:dyDescent="0.25">
      <c r="J9318" s="48"/>
    </row>
    <row r="9319" spans="10:10" ht="18.75" customHeight="1" x14ac:dyDescent="0.25">
      <c r="J9319" s="48"/>
    </row>
    <row r="9320" spans="10:10" ht="18.75" customHeight="1" x14ac:dyDescent="0.25">
      <c r="J9320" s="48"/>
    </row>
    <row r="9321" spans="10:10" ht="18.75" customHeight="1" x14ac:dyDescent="0.25">
      <c r="J9321" s="48"/>
    </row>
    <row r="9322" spans="10:10" ht="18.75" customHeight="1" x14ac:dyDescent="0.25">
      <c r="J9322" s="48"/>
    </row>
    <row r="9323" spans="10:10" ht="18.75" customHeight="1" x14ac:dyDescent="0.25">
      <c r="J9323" s="48"/>
    </row>
    <row r="9324" spans="10:10" ht="18.75" customHeight="1" x14ac:dyDescent="0.25">
      <c r="J9324" s="48"/>
    </row>
    <row r="9325" spans="10:10" ht="18.75" customHeight="1" x14ac:dyDescent="0.25">
      <c r="J9325" s="48"/>
    </row>
    <row r="9326" spans="10:10" ht="18.75" customHeight="1" x14ac:dyDescent="0.25">
      <c r="J9326" s="48"/>
    </row>
    <row r="9327" spans="10:10" ht="18.75" customHeight="1" x14ac:dyDescent="0.25">
      <c r="J9327" s="48"/>
    </row>
    <row r="9328" spans="10:10" ht="18.75" customHeight="1" x14ac:dyDescent="0.25">
      <c r="J9328" s="48"/>
    </row>
    <row r="9329" spans="10:10" ht="18.75" customHeight="1" x14ac:dyDescent="0.25">
      <c r="J9329" s="48"/>
    </row>
    <row r="9330" spans="10:10" ht="18.75" customHeight="1" x14ac:dyDescent="0.25">
      <c r="J9330" s="48"/>
    </row>
    <row r="9331" spans="10:10" ht="18.75" customHeight="1" x14ac:dyDescent="0.25">
      <c r="J9331" s="48"/>
    </row>
    <row r="9332" spans="10:10" ht="18.75" customHeight="1" x14ac:dyDescent="0.25">
      <c r="J9332" s="48"/>
    </row>
    <row r="9333" spans="10:10" ht="18.75" customHeight="1" x14ac:dyDescent="0.25">
      <c r="J9333" s="48"/>
    </row>
    <row r="9334" spans="10:10" ht="18.75" customHeight="1" x14ac:dyDescent="0.25">
      <c r="J9334" s="48"/>
    </row>
    <row r="9335" spans="10:10" ht="18.75" customHeight="1" x14ac:dyDescent="0.25">
      <c r="J9335" s="48"/>
    </row>
    <row r="9336" spans="10:10" ht="18.75" customHeight="1" x14ac:dyDescent="0.25">
      <c r="J9336" s="48"/>
    </row>
    <row r="9337" spans="10:10" ht="18.75" customHeight="1" x14ac:dyDescent="0.25">
      <c r="J9337" s="48"/>
    </row>
    <row r="9338" spans="10:10" ht="18.75" customHeight="1" x14ac:dyDescent="0.25">
      <c r="J9338" s="48"/>
    </row>
    <row r="9339" spans="10:10" ht="18.75" customHeight="1" x14ac:dyDescent="0.25">
      <c r="J9339" s="48"/>
    </row>
    <row r="9340" spans="10:10" ht="18.75" customHeight="1" x14ac:dyDescent="0.25">
      <c r="J9340" s="48"/>
    </row>
    <row r="9341" spans="10:10" ht="18.75" customHeight="1" x14ac:dyDescent="0.25">
      <c r="J9341" s="48"/>
    </row>
    <row r="9342" spans="10:10" ht="18.75" customHeight="1" x14ac:dyDescent="0.25">
      <c r="J9342" s="48"/>
    </row>
    <row r="9343" spans="10:10" ht="18.75" customHeight="1" x14ac:dyDescent="0.25">
      <c r="J9343" s="48"/>
    </row>
    <row r="9344" spans="10:10" ht="18.75" customHeight="1" x14ac:dyDescent="0.25">
      <c r="J9344" s="48"/>
    </row>
    <row r="9345" spans="10:10" ht="18.75" customHeight="1" x14ac:dyDescent="0.25">
      <c r="J9345" s="48"/>
    </row>
    <row r="9346" spans="10:10" ht="18.75" customHeight="1" x14ac:dyDescent="0.25">
      <c r="J9346" s="48"/>
    </row>
    <row r="9347" spans="10:10" ht="18.75" customHeight="1" x14ac:dyDescent="0.25">
      <c r="J9347" s="48"/>
    </row>
    <row r="9348" spans="10:10" ht="18.75" customHeight="1" x14ac:dyDescent="0.25">
      <c r="J9348" s="48"/>
    </row>
    <row r="9349" spans="10:10" ht="18.75" customHeight="1" x14ac:dyDescent="0.25">
      <c r="J9349" s="48"/>
    </row>
    <row r="9350" spans="10:10" ht="18.75" customHeight="1" x14ac:dyDescent="0.25">
      <c r="J9350" s="48"/>
    </row>
    <row r="9351" spans="10:10" ht="18.75" customHeight="1" x14ac:dyDescent="0.25">
      <c r="J9351" s="48"/>
    </row>
    <row r="9352" spans="10:10" ht="18.75" customHeight="1" x14ac:dyDescent="0.25">
      <c r="J9352" s="48"/>
    </row>
    <row r="9353" spans="10:10" ht="18.75" customHeight="1" x14ac:dyDescent="0.25">
      <c r="J9353" s="48"/>
    </row>
    <row r="9354" spans="10:10" ht="18.75" customHeight="1" x14ac:dyDescent="0.25">
      <c r="J9354" s="48"/>
    </row>
    <row r="9355" spans="10:10" ht="18.75" customHeight="1" x14ac:dyDescent="0.25">
      <c r="J9355" s="48"/>
    </row>
    <row r="9356" spans="10:10" ht="18.75" customHeight="1" x14ac:dyDescent="0.25">
      <c r="J9356" s="48"/>
    </row>
    <row r="9357" spans="10:10" ht="18.75" customHeight="1" x14ac:dyDescent="0.25">
      <c r="J9357" s="48"/>
    </row>
    <row r="9358" spans="10:10" ht="18.75" customHeight="1" x14ac:dyDescent="0.25">
      <c r="J9358" s="48"/>
    </row>
    <row r="9359" spans="10:10" ht="18.75" customHeight="1" x14ac:dyDescent="0.25">
      <c r="J9359" s="48"/>
    </row>
    <row r="9360" spans="10:10" ht="18.75" customHeight="1" x14ac:dyDescent="0.25">
      <c r="J9360" s="48"/>
    </row>
    <row r="9361" spans="10:10" ht="18.75" customHeight="1" x14ac:dyDescent="0.25">
      <c r="J9361" s="48"/>
    </row>
    <row r="9362" spans="10:10" ht="18.75" customHeight="1" x14ac:dyDescent="0.25">
      <c r="J9362" s="48"/>
    </row>
    <row r="9363" spans="10:10" ht="18.75" customHeight="1" x14ac:dyDescent="0.25">
      <c r="J9363" s="48"/>
    </row>
    <row r="9364" spans="10:10" ht="18.75" customHeight="1" x14ac:dyDescent="0.25">
      <c r="J9364" s="48"/>
    </row>
    <row r="9365" spans="10:10" ht="18.75" customHeight="1" x14ac:dyDescent="0.25">
      <c r="J9365" s="48"/>
    </row>
    <row r="9366" spans="10:10" ht="18.75" customHeight="1" x14ac:dyDescent="0.25">
      <c r="J9366" s="48"/>
    </row>
    <row r="9367" spans="10:10" ht="18.75" customHeight="1" x14ac:dyDescent="0.25">
      <c r="J9367" s="48"/>
    </row>
    <row r="9368" spans="10:10" ht="18.75" customHeight="1" x14ac:dyDescent="0.25">
      <c r="J9368" s="48"/>
    </row>
    <row r="9369" spans="10:10" ht="18.75" customHeight="1" x14ac:dyDescent="0.25">
      <c r="J9369" s="48"/>
    </row>
    <row r="9370" spans="10:10" ht="18.75" customHeight="1" x14ac:dyDescent="0.25">
      <c r="J9370" s="48"/>
    </row>
    <row r="9371" spans="10:10" ht="18.75" customHeight="1" x14ac:dyDescent="0.25">
      <c r="J9371" s="48"/>
    </row>
    <row r="9372" spans="10:10" ht="18.75" customHeight="1" x14ac:dyDescent="0.25">
      <c r="J9372" s="48"/>
    </row>
    <row r="9373" spans="10:10" ht="18.75" customHeight="1" x14ac:dyDescent="0.25">
      <c r="J9373" s="48"/>
    </row>
    <row r="9374" spans="10:10" ht="18.75" customHeight="1" x14ac:dyDescent="0.25">
      <c r="J9374" s="48"/>
    </row>
    <row r="9375" spans="10:10" ht="18.75" customHeight="1" x14ac:dyDescent="0.25">
      <c r="J9375" s="48"/>
    </row>
    <row r="9376" spans="10:10" ht="18.75" customHeight="1" x14ac:dyDescent="0.25">
      <c r="J9376" s="48"/>
    </row>
    <row r="9377" spans="10:10" ht="18.75" customHeight="1" x14ac:dyDescent="0.25">
      <c r="J9377" s="48"/>
    </row>
    <row r="9378" spans="10:10" ht="18.75" customHeight="1" x14ac:dyDescent="0.25">
      <c r="J9378" s="48"/>
    </row>
    <row r="9379" spans="10:10" ht="18.75" customHeight="1" x14ac:dyDescent="0.25">
      <c r="J9379" s="48"/>
    </row>
    <row r="9380" spans="10:10" ht="18.75" customHeight="1" x14ac:dyDescent="0.25">
      <c r="J9380" s="48"/>
    </row>
    <row r="9381" spans="10:10" ht="18.75" customHeight="1" x14ac:dyDescent="0.25">
      <c r="J9381" s="48"/>
    </row>
    <row r="9382" spans="10:10" ht="18.75" customHeight="1" x14ac:dyDescent="0.25">
      <c r="J9382" s="48"/>
    </row>
    <row r="9383" spans="10:10" ht="18.75" customHeight="1" x14ac:dyDescent="0.25">
      <c r="J9383" s="48"/>
    </row>
    <row r="9384" spans="10:10" ht="18.75" customHeight="1" x14ac:dyDescent="0.25">
      <c r="J9384" s="48"/>
    </row>
    <row r="9385" spans="10:10" ht="18.75" customHeight="1" x14ac:dyDescent="0.25">
      <c r="J9385" s="48"/>
    </row>
    <row r="9386" spans="10:10" ht="18.75" customHeight="1" x14ac:dyDescent="0.25">
      <c r="J9386" s="48"/>
    </row>
    <row r="9387" spans="10:10" ht="18.75" customHeight="1" x14ac:dyDescent="0.25">
      <c r="J9387" s="48"/>
    </row>
    <row r="9388" spans="10:10" ht="18.75" customHeight="1" x14ac:dyDescent="0.25">
      <c r="J9388" s="48"/>
    </row>
    <row r="9389" spans="10:10" ht="18.75" customHeight="1" x14ac:dyDescent="0.25">
      <c r="J9389" s="48"/>
    </row>
    <row r="9390" spans="10:10" ht="18.75" customHeight="1" x14ac:dyDescent="0.25">
      <c r="J9390" s="48"/>
    </row>
    <row r="9391" spans="10:10" ht="18.75" customHeight="1" x14ac:dyDescent="0.25">
      <c r="J9391" s="48"/>
    </row>
    <row r="9392" spans="10:10" ht="18.75" customHeight="1" x14ac:dyDescent="0.25">
      <c r="J9392" s="48"/>
    </row>
    <row r="9393" spans="10:10" ht="18.75" customHeight="1" x14ac:dyDescent="0.25">
      <c r="J9393" s="48"/>
    </row>
    <row r="9394" spans="10:10" ht="18.75" customHeight="1" x14ac:dyDescent="0.25">
      <c r="J9394" s="48"/>
    </row>
    <row r="9395" spans="10:10" ht="18.75" customHeight="1" x14ac:dyDescent="0.25">
      <c r="J9395" s="48"/>
    </row>
    <row r="9396" spans="10:10" ht="18.75" customHeight="1" x14ac:dyDescent="0.25">
      <c r="J9396" s="48"/>
    </row>
    <row r="9397" spans="10:10" ht="18.75" customHeight="1" x14ac:dyDescent="0.25">
      <c r="J9397" s="48"/>
    </row>
    <row r="9398" spans="10:10" ht="18.75" customHeight="1" x14ac:dyDescent="0.25">
      <c r="J9398" s="48"/>
    </row>
    <row r="9399" spans="10:10" ht="18.75" customHeight="1" x14ac:dyDescent="0.25">
      <c r="J9399" s="48"/>
    </row>
    <row r="9400" spans="10:10" ht="18.75" customHeight="1" x14ac:dyDescent="0.25">
      <c r="J9400" s="48"/>
    </row>
    <row r="9401" spans="10:10" ht="18.75" customHeight="1" x14ac:dyDescent="0.25">
      <c r="J9401" s="48"/>
    </row>
    <row r="9402" spans="10:10" ht="18.75" customHeight="1" x14ac:dyDescent="0.25">
      <c r="J9402" s="48"/>
    </row>
    <row r="9403" spans="10:10" ht="18.75" customHeight="1" x14ac:dyDescent="0.25">
      <c r="J9403" s="48"/>
    </row>
    <row r="9404" spans="10:10" ht="18.75" customHeight="1" x14ac:dyDescent="0.25">
      <c r="J9404" s="48"/>
    </row>
    <row r="9405" spans="10:10" ht="18.75" customHeight="1" x14ac:dyDescent="0.25">
      <c r="J9405" s="48"/>
    </row>
    <row r="9406" spans="10:10" ht="18.75" customHeight="1" x14ac:dyDescent="0.25">
      <c r="J9406" s="48"/>
    </row>
    <row r="9407" spans="10:10" ht="18.75" customHeight="1" x14ac:dyDescent="0.25">
      <c r="J9407" s="48"/>
    </row>
    <row r="9408" spans="10:10" ht="18.75" customHeight="1" x14ac:dyDescent="0.25">
      <c r="J9408" s="48"/>
    </row>
    <row r="9409" spans="10:10" ht="18.75" customHeight="1" x14ac:dyDescent="0.25">
      <c r="J9409" s="48"/>
    </row>
    <row r="9410" spans="10:10" ht="18.75" customHeight="1" x14ac:dyDescent="0.25">
      <c r="J9410" s="48"/>
    </row>
    <row r="9411" spans="10:10" ht="18.75" customHeight="1" x14ac:dyDescent="0.25">
      <c r="J9411" s="48"/>
    </row>
    <row r="9412" spans="10:10" ht="18.75" customHeight="1" x14ac:dyDescent="0.25">
      <c r="J9412" s="48"/>
    </row>
    <row r="9413" spans="10:10" ht="18.75" customHeight="1" x14ac:dyDescent="0.25">
      <c r="J9413" s="48"/>
    </row>
    <row r="9414" spans="10:10" ht="18.75" customHeight="1" x14ac:dyDescent="0.25">
      <c r="J9414" s="48"/>
    </row>
    <row r="9415" spans="10:10" ht="18.75" customHeight="1" x14ac:dyDescent="0.25">
      <c r="J9415" s="48"/>
    </row>
    <row r="9416" spans="10:10" ht="18.75" customHeight="1" x14ac:dyDescent="0.25">
      <c r="J9416" s="48"/>
    </row>
    <row r="9417" spans="10:10" ht="18.75" customHeight="1" x14ac:dyDescent="0.25">
      <c r="J9417" s="48"/>
    </row>
    <row r="9418" spans="10:10" ht="18.75" customHeight="1" x14ac:dyDescent="0.25">
      <c r="J9418" s="48"/>
    </row>
    <row r="9419" spans="10:10" ht="18.75" customHeight="1" x14ac:dyDescent="0.25">
      <c r="J9419" s="48"/>
    </row>
    <row r="9420" spans="10:10" ht="18.75" customHeight="1" x14ac:dyDescent="0.25">
      <c r="J9420" s="48"/>
    </row>
    <row r="9421" spans="10:10" ht="18.75" customHeight="1" x14ac:dyDescent="0.25">
      <c r="J9421" s="48"/>
    </row>
    <row r="9422" spans="10:10" ht="18.75" customHeight="1" x14ac:dyDescent="0.25">
      <c r="J9422" s="48"/>
    </row>
    <row r="9423" spans="10:10" ht="18.75" customHeight="1" x14ac:dyDescent="0.25">
      <c r="J9423" s="48"/>
    </row>
    <row r="9424" spans="10:10" ht="18.75" customHeight="1" x14ac:dyDescent="0.25">
      <c r="J9424" s="48"/>
    </row>
    <row r="9425" spans="10:10" ht="18.75" customHeight="1" x14ac:dyDescent="0.25">
      <c r="J9425" s="48"/>
    </row>
    <row r="9426" spans="10:10" ht="18.75" customHeight="1" x14ac:dyDescent="0.25">
      <c r="J9426" s="48"/>
    </row>
    <row r="9427" spans="10:10" ht="18.75" customHeight="1" x14ac:dyDescent="0.25">
      <c r="J9427" s="48"/>
    </row>
    <row r="9428" spans="10:10" ht="18.75" customHeight="1" x14ac:dyDescent="0.25">
      <c r="J9428" s="48"/>
    </row>
    <row r="9429" spans="10:10" ht="18.75" customHeight="1" x14ac:dyDescent="0.25">
      <c r="J9429" s="48"/>
    </row>
    <row r="9430" spans="10:10" ht="18.75" customHeight="1" x14ac:dyDescent="0.25">
      <c r="J9430" s="48"/>
    </row>
    <row r="9431" spans="10:10" ht="18.75" customHeight="1" x14ac:dyDescent="0.25">
      <c r="J9431" s="48"/>
    </row>
    <row r="9432" spans="10:10" ht="18.75" customHeight="1" x14ac:dyDescent="0.25">
      <c r="J9432" s="48"/>
    </row>
    <row r="9433" spans="10:10" ht="18.75" customHeight="1" x14ac:dyDescent="0.25">
      <c r="J9433" s="48"/>
    </row>
    <row r="9434" spans="10:10" ht="18.75" customHeight="1" x14ac:dyDescent="0.25">
      <c r="J9434" s="48"/>
    </row>
    <row r="9435" spans="10:10" ht="18.75" customHeight="1" x14ac:dyDescent="0.25">
      <c r="J9435" s="48"/>
    </row>
    <row r="9436" spans="10:10" ht="18.75" customHeight="1" x14ac:dyDescent="0.25">
      <c r="J9436" s="48"/>
    </row>
    <row r="9437" spans="10:10" ht="18.75" customHeight="1" x14ac:dyDescent="0.25">
      <c r="J9437" s="48"/>
    </row>
    <row r="9438" spans="10:10" ht="18.75" customHeight="1" x14ac:dyDescent="0.25">
      <c r="J9438" s="48"/>
    </row>
    <row r="9439" spans="10:10" ht="18.75" customHeight="1" x14ac:dyDescent="0.25">
      <c r="J9439" s="48"/>
    </row>
    <row r="9440" spans="10:10" ht="18.75" customHeight="1" x14ac:dyDescent="0.25">
      <c r="J9440" s="48"/>
    </row>
    <row r="9441" spans="10:10" ht="18.75" customHeight="1" x14ac:dyDescent="0.25">
      <c r="J9441" s="48"/>
    </row>
    <row r="9442" spans="10:10" ht="18.75" customHeight="1" x14ac:dyDescent="0.25">
      <c r="J9442" s="48"/>
    </row>
    <row r="9443" spans="10:10" ht="18.75" customHeight="1" x14ac:dyDescent="0.25">
      <c r="J9443" s="48"/>
    </row>
    <row r="9444" spans="10:10" ht="18.75" customHeight="1" x14ac:dyDescent="0.25">
      <c r="J9444" s="48"/>
    </row>
    <row r="9445" spans="10:10" ht="18.75" customHeight="1" x14ac:dyDescent="0.25">
      <c r="J9445" s="48"/>
    </row>
    <row r="9446" spans="10:10" ht="18.75" customHeight="1" x14ac:dyDescent="0.25">
      <c r="J9446" s="48"/>
    </row>
    <row r="9447" spans="10:10" ht="18.75" customHeight="1" x14ac:dyDescent="0.25">
      <c r="J9447" s="48"/>
    </row>
    <row r="9448" spans="10:10" ht="18.75" customHeight="1" x14ac:dyDescent="0.25">
      <c r="J9448" s="48"/>
    </row>
    <row r="9449" spans="10:10" ht="18.75" customHeight="1" x14ac:dyDescent="0.25">
      <c r="J9449" s="48"/>
    </row>
    <row r="9450" spans="10:10" ht="18.75" customHeight="1" x14ac:dyDescent="0.25">
      <c r="J9450" s="48"/>
    </row>
    <row r="9451" spans="10:10" ht="18.75" customHeight="1" x14ac:dyDescent="0.25">
      <c r="J9451" s="48"/>
    </row>
    <row r="9452" spans="10:10" ht="18.75" customHeight="1" x14ac:dyDescent="0.25">
      <c r="J9452" s="48"/>
    </row>
    <row r="9453" spans="10:10" ht="18.75" customHeight="1" x14ac:dyDescent="0.25">
      <c r="J9453" s="48"/>
    </row>
    <row r="9454" spans="10:10" ht="18.75" customHeight="1" x14ac:dyDescent="0.25">
      <c r="J9454" s="48"/>
    </row>
    <row r="9455" spans="10:10" ht="18.75" customHeight="1" x14ac:dyDescent="0.25">
      <c r="J9455" s="48"/>
    </row>
    <row r="9456" spans="10:10" ht="18.75" customHeight="1" x14ac:dyDescent="0.25">
      <c r="J9456" s="48"/>
    </row>
    <row r="9457" spans="10:10" ht="18.75" customHeight="1" x14ac:dyDescent="0.25">
      <c r="J9457" s="48"/>
    </row>
    <row r="9458" spans="10:10" ht="18.75" customHeight="1" x14ac:dyDescent="0.25">
      <c r="J9458" s="48"/>
    </row>
    <row r="9459" spans="10:10" ht="18.75" customHeight="1" x14ac:dyDescent="0.25">
      <c r="J9459" s="48"/>
    </row>
    <row r="9460" spans="10:10" ht="18.75" customHeight="1" x14ac:dyDescent="0.25">
      <c r="J9460" s="48"/>
    </row>
    <row r="9461" spans="10:10" ht="18.75" customHeight="1" x14ac:dyDescent="0.25">
      <c r="J9461" s="48"/>
    </row>
    <row r="9462" spans="10:10" ht="18.75" customHeight="1" x14ac:dyDescent="0.25">
      <c r="J9462" s="48"/>
    </row>
    <row r="9463" spans="10:10" ht="18.75" customHeight="1" x14ac:dyDescent="0.25">
      <c r="J9463" s="48"/>
    </row>
    <row r="9464" spans="10:10" ht="18.75" customHeight="1" x14ac:dyDescent="0.25">
      <c r="J9464" s="48"/>
    </row>
    <row r="9465" spans="10:10" ht="18.75" customHeight="1" x14ac:dyDescent="0.25">
      <c r="J9465" s="48"/>
    </row>
    <row r="9466" spans="10:10" ht="18.75" customHeight="1" x14ac:dyDescent="0.25">
      <c r="J9466" s="48"/>
    </row>
    <row r="9467" spans="10:10" ht="18.75" customHeight="1" x14ac:dyDescent="0.25">
      <c r="J9467" s="48"/>
    </row>
    <row r="9468" spans="10:10" ht="18.75" customHeight="1" x14ac:dyDescent="0.25">
      <c r="J9468" s="48"/>
    </row>
    <row r="9469" spans="10:10" ht="18.75" customHeight="1" x14ac:dyDescent="0.25">
      <c r="J9469" s="48"/>
    </row>
    <row r="9470" spans="10:10" ht="18.75" customHeight="1" x14ac:dyDescent="0.25">
      <c r="J9470" s="48"/>
    </row>
    <row r="9471" spans="10:10" ht="18.75" customHeight="1" x14ac:dyDescent="0.25">
      <c r="J9471" s="48"/>
    </row>
    <row r="9472" spans="10:10" ht="18.75" customHeight="1" x14ac:dyDescent="0.25">
      <c r="J9472" s="48"/>
    </row>
    <row r="9473" spans="10:10" ht="18.75" customHeight="1" x14ac:dyDescent="0.25">
      <c r="J9473" s="48"/>
    </row>
    <row r="9474" spans="10:10" ht="18.75" customHeight="1" x14ac:dyDescent="0.25">
      <c r="J9474" s="48"/>
    </row>
    <row r="9475" spans="10:10" ht="18.75" customHeight="1" x14ac:dyDescent="0.25">
      <c r="J9475" s="48"/>
    </row>
    <row r="9476" spans="10:10" ht="18.75" customHeight="1" x14ac:dyDescent="0.25">
      <c r="J9476" s="48"/>
    </row>
    <row r="9477" spans="10:10" ht="18.75" customHeight="1" x14ac:dyDescent="0.25">
      <c r="J9477" s="48"/>
    </row>
    <row r="9478" spans="10:10" ht="18.75" customHeight="1" x14ac:dyDescent="0.25">
      <c r="J9478" s="48"/>
    </row>
    <row r="9479" spans="10:10" ht="18.75" customHeight="1" x14ac:dyDescent="0.25">
      <c r="J9479" s="48"/>
    </row>
    <row r="9480" spans="10:10" ht="18.75" customHeight="1" x14ac:dyDescent="0.25">
      <c r="J9480" s="48"/>
    </row>
    <row r="9481" spans="10:10" ht="18.75" customHeight="1" x14ac:dyDescent="0.25">
      <c r="J9481" s="48"/>
    </row>
    <row r="9482" spans="10:10" ht="18.75" customHeight="1" x14ac:dyDescent="0.25">
      <c r="J9482" s="48"/>
    </row>
    <row r="9483" spans="10:10" ht="18.75" customHeight="1" x14ac:dyDescent="0.25">
      <c r="J9483" s="48"/>
    </row>
    <row r="9484" spans="10:10" ht="18.75" customHeight="1" x14ac:dyDescent="0.25">
      <c r="J9484" s="48"/>
    </row>
    <row r="9485" spans="10:10" ht="18.75" customHeight="1" x14ac:dyDescent="0.25">
      <c r="J9485" s="48"/>
    </row>
    <row r="9486" spans="10:10" ht="18.75" customHeight="1" x14ac:dyDescent="0.25">
      <c r="J9486" s="48"/>
    </row>
    <row r="9487" spans="10:10" ht="18.75" customHeight="1" x14ac:dyDescent="0.25">
      <c r="J9487" s="48"/>
    </row>
    <row r="9488" spans="10:10" ht="18.75" customHeight="1" x14ac:dyDescent="0.25">
      <c r="J9488" s="48"/>
    </row>
    <row r="9489" spans="10:10" ht="18.75" customHeight="1" x14ac:dyDescent="0.25">
      <c r="J9489" s="48"/>
    </row>
    <row r="9490" spans="10:10" ht="18.75" customHeight="1" x14ac:dyDescent="0.25">
      <c r="J9490" s="48"/>
    </row>
    <row r="9491" spans="10:10" ht="18.75" customHeight="1" x14ac:dyDescent="0.25">
      <c r="J9491" s="48"/>
    </row>
    <row r="9492" spans="10:10" ht="18.75" customHeight="1" x14ac:dyDescent="0.25">
      <c r="J9492" s="48"/>
    </row>
    <row r="9493" spans="10:10" ht="18.75" customHeight="1" x14ac:dyDescent="0.25">
      <c r="J9493" s="48"/>
    </row>
    <row r="9494" spans="10:10" ht="18.75" customHeight="1" x14ac:dyDescent="0.25">
      <c r="J9494" s="48"/>
    </row>
    <row r="9495" spans="10:10" ht="18.75" customHeight="1" x14ac:dyDescent="0.25">
      <c r="J9495" s="48"/>
    </row>
    <row r="9496" spans="10:10" ht="18.75" customHeight="1" x14ac:dyDescent="0.25">
      <c r="J9496" s="48"/>
    </row>
    <row r="9497" spans="10:10" ht="18.75" customHeight="1" x14ac:dyDescent="0.25">
      <c r="J9497" s="48"/>
    </row>
    <row r="9498" spans="10:10" ht="18.75" customHeight="1" x14ac:dyDescent="0.25">
      <c r="J9498" s="48"/>
    </row>
    <row r="9499" spans="10:10" ht="18.75" customHeight="1" x14ac:dyDescent="0.25">
      <c r="J9499" s="48"/>
    </row>
    <row r="9500" spans="10:10" ht="18.75" customHeight="1" x14ac:dyDescent="0.25">
      <c r="J9500" s="48"/>
    </row>
    <row r="9501" spans="10:10" ht="18.75" customHeight="1" x14ac:dyDescent="0.25">
      <c r="J9501" s="48"/>
    </row>
    <row r="9502" spans="10:10" ht="18.75" customHeight="1" x14ac:dyDescent="0.25">
      <c r="J9502" s="48"/>
    </row>
    <row r="9503" spans="10:10" ht="18.75" customHeight="1" x14ac:dyDescent="0.25">
      <c r="J9503" s="48"/>
    </row>
    <row r="9504" spans="10:10" ht="18.75" customHeight="1" x14ac:dyDescent="0.25">
      <c r="J9504" s="48"/>
    </row>
    <row r="9505" spans="10:10" ht="18.75" customHeight="1" x14ac:dyDescent="0.25">
      <c r="J9505" s="48"/>
    </row>
    <row r="9506" spans="10:10" ht="18.75" customHeight="1" x14ac:dyDescent="0.25">
      <c r="J9506" s="48"/>
    </row>
    <row r="9507" spans="10:10" ht="18.75" customHeight="1" x14ac:dyDescent="0.25">
      <c r="J9507" s="48"/>
    </row>
    <row r="9508" spans="10:10" ht="18.75" customHeight="1" x14ac:dyDescent="0.25">
      <c r="J9508" s="48"/>
    </row>
    <row r="9509" spans="10:10" ht="18.75" customHeight="1" x14ac:dyDescent="0.25">
      <c r="J9509" s="48"/>
    </row>
    <row r="9510" spans="10:10" ht="18.75" customHeight="1" x14ac:dyDescent="0.25">
      <c r="J9510" s="48"/>
    </row>
    <row r="9511" spans="10:10" ht="18.75" customHeight="1" x14ac:dyDescent="0.25">
      <c r="J9511" s="48"/>
    </row>
    <row r="9512" spans="10:10" ht="18.75" customHeight="1" x14ac:dyDescent="0.25">
      <c r="J9512" s="48"/>
    </row>
    <row r="9513" spans="10:10" ht="18.75" customHeight="1" x14ac:dyDescent="0.25">
      <c r="J9513" s="48"/>
    </row>
    <row r="9514" spans="10:10" ht="18.75" customHeight="1" x14ac:dyDescent="0.25">
      <c r="J9514" s="48"/>
    </row>
    <row r="9515" spans="10:10" ht="18.75" customHeight="1" x14ac:dyDescent="0.25">
      <c r="J9515" s="48"/>
    </row>
    <row r="9516" spans="10:10" ht="18.75" customHeight="1" x14ac:dyDescent="0.25">
      <c r="J9516" s="48"/>
    </row>
    <row r="9517" spans="10:10" ht="18.75" customHeight="1" x14ac:dyDescent="0.25">
      <c r="J9517" s="48"/>
    </row>
    <row r="9518" spans="10:10" ht="18.75" customHeight="1" x14ac:dyDescent="0.25">
      <c r="J9518" s="48"/>
    </row>
    <row r="9519" spans="10:10" ht="18.75" customHeight="1" x14ac:dyDescent="0.25">
      <c r="J9519" s="48"/>
    </row>
    <row r="9520" spans="10:10" ht="18.75" customHeight="1" x14ac:dyDescent="0.25">
      <c r="J9520" s="48"/>
    </row>
    <row r="9521" spans="10:10" ht="18.75" customHeight="1" x14ac:dyDescent="0.25">
      <c r="J9521" s="48"/>
    </row>
    <row r="9522" spans="10:10" ht="18.75" customHeight="1" x14ac:dyDescent="0.25">
      <c r="J9522" s="48"/>
    </row>
    <row r="9523" spans="10:10" ht="18.75" customHeight="1" x14ac:dyDescent="0.25">
      <c r="J9523" s="48"/>
    </row>
    <row r="9524" spans="10:10" ht="18.75" customHeight="1" x14ac:dyDescent="0.25">
      <c r="J9524" s="48"/>
    </row>
    <row r="9525" spans="10:10" ht="18.75" customHeight="1" x14ac:dyDescent="0.25">
      <c r="J9525" s="48"/>
    </row>
    <row r="9526" spans="10:10" ht="18.75" customHeight="1" x14ac:dyDescent="0.25">
      <c r="J9526" s="48"/>
    </row>
    <row r="9527" spans="10:10" ht="18.75" customHeight="1" x14ac:dyDescent="0.25">
      <c r="J9527" s="48"/>
    </row>
    <row r="9528" spans="10:10" ht="18.75" customHeight="1" x14ac:dyDescent="0.25">
      <c r="J9528" s="48"/>
    </row>
    <row r="9529" spans="10:10" ht="18.75" customHeight="1" x14ac:dyDescent="0.25">
      <c r="J9529" s="48"/>
    </row>
    <row r="9530" spans="10:10" ht="18.75" customHeight="1" x14ac:dyDescent="0.25">
      <c r="J9530" s="48"/>
    </row>
    <row r="9531" spans="10:10" ht="18.75" customHeight="1" x14ac:dyDescent="0.25">
      <c r="J9531" s="48"/>
    </row>
    <row r="9532" spans="10:10" ht="18.75" customHeight="1" x14ac:dyDescent="0.25">
      <c r="J9532" s="48"/>
    </row>
    <row r="9533" spans="10:10" ht="18.75" customHeight="1" x14ac:dyDescent="0.25">
      <c r="J9533" s="48"/>
    </row>
    <row r="9534" spans="10:10" ht="18.75" customHeight="1" x14ac:dyDescent="0.25">
      <c r="J9534" s="48"/>
    </row>
    <row r="9535" spans="10:10" ht="18.75" customHeight="1" x14ac:dyDescent="0.25">
      <c r="J9535" s="48"/>
    </row>
    <row r="9536" spans="10:10" ht="18.75" customHeight="1" x14ac:dyDescent="0.25">
      <c r="J9536" s="48"/>
    </row>
    <row r="9537" spans="10:10" ht="18.75" customHeight="1" x14ac:dyDescent="0.25">
      <c r="J9537" s="48"/>
    </row>
    <row r="9538" spans="10:10" ht="18.75" customHeight="1" x14ac:dyDescent="0.25">
      <c r="J9538" s="48"/>
    </row>
    <row r="9539" spans="10:10" ht="18.75" customHeight="1" x14ac:dyDescent="0.25">
      <c r="J9539" s="48"/>
    </row>
    <row r="9540" spans="10:10" ht="18.75" customHeight="1" x14ac:dyDescent="0.25">
      <c r="J9540" s="48"/>
    </row>
    <row r="9541" spans="10:10" ht="18.75" customHeight="1" x14ac:dyDescent="0.25">
      <c r="J9541" s="48"/>
    </row>
    <row r="9542" spans="10:10" ht="18.75" customHeight="1" x14ac:dyDescent="0.25">
      <c r="J9542" s="48"/>
    </row>
    <row r="9543" spans="10:10" ht="18.75" customHeight="1" x14ac:dyDescent="0.25">
      <c r="J9543" s="48"/>
    </row>
    <row r="9544" spans="10:10" ht="18.75" customHeight="1" x14ac:dyDescent="0.25">
      <c r="J9544" s="48"/>
    </row>
    <row r="9545" spans="10:10" ht="18.75" customHeight="1" x14ac:dyDescent="0.25">
      <c r="J9545" s="48"/>
    </row>
    <row r="9546" spans="10:10" ht="18.75" customHeight="1" x14ac:dyDescent="0.25">
      <c r="J9546" s="48"/>
    </row>
    <row r="9547" spans="10:10" ht="18.75" customHeight="1" x14ac:dyDescent="0.25">
      <c r="J9547" s="48"/>
    </row>
    <row r="9548" spans="10:10" ht="18.75" customHeight="1" x14ac:dyDescent="0.25">
      <c r="J9548" s="48"/>
    </row>
    <row r="9549" spans="10:10" ht="18.75" customHeight="1" x14ac:dyDescent="0.25">
      <c r="J9549" s="48"/>
    </row>
    <row r="9550" spans="10:10" ht="18.75" customHeight="1" x14ac:dyDescent="0.25">
      <c r="J9550" s="48"/>
    </row>
    <row r="9551" spans="10:10" ht="18.75" customHeight="1" x14ac:dyDescent="0.25">
      <c r="J9551" s="48"/>
    </row>
    <row r="9552" spans="10:10" ht="18.75" customHeight="1" x14ac:dyDescent="0.25">
      <c r="J9552" s="48"/>
    </row>
    <row r="9553" spans="10:10" ht="18.75" customHeight="1" x14ac:dyDescent="0.25">
      <c r="J9553" s="48"/>
    </row>
    <row r="9554" spans="10:10" ht="18.75" customHeight="1" x14ac:dyDescent="0.25">
      <c r="J9554" s="48"/>
    </row>
    <row r="9555" spans="10:10" ht="18.75" customHeight="1" x14ac:dyDescent="0.25">
      <c r="J9555" s="48"/>
    </row>
    <row r="9556" spans="10:10" ht="18.75" customHeight="1" x14ac:dyDescent="0.25">
      <c r="J9556" s="48"/>
    </row>
    <row r="9557" spans="10:10" ht="18.75" customHeight="1" x14ac:dyDescent="0.25">
      <c r="J9557" s="48"/>
    </row>
    <row r="9558" spans="10:10" ht="18.75" customHeight="1" x14ac:dyDescent="0.25">
      <c r="J9558" s="48"/>
    </row>
    <row r="9559" spans="10:10" ht="18.75" customHeight="1" x14ac:dyDescent="0.25">
      <c r="J9559" s="48"/>
    </row>
    <row r="9560" spans="10:10" ht="18.75" customHeight="1" x14ac:dyDescent="0.25">
      <c r="J9560" s="48"/>
    </row>
    <row r="9561" spans="10:10" ht="18.75" customHeight="1" x14ac:dyDescent="0.25">
      <c r="J9561" s="48"/>
    </row>
    <row r="9562" spans="10:10" ht="18.75" customHeight="1" x14ac:dyDescent="0.25">
      <c r="J9562" s="48"/>
    </row>
    <row r="9563" spans="10:10" ht="18.75" customHeight="1" x14ac:dyDescent="0.25">
      <c r="J9563" s="48"/>
    </row>
    <row r="9564" spans="10:10" ht="18.75" customHeight="1" x14ac:dyDescent="0.25">
      <c r="J9564" s="48"/>
    </row>
    <row r="9565" spans="10:10" ht="18.75" customHeight="1" x14ac:dyDescent="0.25">
      <c r="J9565" s="48"/>
    </row>
    <row r="9566" spans="10:10" ht="18.75" customHeight="1" x14ac:dyDescent="0.25">
      <c r="J9566" s="48"/>
    </row>
    <row r="9567" spans="10:10" ht="18.75" customHeight="1" x14ac:dyDescent="0.25">
      <c r="J9567" s="48"/>
    </row>
    <row r="9568" spans="10:10" ht="18.75" customHeight="1" x14ac:dyDescent="0.25">
      <c r="J9568" s="48"/>
    </row>
    <row r="9569" spans="10:10" ht="18.75" customHeight="1" x14ac:dyDescent="0.25">
      <c r="J9569" s="48"/>
    </row>
    <row r="9570" spans="10:10" ht="18.75" customHeight="1" x14ac:dyDescent="0.25">
      <c r="J9570" s="48"/>
    </row>
    <row r="9571" spans="10:10" ht="18.75" customHeight="1" x14ac:dyDescent="0.25">
      <c r="J9571" s="48"/>
    </row>
    <row r="9572" spans="10:10" ht="18.75" customHeight="1" x14ac:dyDescent="0.25">
      <c r="J9572" s="48"/>
    </row>
    <row r="9573" spans="10:10" ht="18.75" customHeight="1" x14ac:dyDescent="0.25">
      <c r="J9573" s="48"/>
    </row>
    <row r="9574" spans="10:10" ht="18.75" customHeight="1" x14ac:dyDescent="0.25">
      <c r="J9574" s="48"/>
    </row>
    <row r="9575" spans="10:10" ht="18.75" customHeight="1" x14ac:dyDescent="0.25">
      <c r="J9575" s="48"/>
    </row>
    <row r="9576" spans="10:10" ht="18.75" customHeight="1" x14ac:dyDescent="0.25">
      <c r="J9576" s="48"/>
    </row>
    <row r="9577" spans="10:10" ht="18.75" customHeight="1" x14ac:dyDescent="0.25">
      <c r="J9577" s="48"/>
    </row>
    <row r="9578" spans="10:10" ht="18.75" customHeight="1" x14ac:dyDescent="0.25">
      <c r="J9578" s="48"/>
    </row>
    <row r="9579" spans="10:10" ht="18.75" customHeight="1" x14ac:dyDescent="0.25">
      <c r="J9579" s="48"/>
    </row>
    <row r="9580" spans="10:10" ht="18.75" customHeight="1" x14ac:dyDescent="0.25">
      <c r="J9580" s="48"/>
    </row>
    <row r="9581" spans="10:10" ht="18.75" customHeight="1" x14ac:dyDescent="0.25">
      <c r="J9581" s="48"/>
    </row>
    <row r="9582" spans="10:10" ht="18.75" customHeight="1" x14ac:dyDescent="0.25">
      <c r="J9582" s="48"/>
    </row>
    <row r="9583" spans="10:10" ht="18.75" customHeight="1" x14ac:dyDescent="0.25">
      <c r="J9583" s="48"/>
    </row>
    <row r="9584" spans="10:10" ht="18.75" customHeight="1" x14ac:dyDescent="0.25">
      <c r="J9584" s="48"/>
    </row>
    <row r="9585" spans="10:10" ht="18.75" customHeight="1" x14ac:dyDescent="0.25">
      <c r="J9585" s="48"/>
    </row>
    <row r="9586" spans="10:10" ht="18.75" customHeight="1" x14ac:dyDescent="0.25">
      <c r="J9586" s="48"/>
    </row>
    <row r="9587" spans="10:10" ht="18.75" customHeight="1" x14ac:dyDescent="0.25">
      <c r="J9587" s="48"/>
    </row>
    <row r="9588" spans="10:10" ht="18.75" customHeight="1" x14ac:dyDescent="0.25">
      <c r="J9588" s="48"/>
    </row>
    <row r="9589" spans="10:10" ht="18.75" customHeight="1" x14ac:dyDescent="0.25">
      <c r="J9589" s="48"/>
    </row>
    <row r="9590" spans="10:10" ht="18.75" customHeight="1" x14ac:dyDescent="0.25">
      <c r="J9590" s="48"/>
    </row>
    <row r="9591" spans="10:10" ht="18.75" customHeight="1" x14ac:dyDescent="0.25">
      <c r="J9591" s="48"/>
    </row>
    <row r="9592" spans="10:10" ht="18.75" customHeight="1" x14ac:dyDescent="0.25">
      <c r="J9592" s="48"/>
    </row>
    <row r="9593" spans="10:10" ht="18.75" customHeight="1" x14ac:dyDescent="0.25">
      <c r="J9593" s="48"/>
    </row>
    <row r="9594" spans="10:10" ht="18.75" customHeight="1" x14ac:dyDescent="0.25">
      <c r="J9594" s="48"/>
    </row>
    <row r="9595" spans="10:10" ht="18.75" customHeight="1" x14ac:dyDescent="0.25">
      <c r="J9595" s="48"/>
    </row>
    <row r="9596" spans="10:10" ht="18.75" customHeight="1" x14ac:dyDescent="0.25">
      <c r="J9596" s="48"/>
    </row>
    <row r="9597" spans="10:10" ht="18.75" customHeight="1" x14ac:dyDescent="0.25">
      <c r="J9597" s="48"/>
    </row>
    <row r="9598" spans="10:10" ht="18.75" customHeight="1" x14ac:dyDescent="0.25">
      <c r="J9598" s="48"/>
    </row>
    <row r="9599" spans="10:10" ht="18.75" customHeight="1" x14ac:dyDescent="0.25">
      <c r="J9599" s="48"/>
    </row>
    <row r="9600" spans="10:10" ht="18.75" customHeight="1" x14ac:dyDescent="0.25">
      <c r="J9600" s="48"/>
    </row>
    <row r="9601" spans="10:10" ht="18.75" customHeight="1" x14ac:dyDescent="0.25">
      <c r="J9601" s="48"/>
    </row>
    <row r="9602" spans="10:10" ht="18.75" customHeight="1" x14ac:dyDescent="0.25">
      <c r="J9602" s="48"/>
    </row>
    <row r="9603" spans="10:10" ht="18.75" customHeight="1" x14ac:dyDescent="0.25">
      <c r="J9603" s="48"/>
    </row>
    <row r="9604" spans="10:10" ht="18.75" customHeight="1" x14ac:dyDescent="0.25">
      <c r="J9604" s="48"/>
    </row>
    <row r="9605" spans="10:10" ht="18.75" customHeight="1" x14ac:dyDescent="0.25">
      <c r="J9605" s="48"/>
    </row>
    <row r="9606" spans="10:10" ht="18.75" customHeight="1" x14ac:dyDescent="0.25">
      <c r="J9606" s="48"/>
    </row>
    <row r="9607" spans="10:10" ht="18.75" customHeight="1" x14ac:dyDescent="0.25">
      <c r="J9607" s="48"/>
    </row>
    <row r="9608" spans="10:10" ht="18.75" customHeight="1" x14ac:dyDescent="0.25">
      <c r="J9608" s="48"/>
    </row>
    <row r="9609" spans="10:10" ht="18.75" customHeight="1" x14ac:dyDescent="0.25">
      <c r="J9609" s="48"/>
    </row>
    <row r="9610" spans="10:10" ht="18.75" customHeight="1" x14ac:dyDescent="0.25">
      <c r="J9610" s="48"/>
    </row>
    <row r="9611" spans="10:10" ht="18.75" customHeight="1" x14ac:dyDescent="0.25">
      <c r="J9611" s="48"/>
    </row>
    <row r="9612" spans="10:10" ht="18.75" customHeight="1" x14ac:dyDescent="0.25">
      <c r="J9612" s="48"/>
    </row>
    <row r="9613" spans="10:10" ht="18.75" customHeight="1" x14ac:dyDescent="0.25">
      <c r="J9613" s="48"/>
    </row>
    <row r="9614" spans="10:10" ht="18.75" customHeight="1" x14ac:dyDescent="0.25">
      <c r="J9614" s="48"/>
    </row>
    <row r="9615" spans="10:10" ht="18.75" customHeight="1" x14ac:dyDescent="0.25">
      <c r="J9615" s="48"/>
    </row>
    <row r="9616" spans="10:10" ht="18.75" customHeight="1" x14ac:dyDescent="0.25">
      <c r="J9616" s="48"/>
    </row>
    <row r="9617" spans="10:10" ht="18.75" customHeight="1" x14ac:dyDescent="0.25">
      <c r="J9617" s="48"/>
    </row>
    <row r="9618" spans="10:10" ht="18.75" customHeight="1" x14ac:dyDescent="0.25">
      <c r="J9618" s="48"/>
    </row>
    <row r="9619" spans="10:10" ht="18.75" customHeight="1" x14ac:dyDescent="0.25">
      <c r="J9619" s="48"/>
    </row>
    <row r="9620" spans="10:10" ht="18.75" customHeight="1" x14ac:dyDescent="0.25">
      <c r="J9620" s="48"/>
    </row>
    <row r="9621" spans="10:10" ht="18.75" customHeight="1" x14ac:dyDescent="0.25">
      <c r="J9621" s="48"/>
    </row>
    <row r="9622" spans="10:10" ht="18.75" customHeight="1" x14ac:dyDescent="0.25">
      <c r="J9622" s="48"/>
    </row>
    <row r="9623" spans="10:10" ht="18.75" customHeight="1" x14ac:dyDescent="0.25">
      <c r="J9623" s="48"/>
    </row>
    <row r="9624" spans="10:10" ht="18.75" customHeight="1" x14ac:dyDescent="0.25">
      <c r="J9624" s="48"/>
    </row>
    <row r="9625" spans="10:10" ht="18.75" customHeight="1" x14ac:dyDescent="0.25">
      <c r="J9625" s="48"/>
    </row>
    <row r="9626" spans="10:10" ht="18.75" customHeight="1" x14ac:dyDescent="0.25">
      <c r="J9626" s="48"/>
    </row>
    <row r="9627" spans="10:10" ht="18.75" customHeight="1" x14ac:dyDescent="0.25">
      <c r="J9627" s="48"/>
    </row>
    <row r="9628" spans="10:10" ht="18.75" customHeight="1" x14ac:dyDescent="0.25">
      <c r="J9628" s="48"/>
    </row>
    <row r="9629" spans="10:10" ht="18.75" customHeight="1" x14ac:dyDescent="0.25">
      <c r="J9629" s="48"/>
    </row>
    <row r="9630" spans="10:10" ht="18.75" customHeight="1" x14ac:dyDescent="0.25">
      <c r="J9630" s="48"/>
    </row>
    <row r="9631" spans="10:10" ht="18.75" customHeight="1" x14ac:dyDescent="0.25">
      <c r="J9631" s="48"/>
    </row>
    <row r="9632" spans="10:10" ht="18.75" customHeight="1" x14ac:dyDescent="0.25">
      <c r="J9632" s="48"/>
    </row>
    <row r="9633" spans="10:10" ht="18.75" customHeight="1" x14ac:dyDescent="0.25">
      <c r="J9633" s="48"/>
    </row>
    <row r="9634" spans="10:10" ht="18.75" customHeight="1" x14ac:dyDescent="0.25">
      <c r="J9634" s="48"/>
    </row>
    <row r="9635" spans="10:10" ht="18.75" customHeight="1" x14ac:dyDescent="0.25">
      <c r="J9635" s="48"/>
    </row>
    <row r="9636" spans="10:10" ht="18.75" customHeight="1" x14ac:dyDescent="0.25">
      <c r="J9636" s="48"/>
    </row>
    <row r="9637" spans="10:10" ht="18.75" customHeight="1" x14ac:dyDescent="0.25">
      <c r="J9637" s="48"/>
    </row>
    <row r="9638" spans="10:10" ht="18.75" customHeight="1" x14ac:dyDescent="0.25">
      <c r="J9638" s="48"/>
    </row>
    <row r="9639" spans="10:10" ht="18.75" customHeight="1" x14ac:dyDescent="0.25">
      <c r="J9639" s="48"/>
    </row>
    <row r="9640" spans="10:10" ht="18.75" customHeight="1" x14ac:dyDescent="0.25">
      <c r="J9640" s="48"/>
    </row>
    <row r="9641" spans="10:10" ht="18.75" customHeight="1" x14ac:dyDescent="0.25">
      <c r="J9641" s="48"/>
    </row>
    <row r="9642" spans="10:10" ht="18.75" customHeight="1" x14ac:dyDescent="0.25">
      <c r="J9642" s="48"/>
    </row>
    <row r="9643" spans="10:10" ht="18.75" customHeight="1" x14ac:dyDescent="0.25">
      <c r="J9643" s="48"/>
    </row>
    <row r="9644" spans="10:10" ht="18.75" customHeight="1" x14ac:dyDescent="0.25">
      <c r="J9644" s="48"/>
    </row>
    <row r="9645" spans="10:10" ht="18.75" customHeight="1" x14ac:dyDescent="0.25">
      <c r="J9645" s="48"/>
    </row>
    <row r="9646" spans="10:10" ht="18.75" customHeight="1" x14ac:dyDescent="0.25">
      <c r="J9646" s="48"/>
    </row>
    <row r="9647" spans="10:10" ht="18.75" customHeight="1" x14ac:dyDescent="0.25">
      <c r="J9647" s="48"/>
    </row>
    <row r="9648" spans="10:10" ht="18.75" customHeight="1" x14ac:dyDescent="0.25">
      <c r="J9648" s="48"/>
    </row>
    <row r="9649" spans="10:10" ht="18.75" customHeight="1" x14ac:dyDescent="0.25">
      <c r="J9649" s="48"/>
    </row>
    <row r="9650" spans="10:10" ht="18.75" customHeight="1" x14ac:dyDescent="0.25">
      <c r="J9650" s="48"/>
    </row>
    <row r="9651" spans="10:10" ht="18.75" customHeight="1" x14ac:dyDescent="0.25">
      <c r="J9651" s="48"/>
    </row>
    <row r="9652" spans="10:10" ht="18.75" customHeight="1" x14ac:dyDescent="0.25">
      <c r="J9652" s="48"/>
    </row>
    <row r="9653" spans="10:10" ht="18.75" customHeight="1" x14ac:dyDescent="0.25">
      <c r="J9653" s="48"/>
    </row>
    <row r="9654" spans="10:10" ht="18.75" customHeight="1" x14ac:dyDescent="0.25">
      <c r="J9654" s="48"/>
    </row>
    <row r="9655" spans="10:10" ht="18.75" customHeight="1" x14ac:dyDescent="0.25">
      <c r="J9655" s="48"/>
    </row>
    <row r="9656" spans="10:10" ht="18.75" customHeight="1" x14ac:dyDescent="0.25">
      <c r="J9656" s="48"/>
    </row>
    <row r="9657" spans="10:10" ht="18.75" customHeight="1" x14ac:dyDescent="0.25">
      <c r="J9657" s="48"/>
    </row>
    <row r="9658" spans="10:10" ht="18.75" customHeight="1" x14ac:dyDescent="0.25">
      <c r="J9658" s="48"/>
    </row>
    <row r="9659" spans="10:10" ht="18.75" customHeight="1" x14ac:dyDescent="0.25">
      <c r="J9659" s="48"/>
    </row>
    <row r="9660" spans="10:10" ht="18.75" customHeight="1" x14ac:dyDescent="0.25">
      <c r="J9660" s="48"/>
    </row>
    <row r="9661" spans="10:10" ht="18.75" customHeight="1" x14ac:dyDescent="0.25">
      <c r="J9661" s="48"/>
    </row>
    <row r="9662" spans="10:10" ht="18.75" customHeight="1" x14ac:dyDescent="0.25">
      <c r="J9662" s="48"/>
    </row>
    <row r="9663" spans="10:10" ht="18.75" customHeight="1" x14ac:dyDescent="0.25">
      <c r="J9663" s="48"/>
    </row>
    <row r="9664" spans="10:10" ht="18.75" customHeight="1" x14ac:dyDescent="0.25">
      <c r="J9664" s="48"/>
    </row>
    <row r="9665" spans="10:10" ht="18.75" customHeight="1" x14ac:dyDescent="0.25">
      <c r="J9665" s="48"/>
    </row>
    <row r="9666" spans="10:10" ht="18.75" customHeight="1" x14ac:dyDescent="0.25">
      <c r="J9666" s="48"/>
    </row>
    <row r="9667" spans="10:10" ht="18.75" customHeight="1" x14ac:dyDescent="0.25">
      <c r="J9667" s="48"/>
    </row>
    <row r="9668" spans="10:10" ht="18.75" customHeight="1" x14ac:dyDescent="0.25">
      <c r="J9668" s="48"/>
    </row>
    <row r="9669" spans="10:10" ht="18.75" customHeight="1" x14ac:dyDescent="0.25">
      <c r="J9669" s="48"/>
    </row>
    <row r="9670" spans="10:10" ht="18.75" customHeight="1" x14ac:dyDescent="0.25">
      <c r="J9670" s="48"/>
    </row>
    <row r="9671" spans="10:10" ht="18.75" customHeight="1" x14ac:dyDescent="0.25">
      <c r="J9671" s="48"/>
    </row>
    <row r="9672" spans="10:10" ht="18.75" customHeight="1" x14ac:dyDescent="0.25">
      <c r="J9672" s="48"/>
    </row>
    <row r="9673" spans="10:10" ht="18.75" customHeight="1" x14ac:dyDescent="0.25">
      <c r="J9673" s="48"/>
    </row>
    <row r="9674" spans="10:10" ht="18.75" customHeight="1" x14ac:dyDescent="0.25">
      <c r="J9674" s="48"/>
    </row>
    <row r="9675" spans="10:10" ht="18.75" customHeight="1" x14ac:dyDescent="0.25">
      <c r="J9675" s="48"/>
    </row>
    <row r="9676" spans="10:10" ht="18.75" customHeight="1" x14ac:dyDescent="0.25">
      <c r="J9676" s="48"/>
    </row>
    <row r="9677" spans="10:10" ht="18.75" customHeight="1" x14ac:dyDescent="0.25">
      <c r="J9677" s="48"/>
    </row>
    <row r="9678" spans="10:10" ht="18.75" customHeight="1" x14ac:dyDescent="0.25">
      <c r="J9678" s="48"/>
    </row>
    <row r="9679" spans="10:10" ht="18.75" customHeight="1" x14ac:dyDescent="0.25">
      <c r="J9679" s="48"/>
    </row>
    <row r="9680" spans="10:10" ht="18.75" customHeight="1" x14ac:dyDescent="0.25">
      <c r="J9680" s="48"/>
    </row>
    <row r="9681" spans="10:10" ht="18.75" customHeight="1" x14ac:dyDescent="0.25">
      <c r="J9681" s="48"/>
    </row>
    <row r="9682" spans="10:10" ht="18.75" customHeight="1" x14ac:dyDescent="0.25">
      <c r="J9682" s="48"/>
    </row>
    <row r="9683" spans="10:10" ht="18.75" customHeight="1" x14ac:dyDescent="0.25">
      <c r="J9683" s="48"/>
    </row>
    <row r="9684" spans="10:10" ht="18.75" customHeight="1" x14ac:dyDescent="0.25">
      <c r="J9684" s="48"/>
    </row>
    <row r="9685" spans="10:10" ht="18.75" customHeight="1" x14ac:dyDescent="0.25">
      <c r="J9685" s="48"/>
    </row>
    <row r="9686" spans="10:10" ht="18.75" customHeight="1" x14ac:dyDescent="0.25">
      <c r="J9686" s="48"/>
    </row>
    <row r="9687" spans="10:10" ht="18.75" customHeight="1" x14ac:dyDescent="0.25">
      <c r="J9687" s="48"/>
    </row>
    <row r="9688" spans="10:10" ht="18.75" customHeight="1" x14ac:dyDescent="0.25">
      <c r="J9688" s="48"/>
    </row>
    <row r="9689" spans="10:10" ht="18.75" customHeight="1" x14ac:dyDescent="0.25">
      <c r="J9689" s="48"/>
    </row>
    <row r="9690" spans="10:10" ht="18.75" customHeight="1" x14ac:dyDescent="0.25">
      <c r="J9690" s="48"/>
    </row>
    <row r="9691" spans="10:10" ht="18.75" customHeight="1" x14ac:dyDescent="0.25">
      <c r="J9691" s="48"/>
    </row>
    <row r="9692" spans="10:10" ht="18.75" customHeight="1" x14ac:dyDescent="0.25">
      <c r="J9692" s="48"/>
    </row>
    <row r="9693" spans="10:10" ht="18.75" customHeight="1" x14ac:dyDescent="0.25">
      <c r="J9693" s="48"/>
    </row>
    <row r="9694" spans="10:10" ht="18.75" customHeight="1" x14ac:dyDescent="0.25">
      <c r="J9694" s="48"/>
    </row>
    <row r="9695" spans="10:10" ht="18.75" customHeight="1" x14ac:dyDescent="0.25">
      <c r="J9695" s="48"/>
    </row>
    <row r="9696" spans="10:10" ht="18.75" customHeight="1" x14ac:dyDescent="0.25">
      <c r="J9696" s="48"/>
    </row>
    <row r="9697" spans="10:10" ht="18.75" customHeight="1" x14ac:dyDescent="0.25">
      <c r="J9697" s="48"/>
    </row>
    <row r="9698" spans="10:10" ht="18.75" customHeight="1" x14ac:dyDescent="0.25">
      <c r="J9698" s="48"/>
    </row>
    <row r="9699" spans="10:10" ht="18.75" customHeight="1" x14ac:dyDescent="0.25">
      <c r="J9699" s="48"/>
    </row>
    <row r="9700" spans="10:10" ht="18.75" customHeight="1" x14ac:dyDescent="0.25">
      <c r="J9700" s="48"/>
    </row>
    <row r="9701" spans="10:10" ht="18.75" customHeight="1" x14ac:dyDescent="0.25">
      <c r="J9701" s="48"/>
    </row>
    <row r="9702" spans="10:10" ht="18.75" customHeight="1" x14ac:dyDescent="0.25">
      <c r="J9702" s="48"/>
    </row>
    <row r="9703" spans="10:10" ht="18.75" customHeight="1" x14ac:dyDescent="0.25">
      <c r="J9703" s="48"/>
    </row>
    <row r="9704" spans="10:10" ht="18.75" customHeight="1" x14ac:dyDescent="0.25">
      <c r="J9704" s="48"/>
    </row>
    <row r="9705" spans="10:10" ht="18.75" customHeight="1" x14ac:dyDescent="0.25">
      <c r="J9705" s="48"/>
    </row>
    <row r="9706" spans="10:10" ht="18.75" customHeight="1" x14ac:dyDescent="0.25">
      <c r="J9706" s="48"/>
    </row>
    <row r="9707" spans="10:10" ht="18.75" customHeight="1" x14ac:dyDescent="0.25">
      <c r="J9707" s="48"/>
    </row>
    <row r="9708" spans="10:10" ht="18.75" customHeight="1" x14ac:dyDescent="0.25">
      <c r="J9708" s="48"/>
    </row>
    <row r="9709" spans="10:10" ht="18.75" customHeight="1" x14ac:dyDescent="0.25">
      <c r="J9709" s="48"/>
    </row>
    <row r="9710" spans="10:10" ht="18.75" customHeight="1" x14ac:dyDescent="0.25">
      <c r="J9710" s="48"/>
    </row>
    <row r="9711" spans="10:10" ht="18.75" customHeight="1" x14ac:dyDescent="0.25">
      <c r="J9711" s="48"/>
    </row>
    <row r="9712" spans="10:10" ht="18.75" customHeight="1" x14ac:dyDescent="0.25">
      <c r="J9712" s="48"/>
    </row>
    <row r="9713" spans="10:10" ht="18.75" customHeight="1" x14ac:dyDescent="0.25">
      <c r="J9713" s="48"/>
    </row>
    <row r="9714" spans="10:10" ht="18.75" customHeight="1" x14ac:dyDescent="0.25">
      <c r="J9714" s="48"/>
    </row>
    <row r="9715" spans="10:10" ht="18.75" customHeight="1" x14ac:dyDescent="0.25">
      <c r="J9715" s="48"/>
    </row>
    <row r="9716" spans="10:10" ht="18.75" customHeight="1" x14ac:dyDescent="0.25">
      <c r="J9716" s="48"/>
    </row>
    <row r="9717" spans="10:10" ht="18.75" customHeight="1" x14ac:dyDescent="0.25">
      <c r="J9717" s="48"/>
    </row>
    <row r="9718" spans="10:10" ht="18.75" customHeight="1" x14ac:dyDescent="0.25">
      <c r="J9718" s="48"/>
    </row>
    <row r="9719" spans="10:10" ht="18.75" customHeight="1" x14ac:dyDescent="0.25">
      <c r="J9719" s="48"/>
    </row>
    <row r="9720" spans="10:10" ht="18.75" customHeight="1" x14ac:dyDescent="0.25">
      <c r="J9720" s="48"/>
    </row>
    <row r="9721" spans="10:10" ht="18.75" customHeight="1" x14ac:dyDescent="0.25">
      <c r="J9721" s="48"/>
    </row>
    <row r="9722" spans="10:10" ht="18.75" customHeight="1" x14ac:dyDescent="0.25">
      <c r="J9722" s="48"/>
    </row>
    <row r="9723" spans="10:10" ht="18.75" customHeight="1" x14ac:dyDescent="0.25">
      <c r="J9723" s="48"/>
    </row>
    <row r="9724" spans="10:10" ht="18.75" customHeight="1" x14ac:dyDescent="0.25">
      <c r="J9724" s="48"/>
    </row>
    <row r="9725" spans="10:10" ht="18.75" customHeight="1" x14ac:dyDescent="0.25">
      <c r="J9725" s="48"/>
    </row>
    <row r="9726" spans="10:10" ht="18.75" customHeight="1" x14ac:dyDescent="0.25">
      <c r="J9726" s="48"/>
    </row>
    <row r="9727" spans="10:10" ht="18.75" customHeight="1" x14ac:dyDescent="0.25">
      <c r="J9727" s="48"/>
    </row>
    <row r="9728" spans="10:10" ht="18.75" customHeight="1" x14ac:dyDescent="0.25">
      <c r="J9728" s="48"/>
    </row>
    <row r="9729" spans="10:10" ht="18.75" customHeight="1" x14ac:dyDescent="0.25">
      <c r="J9729" s="48"/>
    </row>
    <row r="9730" spans="10:10" ht="18.75" customHeight="1" x14ac:dyDescent="0.25">
      <c r="J9730" s="48"/>
    </row>
    <row r="9731" spans="10:10" ht="18.75" customHeight="1" x14ac:dyDescent="0.25">
      <c r="J9731" s="48"/>
    </row>
    <row r="9732" spans="10:10" ht="18.75" customHeight="1" x14ac:dyDescent="0.25">
      <c r="J9732" s="48"/>
    </row>
    <row r="9733" spans="10:10" ht="18.75" customHeight="1" x14ac:dyDescent="0.25">
      <c r="J9733" s="48"/>
    </row>
    <row r="9734" spans="10:10" ht="18.75" customHeight="1" x14ac:dyDescent="0.25">
      <c r="J9734" s="48"/>
    </row>
    <row r="9735" spans="10:10" ht="18.75" customHeight="1" x14ac:dyDescent="0.25">
      <c r="J9735" s="48"/>
    </row>
    <row r="9736" spans="10:10" ht="18.75" customHeight="1" x14ac:dyDescent="0.25">
      <c r="J9736" s="48"/>
    </row>
    <row r="9737" spans="10:10" ht="18.75" customHeight="1" x14ac:dyDescent="0.25">
      <c r="J9737" s="48"/>
    </row>
    <row r="9738" spans="10:10" ht="18.75" customHeight="1" x14ac:dyDescent="0.25">
      <c r="J9738" s="48"/>
    </row>
    <row r="9739" spans="10:10" ht="18.75" customHeight="1" x14ac:dyDescent="0.25">
      <c r="J9739" s="48"/>
    </row>
    <row r="9740" spans="10:10" ht="18.75" customHeight="1" x14ac:dyDescent="0.25">
      <c r="J9740" s="48"/>
    </row>
    <row r="9741" spans="10:10" ht="18.75" customHeight="1" x14ac:dyDescent="0.25">
      <c r="J9741" s="48"/>
    </row>
    <row r="9742" spans="10:10" ht="18.75" customHeight="1" x14ac:dyDescent="0.25">
      <c r="J9742" s="48"/>
    </row>
    <row r="9743" spans="10:10" ht="18.75" customHeight="1" x14ac:dyDescent="0.25">
      <c r="J9743" s="48"/>
    </row>
    <row r="9744" spans="10:10" ht="18.75" customHeight="1" x14ac:dyDescent="0.25">
      <c r="J9744" s="48"/>
    </row>
    <row r="9745" spans="10:10" ht="18.75" customHeight="1" x14ac:dyDescent="0.25">
      <c r="J9745" s="48"/>
    </row>
    <row r="9746" spans="10:10" ht="18.75" customHeight="1" x14ac:dyDescent="0.25">
      <c r="J9746" s="48"/>
    </row>
    <row r="9747" spans="10:10" ht="18.75" customHeight="1" x14ac:dyDescent="0.25">
      <c r="J9747" s="48"/>
    </row>
    <row r="9748" spans="10:10" ht="18.75" customHeight="1" x14ac:dyDescent="0.25">
      <c r="J9748" s="48"/>
    </row>
    <row r="9749" spans="10:10" ht="18.75" customHeight="1" x14ac:dyDescent="0.25">
      <c r="J9749" s="48"/>
    </row>
    <row r="9750" spans="10:10" ht="18.75" customHeight="1" x14ac:dyDescent="0.25">
      <c r="J9750" s="48"/>
    </row>
    <row r="9751" spans="10:10" ht="18.75" customHeight="1" x14ac:dyDescent="0.25">
      <c r="J9751" s="48"/>
    </row>
    <row r="9752" spans="10:10" ht="18.75" customHeight="1" x14ac:dyDescent="0.25">
      <c r="J9752" s="48"/>
    </row>
    <row r="9753" spans="10:10" ht="18.75" customHeight="1" x14ac:dyDescent="0.25">
      <c r="J9753" s="48"/>
    </row>
    <row r="9754" spans="10:10" ht="18.75" customHeight="1" x14ac:dyDescent="0.25">
      <c r="J9754" s="48"/>
    </row>
    <row r="9755" spans="10:10" ht="18.75" customHeight="1" x14ac:dyDescent="0.25">
      <c r="J9755" s="48"/>
    </row>
    <row r="9756" spans="10:10" ht="18.75" customHeight="1" x14ac:dyDescent="0.25">
      <c r="J9756" s="48"/>
    </row>
    <row r="9757" spans="10:10" ht="18.75" customHeight="1" x14ac:dyDescent="0.25">
      <c r="J9757" s="48"/>
    </row>
    <row r="9758" spans="10:10" ht="18.75" customHeight="1" x14ac:dyDescent="0.25">
      <c r="J9758" s="48"/>
    </row>
    <row r="9759" spans="10:10" ht="18.75" customHeight="1" x14ac:dyDescent="0.25">
      <c r="J9759" s="48"/>
    </row>
    <row r="9760" spans="10:10" ht="18.75" customHeight="1" x14ac:dyDescent="0.25">
      <c r="J9760" s="48"/>
    </row>
    <row r="9761" spans="10:10" ht="18.75" customHeight="1" x14ac:dyDescent="0.25">
      <c r="J9761" s="48"/>
    </row>
    <row r="9762" spans="10:10" ht="18.75" customHeight="1" x14ac:dyDescent="0.25">
      <c r="J9762" s="48"/>
    </row>
    <row r="9763" spans="10:10" ht="18.75" customHeight="1" x14ac:dyDescent="0.25">
      <c r="J9763" s="48"/>
    </row>
    <row r="9764" spans="10:10" ht="18.75" customHeight="1" x14ac:dyDescent="0.25">
      <c r="J9764" s="48"/>
    </row>
    <row r="9765" spans="10:10" ht="18.75" customHeight="1" x14ac:dyDescent="0.25">
      <c r="J9765" s="48"/>
    </row>
    <row r="9766" spans="10:10" ht="18.75" customHeight="1" x14ac:dyDescent="0.25">
      <c r="J9766" s="48"/>
    </row>
    <row r="9767" spans="10:10" ht="18.75" customHeight="1" x14ac:dyDescent="0.25">
      <c r="J9767" s="48"/>
    </row>
    <row r="9768" spans="10:10" ht="18.75" customHeight="1" x14ac:dyDescent="0.25">
      <c r="J9768" s="48"/>
    </row>
    <row r="9769" spans="10:10" ht="18.75" customHeight="1" x14ac:dyDescent="0.25">
      <c r="J9769" s="48"/>
    </row>
    <row r="9770" spans="10:10" ht="18.75" customHeight="1" x14ac:dyDescent="0.25">
      <c r="J9770" s="48"/>
    </row>
    <row r="9771" spans="10:10" ht="18.75" customHeight="1" x14ac:dyDescent="0.25">
      <c r="J9771" s="48"/>
    </row>
    <row r="9772" spans="10:10" ht="18.75" customHeight="1" x14ac:dyDescent="0.25">
      <c r="J9772" s="48"/>
    </row>
    <row r="9773" spans="10:10" ht="18.75" customHeight="1" x14ac:dyDescent="0.25">
      <c r="J9773" s="48"/>
    </row>
    <row r="9774" spans="10:10" ht="18.75" customHeight="1" x14ac:dyDescent="0.25">
      <c r="J9774" s="48"/>
    </row>
    <row r="9775" spans="10:10" ht="18.75" customHeight="1" x14ac:dyDescent="0.25">
      <c r="J9775" s="48"/>
    </row>
    <row r="9776" spans="10:10" ht="18.75" customHeight="1" x14ac:dyDescent="0.25">
      <c r="J9776" s="48"/>
    </row>
    <row r="9777" spans="10:10" ht="18.75" customHeight="1" x14ac:dyDescent="0.25">
      <c r="J9777" s="48"/>
    </row>
    <row r="9778" spans="10:10" ht="18.75" customHeight="1" x14ac:dyDescent="0.25">
      <c r="J9778" s="48"/>
    </row>
    <row r="9779" spans="10:10" ht="18.75" customHeight="1" x14ac:dyDescent="0.25">
      <c r="J9779" s="48"/>
    </row>
    <row r="9780" spans="10:10" ht="18.75" customHeight="1" x14ac:dyDescent="0.25">
      <c r="J9780" s="48"/>
    </row>
    <row r="9781" spans="10:10" ht="18.75" customHeight="1" x14ac:dyDescent="0.25">
      <c r="J9781" s="48"/>
    </row>
    <row r="9782" spans="10:10" ht="18.75" customHeight="1" x14ac:dyDescent="0.25">
      <c r="J9782" s="48"/>
    </row>
    <row r="9783" spans="10:10" ht="18.75" customHeight="1" x14ac:dyDescent="0.25">
      <c r="J9783" s="48"/>
    </row>
    <row r="9784" spans="10:10" ht="18.75" customHeight="1" x14ac:dyDescent="0.25">
      <c r="J9784" s="48"/>
    </row>
    <row r="9785" spans="10:10" ht="18.75" customHeight="1" x14ac:dyDescent="0.25">
      <c r="J9785" s="48"/>
    </row>
    <row r="9786" spans="10:10" ht="18.75" customHeight="1" x14ac:dyDescent="0.25">
      <c r="J9786" s="48"/>
    </row>
    <row r="9787" spans="10:10" ht="18.75" customHeight="1" x14ac:dyDescent="0.25">
      <c r="J9787" s="48"/>
    </row>
    <row r="9788" spans="10:10" ht="18.75" customHeight="1" x14ac:dyDescent="0.25">
      <c r="J9788" s="48"/>
    </row>
    <row r="9789" spans="10:10" ht="18.75" customHeight="1" x14ac:dyDescent="0.25">
      <c r="J9789" s="48"/>
    </row>
    <row r="9790" spans="10:10" ht="18.75" customHeight="1" x14ac:dyDescent="0.25">
      <c r="J9790" s="48"/>
    </row>
    <row r="9791" spans="10:10" ht="18.75" customHeight="1" x14ac:dyDescent="0.25">
      <c r="J9791" s="48"/>
    </row>
    <row r="9792" spans="10:10" ht="18.75" customHeight="1" x14ac:dyDescent="0.25">
      <c r="J9792" s="48"/>
    </row>
    <row r="9793" spans="10:10" ht="18.75" customHeight="1" x14ac:dyDescent="0.25">
      <c r="J9793" s="48"/>
    </row>
    <row r="9794" spans="10:10" ht="18.75" customHeight="1" x14ac:dyDescent="0.25">
      <c r="J9794" s="48"/>
    </row>
    <row r="9795" spans="10:10" ht="18.75" customHeight="1" x14ac:dyDescent="0.25">
      <c r="J9795" s="48"/>
    </row>
    <row r="9796" spans="10:10" ht="18.75" customHeight="1" x14ac:dyDescent="0.25">
      <c r="J9796" s="48"/>
    </row>
    <row r="9797" spans="10:10" ht="18.75" customHeight="1" x14ac:dyDescent="0.25">
      <c r="J9797" s="48"/>
    </row>
    <row r="9798" spans="10:10" ht="18.75" customHeight="1" x14ac:dyDescent="0.25">
      <c r="J9798" s="48"/>
    </row>
    <row r="9799" spans="10:10" ht="18.75" customHeight="1" x14ac:dyDescent="0.25">
      <c r="J9799" s="48"/>
    </row>
    <row r="9800" spans="10:10" ht="18.75" customHeight="1" x14ac:dyDescent="0.25">
      <c r="J9800" s="48"/>
    </row>
    <row r="9801" spans="10:10" ht="18.75" customHeight="1" x14ac:dyDescent="0.25">
      <c r="J9801" s="48"/>
    </row>
    <row r="9802" spans="10:10" ht="18.75" customHeight="1" x14ac:dyDescent="0.25">
      <c r="J9802" s="48"/>
    </row>
    <row r="9803" spans="10:10" ht="18.75" customHeight="1" x14ac:dyDescent="0.25">
      <c r="J9803" s="48"/>
    </row>
    <row r="9804" spans="10:10" ht="18.75" customHeight="1" x14ac:dyDescent="0.25">
      <c r="J9804" s="48"/>
    </row>
    <row r="9805" spans="10:10" ht="18.75" customHeight="1" x14ac:dyDescent="0.25">
      <c r="J9805" s="48"/>
    </row>
    <row r="9806" spans="10:10" ht="18.75" customHeight="1" x14ac:dyDescent="0.25">
      <c r="J9806" s="48"/>
    </row>
    <row r="9807" spans="10:10" ht="18.75" customHeight="1" x14ac:dyDescent="0.25">
      <c r="J9807" s="48"/>
    </row>
    <row r="9808" spans="10:10" ht="18.75" customHeight="1" x14ac:dyDescent="0.25">
      <c r="J9808" s="48"/>
    </row>
    <row r="9809" spans="10:10" ht="18.75" customHeight="1" x14ac:dyDescent="0.25">
      <c r="J9809" s="48"/>
    </row>
    <row r="9810" spans="10:10" ht="18.75" customHeight="1" x14ac:dyDescent="0.25">
      <c r="J9810" s="48"/>
    </row>
    <row r="9811" spans="10:10" ht="18.75" customHeight="1" x14ac:dyDescent="0.25">
      <c r="J9811" s="48"/>
    </row>
    <row r="9812" spans="10:10" ht="18.75" customHeight="1" x14ac:dyDescent="0.25">
      <c r="J9812" s="48"/>
    </row>
    <row r="9813" spans="10:10" ht="18.75" customHeight="1" x14ac:dyDescent="0.25">
      <c r="J9813" s="48"/>
    </row>
    <row r="9814" spans="10:10" ht="18.75" customHeight="1" x14ac:dyDescent="0.25">
      <c r="J9814" s="48"/>
    </row>
    <row r="9815" spans="10:10" ht="18.75" customHeight="1" x14ac:dyDescent="0.25">
      <c r="J9815" s="48"/>
    </row>
    <row r="9816" spans="10:10" ht="18.75" customHeight="1" x14ac:dyDescent="0.25">
      <c r="J9816" s="48"/>
    </row>
    <row r="9817" spans="10:10" ht="18.75" customHeight="1" x14ac:dyDescent="0.25">
      <c r="J9817" s="48"/>
    </row>
    <row r="9818" spans="10:10" ht="18.75" customHeight="1" x14ac:dyDescent="0.25">
      <c r="J9818" s="48"/>
    </row>
    <row r="9819" spans="10:10" ht="18.75" customHeight="1" x14ac:dyDescent="0.25">
      <c r="J9819" s="48"/>
    </row>
    <row r="9820" spans="10:10" ht="18.75" customHeight="1" x14ac:dyDescent="0.25">
      <c r="J9820" s="48"/>
    </row>
    <row r="9821" spans="10:10" ht="18.75" customHeight="1" x14ac:dyDescent="0.25">
      <c r="J9821" s="48"/>
    </row>
    <row r="9822" spans="10:10" ht="18.75" customHeight="1" x14ac:dyDescent="0.25">
      <c r="J9822" s="48"/>
    </row>
    <row r="9823" spans="10:10" ht="18.75" customHeight="1" x14ac:dyDescent="0.25">
      <c r="J9823" s="48"/>
    </row>
    <row r="9824" spans="10:10" ht="18.75" customHeight="1" x14ac:dyDescent="0.25">
      <c r="J9824" s="48"/>
    </row>
    <row r="9825" spans="10:10" ht="18.75" customHeight="1" x14ac:dyDescent="0.25">
      <c r="J9825" s="48"/>
    </row>
    <row r="9826" spans="10:10" ht="18.75" customHeight="1" x14ac:dyDescent="0.25">
      <c r="J9826" s="48"/>
    </row>
    <row r="9827" spans="10:10" ht="18.75" customHeight="1" x14ac:dyDescent="0.25">
      <c r="J9827" s="48"/>
    </row>
    <row r="9828" spans="10:10" ht="18.75" customHeight="1" x14ac:dyDescent="0.25">
      <c r="J9828" s="48"/>
    </row>
    <row r="9829" spans="10:10" ht="18.75" customHeight="1" x14ac:dyDescent="0.25">
      <c r="J9829" s="48"/>
    </row>
    <row r="9830" spans="10:10" ht="18.75" customHeight="1" x14ac:dyDescent="0.25">
      <c r="J9830" s="48"/>
    </row>
    <row r="9831" spans="10:10" ht="18.75" customHeight="1" x14ac:dyDescent="0.25">
      <c r="J9831" s="48"/>
    </row>
    <row r="9832" spans="10:10" ht="18.75" customHeight="1" x14ac:dyDescent="0.25">
      <c r="J9832" s="48"/>
    </row>
    <row r="9833" spans="10:10" ht="18.75" customHeight="1" x14ac:dyDescent="0.25">
      <c r="J9833" s="48"/>
    </row>
    <row r="9834" spans="10:10" ht="18.75" customHeight="1" x14ac:dyDescent="0.25">
      <c r="J9834" s="48"/>
    </row>
    <row r="9835" spans="10:10" ht="18.75" customHeight="1" x14ac:dyDescent="0.25">
      <c r="J9835" s="48"/>
    </row>
    <row r="9836" spans="10:10" ht="18.75" customHeight="1" x14ac:dyDescent="0.25">
      <c r="J9836" s="48"/>
    </row>
    <row r="9837" spans="10:10" ht="18.75" customHeight="1" x14ac:dyDescent="0.25">
      <c r="J9837" s="48"/>
    </row>
    <row r="9838" spans="10:10" ht="18.75" customHeight="1" x14ac:dyDescent="0.25">
      <c r="J9838" s="48"/>
    </row>
    <row r="9839" spans="10:10" ht="18.75" customHeight="1" x14ac:dyDescent="0.25">
      <c r="J9839" s="48"/>
    </row>
    <row r="9840" spans="10:10" ht="18.75" customHeight="1" x14ac:dyDescent="0.25">
      <c r="J9840" s="48"/>
    </row>
    <row r="9841" spans="10:10" ht="18.75" customHeight="1" x14ac:dyDescent="0.25">
      <c r="J9841" s="48"/>
    </row>
    <row r="9842" spans="10:10" ht="18.75" customHeight="1" x14ac:dyDescent="0.25">
      <c r="J9842" s="48"/>
    </row>
    <row r="9843" spans="10:10" ht="18.75" customHeight="1" x14ac:dyDescent="0.25">
      <c r="J9843" s="48"/>
    </row>
    <row r="9844" spans="10:10" ht="18.75" customHeight="1" x14ac:dyDescent="0.25">
      <c r="J9844" s="48"/>
    </row>
    <row r="9845" spans="10:10" ht="18.75" customHeight="1" x14ac:dyDescent="0.25">
      <c r="J9845" s="48"/>
    </row>
    <row r="9846" spans="10:10" ht="18.75" customHeight="1" x14ac:dyDescent="0.25">
      <c r="J9846" s="48"/>
    </row>
    <row r="9847" spans="10:10" ht="18.75" customHeight="1" x14ac:dyDescent="0.25">
      <c r="J9847" s="48"/>
    </row>
    <row r="9848" spans="10:10" ht="18.75" customHeight="1" x14ac:dyDescent="0.25">
      <c r="J9848" s="48"/>
    </row>
    <row r="9849" spans="10:10" ht="18.75" customHeight="1" x14ac:dyDescent="0.25">
      <c r="J9849" s="48"/>
    </row>
    <row r="9850" spans="10:10" ht="18.75" customHeight="1" x14ac:dyDescent="0.25">
      <c r="J9850" s="48"/>
    </row>
    <row r="9851" spans="10:10" ht="18.75" customHeight="1" x14ac:dyDescent="0.25">
      <c r="J9851" s="48"/>
    </row>
    <row r="9852" spans="10:10" ht="18.75" customHeight="1" x14ac:dyDescent="0.25">
      <c r="J9852" s="48"/>
    </row>
    <row r="9853" spans="10:10" ht="18.75" customHeight="1" x14ac:dyDescent="0.25">
      <c r="J9853" s="48"/>
    </row>
    <row r="9854" spans="10:10" ht="18.75" customHeight="1" x14ac:dyDescent="0.25">
      <c r="J9854" s="48"/>
    </row>
    <row r="9855" spans="10:10" ht="18.75" customHeight="1" x14ac:dyDescent="0.25">
      <c r="J9855" s="48"/>
    </row>
    <row r="9856" spans="10:10" ht="18.75" customHeight="1" x14ac:dyDescent="0.25">
      <c r="J9856" s="48"/>
    </row>
    <row r="9857" spans="10:10" ht="18.75" customHeight="1" x14ac:dyDescent="0.25">
      <c r="J9857" s="48"/>
    </row>
    <row r="9858" spans="10:10" ht="18.75" customHeight="1" x14ac:dyDescent="0.25">
      <c r="J9858" s="48"/>
    </row>
    <row r="9859" spans="10:10" ht="18.75" customHeight="1" x14ac:dyDescent="0.25">
      <c r="J9859" s="48"/>
    </row>
    <row r="9860" spans="10:10" ht="18.75" customHeight="1" x14ac:dyDescent="0.25">
      <c r="J9860" s="48"/>
    </row>
    <row r="9861" spans="10:10" ht="18.75" customHeight="1" x14ac:dyDescent="0.25">
      <c r="J9861" s="48"/>
    </row>
    <row r="9862" spans="10:10" ht="18.75" customHeight="1" x14ac:dyDescent="0.25">
      <c r="J9862" s="48"/>
    </row>
    <row r="9863" spans="10:10" ht="18.75" customHeight="1" x14ac:dyDescent="0.25">
      <c r="J9863" s="48"/>
    </row>
    <row r="9864" spans="10:10" ht="18.75" customHeight="1" x14ac:dyDescent="0.25">
      <c r="J9864" s="48"/>
    </row>
    <row r="9865" spans="10:10" ht="18.75" customHeight="1" x14ac:dyDescent="0.25">
      <c r="J9865" s="48"/>
    </row>
    <row r="9866" spans="10:10" ht="18.75" customHeight="1" x14ac:dyDescent="0.25">
      <c r="J9866" s="48"/>
    </row>
    <row r="9867" spans="10:10" ht="18.75" customHeight="1" x14ac:dyDescent="0.25">
      <c r="J9867" s="48"/>
    </row>
    <row r="9868" spans="10:10" ht="18.75" customHeight="1" x14ac:dyDescent="0.25">
      <c r="J9868" s="48"/>
    </row>
    <row r="9869" spans="10:10" ht="18.75" customHeight="1" x14ac:dyDescent="0.25">
      <c r="J9869" s="48"/>
    </row>
    <row r="9870" spans="10:10" ht="18.75" customHeight="1" x14ac:dyDescent="0.25">
      <c r="J9870" s="48"/>
    </row>
    <row r="9871" spans="10:10" ht="18.75" customHeight="1" x14ac:dyDescent="0.25">
      <c r="J9871" s="48"/>
    </row>
    <row r="9872" spans="10:10" ht="18.75" customHeight="1" x14ac:dyDescent="0.25">
      <c r="J9872" s="48"/>
    </row>
    <row r="9873" spans="10:10" ht="18.75" customHeight="1" x14ac:dyDescent="0.25">
      <c r="J9873" s="48"/>
    </row>
    <row r="9874" spans="10:10" ht="18.75" customHeight="1" x14ac:dyDescent="0.25">
      <c r="J9874" s="48"/>
    </row>
    <row r="9875" spans="10:10" ht="18.75" customHeight="1" x14ac:dyDescent="0.25">
      <c r="J9875" s="48"/>
    </row>
    <row r="9876" spans="10:10" ht="18.75" customHeight="1" x14ac:dyDescent="0.25">
      <c r="J9876" s="48"/>
    </row>
    <row r="9877" spans="10:10" ht="18.75" customHeight="1" x14ac:dyDescent="0.25">
      <c r="J9877" s="48"/>
    </row>
    <row r="9878" spans="10:10" ht="18.75" customHeight="1" x14ac:dyDescent="0.25">
      <c r="J9878" s="48"/>
    </row>
    <row r="9879" spans="10:10" ht="18.75" customHeight="1" x14ac:dyDescent="0.25">
      <c r="J9879" s="48"/>
    </row>
    <row r="9880" spans="10:10" ht="18.75" customHeight="1" x14ac:dyDescent="0.25">
      <c r="J9880" s="48"/>
    </row>
    <row r="9881" spans="10:10" ht="18.75" customHeight="1" x14ac:dyDescent="0.25">
      <c r="J9881" s="48"/>
    </row>
    <row r="9882" spans="10:10" ht="18.75" customHeight="1" x14ac:dyDescent="0.25">
      <c r="J9882" s="48"/>
    </row>
    <row r="9883" spans="10:10" ht="18.75" customHeight="1" x14ac:dyDescent="0.25">
      <c r="J9883" s="48"/>
    </row>
    <row r="9884" spans="10:10" ht="18.75" customHeight="1" x14ac:dyDescent="0.25">
      <c r="J9884" s="48"/>
    </row>
    <row r="9885" spans="10:10" ht="18.75" customHeight="1" x14ac:dyDescent="0.25">
      <c r="J9885" s="48"/>
    </row>
    <row r="9886" spans="10:10" ht="18.75" customHeight="1" x14ac:dyDescent="0.25">
      <c r="J9886" s="48"/>
    </row>
    <row r="9887" spans="10:10" ht="18.75" customHeight="1" x14ac:dyDescent="0.25">
      <c r="J9887" s="48"/>
    </row>
    <row r="9888" spans="10:10" ht="18.75" customHeight="1" x14ac:dyDescent="0.25">
      <c r="J9888" s="48"/>
    </row>
    <row r="9889" spans="10:10" ht="18.75" customHeight="1" x14ac:dyDescent="0.25">
      <c r="J9889" s="48"/>
    </row>
    <row r="9890" spans="10:10" ht="18.75" customHeight="1" x14ac:dyDescent="0.25">
      <c r="J9890" s="48"/>
    </row>
    <row r="9891" spans="10:10" ht="18.75" customHeight="1" x14ac:dyDescent="0.25">
      <c r="J9891" s="48"/>
    </row>
    <row r="9892" spans="10:10" ht="18.75" customHeight="1" x14ac:dyDescent="0.25">
      <c r="J9892" s="48"/>
    </row>
    <row r="9893" spans="10:10" ht="18.75" customHeight="1" x14ac:dyDescent="0.25">
      <c r="J9893" s="48"/>
    </row>
    <row r="9894" spans="10:10" ht="18.75" customHeight="1" x14ac:dyDescent="0.25">
      <c r="J9894" s="48"/>
    </row>
    <row r="9895" spans="10:10" ht="18.75" customHeight="1" x14ac:dyDescent="0.25">
      <c r="J9895" s="48"/>
    </row>
    <row r="9896" spans="10:10" ht="18.75" customHeight="1" x14ac:dyDescent="0.25">
      <c r="J9896" s="48"/>
    </row>
    <row r="9897" spans="10:10" ht="18.75" customHeight="1" x14ac:dyDescent="0.25">
      <c r="J9897" s="48"/>
    </row>
    <row r="9898" spans="10:10" ht="18.75" customHeight="1" x14ac:dyDescent="0.25">
      <c r="J9898" s="48"/>
    </row>
    <row r="9899" spans="10:10" ht="18.75" customHeight="1" x14ac:dyDescent="0.25">
      <c r="J9899" s="48"/>
    </row>
    <row r="9900" spans="10:10" ht="18.75" customHeight="1" x14ac:dyDescent="0.25">
      <c r="J9900" s="48"/>
    </row>
    <row r="9901" spans="10:10" ht="18.75" customHeight="1" x14ac:dyDescent="0.25">
      <c r="J9901" s="48"/>
    </row>
    <row r="9902" spans="10:10" ht="18.75" customHeight="1" x14ac:dyDescent="0.25">
      <c r="J9902" s="48"/>
    </row>
    <row r="9903" spans="10:10" ht="18.75" customHeight="1" x14ac:dyDescent="0.25">
      <c r="J9903" s="48"/>
    </row>
    <row r="9904" spans="10:10" ht="18.75" customHeight="1" x14ac:dyDescent="0.25">
      <c r="J9904" s="48"/>
    </row>
    <row r="9905" spans="10:10" ht="18.75" customHeight="1" x14ac:dyDescent="0.25">
      <c r="J9905" s="48"/>
    </row>
    <row r="9906" spans="10:10" ht="18.75" customHeight="1" x14ac:dyDescent="0.25">
      <c r="J9906" s="48"/>
    </row>
    <row r="9907" spans="10:10" ht="18.75" customHeight="1" x14ac:dyDescent="0.25">
      <c r="J9907" s="48"/>
    </row>
    <row r="9908" spans="10:10" ht="18.75" customHeight="1" x14ac:dyDescent="0.25">
      <c r="J9908" s="48"/>
    </row>
    <row r="9909" spans="10:10" ht="18.75" customHeight="1" x14ac:dyDescent="0.25">
      <c r="J9909" s="48"/>
    </row>
    <row r="9910" spans="10:10" ht="18.75" customHeight="1" x14ac:dyDescent="0.25">
      <c r="J9910" s="48"/>
    </row>
    <row r="9911" spans="10:10" ht="18.75" customHeight="1" x14ac:dyDescent="0.25">
      <c r="J9911" s="48"/>
    </row>
    <row r="9912" spans="10:10" ht="18.75" customHeight="1" x14ac:dyDescent="0.25">
      <c r="J9912" s="48"/>
    </row>
    <row r="9913" spans="10:10" ht="18.75" customHeight="1" x14ac:dyDescent="0.25">
      <c r="J9913" s="48"/>
    </row>
    <row r="9914" spans="10:10" ht="18.75" customHeight="1" x14ac:dyDescent="0.25">
      <c r="J9914" s="48"/>
    </row>
    <row r="9915" spans="10:10" ht="18.75" customHeight="1" x14ac:dyDescent="0.25">
      <c r="J9915" s="48"/>
    </row>
    <row r="9916" spans="10:10" ht="18.75" customHeight="1" x14ac:dyDescent="0.25">
      <c r="J9916" s="48"/>
    </row>
    <row r="9917" spans="10:10" ht="18.75" customHeight="1" x14ac:dyDescent="0.25">
      <c r="J9917" s="48"/>
    </row>
    <row r="9918" spans="10:10" ht="18.75" customHeight="1" x14ac:dyDescent="0.25">
      <c r="J9918" s="48"/>
    </row>
    <row r="9919" spans="10:10" ht="18.75" customHeight="1" x14ac:dyDescent="0.25">
      <c r="J9919" s="48"/>
    </row>
    <row r="9920" spans="10:10" ht="18.75" customHeight="1" x14ac:dyDescent="0.25">
      <c r="J9920" s="48"/>
    </row>
    <row r="9921" spans="10:10" ht="18.75" customHeight="1" x14ac:dyDescent="0.25">
      <c r="J9921" s="48"/>
    </row>
    <row r="9922" spans="10:10" ht="18.75" customHeight="1" x14ac:dyDescent="0.25">
      <c r="J9922" s="48"/>
    </row>
    <row r="9923" spans="10:10" ht="18.75" customHeight="1" x14ac:dyDescent="0.25">
      <c r="J9923" s="48"/>
    </row>
    <row r="9924" spans="10:10" ht="18.75" customHeight="1" x14ac:dyDescent="0.25">
      <c r="J9924" s="48"/>
    </row>
    <row r="9925" spans="10:10" ht="18.75" customHeight="1" x14ac:dyDescent="0.25">
      <c r="J9925" s="48"/>
    </row>
    <row r="9926" spans="10:10" ht="18.75" customHeight="1" x14ac:dyDescent="0.25">
      <c r="J9926" s="48"/>
    </row>
    <row r="9927" spans="10:10" ht="18.75" customHeight="1" x14ac:dyDescent="0.25">
      <c r="J9927" s="48"/>
    </row>
    <row r="9928" spans="10:10" ht="18.75" customHeight="1" x14ac:dyDescent="0.25">
      <c r="J9928" s="48"/>
    </row>
    <row r="9929" spans="10:10" ht="18.75" customHeight="1" x14ac:dyDescent="0.25">
      <c r="J9929" s="48"/>
    </row>
    <row r="9930" spans="10:10" ht="18.75" customHeight="1" x14ac:dyDescent="0.25">
      <c r="J9930" s="48"/>
    </row>
    <row r="9931" spans="10:10" ht="18.75" customHeight="1" x14ac:dyDescent="0.25">
      <c r="J9931" s="48"/>
    </row>
    <row r="9932" spans="10:10" ht="18.75" customHeight="1" x14ac:dyDescent="0.25">
      <c r="J9932" s="48"/>
    </row>
    <row r="9933" spans="10:10" ht="18.75" customHeight="1" x14ac:dyDescent="0.25">
      <c r="J9933" s="48"/>
    </row>
    <row r="9934" spans="10:10" ht="18.75" customHeight="1" x14ac:dyDescent="0.25">
      <c r="J9934" s="48"/>
    </row>
    <row r="9935" spans="10:10" ht="18.75" customHeight="1" x14ac:dyDescent="0.25">
      <c r="J9935" s="48"/>
    </row>
    <row r="9936" spans="10:10" ht="18.75" customHeight="1" x14ac:dyDescent="0.25">
      <c r="J9936" s="48"/>
    </row>
    <row r="9937" spans="10:10" ht="18.75" customHeight="1" x14ac:dyDescent="0.25">
      <c r="J9937" s="48"/>
    </row>
    <row r="9938" spans="10:10" ht="18.75" customHeight="1" x14ac:dyDescent="0.25">
      <c r="J9938" s="48"/>
    </row>
    <row r="9939" spans="10:10" ht="18.75" customHeight="1" x14ac:dyDescent="0.25">
      <c r="J9939" s="48"/>
    </row>
    <row r="9940" spans="10:10" ht="18.75" customHeight="1" x14ac:dyDescent="0.25">
      <c r="J9940" s="48"/>
    </row>
    <row r="9941" spans="10:10" ht="18.75" customHeight="1" x14ac:dyDescent="0.25">
      <c r="J9941" s="48"/>
    </row>
    <row r="9942" spans="10:10" ht="18.75" customHeight="1" x14ac:dyDescent="0.25">
      <c r="J9942" s="48"/>
    </row>
    <row r="9943" spans="10:10" ht="18.75" customHeight="1" x14ac:dyDescent="0.25">
      <c r="J9943" s="48"/>
    </row>
    <row r="9944" spans="10:10" ht="18.75" customHeight="1" x14ac:dyDescent="0.25">
      <c r="J9944" s="48"/>
    </row>
    <row r="9945" spans="10:10" ht="18.75" customHeight="1" x14ac:dyDescent="0.25">
      <c r="J9945" s="48"/>
    </row>
    <row r="9946" spans="10:10" ht="18.75" customHeight="1" x14ac:dyDescent="0.25">
      <c r="J9946" s="48"/>
    </row>
    <row r="9947" spans="10:10" ht="18.75" customHeight="1" x14ac:dyDescent="0.25">
      <c r="J9947" s="48"/>
    </row>
    <row r="9948" spans="10:10" ht="18.75" customHeight="1" x14ac:dyDescent="0.25">
      <c r="J9948" s="48"/>
    </row>
    <row r="9949" spans="10:10" ht="18.75" customHeight="1" x14ac:dyDescent="0.25">
      <c r="J9949" s="48"/>
    </row>
    <row r="9950" spans="10:10" ht="18.75" customHeight="1" x14ac:dyDescent="0.25">
      <c r="J9950" s="48"/>
    </row>
    <row r="9951" spans="10:10" ht="18.75" customHeight="1" x14ac:dyDescent="0.25">
      <c r="J9951" s="48"/>
    </row>
    <row r="9952" spans="10:10" ht="18.75" customHeight="1" x14ac:dyDescent="0.25">
      <c r="J9952" s="48"/>
    </row>
    <row r="9953" spans="10:10" ht="18.75" customHeight="1" x14ac:dyDescent="0.25">
      <c r="J9953" s="48"/>
    </row>
    <row r="9954" spans="10:10" ht="18.75" customHeight="1" x14ac:dyDescent="0.25">
      <c r="J9954" s="48"/>
    </row>
    <row r="9955" spans="10:10" ht="18.75" customHeight="1" x14ac:dyDescent="0.25">
      <c r="J9955" s="48"/>
    </row>
    <row r="9956" spans="10:10" ht="18.75" customHeight="1" x14ac:dyDescent="0.25">
      <c r="J9956" s="48"/>
    </row>
    <row r="9957" spans="10:10" ht="18.75" customHeight="1" x14ac:dyDescent="0.25">
      <c r="J9957" s="48"/>
    </row>
    <row r="9958" spans="10:10" ht="18.75" customHeight="1" x14ac:dyDescent="0.25">
      <c r="J9958" s="48"/>
    </row>
    <row r="9959" spans="10:10" ht="18.75" customHeight="1" x14ac:dyDescent="0.25">
      <c r="J9959" s="48"/>
    </row>
    <row r="9960" spans="10:10" ht="18.75" customHeight="1" x14ac:dyDescent="0.25">
      <c r="J9960" s="48"/>
    </row>
    <row r="9961" spans="10:10" ht="18.75" customHeight="1" x14ac:dyDescent="0.25">
      <c r="J9961" s="48"/>
    </row>
    <row r="9962" spans="10:10" ht="18.75" customHeight="1" x14ac:dyDescent="0.25">
      <c r="J9962" s="48"/>
    </row>
    <row r="9963" spans="10:10" ht="18.75" customHeight="1" x14ac:dyDescent="0.25">
      <c r="J9963" s="48"/>
    </row>
    <row r="9964" spans="10:10" ht="18.75" customHeight="1" x14ac:dyDescent="0.25">
      <c r="J9964" s="48"/>
    </row>
    <row r="9965" spans="10:10" ht="18.75" customHeight="1" x14ac:dyDescent="0.25">
      <c r="J9965" s="48"/>
    </row>
    <row r="9966" spans="10:10" ht="18.75" customHeight="1" x14ac:dyDescent="0.25">
      <c r="J9966" s="48"/>
    </row>
    <row r="9967" spans="10:10" ht="18.75" customHeight="1" x14ac:dyDescent="0.25">
      <c r="J9967" s="48"/>
    </row>
    <row r="9968" spans="10:10" ht="18.75" customHeight="1" x14ac:dyDescent="0.25">
      <c r="J9968" s="48"/>
    </row>
    <row r="9969" spans="10:10" ht="18.75" customHeight="1" x14ac:dyDescent="0.25">
      <c r="J9969" s="48"/>
    </row>
    <row r="9970" spans="10:10" ht="18.75" customHeight="1" x14ac:dyDescent="0.25">
      <c r="J9970" s="48"/>
    </row>
    <row r="9971" spans="10:10" ht="18.75" customHeight="1" x14ac:dyDescent="0.25">
      <c r="J9971" s="48"/>
    </row>
    <row r="9972" spans="10:10" ht="18.75" customHeight="1" x14ac:dyDescent="0.25">
      <c r="J9972" s="48"/>
    </row>
    <row r="9973" spans="10:10" ht="18.75" customHeight="1" x14ac:dyDescent="0.25">
      <c r="J9973" s="48"/>
    </row>
    <row r="9974" spans="10:10" ht="18.75" customHeight="1" x14ac:dyDescent="0.25">
      <c r="J9974" s="48"/>
    </row>
    <row r="9975" spans="10:10" ht="18.75" customHeight="1" x14ac:dyDescent="0.25">
      <c r="J9975" s="48"/>
    </row>
    <row r="9976" spans="10:10" ht="18.75" customHeight="1" x14ac:dyDescent="0.25">
      <c r="J9976" s="48"/>
    </row>
    <row r="9977" spans="10:10" ht="18.75" customHeight="1" x14ac:dyDescent="0.25">
      <c r="J9977" s="48"/>
    </row>
    <row r="9978" spans="10:10" ht="18.75" customHeight="1" x14ac:dyDescent="0.25">
      <c r="J9978" s="48"/>
    </row>
    <row r="9979" spans="10:10" ht="18.75" customHeight="1" x14ac:dyDescent="0.25">
      <c r="J9979" s="48"/>
    </row>
    <row r="9980" spans="10:10" ht="18.75" customHeight="1" x14ac:dyDescent="0.25">
      <c r="J9980" s="48"/>
    </row>
    <row r="9981" spans="10:10" ht="18.75" customHeight="1" x14ac:dyDescent="0.25">
      <c r="J9981" s="48"/>
    </row>
    <row r="9982" spans="10:10" ht="18.75" customHeight="1" x14ac:dyDescent="0.25">
      <c r="J9982" s="48"/>
    </row>
    <row r="9983" spans="10:10" ht="18.75" customHeight="1" x14ac:dyDescent="0.25">
      <c r="J9983" s="48"/>
    </row>
    <row r="9984" spans="10:10" ht="18.75" customHeight="1" x14ac:dyDescent="0.25">
      <c r="J9984" s="48"/>
    </row>
    <row r="9985" spans="10:10" ht="18.75" customHeight="1" x14ac:dyDescent="0.25">
      <c r="J9985" s="48"/>
    </row>
    <row r="9986" spans="10:10" ht="18.75" customHeight="1" x14ac:dyDescent="0.25">
      <c r="J9986" s="48"/>
    </row>
    <row r="9987" spans="10:10" ht="18.75" customHeight="1" x14ac:dyDescent="0.25">
      <c r="J9987" s="48"/>
    </row>
    <row r="9988" spans="10:10" ht="18.75" customHeight="1" x14ac:dyDescent="0.25">
      <c r="J9988" s="48"/>
    </row>
    <row r="9989" spans="10:10" ht="18.75" customHeight="1" x14ac:dyDescent="0.25">
      <c r="J9989" s="48"/>
    </row>
    <row r="9990" spans="10:10" ht="18.75" customHeight="1" x14ac:dyDescent="0.25">
      <c r="J9990" s="48"/>
    </row>
    <row r="9991" spans="10:10" ht="18.75" customHeight="1" x14ac:dyDescent="0.25">
      <c r="J9991" s="48"/>
    </row>
    <row r="9992" spans="10:10" ht="18.75" customHeight="1" x14ac:dyDescent="0.25">
      <c r="J9992" s="48"/>
    </row>
    <row r="9993" spans="10:10" ht="18.75" customHeight="1" x14ac:dyDescent="0.25">
      <c r="J9993" s="48"/>
    </row>
    <row r="9994" spans="10:10" ht="18.75" customHeight="1" x14ac:dyDescent="0.25">
      <c r="J9994" s="48"/>
    </row>
    <row r="9995" spans="10:10" ht="18.75" customHeight="1" x14ac:dyDescent="0.25">
      <c r="J9995" s="48"/>
    </row>
    <row r="9996" spans="10:10" ht="18.75" customHeight="1" x14ac:dyDescent="0.25">
      <c r="J9996" s="48"/>
    </row>
    <row r="9997" spans="10:10" ht="18.75" customHeight="1" x14ac:dyDescent="0.25">
      <c r="J9997" s="48"/>
    </row>
    <row r="9998" spans="10:10" ht="18.75" customHeight="1" x14ac:dyDescent="0.25">
      <c r="J9998" s="48"/>
    </row>
    <row r="9999" spans="10:10" ht="18.75" customHeight="1" x14ac:dyDescent="0.25">
      <c r="J9999" s="48"/>
    </row>
    <row r="10000" spans="10:10" ht="18.75" customHeight="1" x14ac:dyDescent="0.25">
      <c r="J10000" s="48"/>
    </row>
  </sheetData>
  <autoFilter ref="A1:J9998"/>
  <phoneticPr fontId="12" type="noConversion"/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Y3"/>
  <sheetViews>
    <sheetView workbookViewId="0">
      <selection activeCell="H12" sqref="H12"/>
    </sheetView>
  </sheetViews>
  <sheetFormatPr defaultRowHeight="15" x14ac:dyDescent="0.25"/>
  <cols>
    <col min="1" max="1" width="14.42578125" bestFit="1" customWidth="1"/>
    <col min="2" max="2" width="12.5703125" customWidth="1"/>
    <col min="3" max="3" width="37.7109375" bestFit="1" customWidth="1"/>
    <col min="4" max="4" width="13.140625" bestFit="1" customWidth="1"/>
    <col min="5" max="5" width="27.28515625" bestFit="1" customWidth="1"/>
    <col min="6" max="6" width="21.85546875" bestFit="1" customWidth="1"/>
    <col min="7" max="7" width="23" bestFit="1" customWidth="1"/>
    <col min="8" max="8" width="24.140625" bestFit="1" customWidth="1"/>
    <col min="9" max="10" width="11.7109375" bestFit="1" customWidth="1"/>
  </cols>
  <sheetData>
    <row r="3" spans="1:25" ht="18.75" x14ac:dyDescent="0.3">
      <c r="A3" s="32" t="s">
        <v>33</v>
      </c>
      <c r="B3" s="33" t="s">
        <v>31</v>
      </c>
      <c r="C3" s="33" t="s">
        <v>35</v>
      </c>
      <c r="D3" s="33" t="s">
        <v>30</v>
      </c>
      <c r="E3" s="33" t="s">
        <v>34</v>
      </c>
      <c r="F3" s="33" t="s">
        <v>37</v>
      </c>
      <c r="G3" s="33" t="s">
        <v>36</v>
      </c>
      <c r="H3" s="33" t="s">
        <v>38</v>
      </c>
      <c r="I3" s="32" t="s">
        <v>32</v>
      </c>
      <c r="Q3" s="53"/>
      <c r="R3" s="53"/>
      <c r="S3" s="7"/>
      <c r="T3" s="8"/>
      <c r="U3" s="8"/>
      <c r="V3" s="8"/>
      <c r="W3" s="8"/>
      <c r="X3" s="8"/>
      <c r="Y3" s="8"/>
    </row>
  </sheetData>
  <mergeCells count="1">
    <mergeCell ref="Q3:R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2853"/>
  <sheetViews>
    <sheetView tabSelected="1" workbookViewId="0"/>
  </sheetViews>
  <sheetFormatPr defaultRowHeight="15" x14ac:dyDescent="0.25"/>
  <cols>
    <col min="1" max="1" width="17.28515625" style="9" bestFit="1" customWidth="1"/>
    <col min="2" max="2" width="14" style="9" customWidth="1"/>
    <col min="3" max="3" width="57.28515625" style="9" customWidth="1"/>
    <col min="4" max="5" width="24.42578125" style="9" customWidth="1"/>
    <col min="6" max="6" width="16.7109375" style="9" customWidth="1"/>
    <col min="7" max="7" width="22" style="9" customWidth="1"/>
    <col min="8" max="8" width="20.5703125" style="9" bestFit="1" customWidth="1"/>
    <col min="9" max="9" width="13" style="9" customWidth="1"/>
    <col min="10" max="11" width="9.140625" style="9"/>
    <col min="12" max="12" width="13.28515625" style="9" bestFit="1" customWidth="1"/>
    <col min="13" max="13" width="9.140625" style="9"/>
    <col min="14" max="14" width="10.5703125" style="9" bestFit="1" customWidth="1"/>
    <col min="15" max="16" width="9.140625" style="9"/>
    <col min="17" max="17" width="18.28515625" style="9" bestFit="1" customWidth="1"/>
    <col min="18" max="18" width="17.28515625" style="9" bestFit="1" customWidth="1"/>
    <col min="19" max="19" width="9.140625" style="9"/>
    <col min="20" max="20" width="36.85546875" style="9" bestFit="1" customWidth="1"/>
    <col min="21" max="21" width="18" style="9" customWidth="1"/>
    <col min="22" max="22" width="9.140625" style="9"/>
    <col min="23" max="23" width="21.28515625" style="9" bestFit="1" customWidth="1"/>
    <col min="24" max="16384" width="9.140625" style="9"/>
  </cols>
  <sheetData>
    <row r="1" spans="1:23" ht="18.75" x14ac:dyDescent="0.3">
      <c r="M1" s="57" t="s">
        <v>28</v>
      </c>
      <c r="N1" s="58"/>
      <c r="O1" s="54" t="s">
        <v>23</v>
      </c>
      <c r="P1" s="54"/>
      <c r="Q1" s="27">
        <f>SUM('ITEM NOT FOUND'!G4:G10000)</f>
        <v>0</v>
      </c>
      <c r="R1" s="10"/>
      <c r="S1" s="11"/>
      <c r="T1" s="12" t="s">
        <v>26</v>
      </c>
      <c r="U1" s="28">
        <f>SUM(Data!I2:I1048576)</f>
        <v>389352.74000000005</v>
      </c>
      <c r="V1" s="12"/>
      <c r="W1" s="13"/>
    </row>
    <row r="2" spans="1:23" ht="18.75" x14ac:dyDescent="0.3">
      <c r="M2" s="59"/>
      <c r="N2" s="60"/>
      <c r="O2" s="55" t="s">
        <v>24</v>
      </c>
      <c r="P2" s="55"/>
      <c r="Q2" s="26">
        <f>SUM(H4:H10000)</f>
        <v>389352.73999999987</v>
      </c>
      <c r="R2" s="14"/>
      <c r="S2" s="14"/>
      <c r="T2" s="15" t="s">
        <v>27</v>
      </c>
      <c r="U2" s="29">
        <f>SUM(TEMPLATE!G4:G1048576)</f>
        <v>389352.73999999987</v>
      </c>
      <c r="V2" s="15"/>
      <c r="W2" s="16"/>
    </row>
    <row r="3" spans="1:23" s="34" customFormat="1" ht="13.5" thickBot="1" x14ac:dyDescent="0.3">
      <c r="A3" s="32" t="s">
        <v>33</v>
      </c>
      <c r="B3" s="33" t="s">
        <v>31</v>
      </c>
      <c r="C3" s="33" t="s">
        <v>35</v>
      </c>
      <c r="D3" s="33" t="s">
        <v>30</v>
      </c>
      <c r="E3" s="33" t="s">
        <v>34</v>
      </c>
      <c r="F3" s="33" t="s">
        <v>37</v>
      </c>
      <c r="G3" s="33" t="s">
        <v>36</v>
      </c>
      <c r="H3" s="33" t="s">
        <v>38</v>
      </c>
      <c r="I3" s="32" t="s">
        <v>32</v>
      </c>
      <c r="M3" s="61"/>
      <c r="N3" s="62"/>
      <c r="O3" s="56" t="s">
        <v>25</v>
      </c>
      <c r="P3" s="56"/>
      <c r="Q3" s="35">
        <f>Q1+Q2</f>
        <v>389352.73999999987</v>
      </c>
      <c r="R3" s="35"/>
      <c r="S3" s="35"/>
      <c r="T3" s="35"/>
      <c r="U3" s="36"/>
      <c r="V3" s="35"/>
      <c r="W3" s="37"/>
    </row>
    <row r="4" spans="1:23" x14ac:dyDescent="0.25">
      <c r="A4" t="str">
        <f>IFERROR(VLOOKUP(B4&amp; "*",'SKU Maintenance'!D:H,5,0),"not found")</f>
        <v>2010061298251706</v>
      </c>
      <c r="B4">
        <v>40012853</v>
      </c>
      <c r="C4" t="s">
        <v>269</v>
      </c>
      <c r="D4"/>
      <c r="E4"/>
      <c r="F4" s="3">
        <v>44750</v>
      </c>
      <c r="G4" s="49">
        <v>1</v>
      </c>
      <c r="H4" s="23">
        <v>350</v>
      </c>
      <c r="I4" t="s">
        <v>6941</v>
      </c>
    </row>
    <row r="5" spans="1:23" x14ac:dyDescent="0.25">
      <c r="A5" t="str">
        <f>IFERROR(VLOOKUP(B5&amp; "*",'SKU Maintenance'!D:H,5,0),"not found")</f>
        <v>2010041098070155</v>
      </c>
      <c r="B5">
        <v>40012990</v>
      </c>
      <c r="C5" t="s">
        <v>147</v>
      </c>
      <c r="D5"/>
      <c r="E5"/>
      <c r="F5" s="3">
        <v>44757</v>
      </c>
      <c r="G5" s="49">
        <v>1</v>
      </c>
      <c r="H5" s="23">
        <v>199.75</v>
      </c>
      <c r="I5" t="s">
        <v>6939</v>
      </c>
      <c r="J5"/>
      <c r="K5"/>
      <c r="L5"/>
      <c r="M5"/>
      <c r="N5"/>
      <c r="O5"/>
      <c r="P5"/>
      <c r="Q5"/>
      <c r="R5"/>
    </row>
    <row r="6" spans="1:23" x14ac:dyDescent="0.25">
      <c r="A6" t="str">
        <f>IFERROR(VLOOKUP(B6&amp; "*",'SKU Maintenance'!D:H,5,0),"not found")</f>
        <v>2010041098070155</v>
      </c>
      <c r="B6">
        <v>40012990</v>
      </c>
      <c r="C6" t="s">
        <v>147</v>
      </c>
      <c r="D6"/>
      <c r="E6"/>
      <c r="F6" s="3">
        <v>44754</v>
      </c>
      <c r="G6" s="49">
        <v>1</v>
      </c>
      <c r="H6" s="23">
        <v>199.75</v>
      </c>
      <c r="I6" t="s">
        <v>6943</v>
      </c>
      <c r="J6"/>
      <c r="K6"/>
      <c r="L6"/>
      <c r="M6"/>
      <c r="N6"/>
      <c r="O6"/>
      <c r="P6"/>
      <c r="Q6"/>
      <c r="R6"/>
    </row>
    <row r="7" spans="1:23" x14ac:dyDescent="0.25">
      <c r="A7" t="str">
        <f>IFERROR(VLOOKUP(B7&amp; "*",'SKU Maintenance'!D:H,5,0),"not found")</f>
        <v>2010041098160155</v>
      </c>
      <c r="B7">
        <v>40012991</v>
      </c>
      <c r="C7" t="s">
        <v>178</v>
      </c>
      <c r="D7"/>
      <c r="E7"/>
      <c r="F7" s="3">
        <v>44764</v>
      </c>
      <c r="G7" s="49">
        <v>1</v>
      </c>
      <c r="H7" s="23">
        <v>199.75</v>
      </c>
      <c r="I7" t="s">
        <v>6939</v>
      </c>
      <c r="J7"/>
      <c r="K7"/>
      <c r="L7"/>
      <c r="M7"/>
      <c r="N7"/>
      <c r="O7"/>
      <c r="P7"/>
      <c r="Q7"/>
      <c r="R7"/>
    </row>
    <row r="8" spans="1:23" x14ac:dyDescent="0.25">
      <c r="A8" t="str">
        <f>IFERROR(VLOOKUP(B8&amp; "*",'SKU Maintenance'!D:H,5,0),"not found")</f>
        <v>2010041098160155</v>
      </c>
      <c r="B8">
        <v>40012991</v>
      </c>
      <c r="C8" t="s">
        <v>178</v>
      </c>
      <c r="D8"/>
      <c r="E8"/>
      <c r="F8" s="3">
        <v>44754</v>
      </c>
      <c r="G8" s="49">
        <v>1</v>
      </c>
      <c r="H8" s="23">
        <v>199.75</v>
      </c>
      <c r="I8" t="s">
        <v>6943</v>
      </c>
      <c r="J8"/>
      <c r="K8"/>
      <c r="L8"/>
      <c r="M8"/>
      <c r="N8"/>
      <c r="O8"/>
      <c r="P8"/>
      <c r="Q8"/>
      <c r="R8"/>
    </row>
    <row r="9" spans="1:23" x14ac:dyDescent="0.25">
      <c r="A9" t="str">
        <f>IFERROR(VLOOKUP(B9&amp; "*",'SKU Maintenance'!D:H,5,0),"not found")</f>
        <v>2010060998160006</v>
      </c>
      <c r="B9">
        <v>40013024</v>
      </c>
      <c r="C9" t="s">
        <v>312</v>
      </c>
      <c r="D9"/>
      <c r="E9"/>
      <c r="F9" s="3">
        <v>44762</v>
      </c>
      <c r="G9" s="49">
        <v>1</v>
      </c>
      <c r="H9" s="23">
        <v>1899.75</v>
      </c>
      <c r="I9" t="s">
        <v>6941</v>
      </c>
      <c r="J9"/>
      <c r="K9"/>
      <c r="L9"/>
      <c r="M9"/>
      <c r="N9"/>
      <c r="O9"/>
      <c r="P9"/>
      <c r="Q9"/>
      <c r="R9"/>
    </row>
    <row r="10" spans="1:23" x14ac:dyDescent="0.25">
      <c r="A10" t="str">
        <f>IFERROR(VLOOKUP(B10&amp; "*",'SKU Maintenance'!D:H,5,0),"not found")</f>
        <v>2010012104162964</v>
      </c>
      <c r="B10">
        <v>40013138</v>
      </c>
      <c r="C10" t="s">
        <v>295</v>
      </c>
      <c r="D10"/>
      <c r="E10"/>
      <c r="F10" s="3">
        <v>44759</v>
      </c>
      <c r="G10" s="49">
        <v>1</v>
      </c>
      <c r="H10" s="23">
        <v>115</v>
      </c>
      <c r="I10" t="s">
        <v>6941</v>
      </c>
      <c r="J10"/>
      <c r="K10"/>
      <c r="L10"/>
      <c r="M10"/>
      <c r="N10"/>
      <c r="O10"/>
      <c r="P10"/>
      <c r="Q10"/>
      <c r="R10"/>
    </row>
    <row r="11" spans="1:23" x14ac:dyDescent="0.25">
      <c r="A11" t="str">
        <f>IFERROR(VLOOKUP(B11&amp; "*",'SKU Maintenance'!D:H,5,0),"not found")</f>
        <v>2010010798987382</v>
      </c>
      <c r="B11">
        <v>40013191</v>
      </c>
      <c r="C11" t="s">
        <v>443</v>
      </c>
      <c r="D11"/>
      <c r="E11"/>
      <c r="F11" s="3">
        <v>44753</v>
      </c>
      <c r="G11" s="49">
        <v>1</v>
      </c>
      <c r="H11" s="23">
        <v>999.75</v>
      </c>
      <c r="I11" t="s">
        <v>6945</v>
      </c>
      <c r="J11"/>
      <c r="K11"/>
      <c r="L11"/>
      <c r="M11"/>
      <c r="N11"/>
      <c r="O11"/>
      <c r="P11"/>
      <c r="Q11"/>
      <c r="R11"/>
    </row>
    <row r="12" spans="1:23" x14ac:dyDescent="0.25">
      <c r="A12" t="str">
        <f>IFERROR(VLOOKUP(B12&amp; "*",'SKU Maintenance'!D:H,5,0),"not found")</f>
        <v>2010010798987382</v>
      </c>
      <c r="B12">
        <v>40013191</v>
      </c>
      <c r="C12" t="s">
        <v>443</v>
      </c>
      <c r="D12"/>
      <c r="E12"/>
      <c r="F12" s="3">
        <v>44757</v>
      </c>
      <c r="G12" s="49">
        <v>1</v>
      </c>
      <c r="H12" s="23">
        <v>899.77499999999998</v>
      </c>
      <c r="I12" t="s">
        <v>6945</v>
      </c>
      <c r="J12"/>
      <c r="K12"/>
      <c r="L12"/>
      <c r="M12"/>
      <c r="N12"/>
      <c r="O12"/>
      <c r="P12"/>
      <c r="Q12"/>
      <c r="R12"/>
    </row>
    <row r="13" spans="1:23" x14ac:dyDescent="0.25">
      <c r="A13" t="str">
        <f>IFERROR(VLOOKUP(B13&amp; "*",'SKU Maintenance'!D:H,5,0),"not found")</f>
        <v>2010011198180056</v>
      </c>
      <c r="B13">
        <v>40013205</v>
      </c>
      <c r="C13" t="s">
        <v>414</v>
      </c>
      <c r="D13"/>
      <c r="E13"/>
      <c r="F13" s="3">
        <v>44765</v>
      </c>
      <c r="G13" s="49">
        <v>1</v>
      </c>
      <c r="H13" s="23">
        <v>199.75</v>
      </c>
      <c r="I13" t="s">
        <v>6943</v>
      </c>
      <c r="J13"/>
      <c r="K13"/>
      <c r="L13"/>
      <c r="M13"/>
      <c r="N13"/>
      <c r="O13"/>
      <c r="P13"/>
      <c r="Q13"/>
      <c r="R13"/>
    </row>
    <row r="14" spans="1:23" x14ac:dyDescent="0.25">
      <c r="A14" t="str">
        <f>IFERROR(VLOOKUP(B14&amp; "*",'SKU Maintenance'!D:H,5,0),"not found")</f>
        <v>2010011198190057</v>
      </c>
      <c r="B14">
        <v>40013206</v>
      </c>
      <c r="C14" t="s">
        <v>413</v>
      </c>
      <c r="D14"/>
      <c r="E14"/>
      <c r="F14" s="3">
        <v>44765</v>
      </c>
      <c r="G14" s="49">
        <v>2</v>
      </c>
      <c r="H14" s="23">
        <v>499.5</v>
      </c>
      <c r="I14" t="s">
        <v>6943</v>
      </c>
      <c r="J14"/>
      <c r="K14"/>
      <c r="L14"/>
      <c r="M14"/>
      <c r="N14"/>
      <c r="O14"/>
      <c r="P14"/>
      <c r="Q14"/>
      <c r="R14"/>
    </row>
    <row r="15" spans="1:23" x14ac:dyDescent="0.25">
      <c r="A15" t="str">
        <f>IFERROR(VLOOKUP(B15&amp; "*",'SKU Maintenance'!D:H,5,0),"not found")</f>
        <v>2010011198180058</v>
      </c>
      <c r="B15">
        <v>40013207</v>
      </c>
      <c r="C15" t="s">
        <v>453</v>
      </c>
      <c r="D15"/>
      <c r="E15"/>
      <c r="F15" s="3">
        <v>44758</v>
      </c>
      <c r="G15" s="49">
        <v>2</v>
      </c>
      <c r="H15" s="23">
        <v>449.55</v>
      </c>
      <c r="I15" t="s">
        <v>6945</v>
      </c>
      <c r="J15"/>
      <c r="K15"/>
      <c r="L15"/>
      <c r="M15"/>
      <c r="N15"/>
      <c r="O15"/>
      <c r="P15"/>
      <c r="Q15"/>
      <c r="R15"/>
    </row>
    <row r="16" spans="1:23" x14ac:dyDescent="0.25">
      <c r="A16" t="str">
        <f>IFERROR(VLOOKUP(B16&amp; "*",'SKU Maintenance'!D:H,5,0),"not found")</f>
        <v>2010011198180058</v>
      </c>
      <c r="B16">
        <v>40013207</v>
      </c>
      <c r="C16" t="s">
        <v>453</v>
      </c>
      <c r="D16"/>
      <c r="E16"/>
      <c r="F16" s="3">
        <v>44762</v>
      </c>
      <c r="G16" s="49">
        <v>5</v>
      </c>
      <c r="H16" s="23">
        <v>1123.9000000000001</v>
      </c>
      <c r="I16" t="s">
        <v>6945</v>
      </c>
      <c r="J16"/>
      <c r="K16"/>
      <c r="L16"/>
      <c r="M16"/>
      <c r="N16"/>
      <c r="O16"/>
      <c r="P16"/>
      <c r="Q16"/>
      <c r="R16"/>
    </row>
    <row r="17" spans="1:18" x14ac:dyDescent="0.25">
      <c r="A17" t="str">
        <f>IFERROR(VLOOKUP(B17&amp; "*",'SKU Maintenance'!D:H,5,0),"not found")</f>
        <v>2010020198167039</v>
      </c>
      <c r="B17">
        <v>40013231</v>
      </c>
      <c r="C17" t="s">
        <v>218</v>
      </c>
      <c r="D17"/>
      <c r="E17"/>
      <c r="F17" s="3">
        <v>44771</v>
      </c>
      <c r="G17" s="49">
        <v>1</v>
      </c>
      <c r="H17" s="23">
        <v>799.75</v>
      </c>
      <c r="I17" t="s">
        <v>6939</v>
      </c>
      <c r="J17"/>
      <c r="K17"/>
      <c r="L17"/>
      <c r="M17"/>
      <c r="N17"/>
      <c r="O17"/>
      <c r="P17"/>
      <c r="Q17"/>
      <c r="R17"/>
    </row>
    <row r="18" spans="1:18" x14ac:dyDescent="0.25">
      <c r="A18" t="str">
        <f>IFERROR(VLOOKUP(B18&amp; "*",'SKU Maintenance'!D:H,5,0),"not found")</f>
        <v>2010050201225370</v>
      </c>
      <c r="B18">
        <v>40013298</v>
      </c>
      <c r="C18" t="s">
        <v>103</v>
      </c>
      <c r="D18"/>
      <c r="E18"/>
      <c r="F18" s="3">
        <v>44768</v>
      </c>
      <c r="G18" s="49">
        <v>1</v>
      </c>
      <c r="H18" s="23">
        <v>129.75</v>
      </c>
      <c r="I18" t="s">
        <v>6941</v>
      </c>
      <c r="J18"/>
      <c r="K18"/>
      <c r="L18"/>
      <c r="M18"/>
      <c r="N18"/>
      <c r="O18"/>
      <c r="P18"/>
      <c r="Q18"/>
      <c r="R18"/>
    </row>
    <row r="19" spans="1:18" x14ac:dyDescent="0.25">
      <c r="A19" t="str">
        <f>IFERROR(VLOOKUP(B19&amp; "*",'SKU Maintenance'!D:H,5,0),"not found")</f>
        <v>2010050201225370</v>
      </c>
      <c r="B19">
        <v>40013298</v>
      </c>
      <c r="C19" t="s">
        <v>103</v>
      </c>
      <c r="D19"/>
      <c r="E19"/>
      <c r="F19" s="3">
        <v>44757</v>
      </c>
      <c r="G19" s="49">
        <v>1</v>
      </c>
      <c r="H19" s="23">
        <v>129.75</v>
      </c>
      <c r="I19" t="s">
        <v>6945</v>
      </c>
      <c r="J19"/>
      <c r="K19"/>
      <c r="L19"/>
      <c r="M19"/>
      <c r="N19"/>
      <c r="O19"/>
      <c r="P19"/>
      <c r="Q19"/>
      <c r="R19"/>
    </row>
    <row r="20" spans="1:18" x14ac:dyDescent="0.25">
      <c r="A20" t="str">
        <f>IFERROR(VLOOKUP(B20&amp; "*",'SKU Maintenance'!D:H,5,0),"not found")</f>
        <v>2010050202225370</v>
      </c>
      <c r="B20">
        <v>40013299</v>
      </c>
      <c r="C20" t="s">
        <v>103</v>
      </c>
      <c r="D20"/>
      <c r="E20"/>
      <c r="F20" s="3">
        <v>44751</v>
      </c>
      <c r="G20" s="49">
        <v>1</v>
      </c>
      <c r="H20" s="23">
        <v>149.75</v>
      </c>
      <c r="I20" t="s">
        <v>6939</v>
      </c>
      <c r="J20"/>
      <c r="K20"/>
      <c r="L20"/>
      <c r="M20"/>
      <c r="N20"/>
      <c r="O20"/>
      <c r="P20"/>
      <c r="Q20"/>
      <c r="R20"/>
    </row>
    <row r="21" spans="1:18" x14ac:dyDescent="0.25">
      <c r="A21" t="str">
        <f>IFERROR(VLOOKUP(B21&amp; "*",'SKU Maintenance'!D:H,5,0),"not found")</f>
        <v>2010050202225370</v>
      </c>
      <c r="B21">
        <v>40013299</v>
      </c>
      <c r="C21" t="s">
        <v>103</v>
      </c>
      <c r="D21"/>
      <c r="E21"/>
      <c r="F21" s="3">
        <v>44758</v>
      </c>
      <c r="G21" s="49">
        <v>1</v>
      </c>
      <c r="H21" s="23">
        <v>149.75</v>
      </c>
      <c r="I21" t="s">
        <v>6941</v>
      </c>
      <c r="J21"/>
      <c r="K21"/>
      <c r="L21"/>
      <c r="M21"/>
      <c r="N21"/>
      <c r="O21"/>
      <c r="P21"/>
      <c r="Q21"/>
      <c r="R21"/>
    </row>
    <row r="22" spans="1:18" x14ac:dyDescent="0.25">
      <c r="A22" t="str">
        <f>IFERROR(VLOOKUP(B22&amp; "*",'SKU Maintenance'!D:H,5,0),"not found")</f>
        <v>2010050204225370</v>
      </c>
      <c r="B22">
        <v>40013300</v>
      </c>
      <c r="C22" t="s">
        <v>103</v>
      </c>
      <c r="D22"/>
      <c r="E22"/>
      <c r="F22" s="3">
        <v>44762</v>
      </c>
      <c r="G22" s="49">
        <v>1</v>
      </c>
      <c r="H22" s="23">
        <v>229.75</v>
      </c>
      <c r="I22" t="s">
        <v>6939</v>
      </c>
      <c r="J22"/>
      <c r="K22"/>
      <c r="L22"/>
      <c r="M22"/>
      <c r="N22"/>
      <c r="O22"/>
      <c r="P22"/>
      <c r="Q22"/>
      <c r="R22"/>
    </row>
    <row r="23" spans="1:18" x14ac:dyDescent="0.25">
      <c r="A23" t="str">
        <f>IFERROR(VLOOKUP(B23&amp; "*",'SKU Maintenance'!D:H,5,0),"not found")</f>
        <v>2010050204225370</v>
      </c>
      <c r="B23">
        <v>40013300</v>
      </c>
      <c r="C23" t="s">
        <v>103</v>
      </c>
      <c r="D23"/>
      <c r="E23"/>
      <c r="F23" s="3">
        <v>44764</v>
      </c>
      <c r="G23" s="49">
        <v>1</v>
      </c>
      <c r="H23" s="23">
        <v>229.75</v>
      </c>
      <c r="I23" t="s">
        <v>6941</v>
      </c>
      <c r="J23"/>
      <c r="K23"/>
      <c r="L23"/>
      <c r="M23"/>
      <c r="N23"/>
      <c r="O23"/>
      <c r="P23"/>
      <c r="Q23"/>
      <c r="R23"/>
    </row>
    <row r="24" spans="1:18" x14ac:dyDescent="0.25">
      <c r="A24" t="str">
        <f>IFERROR(VLOOKUP(B24&amp; "*",'SKU Maintenance'!D:H,5,0),"not found")</f>
        <v>2010050201195370</v>
      </c>
      <c r="B24">
        <v>40013301</v>
      </c>
      <c r="C24" t="s">
        <v>174</v>
      </c>
      <c r="D24"/>
      <c r="E24"/>
      <c r="F24" s="3">
        <v>44768</v>
      </c>
      <c r="G24" s="49">
        <v>1</v>
      </c>
      <c r="H24" s="23">
        <v>129.75</v>
      </c>
      <c r="I24" t="s">
        <v>6941</v>
      </c>
      <c r="J24"/>
      <c r="K24"/>
      <c r="L24"/>
      <c r="M24"/>
      <c r="N24"/>
      <c r="O24"/>
      <c r="P24"/>
      <c r="Q24"/>
      <c r="R24"/>
    </row>
    <row r="25" spans="1:18" x14ac:dyDescent="0.25">
      <c r="A25" t="str">
        <f>IFERROR(VLOOKUP(B25&amp; "*",'SKU Maintenance'!D:H,5,0),"not found")</f>
        <v>2010050201195370</v>
      </c>
      <c r="B25">
        <v>40013301</v>
      </c>
      <c r="C25" t="s">
        <v>174</v>
      </c>
      <c r="D25"/>
      <c r="E25"/>
      <c r="F25" s="3">
        <v>44758</v>
      </c>
      <c r="G25" s="49">
        <v>1</v>
      </c>
      <c r="H25" s="23">
        <v>129.75</v>
      </c>
      <c r="I25" t="s">
        <v>6943</v>
      </c>
      <c r="J25"/>
      <c r="K25"/>
      <c r="L25"/>
      <c r="M25"/>
      <c r="N25"/>
      <c r="O25"/>
      <c r="P25"/>
      <c r="Q25"/>
      <c r="R25"/>
    </row>
    <row r="26" spans="1:18" x14ac:dyDescent="0.25">
      <c r="A26" t="str">
        <f>IFERROR(VLOOKUP(B26&amp; "*",'SKU Maintenance'!D:H,5,0),"not found")</f>
        <v>2010050201195370</v>
      </c>
      <c r="B26">
        <v>40013301</v>
      </c>
      <c r="C26" t="s">
        <v>174</v>
      </c>
      <c r="D26"/>
      <c r="E26"/>
      <c r="F26" s="3">
        <v>44766</v>
      </c>
      <c r="G26" s="49">
        <v>2</v>
      </c>
      <c r="H26" s="23">
        <v>259.5</v>
      </c>
      <c r="I26" t="s">
        <v>6943</v>
      </c>
      <c r="J26"/>
      <c r="K26"/>
      <c r="L26"/>
      <c r="M26"/>
      <c r="N26"/>
      <c r="O26"/>
      <c r="P26"/>
      <c r="Q26"/>
      <c r="R26"/>
    </row>
    <row r="27" spans="1:18" x14ac:dyDescent="0.25">
      <c r="A27" t="str">
        <f>IFERROR(VLOOKUP(B27&amp; "*",'SKU Maintenance'!D:H,5,0),"not found")</f>
        <v>2010050201195370</v>
      </c>
      <c r="B27">
        <v>40013301</v>
      </c>
      <c r="C27" t="s">
        <v>174</v>
      </c>
      <c r="D27"/>
      <c r="E27"/>
      <c r="F27" s="3">
        <v>44743</v>
      </c>
      <c r="G27" s="49">
        <v>1</v>
      </c>
      <c r="H27" s="23">
        <v>129.75</v>
      </c>
      <c r="I27" t="s">
        <v>6945</v>
      </c>
      <c r="J27"/>
      <c r="K27"/>
      <c r="L27"/>
      <c r="M27"/>
      <c r="N27"/>
      <c r="O27"/>
      <c r="P27"/>
      <c r="Q27"/>
      <c r="R27"/>
    </row>
    <row r="28" spans="1:18" x14ac:dyDescent="0.25">
      <c r="A28" t="str">
        <f>IFERROR(VLOOKUP(B28&amp; "*",'SKU Maintenance'!D:H,5,0),"not found")</f>
        <v>2010050201195370</v>
      </c>
      <c r="B28">
        <v>40013301</v>
      </c>
      <c r="C28" t="s">
        <v>174</v>
      </c>
      <c r="D28"/>
      <c r="E28"/>
      <c r="F28" s="3">
        <v>44757</v>
      </c>
      <c r="G28" s="49">
        <v>1</v>
      </c>
      <c r="H28" s="23">
        <v>129.75</v>
      </c>
      <c r="I28" t="s">
        <v>6945</v>
      </c>
      <c r="J28"/>
      <c r="K28"/>
      <c r="L28"/>
      <c r="M28"/>
      <c r="N28"/>
      <c r="O28"/>
      <c r="P28"/>
      <c r="Q28"/>
      <c r="R28"/>
    </row>
    <row r="29" spans="1:18" x14ac:dyDescent="0.25">
      <c r="A29" t="str">
        <f>IFERROR(VLOOKUP(B29&amp; "*",'SKU Maintenance'!D:H,5,0),"not found")</f>
        <v>2010050202195370</v>
      </c>
      <c r="B29">
        <v>40013302</v>
      </c>
      <c r="C29" t="s">
        <v>174</v>
      </c>
      <c r="D29"/>
      <c r="E29"/>
      <c r="F29" s="3">
        <v>44771</v>
      </c>
      <c r="G29" s="49">
        <v>1</v>
      </c>
      <c r="H29" s="23">
        <v>149.75</v>
      </c>
      <c r="I29" t="s">
        <v>6941</v>
      </c>
      <c r="J29"/>
      <c r="K29"/>
      <c r="L29"/>
      <c r="M29"/>
      <c r="N29"/>
      <c r="O29"/>
      <c r="P29"/>
      <c r="Q29"/>
      <c r="R29"/>
    </row>
    <row r="30" spans="1:18" x14ac:dyDescent="0.25">
      <c r="A30" t="str">
        <f>IFERROR(VLOOKUP(B30&amp; "*",'SKU Maintenance'!D:H,5,0),"not found")</f>
        <v>2010050204195370</v>
      </c>
      <c r="B30">
        <v>40013303</v>
      </c>
      <c r="C30" t="s">
        <v>174</v>
      </c>
      <c r="D30"/>
      <c r="E30"/>
      <c r="F30" s="3">
        <v>44762</v>
      </c>
      <c r="G30" s="49">
        <v>1</v>
      </c>
      <c r="H30" s="23">
        <v>229.75</v>
      </c>
      <c r="I30" t="s">
        <v>6939</v>
      </c>
      <c r="J30"/>
      <c r="K30"/>
      <c r="L30"/>
      <c r="M30"/>
      <c r="N30"/>
      <c r="O30"/>
      <c r="P30"/>
      <c r="Q30"/>
      <c r="R30"/>
    </row>
    <row r="31" spans="1:18" x14ac:dyDescent="0.25">
      <c r="A31" t="str">
        <f>IFERROR(VLOOKUP(B31&amp; "*",'SKU Maintenance'!D:H,5,0),"not found")</f>
        <v>2010050201165370</v>
      </c>
      <c r="B31">
        <v>40013304</v>
      </c>
      <c r="C31" t="s">
        <v>189</v>
      </c>
      <c r="D31"/>
      <c r="E31"/>
      <c r="F31" s="3">
        <v>44764</v>
      </c>
      <c r="G31" s="49">
        <v>1</v>
      </c>
      <c r="H31" s="23">
        <v>129.75</v>
      </c>
      <c r="I31" t="s">
        <v>6941</v>
      </c>
      <c r="J31"/>
      <c r="K31"/>
      <c r="L31"/>
      <c r="M31"/>
      <c r="N31"/>
      <c r="O31"/>
      <c r="P31"/>
      <c r="Q31"/>
      <c r="R31"/>
    </row>
    <row r="32" spans="1:18" x14ac:dyDescent="0.25">
      <c r="A32" t="str">
        <f>IFERROR(VLOOKUP(B32&amp; "*",'SKU Maintenance'!D:H,5,0),"not found")</f>
        <v>2010050201165370</v>
      </c>
      <c r="B32">
        <v>40013304</v>
      </c>
      <c r="C32" t="s">
        <v>189</v>
      </c>
      <c r="D32"/>
      <c r="E32"/>
      <c r="F32" s="3">
        <v>44757</v>
      </c>
      <c r="G32" s="49">
        <v>1</v>
      </c>
      <c r="H32" s="23">
        <v>129.75</v>
      </c>
      <c r="I32" t="s">
        <v>6945</v>
      </c>
      <c r="J32"/>
      <c r="K32"/>
      <c r="L32"/>
      <c r="M32"/>
      <c r="N32"/>
      <c r="O32"/>
      <c r="P32"/>
      <c r="Q32"/>
      <c r="R32"/>
    </row>
    <row r="33" spans="1:18" x14ac:dyDescent="0.25">
      <c r="A33" t="str">
        <f>IFERROR(VLOOKUP(B33&amp; "*",'SKU Maintenance'!D:H,5,0),"not found")</f>
        <v>2010050202165370</v>
      </c>
      <c r="B33">
        <v>40013305</v>
      </c>
      <c r="C33" t="s">
        <v>189</v>
      </c>
      <c r="D33"/>
      <c r="E33"/>
      <c r="F33" s="3">
        <v>44765</v>
      </c>
      <c r="G33" s="49">
        <v>1</v>
      </c>
      <c r="H33" s="23">
        <v>149.75</v>
      </c>
      <c r="I33" t="s">
        <v>6939</v>
      </c>
      <c r="J33"/>
      <c r="K33"/>
      <c r="L33"/>
      <c r="M33"/>
      <c r="N33"/>
      <c r="O33"/>
      <c r="P33"/>
      <c r="Q33"/>
      <c r="R33"/>
    </row>
    <row r="34" spans="1:18" x14ac:dyDescent="0.25">
      <c r="A34" t="str">
        <f>IFERROR(VLOOKUP(B34&amp; "*",'SKU Maintenance'!D:H,5,0),"not found")</f>
        <v>2010050202165370</v>
      </c>
      <c r="B34">
        <v>40013305</v>
      </c>
      <c r="C34" t="s">
        <v>189</v>
      </c>
      <c r="D34"/>
      <c r="E34"/>
      <c r="F34" s="3">
        <v>44754</v>
      </c>
      <c r="G34" s="49">
        <v>1</v>
      </c>
      <c r="H34" s="23">
        <v>149.75</v>
      </c>
      <c r="I34" t="s">
        <v>6941</v>
      </c>
      <c r="J34"/>
      <c r="K34"/>
      <c r="L34"/>
      <c r="M34"/>
      <c r="N34"/>
      <c r="O34"/>
      <c r="P34"/>
      <c r="Q34"/>
      <c r="R34"/>
    </row>
    <row r="35" spans="1:18" x14ac:dyDescent="0.25">
      <c r="A35" t="str">
        <f>IFERROR(VLOOKUP(B35&amp; "*",'SKU Maintenance'!D:H,5,0),"not found")</f>
        <v>2010050204165370</v>
      </c>
      <c r="B35">
        <v>40013306</v>
      </c>
      <c r="C35" t="s">
        <v>189</v>
      </c>
      <c r="D35"/>
      <c r="E35"/>
      <c r="F35" s="3">
        <v>44748</v>
      </c>
      <c r="G35" s="49">
        <v>2</v>
      </c>
      <c r="H35" s="23">
        <v>459.5</v>
      </c>
      <c r="I35" t="s">
        <v>6941</v>
      </c>
      <c r="J35"/>
      <c r="K35"/>
      <c r="L35"/>
      <c r="M35"/>
      <c r="N35"/>
      <c r="O35"/>
      <c r="P35"/>
      <c r="Q35"/>
      <c r="R35"/>
    </row>
    <row r="36" spans="1:18" x14ac:dyDescent="0.25">
      <c r="A36" t="str">
        <f>IFERROR(VLOOKUP(B36&amp; "*",'SKU Maintenance'!D:H,5,0),"not found")</f>
        <v>2010050204135372</v>
      </c>
      <c r="B36">
        <v>40013318</v>
      </c>
      <c r="C36" t="s">
        <v>111</v>
      </c>
      <c r="D36"/>
      <c r="E36"/>
      <c r="F36" s="3">
        <v>44752</v>
      </c>
      <c r="G36" s="49">
        <v>1</v>
      </c>
      <c r="H36" s="23">
        <v>229.75</v>
      </c>
      <c r="I36" t="s">
        <v>6939</v>
      </c>
      <c r="J36"/>
      <c r="K36"/>
      <c r="L36"/>
      <c r="M36"/>
      <c r="N36"/>
      <c r="O36"/>
      <c r="P36"/>
      <c r="Q36"/>
      <c r="R36"/>
    </row>
    <row r="37" spans="1:18" x14ac:dyDescent="0.25">
      <c r="A37" t="str">
        <f>IFERROR(VLOOKUP(B37&amp; "*",'SKU Maintenance'!D:H,5,0),"not found")</f>
        <v>2010050201045372</v>
      </c>
      <c r="B37">
        <v>40013319</v>
      </c>
      <c r="C37" t="s">
        <v>446</v>
      </c>
      <c r="D37"/>
      <c r="E37"/>
      <c r="F37" s="3">
        <v>44757</v>
      </c>
      <c r="G37" s="49">
        <v>1</v>
      </c>
      <c r="H37" s="23">
        <v>129.75</v>
      </c>
      <c r="I37" t="s">
        <v>6945</v>
      </c>
      <c r="J37"/>
      <c r="K37"/>
      <c r="L37"/>
      <c r="M37"/>
      <c r="N37"/>
      <c r="O37"/>
      <c r="P37"/>
      <c r="Q37"/>
      <c r="R37"/>
    </row>
    <row r="38" spans="1:18" x14ac:dyDescent="0.25">
      <c r="A38" t="str">
        <f>IFERROR(VLOOKUP(B38&amp; "*",'SKU Maintenance'!D:H,5,0),"not found")</f>
        <v>2010050201105372</v>
      </c>
      <c r="B38">
        <v>40013322</v>
      </c>
      <c r="C38" t="s">
        <v>95</v>
      </c>
      <c r="D38"/>
      <c r="E38"/>
      <c r="F38" s="3">
        <v>44768</v>
      </c>
      <c r="G38" s="49">
        <v>1</v>
      </c>
      <c r="H38" s="23">
        <v>129.75</v>
      </c>
      <c r="I38" t="s">
        <v>6939</v>
      </c>
      <c r="J38"/>
      <c r="K38"/>
      <c r="L38"/>
      <c r="M38"/>
      <c r="N38"/>
      <c r="O38"/>
      <c r="P38"/>
      <c r="Q38"/>
      <c r="R38"/>
    </row>
    <row r="39" spans="1:18" x14ac:dyDescent="0.25">
      <c r="A39" t="str">
        <f>IFERROR(VLOOKUP(B39&amp; "*",'SKU Maintenance'!D:H,5,0),"not found")</f>
        <v>2010050202105372</v>
      </c>
      <c r="B39">
        <v>40013323</v>
      </c>
      <c r="C39" t="s">
        <v>95</v>
      </c>
      <c r="D39"/>
      <c r="E39"/>
      <c r="F39" s="3">
        <v>44748</v>
      </c>
      <c r="G39" s="49">
        <v>1</v>
      </c>
      <c r="H39" s="23">
        <v>134.78</v>
      </c>
      <c r="I39" t="s">
        <v>6939</v>
      </c>
      <c r="J39"/>
      <c r="K39"/>
      <c r="L39"/>
      <c r="M39"/>
      <c r="N39"/>
      <c r="O39"/>
      <c r="P39"/>
      <c r="Q39"/>
      <c r="R39"/>
    </row>
    <row r="40" spans="1:18" x14ac:dyDescent="0.25">
      <c r="A40" t="str">
        <f>IFERROR(VLOOKUP(B40&amp; "*",'SKU Maintenance'!D:H,5,0),"not found")</f>
        <v>2010050202105372</v>
      </c>
      <c r="B40">
        <v>40013323</v>
      </c>
      <c r="C40" t="s">
        <v>95</v>
      </c>
      <c r="D40"/>
      <c r="E40"/>
      <c r="F40" s="3">
        <v>44764</v>
      </c>
      <c r="G40" s="49">
        <v>3</v>
      </c>
      <c r="H40" s="23">
        <v>449.25</v>
      </c>
      <c r="I40" t="s">
        <v>6939</v>
      </c>
      <c r="J40"/>
      <c r="K40"/>
      <c r="L40"/>
      <c r="M40"/>
      <c r="N40"/>
      <c r="O40"/>
      <c r="P40"/>
      <c r="Q40"/>
      <c r="R40"/>
    </row>
    <row r="41" spans="1:18" x14ac:dyDescent="0.25">
      <c r="A41" t="str">
        <f>IFERROR(VLOOKUP(B41&amp; "*",'SKU Maintenance'!D:H,5,0),"not found")</f>
        <v>2010050201135374</v>
      </c>
      <c r="B41">
        <v>40013334</v>
      </c>
      <c r="C41" t="s">
        <v>64</v>
      </c>
      <c r="D41"/>
      <c r="E41"/>
      <c r="F41" s="3">
        <v>44772</v>
      </c>
      <c r="G41" s="49">
        <v>2</v>
      </c>
      <c r="H41" s="23">
        <v>199.5</v>
      </c>
      <c r="I41" t="s">
        <v>6939</v>
      </c>
      <c r="J41"/>
      <c r="K41"/>
      <c r="L41"/>
      <c r="M41"/>
      <c r="N41"/>
      <c r="O41"/>
      <c r="P41"/>
      <c r="Q41"/>
      <c r="R41"/>
    </row>
    <row r="42" spans="1:18" x14ac:dyDescent="0.25">
      <c r="A42" t="str">
        <f>IFERROR(VLOOKUP(B42&amp; "*",'SKU Maintenance'!D:H,5,0),"not found")</f>
        <v>2010050201135374</v>
      </c>
      <c r="B42">
        <v>40013334</v>
      </c>
      <c r="C42" t="s">
        <v>64</v>
      </c>
      <c r="D42"/>
      <c r="E42"/>
      <c r="F42" s="3">
        <v>44771</v>
      </c>
      <c r="G42" s="49">
        <v>1</v>
      </c>
      <c r="H42" s="23">
        <v>99.75</v>
      </c>
      <c r="I42" t="s">
        <v>6945</v>
      </c>
      <c r="J42"/>
      <c r="K42"/>
      <c r="L42"/>
      <c r="M42"/>
      <c r="N42"/>
      <c r="O42"/>
      <c r="P42"/>
      <c r="Q42"/>
      <c r="R42"/>
    </row>
    <row r="43" spans="1:18" x14ac:dyDescent="0.25">
      <c r="A43" t="str">
        <f>IFERROR(VLOOKUP(B43&amp; "*",'SKU Maintenance'!D:H,5,0),"not found")</f>
        <v>2010050202105374</v>
      </c>
      <c r="B43">
        <v>40013341</v>
      </c>
      <c r="C43" t="s">
        <v>64</v>
      </c>
      <c r="D43"/>
      <c r="E43"/>
      <c r="F43" s="3">
        <v>44744</v>
      </c>
      <c r="G43" s="49">
        <v>1</v>
      </c>
      <c r="H43" s="23">
        <v>129.75</v>
      </c>
      <c r="I43" t="s">
        <v>6939</v>
      </c>
      <c r="J43"/>
      <c r="K43"/>
      <c r="L43"/>
      <c r="M43"/>
      <c r="N43"/>
      <c r="O43"/>
      <c r="P43"/>
      <c r="Q43"/>
      <c r="R43"/>
    </row>
    <row r="44" spans="1:18" x14ac:dyDescent="0.25">
      <c r="A44" t="str">
        <f>IFERROR(VLOOKUP(B44&amp; "*",'SKU Maintenance'!D:H,5,0),"not found")</f>
        <v>2010050202105374</v>
      </c>
      <c r="B44">
        <v>40013341</v>
      </c>
      <c r="C44" t="s">
        <v>64</v>
      </c>
      <c r="D44"/>
      <c r="E44"/>
      <c r="F44" s="3">
        <v>44768</v>
      </c>
      <c r="G44" s="49">
        <v>1</v>
      </c>
      <c r="H44" s="23">
        <v>129.75</v>
      </c>
      <c r="I44" t="s">
        <v>6939</v>
      </c>
      <c r="J44"/>
      <c r="K44"/>
      <c r="L44"/>
      <c r="M44"/>
      <c r="N44"/>
      <c r="O44"/>
      <c r="P44"/>
      <c r="Q44"/>
      <c r="R44"/>
    </row>
    <row r="45" spans="1:18" x14ac:dyDescent="0.25">
      <c r="A45" t="str">
        <f>IFERROR(VLOOKUP(B45&amp; "*",'SKU Maintenance'!D:H,5,0),"not found")</f>
        <v>2010050205045379</v>
      </c>
      <c r="B45">
        <v>40013380</v>
      </c>
      <c r="C45" t="s">
        <v>442</v>
      </c>
      <c r="D45"/>
      <c r="E45"/>
      <c r="F45" s="3">
        <v>44751</v>
      </c>
      <c r="G45" s="49">
        <v>1</v>
      </c>
      <c r="H45" s="23">
        <v>249.75</v>
      </c>
      <c r="I45" t="s">
        <v>6945</v>
      </c>
      <c r="J45"/>
      <c r="K45"/>
      <c r="L45"/>
      <c r="M45"/>
      <c r="N45"/>
      <c r="O45"/>
      <c r="P45"/>
      <c r="Q45"/>
      <c r="R45"/>
    </row>
    <row r="46" spans="1:18" x14ac:dyDescent="0.25">
      <c r="A46" t="str">
        <f>IFERROR(VLOOKUP(B46&amp; "*",'SKU Maintenance'!D:H,5,0),"not found")</f>
        <v>2010050204035379</v>
      </c>
      <c r="B46">
        <v>40013382</v>
      </c>
      <c r="C46" t="s">
        <v>423</v>
      </c>
      <c r="D46"/>
      <c r="E46"/>
      <c r="F46" s="3">
        <v>44767</v>
      </c>
      <c r="G46" s="49">
        <v>1</v>
      </c>
      <c r="H46" s="23">
        <v>199.75</v>
      </c>
      <c r="I46" t="s">
        <v>6943</v>
      </c>
      <c r="J46"/>
      <c r="K46"/>
      <c r="L46"/>
      <c r="M46"/>
      <c r="N46"/>
      <c r="O46"/>
      <c r="P46"/>
      <c r="Q46"/>
      <c r="R46"/>
    </row>
    <row r="47" spans="1:18" x14ac:dyDescent="0.25">
      <c r="A47" t="str">
        <f>IFERROR(VLOOKUP(B47&amp; "*",'SKU Maintenance'!D:H,5,0),"not found")</f>
        <v>2010050205035379</v>
      </c>
      <c r="B47">
        <v>40013383</v>
      </c>
      <c r="C47" t="s">
        <v>424</v>
      </c>
      <c r="D47"/>
      <c r="E47"/>
      <c r="F47" s="3">
        <v>44767</v>
      </c>
      <c r="G47" s="49">
        <v>1</v>
      </c>
      <c r="H47" s="23">
        <v>249.75</v>
      </c>
      <c r="I47" t="s">
        <v>6943</v>
      </c>
      <c r="J47"/>
      <c r="K47"/>
      <c r="L47"/>
      <c r="M47"/>
      <c r="N47"/>
      <c r="O47"/>
      <c r="P47"/>
      <c r="Q47"/>
      <c r="R47"/>
    </row>
    <row r="48" spans="1:18" x14ac:dyDescent="0.25">
      <c r="A48" t="str">
        <f>IFERROR(VLOOKUP(B48&amp; "*",'SKU Maintenance'!D:H,5,0),"not found")</f>
        <v>2010050206035379</v>
      </c>
      <c r="B48">
        <v>40013385</v>
      </c>
      <c r="C48" t="s">
        <v>422</v>
      </c>
      <c r="D48"/>
      <c r="E48"/>
      <c r="F48" s="3">
        <v>44767</v>
      </c>
      <c r="G48" s="49">
        <v>1</v>
      </c>
      <c r="H48" s="23">
        <v>399.75</v>
      </c>
      <c r="I48" t="s">
        <v>6943</v>
      </c>
      <c r="J48"/>
      <c r="K48"/>
      <c r="L48"/>
      <c r="M48"/>
      <c r="N48"/>
      <c r="O48"/>
      <c r="P48"/>
      <c r="Q48"/>
      <c r="R48"/>
    </row>
    <row r="49" spans="1:18" x14ac:dyDescent="0.25">
      <c r="A49" t="str">
        <f>IFERROR(VLOOKUP(B49&amp; "*",'SKU Maintenance'!D:H,5,0),"not found")</f>
        <v>2010050201025380</v>
      </c>
      <c r="B49">
        <v>40013391</v>
      </c>
      <c r="C49" t="s">
        <v>448</v>
      </c>
      <c r="D49"/>
      <c r="E49"/>
      <c r="F49" s="3">
        <v>44757</v>
      </c>
      <c r="G49" s="49">
        <v>1</v>
      </c>
      <c r="H49" s="23">
        <v>99.75</v>
      </c>
      <c r="I49" t="s">
        <v>6945</v>
      </c>
      <c r="J49"/>
      <c r="K49"/>
      <c r="L49"/>
      <c r="M49"/>
      <c r="N49"/>
      <c r="O49"/>
      <c r="P49"/>
      <c r="Q49"/>
      <c r="R49"/>
    </row>
    <row r="50" spans="1:18" x14ac:dyDescent="0.25">
      <c r="A50" t="s">
        <v>6959</v>
      </c>
      <c r="B50">
        <v>40013539</v>
      </c>
      <c r="C50" t="s">
        <v>211</v>
      </c>
      <c r="D50"/>
      <c r="E50"/>
      <c r="F50" s="3">
        <v>44769</v>
      </c>
      <c r="G50" s="49">
        <v>1</v>
      </c>
      <c r="H50" s="23">
        <v>229.75</v>
      </c>
      <c r="I50" t="s">
        <v>6939</v>
      </c>
      <c r="J50"/>
      <c r="K50"/>
      <c r="L50"/>
      <c r="M50"/>
      <c r="N50"/>
      <c r="O50"/>
      <c r="P50"/>
      <c r="Q50"/>
      <c r="R50"/>
    </row>
    <row r="51" spans="1:18" x14ac:dyDescent="0.25">
      <c r="A51" t="s">
        <v>6959</v>
      </c>
      <c r="B51">
        <v>40013539</v>
      </c>
      <c r="C51" t="s">
        <v>211</v>
      </c>
      <c r="D51"/>
      <c r="E51"/>
      <c r="F51" s="3">
        <v>44768</v>
      </c>
      <c r="G51" s="49">
        <v>1</v>
      </c>
      <c r="H51" s="23">
        <v>229.75</v>
      </c>
      <c r="I51" t="s">
        <v>6941</v>
      </c>
      <c r="J51"/>
      <c r="K51"/>
      <c r="L51"/>
      <c r="M51"/>
      <c r="N51"/>
      <c r="O51"/>
      <c r="P51"/>
      <c r="Q51"/>
      <c r="R51"/>
    </row>
    <row r="52" spans="1:18" x14ac:dyDescent="0.25">
      <c r="A52" t="str">
        <f>IFERROR(VLOOKUP(B52&amp; "*",'SKU Maintenance'!D:H,5,0),"not found")</f>
        <v>2020021198180038</v>
      </c>
      <c r="B52">
        <v>40013570</v>
      </c>
      <c r="C52" t="s">
        <v>234</v>
      </c>
      <c r="D52"/>
      <c r="E52"/>
      <c r="F52" s="3">
        <v>44743</v>
      </c>
      <c r="G52" s="49">
        <v>2</v>
      </c>
      <c r="H52" s="23">
        <v>3500</v>
      </c>
      <c r="I52" t="s">
        <v>6941</v>
      </c>
      <c r="J52"/>
      <c r="K52"/>
      <c r="L52"/>
      <c r="M52"/>
      <c r="N52"/>
      <c r="O52"/>
      <c r="P52"/>
      <c r="Q52"/>
      <c r="R52"/>
    </row>
    <row r="53" spans="1:18" x14ac:dyDescent="0.25">
      <c r="A53" t="str">
        <f>IFERROR(VLOOKUP(B53&amp; "*",'SKU Maintenance'!D:H,5,0),"not found")</f>
        <v>2010030198291174</v>
      </c>
      <c r="B53">
        <v>40013728</v>
      </c>
      <c r="C53" t="s">
        <v>459</v>
      </c>
      <c r="D53"/>
      <c r="E53"/>
      <c r="F53" s="3">
        <v>44761</v>
      </c>
      <c r="G53" s="49">
        <v>1</v>
      </c>
      <c r="H53" s="23">
        <v>399.75</v>
      </c>
      <c r="I53" t="s">
        <v>6945</v>
      </c>
      <c r="J53"/>
      <c r="K53"/>
      <c r="L53"/>
      <c r="M53"/>
      <c r="N53"/>
      <c r="O53"/>
      <c r="P53"/>
      <c r="Q53"/>
      <c r="R53"/>
    </row>
    <row r="54" spans="1:18" x14ac:dyDescent="0.25">
      <c r="A54" t="str">
        <f>IFERROR(VLOOKUP(B54&amp; "*",'SKU Maintenance'!D:H,5,0),"not found")</f>
        <v>2010030198181175</v>
      </c>
      <c r="B54">
        <v>40013730</v>
      </c>
      <c r="C54" t="s">
        <v>172</v>
      </c>
      <c r="D54"/>
      <c r="E54"/>
      <c r="F54" s="3">
        <v>44761</v>
      </c>
      <c r="G54" s="49">
        <v>1</v>
      </c>
      <c r="H54" s="23">
        <v>399.75</v>
      </c>
      <c r="I54" t="s">
        <v>6939</v>
      </c>
      <c r="J54"/>
      <c r="K54"/>
      <c r="L54"/>
      <c r="M54"/>
      <c r="N54"/>
      <c r="O54"/>
      <c r="P54"/>
      <c r="Q54"/>
      <c r="R54"/>
    </row>
    <row r="55" spans="1:18" x14ac:dyDescent="0.25">
      <c r="A55" t="str">
        <f>IFERROR(VLOOKUP(B55&amp; "*",'SKU Maintenance'!D:H,5,0),"not found")</f>
        <v>2010030198181175</v>
      </c>
      <c r="B55">
        <v>40013730</v>
      </c>
      <c r="C55" t="s">
        <v>172</v>
      </c>
      <c r="D55"/>
      <c r="E55"/>
      <c r="F55" s="3">
        <v>44771</v>
      </c>
      <c r="G55" s="49">
        <v>1</v>
      </c>
      <c r="H55" s="23">
        <v>399.75</v>
      </c>
      <c r="I55" t="s">
        <v>6943</v>
      </c>
      <c r="J55"/>
      <c r="K55"/>
      <c r="L55"/>
      <c r="M55"/>
      <c r="N55"/>
      <c r="O55"/>
      <c r="P55"/>
      <c r="Q55"/>
      <c r="R55"/>
    </row>
    <row r="56" spans="1:18" x14ac:dyDescent="0.25">
      <c r="A56" t="str">
        <f>IFERROR(VLOOKUP(B56&amp; "*",'SKU Maintenance'!D:H,5,0),"not found")</f>
        <v>2010030198161175</v>
      </c>
      <c r="B56">
        <v>40013731</v>
      </c>
      <c r="C56" t="s">
        <v>172</v>
      </c>
      <c r="D56"/>
      <c r="E56"/>
      <c r="F56" s="3">
        <v>44744</v>
      </c>
      <c r="G56" s="49">
        <v>1</v>
      </c>
      <c r="H56" s="23">
        <v>399.75</v>
      </c>
      <c r="I56" t="s">
        <v>6941</v>
      </c>
      <c r="J56"/>
      <c r="K56"/>
      <c r="L56"/>
      <c r="M56"/>
      <c r="N56"/>
      <c r="O56"/>
      <c r="P56"/>
      <c r="Q56"/>
      <c r="R56"/>
    </row>
    <row r="57" spans="1:18" x14ac:dyDescent="0.25">
      <c r="A57" t="str">
        <f>IFERROR(VLOOKUP(B57&amp; "*",'SKU Maintenance'!D:H,5,0),"not found")</f>
        <v>2010030198161175</v>
      </c>
      <c r="B57">
        <v>40013731</v>
      </c>
      <c r="C57" t="s">
        <v>172</v>
      </c>
      <c r="D57"/>
      <c r="E57"/>
      <c r="F57" s="3">
        <v>44765</v>
      </c>
      <c r="G57" s="49">
        <v>1</v>
      </c>
      <c r="H57" s="23">
        <v>399.75</v>
      </c>
      <c r="I57" t="s">
        <v>6941</v>
      </c>
      <c r="J57"/>
      <c r="K57"/>
      <c r="L57"/>
      <c r="M57"/>
      <c r="N57"/>
      <c r="O57"/>
      <c r="P57"/>
      <c r="Q57"/>
      <c r="R57"/>
    </row>
    <row r="58" spans="1:18" x14ac:dyDescent="0.25">
      <c r="A58" t="str">
        <f>IFERROR(VLOOKUP(B58&amp; "*",'SKU Maintenance'!D:H,5,0),"not found")</f>
        <v>2010030198161175</v>
      </c>
      <c r="B58">
        <v>40013731</v>
      </c>
      <c r="C58" t="s">
        <v>172</v>
      </c>
      <c r="D58"/>
      <c r="E58"/>
      <c r="F58" s="3">
        <v>44756</v>
      </c>
      <c r="G58" s="49">
        <v>1</v>
      </c>
      <c r="H58" s="23">
        <v>399.75</v>
      </c>
      <c r="I58" t="s">
        <v>6943</v>
      </c>
      <c r="J58"/>
      <c r="K58"/>
      <c r="L58"/>
      <c r="M58"/>
      <c r="N58"/>
      <c r="O58"/>
      <c r="P58"/>
      <c r="Q58"/>
      <c r="R58"/>
    </row>
    <row r="59" spans="1:18" x14ac:dyDescent="0.25">
      <c r="A59" t="str">
        <f>IFERROR(VLOOKUP(B59&amp; "*",'SKU Maintenance'!D:H,5,0),"not found")</f>
        <v>2010030198221175</v>
      </c>
      <c r="B59">
        <v>40013732</v>
      </c>
      <c r="C59" t="s">
        <v>172</v>
      </c>
      <c r="D59"/>
      <c r="E59"/>
      <c r="F59" s="3">
        <v>44746</v>
      </c>
      <c r="G59" s="49">
        <v>1</v>
      </c>
      <c r="H59" s="23">
        <v>399.75</v>
      </c>
      <c r="I59" t="s">
        <v>6941</v>
      </c>
      <c r="J59"/>
      <c r="K59"/>
      <c r="L59"/>
      <c r="M59"/>
      <c r="N59"/>
      <c r="O59"/>
      <c r="P59"/>
      <c r="Q59"/>
      <c r="R59"/>
    </row>
    <row r="60" spans="1:18" x14ac:dyDescent="0.25">
      <c r="A60" t="str">
        <f>IFERROR(VLOOKUP(B60&amp; "*",'SKU Maintenance'!D:H,5,0),"not found")</f>
        <v>2010030198221175</v>
      </c>
      <c r="B60">
        <v>40013732</v>
      </c>
      <c r="C60" t="s">
        <v>172</v>
      </c>
      <c r="D60"/>
      <c r="E60"/>
      <c r="F60" s="3">
        <v>44757</v>
      </c>
      <c r="G60" s="49">
        <v>1</v>
      </c>
      <c r="H60" s="23">
        <v>399.75</v>
      </c>
      <c r="I60" t="s">
        <v>6941</v>
      </c>
      <c r="J60"/>
      <c r="K60"/>
      <c r="L60"/>
      <c r="M60"/>
      <c r="N60"/>
      <c r="O60"/>
      <c r="P60"/>
      <c r="Q60"/>
      <c r="R60"/>
    </row>
    <row r="61" spans="1:18" x14ac:dyDescent="0.25">
      <c r="A61" t="str">
        <f>IFERROR(VLOOKUP(B61&amp; "*",'SKU Maintenance'!D:H,5,0),"not found")</f>
        <v>2010030198221175</v>
      </c>
      <c r="B61">
        <v>40013732</v>
      </c>
      <c r="C61" t="s">
        <v>172</v>
      </c>
      <c r="D61"/>
      <c r="E61"/>
      <c r="F61" s="3">
        <v>44773</v>
      </c>
      <c r="G61" s="49">
        <v>1</v>
      </c>
      <c r="H61" s="23">
        <v>399.75</v>
      </c>
      <c r="I61" t="s">
        <v>6941</v>
      </c>
      <c r="J61"/>
      <c r="K61"/>
      <c r="L61"/>
      <c r="M61"/>
      <c r="N61"/>
      <c r="O61"/>
      <c r="P61"/>
      <c r="Q61"/>
      <c r="R61"/>
    </row>
    <row r="62" spans="1:18" x14ac:dyDescent="0.25">
      <c r="A62" t="str">
        <f>IFERROR(VLOOKUP(B62&amp; "*",'SKU Maintenance'!D:H,5,0),"not found")</f>
        <v>2010030498183412</v>
      </c>
      <c r="B62">
        <v>40013745</v>
      </c>
      <c r="C62" t="s">
        <v>263</v>
      </c>
      <c r="D62"/>
      <c r="E62"/>
      <c r="F62" s="3">
        <v>44747</v>
      </c>
      <c r="G62" s="49">
        <v>1</v>
      </c>
      <c r="H62" s="23">
        <v>449.75</v>
      </c>
      <c r="I62" t="s">
        <v>6941</v>
      </c>
      <c r="J62"/>
      <c r="K62"/>
      <c r="L62"/>
      <c r="M62"/>
      <c r="N62"/>
      <c r="O62"/>
      <c r="P62"/>
      <c r="Q62"/>
      <c r="R62"/>
    </row>
    <row r="63" spans="1:18" x14ac:dyDescent="0.25">
      <c r="A63" t="str">
        <f>IFERROR(VLOOKUP(B63&amp; "*",'SKU Maintenance'!D:H,5,0),"not found")</f>
        <v>2010040902177138</v>
      </c>
      <c r="B63">
        <v>40013759</v>
      </c>
      <c r="C63" t="s">
        <v>135</v>
      </c>
      <c r="D63"/>
      <c r="E63"/>
      <c r="F63" s="3">
        <v>44756</v>
      </c>
      <c r="G63" s="49">
        <v>1</v>
      </c>
      <c r="H63" s="23">
        <v>150</v>
      </c>
      <c r="I63" t="s">
        <v>6939</v>
      </c>
      <c r="J63"/>
      <c r="K63"/>
      <c r="L63"/>
      <c r="M63"/>
      <c r="N63"/>
      <c r="O63"/>
      <c r="P63"/>
      <c r="Q63"/>
      <c r="R63"/>
    </row>
    <row r="64" spans="1:18" x14ac:dyDescent="0.25">
      <c r="A64" t="str">
        <f>IFERROR(VLOOKUP(B64&amp; "*",'SKU Maintenance'!D:H,5,0),"X9998")</f>
        <v>X9998</v>
      </c>
      <c r="B64">
        <v>40013787</v>
      </c>
      <c r="C64" t="s">
        <v>315</v>
      </c>
      <c r="D64"/>
      <c r="E64"/>
      <c r="F64" s="3">
        <v>44764</v>
      </c>
      <c r="G64" s="49">
        <v>1</v>
      </c>
      <c r="H64" s="23">
        <v>249.75</v>
      </c>
      <c r="I64" t="s">
        <v>6941</v>
      </c>
      <c r="J64"/>
      <c r="K64"/>
      <c r="L64"/>
      <c r="M64"/>
      <c r="N64"/>
      <c r="O64"/>
      <c r="P64"/>
      <c r="Q64"/>
      <c r="R64"/>
    </row>
    <row r="65" spans="1:18" x14ac:dyDescent="0.25">
      <c r="A65" t="str">
        <f>IFERROR(VLOOKUP(B65&amp; "*",'SKU Maintenance'!D:H,5,0),"X9998")</f>
        <v>X9998</v>
      </c>
      <c r="B65">
        <v>40013792</v>
      </c>
      <c r="C65" t="s">
        <v>283</v>
      </c>
      <c r="D65"/>
      <c r="E65"/>
      <c r="F65" s="3">
        <v>44756</v>
      </c>
      <c r="G65" s="49">
        <v>1</v>
      </c>
      <c r="H65" s="23">
        <v>149.75</v>
      </c>
      <c r="I65" t="s">
        <v>6941</v>
      </c>
      <c r="J65"/>
      <c r="K65"/>
      <c r="L65"/>
      <c r="M65"/>
      <c r="N65"/>
      <c r="O65"/>
      <c r="P65"/>
      <c r="Q65"/>
      <c r="R65"/>
    </row>
    <row r="66" spans="1:18" x14ac:dyDescent="0.25">
      <c r="A66" t="str">
        <f>IFERROR(VLOOKUP(B66&amp; "*",'SKU Maintenance'!D:H,5,0),"X9998")</f>
        <v>X9998</v>
      </c>
      <c r="B66">
        <v>40013797</v>
      </c>
      <c r="C66" t="s">
        <v>466</v>
      </c>
      <c r="D66"/>
      <c r="E66"/>
      <c r="F66" s="3">
        <v>44767</v>
      </c>
      <c r="G66" s="49">
        <v>2</v>
      </c>
      <c r="H66" s="23">
        <v>179.5</v>
      </c>
      <c r="I66" t="s">
        <v>6945</v>
      </c>
      <c r="J66"/>
      <c r="K66"/>
      <c r="L66"/>
      <c r="M66"/>
      <c r="N66"/>
      <c r="O66"/>
      <c r="P66"/>
      <c r="Q66"/>
      <c r="R66"/>
    </row>
    <row r="67" spans="1:18" x14ac:dyDescent="0.25">
      <c r="A67" t="str">
        <f>IFERROR(VLOOKUP(B67&amp; "*",'SKU Maintenance'!D:H,5,0),"not found")</f>
        <v>2010050498048014</v>
      </c>
      <c r="B67">
        <v>40013799</v>
      </c>
      <c r="C67" t="s">
        <v>142</v>
      </c>
      <c r="D67"/>
      <c r="E67"/>
      <c r="F67" s="3">
        <v>44757</v>
      </c>
      <c r="G67" s="49">
        <v>1</v>
      </c>
      <c r="H67" s="23">
        <v>79.75</v>
      </c>
      <c r="I67" t="s">
        <v>6939</v>
      </c>
      <c r="J67"/>
      <c r="K67"/>
      <c r="L67"/>
      <c r="M67"/>
      <c r="N67"/>
      <c r="O67"/>
      <c r="P67"/>
      <c r="Q67"/>
      <c r="R67"/>
    </row>
    <row r="68" spans="1:18" x14ac:dyDescent="0.25">
      <c r="A68" t="str">
        <f>IFERROR(VLOOKUP(B68&amp; "*",'SKU Maintenance'!D:H,5,0),"not found")</f>
        <v>2010050498048014</v>
      </c>
      <c r="B68">
        <v>40013799</v>
      </c>
      <c r="C68" t="s">
        <v>142</v>
      </c>
      <c r="D68"/>
      <c r="E68"/>
      <c r="F68" s="3">
        <v>44766</v>
      </c>
      <c r="G68" s="49">
        <v>1</v>
      </c>
      <c r="H68" s="23">
        <v>79.75</v>
      </c>
      <c r="I68" t="s">
        <v>6941</v>
      </c>
      <c r="J68"/>
      <c r="K68"/>
      <c r="L68"/>
      <c r="M68"/>
      <c r="N68"/>
      <c r="O68"/>
      <c r="P68"/>
      <c r="Q68"/>
      <c r="R68"/>
    </row>
    <row r="69" spans="1:18" x14ac:dyDescent="0.25">
      <c r="A69" t="str">
        <f>IFERROR(VLOOKUP(B69&amp; "*",'SKU Maintenance'!D:H,5,0),"not found")</f>
        <v>2010050498048014</v>
      </c>
      <c r="B69">
        <v>40013799</v>
      </c>
      <c r="C69" t="s">
        <v>142</v>
      </c>
      <c r="D69"/>
      <c r="E69"/>
      <c r="F69" s="3">
        <v>44769</v>
      </c>
      <c r="G69" s="49">
        <v>2</v>
      </c>
      <c r="H69" s="23">
        <v>159.5</v>
      </c>
      <c r="I69" t="s">
        <v>6941</v>
      </c>
      <c r="J69"/>
      <c r="K69"/>
      <c r="L69"/>
      <c r="M69"/>
      <c r="N69"/>
      <c r="O69"/>
      <c r="P69"/>
      <c r="Q69"/>
      <c r="R69"/>
    </row>
    <row r="70" spans="1:18" x14ac:dyDescent="0.25">
      <c r="A70" t="str">
        <f>IFERROR(VLOOKUP(B70&amp; "*",'SKU Maintenance'!D:H,5,0),"not found")</f>
        <v>2010050498048014</v>
      </c>
      <c r="B70">
        <v>40013799</v>
      </c>
      <c r="C70" t="s">
        <v>142</v>
      </c>
      <c r="D70"/>
      <c r="E70"/>
      <c r="F70" s="3">
        <v>44754</v>
      </c>
      <c r="G70" s="49">
        <v>3</v>
      </c>
      <c r="H70" s="23">
        <v>239.25</v>
      </c>
      <c r="I70" t="s">
        <v>6945</v>
      </c>
      <c r="J70"/>
      <c r="K70"/>
      <c r="L70"/>
      <c r="M70"/>
      <c r="N70"/>
      <c r="O70"/>
      <c r="P70"/>
      <c r="Q70"/>
      <c r="R70"/>
    </row>
    <row r="71" spans="1:18" x14ac:dyDescent="0.25">
      <c r="A71" t="str">
        <f>IFERROR(VLOOKUP(B71&amp; "*",'SKU Maintenance'!D:H,5,0),"not found")</f>
        <v>2010050498138014</v>
      </c>
      <c r="B71">
        <v>40013800</v>
      </c>
      <c r="C71" t="s">
        <v>144</v>
      </c>
      <c r="D71"/>
      <c r="E71"/>
      <c r="F71" s="3">
        <v>44757</v>
      </c>
      <c r="G71" s="49">
        <v>1</v>
      </c>
      <c r="H71" s="23">
        <v>79.75</v>
      </c>
      <c r="I71" t="s">
        <v>6939</v>
      </c>
      <c r="J71"/>
      <c r="K71"/>
      <c r="L71"/>
      <c r="M71"/>
      <c r="N71"/>
      <c r="O71"/>
      <c r="P71"/>
      <c r="Q71"/>
      <c r="R71"/>
    </row>
    <row r="72" spans="1:18" x14ac:dyDescent="0.25">
      <c r="A72" t="str">
        <f>IFERROR(VLOOKUP(B72&amp; "*",'SKU Maintenance'!D:H,5,0),"not found")</f>
        <v>2010050498038014</v>
      </c>
      <c r="B72">
        <v>40013803</v>
      </c>
      <c r="C72" t="s">
        <v>143</v>
      </c>
      <c r="D72"/>
      <c r="E72"/>
      <c r="F72" s="3">
        <v>44757</v>
      </c>
      <c r="G72" s="49">
        <v>1</v>
      </c>
      <c r="H72" s="23">
        <v>79.75</v>
      </c>
      <c r="I72" t="s">
        <v>6939</v>
      </c>
      <c r="J72"/>
      <c r="K72"/>
      <c r="L72"/>
      <c r="M72"/>
      <c r="N72"/>
      <c r="O72"/>
      <c r="P72"/>
      <c r="Q72"/>
      <c r="R72"/>
    </row>
    <row r="73" spans="1:18" x14ac:dyDescent="0.25">
      <c r="A73" t="str">
        <f>IFERROR(VLOOKUP(B73&amp; "*",'SKU Maintenance'!D:H,5,0),"not found")</f>
        <v>2010050398042016</v>
      </c>
      <c r="B73">
        <v>40013804</v>
      </c>
      <c r="C73" t="s">
        <v>300</v>
      </c>
      <c r="D73"/>
      <c r="E73"/>
      <c r="F73" s="3">
        <v>44759</v>
      </c>
      <c r="G73" s="49">
        <v>2</v>
      </c>
      <c r="H73" s="23">
        <v>99.5</v>
      </c>
      <c r="I73" t="s">
        <v>6941</v>
      </c>
      <c r="J73"/>
      <c r="K73"/>
      <c r="L73"/>
      <c r="M73"/>
      <c r="N73"/>
      <c r="O73"/>
      <c r="P73"/>
      <c r="Q73"/>
      <c r="R73"/>
    </row>
    <row r="74" spans="1:18" x14ac:dyDescent="0.25">
      <c r="A74" t="str">
        <f>IFERROR(VLOOKUP(B74&amp; "*",'SKU Maintenance'!D:H,5,0),"not found")</f>
        <v>2010050398042016</v>
      </c>
      <c r="B74">
        <v>40013804</v>
      </c>
      <c r="C74" t="s">
        <v>300</v>
      </c>
      <c r="D74"/>
      <c r="E74"/>
      <c r="F74" s="3">
        <v>44760</v>
      </c>
      <c r="G74" s="49">
        <v>3</v>
      </c>
      <c r="H74" s="23">
        <v>149.25</v>
      </c>
      <c r="I74" t="s">
        <v>6941</v>
      </c>
      <c r="J74"/>
      <c r="K74"/>
      <c r="L74"/>
      <c r="M74"/>
      <c r="N74"/>
      <c r="O74"/>
      <c r="P74"/>
      <c r="Q74"/>
      <c r="R74"/>
    </row>
    <row r="75" spans="1:18" x14ac:dyDescent="0.25">
      <c r="A75" t="str">
        <f>IFERROR(VLOOKUP(B75&amp; "*",'SKU Maintenance'!D:H,5,0),"not found")</f>
        <v>2010050398042016</v>
      </c>
      <c r="B75">
        <v>40013804</v>
      </c>
      <c r="C75" t="s">
        <v>300</v>
      </c>
      <c r="D75"/>
      <c r="E75"/>
      <c r="F75" s="3">
        <v>44749</v>
      </c>
      <c r="G75" s="49">
        <v>2</v>
      </c>
      <c r="H75" s="23">
        <v>99.5</v>
      </c>
      <c r="I75" t="s">
        <v>6943</v>
      </c>
      <c r="J75"/>
      <c r="K75"/>
      <c r="L75"/>
      <c r="M75"/>
      <c r="N75"/>
      <c r="O75"/>
      <c r="P75"/>
      <c r="Q75"/>
      <c r="R75"/>
    </row>
    <row r="76" spans="1:18" x14ac:dyDescent="0.25">
      <c r="A76" t="str">
        <f>IFERROR(VLOOKUP(B76&amp; "*",'SKU Maintenance'!D:H,5,0),"not found")</f>
        <v>2010050398042016</v>
      </c>
      <c r="B76">
        <v>40013804</v>
      </c>
      <c r="C76" t="s">
        <v>300</v>
      </c>
      <c r="D76"/>
      <c r="E76"/>
      <c r="F76" s="3">
        <v>44754</v>
      </c>
      <c r="G76" s="49">
        <v>2</v>
      </c>
      <c r="H76" s="23">
        <v>99.5</v>
      </c>
      <c r="I76" t="s">
        <v>6945</v>
      </c>
      <c r="J76"/>
      <c r="K76"/>
      <c r="L76"/>
      <c r="M76"/>
      <c r="N76"/>
      <c r="O76"/>
      <c r="P76"/>
      <c r="Q76"/>
      <c r="R76"/>
    </row>
    <row r="77" spans="1:18" x14ac:dyDescent="0.25">
      <c r="A77" t="str">
        <f>IFERROR(VLOOKUP(B77&amp; "*",'SKU Maintenance'!D:H,5,0),"not found")</f>
        <v>2010050398132016</v>
      </c>
      <c r="B77">
        <v>40013805</v>
      </c>
      <c r="C77" t="s">
        <v>73</v>
      </c>
      <c r="D77"/>
      <c r="E77"/>
      <c r="F77" s="3">
        <v>44745</v>
      </c>
      <c r="G77" s="49">
        <v>1</v>
      </c>
      <c r="H77" s="23">
        <v>49.75</v>
      </c>
      <c r="I77" t="s">
        <v>6939</v>
      </c>
      <c r="J77"/>
      <c r="K77"/>
      <c r="L77"/>
      <c r="M77"/>
      <c r="N77"/>
      <c r="O77"/>
      <c r="P77"/>
      <c r="Q77"/>
      <c r="R77"/>
    </row>
    <row r="78" spans="1:18" x14ac:dyDescent="0.25">
      <c r="A78" t="str">
        <f>IFERROR(VLOOKUP(B78&amp; "*",'SKU Maintenance'!D:H,5,0),"not found")</f>
        <v>2010050398132016</v>
      </c>
      <c r="B78">
        <v>40013805</v>
      </c>
      <c r="C78" t="s">
        <v>73</v>
      </c>
      <c r="D78"/>
      <c r="E78"/>
      <c r="F78" s="3">
        <v>44773</v>
      </c>
      <c r="G78" s="49">
        <v>2</v>
      </c>
      <c r="H78" s="23">
        <v>99.5</v>
      </c>
      <c r="I78" t="s">
        <v>6939</v>
      </c>
      <c r="J78"/>
      <c r="K78"/>
      <c r="L78"/>
      <c r="M78"/>
      <c r="N78"/>
      <c r="O78"/>
      <c r="P78"/>
      <c r="Q78"/>
      <c r="R78"/>
    </row>
    <row r="79" spans="1:18" x14ac:dyDescent="0.25">
      <c r="A79" t="str">
        <f>IFERROR(VLOOKUP(B79&amp; "*",'SKU Maintenance'!D:H,5,0),"not found")</f>
        <v>2010050398132016</v>
      </c>
      <c r="B79">
        <v>40013805</v>
      </c>
      <c r="C79" t="s">
        <v>73</v>
      </c>
      <c r="D79"/>
      <c r="E79"/>
      <c r="F79" s="3">
        <v>44744</v>
      </c>
      <c r="G79" s="49">
        <v>1</v>
      </c>
      <c r="H79" s="23">
        <v>49.75</v>
      </c>
      <c r="I79" t="s">
        <v>6941</v>
      </c>
      <c r="J79"/>
      <c r="K79"/>
      <c r="L79"/>
      <c r="M79"/>
      <c r="N79"/>
      <c r="O79"/>
      <c r="P79"/>
      <c r="Q79"/>
      <c r="R79"/>
    </row>
    <row r="80" spans="1:18" x14ac:dyDescent="0.25">
      <c r="A80" t="str">
        <f>IFERROR(VLOOKUP(B80&amp; "*",'SKU Maintenance'!D:H,5,0),"not found")</f>
        <v>2010050398132016</v>
      </c>
      <c r="B80">
        <v>40013805</v>
      </c>
      <c r="C80" t="s">
        <v>73</v>
      </c>
      <c r="D80"/>
      <c r="E80"/>
      <c r="F80" s="3">
        <v>44759</v>
      </c>
      <c r="G80" s="49">
        <v>1</v>
      </c>
      <c r="H80" s="23">
        <v>49.75</v>
      </c>
      <c r="I80" t="s">
        <v>6941</v>
      </c>
      <c r="J80"/>
      <c r="K80"/>
      <c r="L80"/>
      <c r="M80"/>
      <c r="N80"/>
      <c r="O80"/>
      <c r="P80"/>
      <c r="Q80"/>
      <c r="R80"/>
    </row>
    <row r="81" spans="1:18" x14ac:dyDescent="0.25">
      <c r="A81" t="str">
        <f>IFERROR(VLOOKUP(B81&amp; "*",'SKU Maintenance'!D:H,5,0),"not found")</f>
        <v>2010050398132016</v>
      </c>
      <c r="B81">
        <v>40013805</v>
      </c>
      <c r="C81" t="s">
        <v>73</v>
      </c>
      <c r="D81"/>
      <c r="E81"/>
      <c r="F81" s="3">
        <v>44762</v>
      </c>
      <c r="G81" s="49">
        <v>2</v>
      </c>
      <c r="H81" s="23">
        <v>99.5</v>
      </c>
      <c r="I81" t="s">
        <v>6941</v>
      </c>
      <c r="J81"/>
      <c r="K81"/>
      <c r="L81"/>
      <c r="M81"/>
      <c r="N81"/>
      <c r="O81"/>
      <c r="P81"/>
      <c r="Q81"/>
      <c r="R81"/>
    </row>
    <row r="82" spans="1:18" x14ac:dyDescent="0.25">
      <c r="A82" t="str">
        <f>IFERROR(VLOOKUP(B82&amp; "*",'SKU Maintenance'!D:H,5,0),"not found")</f>
        <v>2010050398132016</v>
      </c>
      <c r="B82">
        <v>40013805</v>
      </c>
      <c r="C82" t="s">
        <v>73</v>
      </c>
      <c r="D82"/>
      <c r="E82"/>
      <c r="F82" s="3">
        <v>44773</v>
      </c>
      <c r="G82" s="49">
        <v>1</v>
      </c>
      <c r="H82" s="23">
        <v>49.75</v>
      </c>
      <c r="I82" t="s">
        <v>6941</v>
      </c>
      <c r="J82"/>
      <c r="K82"/>
      <c r="L82"/>
      <c r="M82"/>
      <c r="N82"/>
      <c r="O82"/>
      <c r="P82"/>
      <c r="Q82"/>
      <c r="R82"/>
    </row>
    <row r="83" spans="1:18" x14ac:dyDescent="0.25">
      <c r="A83" t="str">
        <f>IFERROR(VLOOKUP(B83&amp; "*",'SKU Maintenance'!D:H,5,0),"not found")</f>
        <v>2010050398132016</v>
      </c>
      <c r="B83">
        <v>40013805</v>
      </c>
      <c r="C83" t="s">
        <v>73</v>
      </c>
      <c r="D83"/>
      <c r="E83"/>
      <c r="F83" s="3">
        <v>44770</v>
      </c>
      <c r="G83" s="49">
        <v>1</v>
      </c>
      <c r="H83" s="23">
        <v>49.75</v>
      </c>
      <c r="I83" t="s">
        <v>6945</v>
      </c>
      <c r="J83"/>
      <c r="K83"/>
      <c r="L83"/>
      <c r="M83"/>
      <c r="N83"/>
      <c r="O83"/>
      <c r="P83"/>
      <c r="Q83"/>
      <c r="R83"/>
    </row>
    <row r="84" spans="1:18" x14ac:dyDescent="0.25">
      <c r="A84" t="str">
        <f>IFERROR(VLOOKUP(B84&amp; "*",'SKU Maintenance'!D:H,5,0),"not found")</f>
        <v>2010050398102016</v>
      </c>
      <c r="B84">
        <v>40013806</v>
      </c>
      <c r="C84" t="s">
        <v>67</v>
      </c>
      <c r="D84"/>
      <c r="E84"/>
      <c r="F84" s="3">
        <v>44744</v>
      </c>
      <c r="G84" s="49">
        <v>1</v>
      </c>
      <c r="H84" s="23">
        <v>49.75</v>
      </c>
      <c r="I84" t="s">
        <v>6939</v>
      </c>
      <c r="J84"/>
      <c r="K84"/>
      <c r="L84"/>
      <c r="M84"/>
      <c r="N84"/>
      <c r="O84"/>
      <c r="P84"/>
      <c r="Q84"/>
      <c r="R84"/>
    </row>
    <row r="85" spans="1:18" x14ac:dyDescent="0.25">
      <c r="A85" t="str">
        <f>IFERROR(VLOOKUP(B85&amp; "*",'SKU Maintenance'!D:H,5,0),"not found")</f>
        <v>2010050398102016</v>
      </c>
      <c r="B85">
        <v>40013806</v>
      </c>
      <c r="C85" t="s">
        <v>67</v>
      </c>
      <c r="D85"/>
      <c r="E85"/>
      <c r="F85" s="3">
        <v>44745</v>
      </c>
      <c r="G85" s="49">
        <v>1</v>
      </c>
      <c r="H85" s="23">
        <v>49.75</v>
      </c>
      <c r="I85" t="s">
        <v>6939</v>
      </c>
      <c r="J85"/>
      <c r="K85"/>
      <c r="L85"/>
      <c r="M85"/>
      <c r="N85"/>
      <c r="O85"/>
      <c r="P85"/>
      <c r="Q85"/>
      <c r="R85"/>
    </row>
    <row r="86" spans="1:18" x14ac:dyDescent="0.25">
      <c r="A86" t="str">
        <f>IFERROR(VLOOKUP(B86&amp; "*",'SKU Maintenance'!D:H,5,0),"not found")</f>
        <v>2010050398102016</v>
      </c>
      <c r="B86">
        <v>40013806</v>
      </c>
      <c r="C86" t="s">
        <v>67</v>
      </c>
      <c r="D86"/>
      <c r="E86"/>
      <c r="F86" s="3">
        <v>44750</v>
      </c>
      <c r="G86" s="49">
        <v>1</v>
      </c>
      <c r="H86" s="23">
        <v>49.75</v>
      </c>
      <c r="I86" t="s">
        <v>6939</v>
      </c>
      <c r="J86"/>
      <c r="K86"/>
      <c r="L86"/>
      <c r="M86"/>
      <c r="N86"/>
      <c r="O86"/>
      <c r="P86"/>
      <c r="Q86"/>
      <c r="R86"/>
    </row>
    <row r="87" spans="1:18" x14ac:dyDescent="0.25">
      <c r="A87" t="str">
        <f>IFERROR(VLOOKUP(B87&amp; "*",'SKU Maintenance'!D:H,5,0),"not found")</f>
        <v>2010050398102016</v>
      </c>
      <c r="B87">
        <v>40013806</v>
      </c>
      <c r="C87" t="s">
        <v>67</v>
      </c>
      <c r="D87"/>
      <c r="E87"/>
      <c r="F87" s="3">
        <v>44773</v>
      </c>
      <c r="G87" s="49">
        <v>1</v>
      </c>
      <c r="H87" s="23">
        <v>49.75</v>
      </c>
      <c r="I87" t="s">
        <v>6939</v>
      </c>
      <c r="J87"/>
      <c r="K87"/>
      <c r="L87"/>
      <c r="M87"/>
      <c r="N87"/>
      <c r="O87"/>
      <c r="P87"/>
      <c r="Q87"/>
      <c r="R87"/>
    </row>
    <row r="88" spans="1:18" x14ac:dyDescent="0.25">
      <c r="A88" t="str">
        <f>IFERROR(VLOOKUP(B88&amp; "*",'SKU Maintenance'!D:H,5,0),"not found")</f>
        <v>2010050398102016</v>
      </c>
      <c r="B88">
        <v>40013806</v>
      </c>
      <c r="C88" t="s">
        <v>67</v>
      </c>
      <c r="D88"/>
      <c r="E88"/>
      <c r="F88" s="3">
        <v>44749</v>
      </c>
      <c r="G88" s="49">
        <v>2</v>
      </c>
      <c r="H88" s="23">
        <v>99.5</v>
      </c>
      <c r="I88" t="s">
        <v>6943</v>
      </c>
      <c r="J88"/>
      <c r="K88"/>
      <c r="L88"/>
      <c r="M88"/>
      <c r="N88"/>
      <c r="O88"/>
      <c r="P88"/>
      <c r="Q88"/>
      <c r="R88"/>
    </row>
    <row r="89" spans="1:18" x14ac:dyDescent="0.25">
      <c r="A89" t="str">
        <f>IFERROR(VLOOKUP(B89&amp; "*",'SKU Maintenance'!D:H,5,0),"not found")</f>
        <v>2010050398102016</v>
      </c>
      <c r="B89">
        <v>40013806</v>
      </c>
      <c r="C89" t="s">
        <v>67</v>
      </c>
      <c r="D89"/>
      <c r="E89"/>
      <c r="F89" s="3">
        <v>44760</v>
      </c>
      <c r="G89" s="49">
        <v>2</v>
      </c>
      <c r="H89" s="23">
        <v>99.5</v>
      </c>
      <c r="I89" t="s">
        <v>6943</v>
      </c>
      <c r="J89"/>
      <c r="K89"/>
      <c r="L89"/>
      <c r="M89"/>
      <c r="N89"/>
      <c r="O89"/>
      <c r="P89"/>
      <c r="Q89"/>
      <c r="R89"/>
    </row>
    <row r="90" spans="1:18" x14ac:dyDescent="0.25">
      <c r="A90" t="str">
        <f>IFERROR(VLOOKUP(B90&amp; "*",'SKU Maintenance'!D:H,5,0),"not found")</f>
        <v>2010050398102016</v>
      </c>
      <c r="B90">
        <v>40013806</v>
      </c>
      <c r="C90" t="s">
        <v>67</v>
      </c>
      <c r="D90"/>
      <c r="E90"/>
      <c r="F90" s="3">
        <v>44764</v>
      </c>
      <c r="G90" s="49">
        <v>2</v>
      </c>
      <c r="H90" s="23">
        <v>99.5</v>
      </c>
      <c r="I90" t="s">
        <v>6943</v>
      </c>
      <c r="J90"/>
      <c r="K90"/>
      <c r="L90"/>
      <c r="M90"/>
      <c r="N90"/>
      <c r="O90"/>
      <c r="P90"/>
      <c r="Q90"/>
      <c r="R90"/>
    </row>
    <row r="91" spans="1:18" x14ac:dyDescent="0.25">
      <c r="A91" t="str">
        <f>IFERROR(VLOOKUP(B91&amp; "*",'SKU Maintenance'!D:H,5,0),"not found")</f>
        <v>2010050398102016</v>
      </c>
      <c r="B91">
        <v>40013806</v>
      </c>
      <c r="C91" t="s">
        <v>67</v>
      </c>
      <c r="D91"/>
      <c r="E91"/>
      <c r="F91" s="3">
        <v>44750</v>
      </c>
      <c r="G91" s="49">
        <v>1</v>
      </c>
      <c r="H91" s="23">
        <v>49.75</v>
      </c>
      <c r="I91" t="s">
        <v>6945</v>
      </c>
      <c r="J91"/>
      <c r="K91"/>
      <c r="L91"/>
      <c r="M91"/>
      <c r="N91"/>
      <c r="O91"/>
      <c r="P91"/>
      <c r="Q91"/>
      <c r="R91"/>
    </row>
    <row r="92" spans="1:18" x14ac:dyDescent="0.25">
      <c r="A92" t="str">
        <f>IFERROR(VLOOKUP(B92&amp; "*",'SKU Maintenance'!D:H,5,0),"not found")</f>
        <v>2010050398102016</v>
      </c>
      <c r="B92">
        <v>40013806</v>
      </c>
      <c r="C92" t="s">
        <v>67</v>
      </c>
      <c r="D92"/>
      <c r="E92"/>
      <c r="F92" s="3">
        <v>44770</v>
      </c>
      <c r="G92" s="49">
        <v>1</v>
      </c>
      <c r="H92" s="23">
        <v>49.75</v>
      </c>
      <c r="I92" t="s">
        <v>6945</v>
      </c>
      <c r="J92"/>
      <c r="K92"/>
      <c r="L92"/>
      <c r="M92"/>
      <c r="N92"/>
      <c r="O92"/>
      <c r="P92"/>
      <c r="Q92"/>
      <c r="R92"/>
    </row>
    <row r="93" spans="1:18" x14ac:dyDescent="0.25">
      <c r="A93" t="str">
        <f>IFERROR(VLOOKUP(B93&amp; "*",'SKU Maintenance'!D:H,5,0),"not found")</f>
        <v>2010050398162016</v>
      </c>
      <c r="B93">
        <v>40013807</v>
      </c>
      <c r="C93" t="s">
        <v>301</v>
      </c>
      <c r="D93"/>
      <c r="E93"/>
      <c r="F93" s="3">
        <v>44759</v>
      </c>
      <c r="G93" s="49">
        <v>1</v>
      </c>
      <c r="H93" s="23">
        <v>39.75</v>
      </c>
      <c r="I93" t="s">
        <v>6941</v>
      </c>
      <c r="J93"/>
      <c r="K93"/>
      <c r="L93"/>
      <c r="M93"/>
      <c r="N93"/>
      <c r="O93"/>
      <c r="P93"/>
      <c r="Q93"/>
      <c r="R93"/>
    </row>
    <row r="94" spans="1:18" x14ac:dyDescent="0.25">
      <c r="A94" t="str">
        <f>IFERROR(VLOOKUP(B94&amp; "*",'SKU Maintenance'!D:H,5,0),"not found")</f>
        <v>2010050398032016</v>
      </c>
      <c r="B94">
        <v>40013808</v>
      </c>
      <c r="C94" t="s">
        <v>362</v>
      </c>
      <c r="D94"/>
      <c r="E94"/>
      <c r="F94" s="3">
        <v>44749</v>
      </c>
      <c r="G94" s="49">
        <v>2</v>
      </c>
      <c r="H94" s="23">
        <v>99.5</v>
      </c>
      <c r="I94" t="s">
        <v>6943</v>
      </c>
      <c r="J94"/>
      <c r="K94"/>
      <c r="L94"/>
      <c r="M94"/>
      <c r="N94"/>
      <c r="O94"/>
      <c r="P94"/>
      <c r="Q94"/>
      <c r="R94"/>
    </row>
    <row r="95" spans="1:18" x14ac:dyDescent="0.25">
      <c r="A95" t="str">
        <f>IFERROR(VLOOKUP(B95&amp; "*",'SKU Maintenance'!D:H,5,0),"not found")</f>
        <v>2010050198042523</v>
      </c>
      <c r="B95">
        <v>40013809</v>
      </c>
      <c r="C95" t="s">
        <v>371</v>
      </c>
      <c r="D95"/>
      <c r="E95"/>
      <c r="F95" s="3">
        <v>44751</v>
      </c>
      <c r="G95" s="49">
        <v>1</v>
      </c>
      <c r="H95" s="23">
        <v>99.75</v>
      </c>
      <c r="I95" t="s">
        <v>6943</v>
      </c>
      <c r="J95"/>
      <c r="K95"/>
      <c r="L95"/>
      <c r="M95"/>
      <c r="N95"/>
      <c r="O95"/>
      <c r="P95"/>
      <c r="Q95"/>
      <c r="R95"/>
    </row>
    <row r="96" spans="1:18" x14ac:dyDescent="0.25">
      <c r="A96" t="str">
        <f>IFERROR(VLOOKUP(B96&amp; "*",'SKU Maintenance'!D:H,5,0),"not found")</f>
        <v>2010050198042523</v>
      </c>
      <c r="B96">
        <v>40013809</v>
      </c>
      <c r="C96" t="s">
        <v>371</v>
      </c>
      <c r="D96"/>
      <c r="E96"/>
      <c r="F96" s="3">
        <v>44755</v>
      </c>
      <c r="G96" s="49">
        <v>1</v>
      </c>
      <c r="H96" s="23">
        <v>99.75</v>
      </c>
      <c r="I96" t="s">
        <v>6945</v>
      </c>
      <c r="J96"/>
      <c r="K96"/>
      <c r="L96"/>
      <c r="M96"/>
      <c r="N96"/>
      <c r="O96"/>
      <c r="P96"/>
      <c r="Q96"/>
      <c r="R96"/>
    </row>
    <row r="97" spans="1:18" x14ac:dyDescent="0.25">
      <c r="A97" t="str">
        <f>IFERROR(VLOOKUP(B97&amp; "*",'SKU Maintenance'!D:H,5,0),"not found")</f>
        <v>2010050198042523</v>
      </c>
      <c r="B97">
        <v>40013809</v>
      </c>
      <c r="C97" t="s">
        <v>371</v>
      </c>
      <c r="D97"/>
      <c r="E97"/>
      <c r="F97" s="3">
        <v>44758</v>
      </c>
      <c r="G97" s="49">
        <v>4</v>
      </c>
      <c r="H97" s="23">
        <v>399</v>
      </c>
      <c r="I97" t="s">
        <v>6945</v>
      </c>
      <c r="J97"/>
      <c r="K97"/>
      <c r="L97"/>
      <c r="M97"/>
      <c r="N97"/>
      <c r="O97"/>
      <c r="P97"/>
      <c r="Q97"/>
      <c r="R97"/>
    </row>
    <row r="98" spans="1:18" x14ac:dyDescent="0.25">
      <c r="A98" t="str">
        <f>IFERROR(VLOOKUP(B98&amp; "*",'SKU Maintenance'!D:H,5,0),"not found")</f>
        <v>2010050198022523</v>
      </c>
      <c r="B98">
        <v>40013810</v>
      </c>
      <c r="C98" t="s">
        <v>426</v>
      </c>
      <c r="D98"/>
      <c r="E98"/>
      <c r="F98" s="3">
        <v>44769</v>
      </c>
      <c r="G98" s="49">
        <v>1</v>
      </c>
      <c r="H98" s="23">
        <v>99.75</v>
      </c>
      <c r="I98" t="s">
        <v>6943</v>
      </c>
      <c r="J98"/>
      <c r="K98"/>
      <c r="L98"/>
      <c r="M98"/>
      <c r="N98"/>
      <c r="O98"/>
      <c r="P98"/>
      <c r="Q98"/>
      <c r="R98"/>
    </row>
    <row r="99" spans="1:18" x14ac:dyDescent="0.25">
      <c r="A99" t="str">
        <f>IFERROR(VLOOKUP(B99&amp; "*",'SKU Maintenance'!D:H,5,0),"not found")</f>
        <v>2010050198022523</v>
      </c>
      <c r="B99">
        <v>40013810</v>
      </c>
      <c r="C99" t="s">
        <v>426</v>
      </c>
      <c r="D99"/>
      <c r="E99"/>
      <c r="F99" s="3">
        <v>44758</v>
      </c>
      <c r="G99" s="49">
        <v>1</v>
      </c>
      <c r="H99" s="23">
        <v>99.75</v>
      </c>
      <c r="I99" t="s">
        <v>6945</v>
      </c>
      <c r="J99"/>
      <c r="K99"/>
      <c r="L99"/>
      <c r="M99"/>
      <c r="N99"/>
      <c r="O99"/>
      <c r="P99"/>
      <c r="Q99"/>
      <c r="R99"/>
    </row>
    <row r="100" spans="1:18" x14ac:dyDescent="0.25">
      <c r="A100" t="str">
        <f>IFERROR(VLOOKUP(B100&amp; "*",'SKU Maintenance'!D:H,5,0),"not found")</f>
        <v>2010050198132523</v>
      </c>
      <c r="B100">
        <v>40013811</v>
      </c>
      <c r="C100" t="s">
        <v>363</v>
      </c>
      <c r="D100"/>
      <c r="E100"/>
      <c r="F100" s="3">
        <v>44749</v>
      </c>
      <c r="G100" s="49">
        <v>1</v>
      </c>
      <c r="H100" s="23">
        <v>99.75</v>
      </c>
      <c r="I100" t="s">
        <v>6943</v>
      </c>
      <c r="J100"/>
      <c r="K100"/>
      <c r="L100"/>
      <c r="M100"/>
      <c r="N100"/>
      <c r="O100"/>
      <c r="P100"/>
      <c r="Q100"/>
      <c r="R100"/>
    </row>
    <row r="101" spans="1:18" x14ac:dyDescent="0.25">
      <c r="A101" t="str">
        <f>IFERROR(VLOOKUP(B101&amp; "*",'SKU Maintenance'!D:H,5,0),"not found")</f>
        <v>2010050198102523</v>
      </c>
      <c r="B101">
        <v>40013812</v>
      </c>
      <c r="C101" t="s">
        <v>401</v>
      </c>
      <c r="D101"/>
      <c r="E101"/>
      <c r="F101" s="3">
        <v>44756</v>
      </c>
      <c r="G101" s="49">
        <v>1</v>
      </c>
      <c r="H101" s="23">
        <v>99.75</v>
      </c>
      <c r="I101" t="s">
        <v>6943</v>
      </c>
      <c r="J101"/>
      <c r="K101"/>
      <c r="L101"/>
      <c r="M101"/>
      <c r="N101"/>
      <c r="O101"/>
      <c r="P101"/>
      <c r="Q101"/>
      <c r="R101"/>
    </row>
    <row r="102" spans="1:18" x14ac:dyDescent="0.25">
      <c r="A102" t="str">
        <f>IFERROR(VLOOKUP(B102&amp; "*",'SKU Maintenance'!D:H,5,0),"not found")</f>
        <v>2010050198162523</v>
      </c>
      <c r="B102">
        <v>40013813</v>
      </c>
      <c r="C102" t="s">
        <v>56</v>
      </c>
      <c r="D102"/>
      <c r="E102"/>
      <c r="F102" s="3">
        <v>44743</v>
      </c>
      <c r="G102" s="49">
        <v>1</v>
      </c>
      <c r="H102" s="23">
        <v>79.75</v>
      </c>
      <c r="I102" t="s">
        <v>6939</v>
      </c>
      <c r="J102"/>
      <c r="K102"/>
      <c r="L102"/>
      <c r="M102"/>
      <c r="N102"/>
      <c r="O102"/>
      <c r="P102"/>
      <c r="Q102"/>
      <c r="R102"/>
    </row>
    <row r="103" spans="1:18" x14ac:dyDescent="0.25">
      <c r="A103" t="str">
        <f>IFERROR(VLOOKUP(B103&amp; "*",'SKU Maintenance'!D:H,5,0),"not found")</f>
        <v>2010050198162523</v>
      </c>
      <c r="B103">
        <v>40013813</v>
      </c>
      <c r="C103" t="s">
        <v>56</v>
      </c>
      <c r="D103"/>
      <c r="E103"/>
      <c r="F103" s="3">
        <v>44744</v>
      </c>
      <c r="G103" s="49">
        <v>1</v>
      </c>
      <c r="H103" s="23">
        <v>79.75</v>
      </c>
      <c r="I103" t="s">
        <v>6939</v>
      </c>
      <c r="J103"/>
      <c r="K103"/>
      <c r="L103"/>
      <c r="M103"/>
      <c r="N103"/>
      <c r="O103"/>
      <c r="P103"/>
      <c r="Q103"/>
      <c r="R103"/>
    </row>
    <row r="104" spans="1:18" x14ac:dyDescent="0.25">
      <c r="A104" t="str">
        <f>IFERROR(VLOOKUP(B104&amp; "*",'SKU Maintenance'!D:H,5,0),"not found")</f>
        <v>2010050198162523</v>
      </c>
      <c r="B104">
        <v>40013813</v>
      </c>
      <c r="C104" t="s">
        <v>56</v>
      </c>
      <c r="D104"/>
      <c r="E104"/>
      <c r="F104" s="3">
        <v>44758</v>
      </c>
      <c r="G104" s="49">
        <v>2</v>
      </c>
      <c r="H104" s="23">
        <v>159.5</v>
      </c>
      <c r="I104" t="s">
        <v>6945</v>
      </c>
      <c r="J104"/>
      <c r="K104"/>
      <c r="L104"/>
      <c r="M104"/>
      <c r="N104"/>
      <c r="O104"/>
      <c r="P104"/>
      <c r="Q104"/>
      <c r="R104"/>
    </row>
    <row r="105" spans="1:18" x14ac:dyDescent="0.25">
      <c r="A105" t="str">
        <f>IFERROR(VLOOKUP(B105&amp; "*",'SKU Maintenance'!D:H,5,0),"not found")</f>
        <v>2010050198162523</v>
      </c>
      <c r="B105">
        <v>40013813</v>
      </c>
      <c r="C105" t="s">
        <v>56</v>
      </c>
      <c r="D105"/>
      <c r="E105"/>
      <c r="F105" s="3">
        <v>44759</v>
      </c>
      <c r="G105" s="49">
        <v>1</v>
      </c>
      <c r="H105" s="23">
        <v>79.75</v>
      </c>
      <c r="I105" t="s">
        <v>6945</v>
      </c>
      <c r="J105"/>
      <c r="K105"/>
      <c r="L105"/>
      <c r="M105"/>
      <c r="N105"/>
      <c r="O105"/>
      <c r="P105"/>
      <c r="Q105"/>
      <c r="R105"/>
    </row>
    <row r="106" spans="1:18" x14ac:dyDescent="0.25">
      <c r="A106" t="str">
        <f>IFERROR(VLOOKUP(B106&amp; "*",'SKU Maintenance'!D:H,5,0),"not found")</f>
        <v>2010050198162523</v>
      </c>
      <c r="B106">
        <v>40013813</v>
      </c>
      <c r="C106" t="s">
        <v>56</v>
      </c>
      <c r="D106"/>
      <c r="E106"/>
      <c r="F106" s="3">
        <v>44771</v>
      </c>
      <c r="G106" s="49">
        <v>1</v>
      </c>
      <c r="H106" s="23">
        <v>79.75</v>
      </c>
      <c r="I106" t="s">
        <v>6945</v>
      </c>
      <c r="J106"/>
      <c r="K106"/>
      <c r="L106"/>
      <c r="M106"/>
      <c r="N106"/>
      <c r="O106"/>
      <c r="P106"/>
      <c r="Q106"/>
      <c r="R106"/>
    </row>
    <row r="107" spans="1:18" x14ac:dyDescent="0.25">
      <c r="A107" t="str">
        <f>IFERROR(VLOOKUP(B107&amp; "*",'SKU Maintenance'!D:H,5,0),"not found")</f>
        <v>2010050198032523</v>
      </c>
      <c r="B107">
        <v>40013814</v>
      </c>
      <c r="C107" t="s">
        <v>398</v>
      </c>
      <c r="D107"/>
      <c r="E107"/>
      <c r="F107" s="3">
        <v>44755</v>
      </c>
      <c r="G107" s="49">
        <v>1</v>
      </c>
      <c r="H107" s="23">
        <v>99.75</v>
      </c>
      <c r="I107" t="s">
        <v>6943</v>
      </c>
      <c r="J107"/>
      <c r="K107"/>
      <c r="L107"/>
      <c r="M107"/>
      <c r="N107"/>
      <c r="O107"/>
      <c r="P107"/>
      <c r="Q107"/>
      <c r="R107"/>
    </row>
    <row r="108" spans="1:18" x14ac:dyDescent="0.25">
      <c r="A108" t="str">
        <f>IFERROR(VLOOKUP(B108&amp; "*",'SKU Maintenance'!D:H,5,0),"not found")</f>
        <v>2010050198032523</v>
      </c>
      <c r="B108">
        <v>40013814</v>
      </c>
      <c r="C108" t="s">
        <v>398</v>
      </c>
      <c r="D108"/>
      <c r="E108"/>
      <c r="F108" s="3">
        <v>44763</v>
      </c>
      <c r="G108" s="49">
        <v>1</v>
      </c>
      <c r="H108" s="23">
        <v>99.75</v>
      </c>
      <c r="I108" t="s">
        <v>6943</v>
      </c>
      <c r="J108"/>
      <c r="K108"/>
      <c r="L108"/>
      <c r="M108"/>
      <c r="N108"/>
      <c r="O108"/>
      <c r="P108"/>
      <c r="Q108"/>
      <c r="R108"/>
    </row>
    <row r="109" spans="1:18" x14ac:dyDescent="0.25">
      <c r="A109" t="str">
        <f>IFERROR(VLOOKUP(B109&amp; "*",'SKU Maintenance'!D:H,5,0),"not found")</f>
        <v>2010050198032523</v>
      </c>
      <c r="B109">
        <v>40013814</v>
      </c>
      <c r="C109" t="s">
        <v>398</v>
      </c>
      <c r="D109"/>
      <c r="E109"/>
      <c r="F109" s="3">
        <v>44766</v>
      </c>
      <c r="G109" s="49">
        <v>1</v>
      </c>
      <c r="H109" s="23">
        <v>99.75</v>
      </c>
      <c r="I109" t="s">
        <v>6943</v>
      </c>
      <c r="J109"/>
      <c r="K109"/>
      <c r="L109"/>
      <c r="M109"/>
      <c r="N109"/>
      <c r="O109"/>
      <c r="P109"/>
      <c r="Q109"/>
      <c r="R109"/>
    </row>
    <row r="110" spans="1:18" x14ac:dyDescent="0.25">
      <c r="A110" t="str">
        <f>IFERROR(VLOOKUP(B110&amp; "*",'SKU Maintenance'!D:H,5,0),"not found")</f>
        <v>2010050198032523</v>
      </c>
      <c r="B110">
        <v>40013814</v>
      </c>
      <c r="C110" t="s">
        <v>398</v>
      </c>
      <c r="D110"/>
      <c r="E110"/>
      <c r="F110" s="3">
        <v>44769</v>
      </c>
      <c r="G110" s="49">
        <v>1</v>
      </c>
      <c r="H110" s="23">
        <v>99.75</v>
      </c>
      <c r="I110" t="s">
        <v>6943</v>
      </c>
      <c r="J110"/>
      <c r="K110"/>
      <c r="L110"/>
      <c r="M110"/>
      <c r="N110"/>
      <c r="O110"/>
      <c r="P110"/>
      <c r="Q110"/>
      <c r="R110"/>
    </row>
    <row r="111" spans="1:18" x14ac:dyDescent="0.25">
      <c r="A111" t="str">
        <f>IFERROR(VLOOKUP(B111&amp; "*",'SKU Maintenance'!D:H,5,0),"not found")</f>
        <v>2010050198022524</v>
      </c>
      <c r="B111">
        <v>40013816</v>
      </c>
      <c r="C111" t="s">
        <v>81</v>
      </c>
      <c r="D111"/>
      <c r="E111"/>
      <c r="F111" s="3">
        <v>44746</v>
      </c>
      <c r="G111" s="49">
        <v>1</v>
      </c>
      <c r="H111" s="23">
        <v>299.75</v>
      </c>
      <c r="I111" t="s">
        <v>6939</v>
      </c>
      <c r="J111"/>
      <c r="K111"/>
      <c r="L111"/>
      <c r="M111"/>
      <c r="N111"/>
      <c r="O111"/>
      <c r="P111"/>
      <c r="Q111"/>
      <c r="R111"/>
    </row>
    <row r="112" spans="1:18" x14ac:dyDescent="0.25">
      <c r="A112" t="str">
        <f>IFERROR(VLOOKUP(B112&amp; "*",'SKU Maintenance'!D:H,5,0),"not found")</f>
        <v>2010050198022524</v>
      </c>
      <c r="B112">
        <v>40013816</v>
      </c>
      <c r="C112" t="s">
        <v>81</v>
      </c>
      <c r="D112"/>
      <c r="E112"/>
      <c r="F112" s="3">
        <v>44762</v>
      </c>
      <c r="G112" s="49">
        <v>1</v>
      </c>
      <c r="H112" s="23">
        <v>299.75</v>
      </c>
      <c r="I112" t="s">
        <v>6939</v>
      </c>
      <c r="J112"/>
      <c r="K112"/>
      <c r="L112"/>
      <c r="M112"/>
      <c r="N112"/>
      <c r="O112"/>
      <c r="P112"/>
      <c r="Q112"/>
      <c r="R112"/>
    </row>
    <row r="113" spans="1:18" x14ac:dyDescent="0.25">
      <c r="A113" t="str">
        <f>IFERROR(VLOOKUP(B113&amp; "*",'SKU Maintenance'!D:H,5,0),"not found")</f>
        <v>2010050198022524</v>
      </c>
      <c r="B113">
        <v>40013816</v>
      </c>
      <c r="C113" t="s">
        <v>81</v>
      </c>
      <c r="D113"/>
      <c r="E113"/>
      <c r="F113" s="3">
        <v>44770</v>
      </c>
      <c r="G113" s="49">
        <v>1</v>
      </c>
      <c r="H113" s="23">
        <v>299.75</v>
      </c>
      <c r="I113" t="s">
        <v>6939</v>
      </c>
      <c r="J113"/>
      <c r="K113"/>
      <c r="L113"/>
      <c r="M113"/>
      <c r="N113"/>
      <c r="O113"/>
      <c r="P113"/>
      <c r="Q113"/>
      <c r="R113"/>
    </row>
    <row r="114" spans="1:18" x14ac:dyDescent="0.25">
      <c r="A114" t="str">
        <f>IFERROR(VLOOKUP(B114&amp; "*",'SKU Maintenance'!D:H,5,0),"not found")</f>
        <v>2010050198132524</v>
      </c>
      <c r="B114">
        <v>40013817</v>
      </c>
      <c r="C114" t="s">
        <v>125</v>
      </c>
      <c r="D114"/>
      <c r="E114"/>
      <c r="F114" s="3">
        <v>44755</v>
      </c>
      <c r="G114" s="49">
        <v>1</v>
      </c>
      <c r="H114" s="23">
        <v>299.75</v>
      </c>
      <c r="I114" t="s">
        <v>6939</v>
      </c>
      <c r="J114"/>
      <c r="K114"/>
      <c r="L114"/>
      <c r="M114"/>
      <c r="N114"/>
      <c r="O114"/>
      <c r="P114"/>
      <c r="Q114"/>
      <c r="R114"/>
    </row>
    <row r="115" spans="1:18" x14ac:dyDescent="0.25">
      <c r="A115" t="str">
        <f>IFERROR(VLOOKUP(B115&amp; "*",'SKU Maintenance'!D:H,5,0),"not found")</f>
        <v>2010050198132524</v>
      </c>
      <c r="B115">
        <v>40013817</v>
      </c>
      <c r="C115" t="s">
        <v>125</v>
      </c>
      <c r="D115"/>
      <c r="E115"/>
      <c r="F115" s="3">
        <v>44754</v>
      </c>
      <c r="G115" s="49">
        <v>1</v>
      </c>
      <c r="H115" s="23">
        <v>299.75</v>
      </c>
      <c r="I115" t="s">
        <v>6943</v>
      </c>
      <c r="J115"/>
      <c r="K115"/>
      <c r="L115"/>
      <c r="M115"/>
      <c r="N115"/>
      <c r="O115"/>
      <c r="P115"/>
      <c r="Q115"/>
      <c r="R115"/>
    </row>
    <row r="116" spans="1:18" x14ac:dyDescent="0.25">
      <c r="A116" t="str">
        <f>IFERROR(VLOOKUP(B116&amp; "*",'SKU Maintenance'!D:H,5,0),"not found")</f>
        <v>2010050198132524</v>
      </c>
      <c r="B116">
        <v>40013817</v>
      </c>
      <c r="C116" t="s">
        <v>125</v>
      </c>
      <c r="D116"/>
      <c r="E116"/>
      <c r="F116" s="3">
        <v>44765</v>
      </c>
      <c r="G116" s="49">
        <v>1</v>
      </c>
      <c r="H116" s="23">
        <v>299.75</v>
      </c>
      <c r="I116" t="s">
        <v>6943</v>
      </c>
      <c r="J116"/>
      <c r="K116"/>
      <c r="L116"/>
      <c r="M116"/>
      <c r="N116"/>
      <c r="O116"/>
      <c r="P116"/>
      <c r="Q116"/>
      <c r="R116"/>
    </row>
    <row r="117" spans="1:18" x14ac:dyDescent="0.25">
      <c r="A117" t="str">
        <f>IFERROR(VLOOKUP(B117&amp; "*",'SKU Maintenance'!D:H,5,0),"not found")</f>
        <v>2010050198132524</v>
      </c>
      <c r="B117">
        <v>40013817</v>
      </c>
      <c r="C117" t="s">
        <v>125</v>
      </c>
      <c r="D117"/>
      <c r="E117"/>
      <c r="F117" s="3">
        <v>44768</v>
      </c>
      <c r="G117" s="49">
        <v>1</v>
      </c>
      <c r="H117" s="23">
        <v>299.75</v>
      </c>
      <c r="I117" t="s">
        <v>6943</v>
      </c>
      <c r="J117"/>
      <c r="K117"/>
      <c r="L117"/>
      <c r="M117"/>
      <c r="N117"/>
      <c r="O117"/>
      <c r="P117"/>
      <c r="Q117"/>
      <c r="R117"/>
    </row>
    <row r="118" spans="1:18" x14ac:dyDescent="0.25">
      <c r="A118" t="str">
        <f>IFERROR(VLOOKUP(B118&amp; "*",'SKU Maintenance'!D:H,5,0),"not found")</f>
        <v>2010050198132524</v>
      </c>
      <c r="B118">
        <v>40013817</v>
      </c>
      <c r="C118" t="s">
        <v>125</v>
      </c>
      <c r="D118"/>
      <c r="E118"/>
      <c r="F118" s="3">
        <v>44750</v>
      </c>
      <c r="G118" s="49">
        <v>1</v>
      </c>
      <c r="H118" s="23">
        <v>299.75</v>
      </c>
      <c r="I118" t="s">
        <v>6945</v>
      </c>
      <c r="J118"/>
      <c r="K118"/>
      <c r="L118"/>
      <c r="M118"/>
      <c r="N118"/>
      <c r="O118"/>
      <c r="P118"/>
      <c r="Q118"/>
      <c r="R118"/>
    </row>
    <row r="119" spans="1:18" x14ac:dyDescent="0.25">
      <c r="A119" t="str">
        <f>IFERROR(VLOOKUP(B119&amp; "*",'SKU Maintenance'!D:H,5,0),"not found")</f>
        <v>2010050198132524</v>
      </c>
      <c r="B119">
        <v>40013817</v>
      </c>
      <c r="C119" t="s">
        <v>125</v>
      </c>
      <c r="D119"/>
      <c r="E119"/>
      <c r="F119" s="3">
        <v>44752</v>
      </c>
      <c r="G119" s="49">
        <v>1</v>
      </c>
      <c r="H119" s="23">
        <v>299.75</v>
      </c>
      <c r="I119" t="s">
        <v>6945</v>
      </c>
      <c r="J119"/>
      <c r="K119"/>
      <c r="L119"/>
      <c r="M119"/>
      <c r="N119"/>
      <c r="O119"/>
      <c r="P119"/>
      <c r="Q119"/>
      <c r="R119"/>
    </row>
    <row r="120" spans="1:18" x14ac:dyDescent="0.25">
      <c r="A120" t="str">
        <f>IFERROR(VLOOKUP(B120&amp; "*",'SKU Maintenance'!D:H,5,0),"not found")</f>
        <v>2010050198132524</v>
      </c>
      <c r="B120">
        <v>40013817</v>
      </c>
      <c r="C120" t="s">
        <v>125</v>
      </c>
      <c r="D120"/>
      <c r="E120"/>
      <c r="F120" s="3">
        <v>44763</v>
      </c>
      <c r="G120" s="49">
        <v>1</v>
      </c>
      <c r="H120" s="23">
        <v>299.75</v>
      </c>
      <c r="I120" t="s">
        <v>6945</v>
      </c>
      <c r="J120"/>
      <c r="K120"/>
      <c r="L120"/>
      <c r="M120"/>
      <c r="N120"/>
      <c r="O120"/>
      <c r="P120"/>
      <c r="Q120"/>
      <c r="R120"/>
    </row>
    <row r="121" spans="1:18" x14ac:dyDescent="0.25">
      <c r="A121" t="str">
        <f>IFERROR(VLOOKUP(B121&amp; "*",'SKU Maintenance'!D:H,5,0),"not found")</f>
        <v>2010050198102524</v>
      </c>
      <c r="B121">
        <v>40013818</v>
      </c>
      <c r="C121" t="s">
        <v>372</v>
      </c>
      <c r="D121"/>
      <c r="E121"/>
      <c r="F121" s="3">
        <v>44751</v>
      </c>
      <c r="G121" s="49">
        <v>1</v>
      </c>
      <c r="H121" s="23">
        <v>299.75</v>
      </c>
      <c r="I121" t="s">
        <v>6943</v>
      </c>
      <c r="J121"/>
      <c r="K121"/>
      <c r="L121"/>
      <c r="M121"/>
      <c r="N121"/>
      <c r="O121"/>
      <c r="P121"/>
      <c r="Q121"/>
      <c r="R121"/>
    </row>
    <row r="122" spans="1:18" x14ac:dyDescent="0.25">
      <c r="A122" t="str">
        <f>IFERROR(VLOOKUP(B122&amp; "*",'SKU Maintenance'!D:H,5,0),"not found")</f>
        <v>2010050198102524</v>
      </c>
      <c r="B122">
        <v>40013818</v>
      </c>
      <c r="C122" t="s">
        <v>372</v>
      </c>
      <c r="D122"/>
      <c r="E122"/>
      <c r="F122" s="3">
        <v>44744</v>
      </c>
      <c r="G122" s="49">
        <v>1</v>
      </c>
      <c r="H122" s="23">
        <v>299.75</v>
      </c>
      <c r="I122" t="s">
        <v>6945</v>
      </c>
      <c r="J122"/>
      <c r="K122"/>
      <c r="L122"/>
      <c r="M122"/>
      <c r="N122"/>
      <c r="O122"/>
      <c r="P122"/>
      <c r="Q122"/>
      <c r="R122"/>
    </row>
    <row r="123" spans="1:18" x14ac:dyDescent="0.25">
      <c r="A123" t="str">
        <f>IFERROR(VLOOKUP(B123&amp; "*",'SKU Maintenance'!D:H,5,0),"not found")</f>
        <v>2010050198102524</v>
      </c>
      <c r="B123">
        <v>40013818</v>
      </c>
      <c r="C123" t="s">
        <v>372</v>
      </c>
      <c r="D123"/>
      <c r="E123"/>
      <c r="F123" s="3">
        <v>44762</v>
      </c>
      <c r="G123" s="49">
        <v>1</v>
      </c>
      <c r="H123" s="23">
        <v>299.75</v>
      </c>
      <c r="I123" t="s">
        <v>6945</v>
      </c>
      <c r="J123"/>
      <c r="K123"/>
      <c r="L123"/>
      <c r="M123"/>
      <c r="N123"/>
      <c r="O123"/>
      <c r="P123"/>
      <c r="Q123"/>
      <c r="R123"/>
    </row>
    <row r="124" spans="1:18" x14ac:dyDescent="0.25">
      <c r="A124" t="str">
        <f>IFERROR(VLOOKUP(B124&amp; "*",'SKU Maintenance'!D:H,5,0),"not found")</f>
        <v>2010050198102524</v>
      </c>
      <c r="B124">
        <v>40013818</v>
      </c>
      <c r="C124" t="s">
        <v>372</v>
      </c>
      <c r="D124"/>
      <c r="E124"/>
      <c r="F124" s="3">
        <v>44765</v>
      </c>
      <c r="G124" s="49">
        <v>1</v>
      </c>
      <c r="H124" s="23">
        <v>299.75</v>
      </c>
      <c r="I124" t="s">
        <v>6945</v>
      </c>
      <c r="J124"/>
      <c r="K124"/>
      <c r="L124"/>
      <c r="M124"/>
      <c r="N124"/>
      <c r="O124"/>
      <c r="P124"/>
      <c r="Q124"/>
      <c r="R124"/>
    </row>
    <row r="125" spans="1:18" x14ac:dyDescent="0.25">
      <c r="A125" t="str">
        <f>IFERROR(VLOOKUP(B125&amp; "*",'SKU Maintenance'!D:H,5,0),"not found")</f>
        <v>2010050198032524</v>
      </c>
      <c r="B125">
        <v>40013820</v>
      </c>
      <c r="C125" t="s">
        <v>355</v>
      </c>
      <c r="D125"/>
      <c r="E125"/>
      <c r="F125" s="3">
        <v>44744</v>
      </c>
      <c r="G125" s="49">
        <v>1</v>
      </c>
      <c r="H125" s="23">
        <v>299.75</v>
      </c>
      <c r="I125" t="s">
        <v>6943</v>
      </c>
      <c r="J125"/>
      <c r="K125"/>
      <c r="L125"/>
      <c r="M125"/>
      <c r="N125"/>
      <c r="O125"/>
      <c r="P125"/>
      <c r="Q125"/>
      <c r="R125"/>
    </row>
    <row r="126" spans="1:18" x14ac:dyDescent="0.25">
      <c r="A126" t="str">
        <f>IFERROR(VLOOKUP(B126&amp; "*",'SKU Maintenance'!D:H,5,0),"not found")</f>
        <v>2010050198032524</v>
      </c>
      <c r="B126">
        <v>40013820</v>
      </c>
      <c r="C126" t="s">
        <v>355</v>
      </c>
      <c r="D126"/>
      <c r="E126"/>
      <c r="F126" s="3">
        <v>44755</v>
      </c>
      <c r="G126" s="49">
        <v>1</v>
      </c>
      <c r="H126" s="23">
        <v>299.75</v>
      </c>
      <c r="I126" t="s">
        <v>6943</v>
      </c>
      <c r="J126"/>
      <c r="K126"/>
      <c r="L126"/>
      <c r="M126"/>
      <c r="N126"/>
      <c r="O126"/>
      <c r="P126"/>
      <c r="Q126"/>
      <c r="R126"/>
    </row>
    <row r="127" spans="1:18" x14ac:dyDescent="0.25">
      <c r="A127" t="str">
        <f>IFERROR(VLOOKUP(B127&amp; "*",'SKU Maintenance'!D:H,5,0),"not found")</f>
        <v>2010040603302529</v>
      </c>
      <c r="B127">
        <v>40013837</v>
      </c>
      <c r="C127" t="s">
        <v>435</v>
      </c>
      <c r="D127"/>
      <c r="E127"/>
      <c r="F127" s="3">
        <v>44747</v>
      </c>
      <c r="G127" s="49">
        <v>1</v>
      </c>
      <c r="H127" s="23">
        <v>599.75</v>
      </c>
      <c r="I127" t="s">
        <v>6945</v>
      </c>
      <c r="J127"/>
      <c r="K127"/>
      <c r="L127"/>
      <c r="M127"/>
      <c r="N127"/>
      <c r="O127"/>
      <c r="P127"/>
      <c r="Q127"/>
      <c r="R127"/>
    </row>
    <row r="128" spans="1:18" x14ac:dyDescent="0.25">
      <c r="A128" t="str">
        <f>IFERROR(VLOOKUP(B128&amp; "*",'SKU Maintenance'!D:H,5,0),"not found")</f>
        <v>2010060198105021</v>
      </c>
      <c r="B128">
        <v>40013846</v>
      </c>
      <c r="C128" t="s">
        <v>212</v>
      </c>
      <c r="D128"/>
      <c r="E128"/>
      <c r="F128" s="3">
        <v>44762</v>
      </c>
      <c r="G128" s="49">
        <v>1</v>
      </c>
      <c r="H128" s="23">
        <v>129.75</v>
      </c>
      <c r="I128" t="s">
        <v>6945</v>
      </c>
      <c r="J128"/>
      <c r="K128"/>
      <c r="L128"/>
      <c r="M128"/>
      <c r="N128"/>
      <c r="O128"/>
      <c r="P128"/>
      <c r="Q128"/>
      <c r="R128"/>
    </row>
    <row r="129" spans="1:18" x14ac:dyDescent="0.25">
      <c r="A129" t="str">
        <f>IFERROR(VLOOKUP(B129&amp; "*",'SKU Maintenance'!D:H,5,0),"not found")</f>
        <v>2010060198135022</v>
      </c>
      <c r="B129">
        <v>40013847</v>
      </c>
      <c r="C129" t="s">
        <v>212</v>
      </c>
      <c r="D129"/>
      <c r="E129"/>
      <c r="F129" s="3">
        <v>44769</v>
      </c>
      <c r="G129" s="49">
        <v>1</v>
      </c>
      <c r="H129" s="23">
        <v>129.75</v>
      </c>
      <c r="I129" t="s">
        <v>6939</v>
      </c>
      <c r="J129"/>
      <c r="K129"/>
      <c r="L129"/>
      <c r="M129"/>
      <c r="N129"/>
      <c r="O129"/>
      <c r="P129"/>
      <c r="Q129"/>
      <c r="R129"/>
    </row>
    <row r="130" spans="1:18" x14ac:dyDescent="0.25">
      <c r="A130" t="str">
        <f>IFERROR(VLOOKUP(B130&amp; "*",'SKU Maintenance'!D:H,5,0),"not found")</f>
        <v>2010060198135022</v>
      </c>
      <c r="B130">
        <v>40013847</v>
      </c>
      <c r="C130" t="s">
        <v>212</v>
      </c>
      <c r="D130"/>
      <c r="E130"/>
      <c r="F130" s="3">
        <v>44771</v>
      </c>
      <c r="G130" s="49">
        <v>1</v>
      </c>
      <c r="H130" s="23">
        <v>129.75</v>
      </c>
      <c r="I130" t="s">
        <v>6939</v>
      </c>
      <c r="J130"/>
      <c r="K130"/>
      <c r="L130"/>
      <c r="M130"/>
      <c r="N130"/>
      <c r="O130"/>
      <c r="P130"/>
      <c r="Q130"/>
      <c r="R130"/>
    </row>
    <row r="131" spans="1:18" x14ac:dyDescent="0.25">
      <c r="A131" t="str">
        <f>IFERROR(VLOOKUP(B131&amp; "*",'SKU Maintenance'!D:H,5,0),"not found")</f>
        <v>2010060198135022</v>
      </c>
      <c r="B131">
        <v>40013847</v>
      </c>
      <c r="C131" t="s">
        <v>212</v>
      </c>
      <c r="D131"/>
      <c r="E131"/>
      <c r="F131" s="3">
        <v>44769</v>
      </c>
      <c r="G131" s="49">
        <v>1</v>
      </c>
      <c r="H131" s="23">
        <v>129.75</v>
      </c>
      <c r="I131" t="s">
        <v>6941</v>
      </c>
      <c r="J131"/>
      <c r="K131"/>
      <c r="L131"/>
      <c r="M131"/>
      <c r="N131"/>
      <c r="O131"/>
      <c r="P131"/>
      <c r="Q131"/>
      <c r="R131"/>
    </row>
    <row r="132" spans="1:18" x14ac:dyDescent="0.25">
      <c r="A132" t="str">
        <f>IFERROR(VLOOKUP(B132&amp; "*",'SKU Maintenance'!D:H,5,0),"not found")</f>
        <v>2010060198135022</v>
      </c>
      <c r="B132">
        <v>40013847</v>
      </c>
      <c r="C132" t="s">
        <v>212</v>
      </c>
      <c r="D132"/>
      <c r="E132"/>
      <c r="F132" s="3">
        <v>44773</v>
      </c>
      <c r="G132" s="49">
        <v>1</v>
      </c>
      <c r="H132" s="23">
        <v>129.75</v>
      </c>
      <c r="I132" t="s">
        <v>6945</v>
      </c>
      <c r="J132"/>
      <c r="K132"/>
      <c r="L132"/>
      <c r="M132"/>
      <c r="N132"/>
      <c r="O132"/>
      <c r="P132"/>
      <c r="Q132"/>
      <c r="R132"/>
    </row>
    <row r="133" spans="1:18" x14ac:dyDescent="0.25">
      <c r="A133" t="str">
        <f>IFERROR(VLOOKUP(B133&amp; "*",'SKU Maintenance'!D:H,5,0),"not found")</f>
        <v>2010060198175021</v>
      </c>
      <c r="B133">
        <v>40013848</v>
      </c>
      <c r="C133" t="s">
        <v>212</v>
      </c>
      <c r="D133"/>
      <c r="E133"/>
      <c r="F133" s="3">
        <v>44773</v>
      </c>
      <c r="G133" s="49">
        <v>1</v>
      </c>
      <c r="H133" s="23">
        <v>129.75</v>
      </c>
      <c r="I133" t="s">
        <v>6939</v>
      </c>
      <c r="J133"/>
      <c r="K133"/>
      <c r="L133"/>
      <c r="M133"/>
      <c r="N133"/>
      <c r="O133"/>
      <c r="P133"/>
      <c r="Q133"/>
      <c r="R133"/>
    </row>
    <row r="134" spans="1:18" x14ac:dyDescent="0.25">
      <c r="A134" t="str">
        <f>IFERROR(VLOOKUP(B134&amp; "*",'SKU Maintenance'!D:H,5,0),"not found")</f>
        <v>2010060198175021</v>
      </c>
      <c r="B134">
        <v>40013848</v>
      </c>
      <c r="C134" t="s">
        <v>212</v>
      </c>
      <c r="D134"/>
      <c r="E134"/>
      <c r="F134" s="3">
        <v>44755</v>
      </c>
      <c r="G134" s="49">
        <v>1</v>
      </c>
      <c r="H134" s="23">
        <v>129.75</v>
      </c>
      <c r="I134" t="s">
        <v>6945</v>
      </c>
      <c r="J134"/>
      <c r="K134"/>
      <c r="L134"/>
      <c r="M134"/>
      <c r="N134"/>
      <c r="O134"/>
      <c r="P134"/>
      <c r="Q134"/>
      <c r="R134"/>
    </row>
    <row r="135" spans="1:18" x14ac:dyDescent="0.25">
      <c r="A135" t="str">
        <f>IFERROR(VLOOKUP(B135&amp; "*",'SKU Maintenance'!D:H,5,0),"not found")</f>
        <v>2010060198035021</v>
      </c>
      <c r="B135">
        <v>40013850</v>
      </c>
      <c r="C135" t="s">
        <v>212</v>
      </c>
      <c r="D135"/>
      <c r="E135"/>
      <c r="F135" s="3">
        <v>44749</v>
      </c>
      <c r="G135" s="49">
        <v>1</v>
      </c>
      <c r="H135" s="23">
        <v>129.75</v>
      </c>
      <c r="I135" t="s">
        <v>6943</v>
      </c>
      <c r="J135"/>
      <c r="K135"/>
      <c r="L135"/>
      <c r="M135"/>
      <c r="N135"/>
      <c r="O135"/>
      <c r="P135"/>
      <c r="Q135"/>
      <c r="R135"/>
    </row>
    <row r="136" spans="1:18" x14ac:dyDescent="0.25">
      <c r="A136" t="str">
        <f>IFERROR(VLOOKUP(B136&amp; "*",'SKU Maintenance'!D:H,5,0),"not found")</f>
        <v>2010060198035021</v>
      </c>
      <c r="B136">
        <v>40013850</v>
      </c>
      <c r="C136" t="s">
        <v>212</v>
      </c>
      <c r="D136"/>
      <c r="E136"/>
      <c r="F136" s="3">
        <v>44754</v>
      </c>
      <c r="G136" s="49">
        <v>2</v>
      </c>
      <c r="H136" s="23">
        <v>259.5</v>
      </c>
      <c r="I136" t="s">
        <v>6943</v>
      </c>
      <c r="J136"/>
      <c r="K136"/>
      <c r="L136"/>
      <c r="M136"/>
      <c r="N136"/>
      <c r="O136"/>
      <c r="P136"/>
      <c r="Q136"/>
      <c r="R136"/>
    </row>
    <row r="137" spans="1:18" x14ac:dyDescent="0.25">
      <c r="A137" t="str">
        <f>IFERROR(VLOOKUP(B137&amp; "*",'SKU Maintenance'!D:H,5,0),"not found")</f>
        <v>2010060198035021</v>
      </c>
      <c r="B137">
        <v>40013850</v>
      </c>
      <c r="C137" t="s">
        <v>212</v>
      </c>
      <c r="D137"/>
      <c r="E137"/>
      <c r="F137" s="3">
        <v>44759</v>
      </c>
      <c r="G137" s="49">
        <v>1</v>
      </c>
      <c r="H137" s="23">
        <v>129.75</v>
      </c>
      <c r="I137" t="s">
        <v>6945</v>
      </c>
      <c r="J137"/>
      <c r="K137"/>
      <c r="L137"/>
      <c r="M137"/>
      <c r="N137"/>
      <c r="O137"/>
      <c r="P137"/>
      <c r="Q137"/>
      <c r="R137"/>
    </row>
    <row r="138" spans="1:18" x14ac:dyDescent="0.25">
      <c r="A138" t="str">
        <f>IFERROR(VLOOKUP(B138&amp; "*",'SKU Maintenance'!D:H,5,0),"not found")</f>
        <v>2010060198165021</v>
      </c>
      <c r="B138">
        <v>40013852</v>
      </c>
      <c r="C138" t="s">
        <v>212</v>
      </c>
      <c r="D138"/>
      <c r="E138"/>
      <c r="F138" s="3">
        <v>44771</v>
      </c>
      <c r="G138" s="49">
        <v>1</v>
      </c>
      <c r="H138" s="23">
        <v>129.75</v>
      </c>
      <c r="I138" t="s">
        <v>6939</v>
      </c>
      <c r="J138"/>
      <c r="K138"/>
      <c r="L138"/>
      <c r="M138"/>
      <c r="N138"/>
      <c r="O138"/>
      <c r="P138"/>
      <c r="Q138"/>
      <c r="R138"/>
    </row>
    <row r="139" spans="1:18" x14ac:dyDescent="0.25">
      <c r="A139" t="str">
        <f>IFERROR(VLOOKUP(B139&amp; "*",'SKU Maintenance'!D:H,5,0),"not found")</f>
        <v>2010060198165021</v>
      </c>
      <c r="B139">
        <v>40013852</v>
      </c>
      <c r="C139" t="s">
        <v>212</v>
      </c>
      <c r="D139"/>
      <c r="E139"/>
      <c r="F139" s="3">
        <v>44758</v>
      </c>
      <c r="G139" s="49">
        <v>1</v>
      </c>
      <c r="H139" s="23">
        <v>129.75</v>
      </c>
      <c r="I139" t="s">
        <v>6943</v>
      </c>
      <c r="J139"/>
      <c r="K139"/>
      <c r="L139"/>
      <c r="M139"/>
      <c r="N139"/>
      <c r="O139"/>
      <c r="P139"/>
      <c r="Q139"/>
      <c r="R139"/>
    </row>
    <row r="140" spans="1:18" x14ac:dyDescent="0.25">
      <c r="A140" t="str">
        <f>IFERROR(VLOOKUP(B140&amp; "*",'SKU Maintenance'!D:H,5,0),"not found")</f>
        <v>2010060198165021</v>
      </c>
      <c r="B140">
        <v>40013852</v>
      </c>
      <c r="C140" t="s">
        <v>212</v>
      </c>
      <c r="D140"/>
      <c r="E140"/>
      <c r="F140" s="3">
        <v>44743</v>
      </c>
      <c r="G140" s="49">
        <v>1</v>
      </c>
      <c r="H140" s="23">
        <v>129.75</v>
      </c>
      <c r="I140" t="s">
        <v>6945</v>
      </c>
      <c r="J140"/>
      <c r="K140"/>
      <c r="L140"/>
      <c r="M140"/>
      <c r="N140"/>
      <c r="O140"/>
      <c r="P140"/>
      <c r="Q140"/>
      <c r="R140"/>
    </row>
    <row r="141" spans="1:18" x14ac:dyDescent="0.25">
      <c r="A141" t="str">
        <f>IFERROR(VLOOKUP(B141&amp; "*",'SKU Maintenance'!D:H,5,0),"not found")</f>
        <v>2010060198075021</v>
      </c>
      <c r="B141">
        <v>40013854</v>
      </c>
      <c r="C141" t="s">
        <v>212</v>
      </c>
      <c r="D141"/>
      <c r="E141"/>
      <c r="F141" s="3">
        <v>44771</v>
      </c>
      <c r="G141" s="49">
        <v>1</v>
      </c>
      <c r="H141" s="23">
        <v>129.75</v>
      </c>
      <c r="I141" t="s">
        <v>6939</v>
      </c>
      <c r="J141"/>
      <c r="K141"/>
      <c r="L141"/>
      <c r="M141"/>
      <c r="N141"/>
      <c r="O141"/>
      <c r="P141"/>
      <c r="Q141"/>
      <c r="R141"/>
    </row>
    <row r="142" spans="1:18" x14ac:dyDescent="0.25">
      <c r="A142" t="str">
        <f>IFERROR(VLOOKUP(B142&amp; "*",'SKU Maintenance'!D:H,5,0),"not found")</f>
        <v>2010060198075021</v>
      </c>
      <c r="B142">
        <v>40013854</v>
      </c>
      <c r="C142" t="s">
        <v>212</v>
      </c>
      <c r="D142"/>
      <c r="E142"/>
      <c r="F142" s="3">
        <v>44755</v>
      </c>
      <c r="G142" s="49">
        <v>1</v>
      </c>
      <c r="H142" s="23">
        <v>129.75</v>
      </c>
      <c r="I142" t="s">
        <v>6945</v>
      </c>
      <c r="J142"/>
      <c r="K142"/>
      <c r="L142"/>
      <c r="M142"/>
      <c r="N142"/>
      <c r="O142"/>
      <c r="P142"/>
      <c r="Q142"/>
      <c r="R142"/>
    </row>
    <row r="143" spans="1:18" x14ac:dyDescent="0.25">
      <c r="A143" t="str">
        <f>IFERROR(VLOOKUP(B143&amp; "*",'SKU Maintenance'!D:H,5,0),"not found")</f>
        <v>2010060198045022</v>
      </c>
      <c r="B143">
        <v>40013855</v>
      </c>
      <c r="C143" t="s">
        <v>212</v>
      </c>
      <c r="D143"/>
      <c r="E143"/>
      <c r="F143" s="3">
        <v>44769</v>
      </c>
      <c r="G143" s="49">
        <v>1</v>
      </c>
      <c r="H143" s="23">
        <v>129.75</v>
      </c>
      <c r="I143" t="s">
        <v>6941</v>
      </c>
      <c r="J143"/>
      <c r="K143"/>
      <c r="L143"/>
      <c r="M143"/>
      <c r="N143"/>
      <c r="O143"/>
      <c r="P143"/>
      <c r="Q143"/>
      <c r="R143"/>
    </row>
    <row r="144" spans="1:18" x14ac:dyDescent="0.25">
      <c r="A144" t="str">
        <f>IFERROR(VLOOKUP(B144&amp; "*",'SKU Maintenance'!D:H,5,0),"not found")</f>
        <v>2010060198045022</v>
      </c>
      <c r="B144">
        <v>40013855</v>
      </c>
      <c r="C144" t="s">
        <v>212</v>
      </c>
      <c r="D144"/>
      <c r="E144"/>
      <c r="F144" s="3">
        <v>44771</v>
      </c>
      <c r="G144" s="49">
        <v>1</v>
      </c>
      <c r="H144" s="23">
        <v>129.75</v>
      </c>
      <c r="I144" t="s">
        <v>6945</v>
      </c>
      <c r="J144"/>
      <c r="K144"/>
      <c r="L144"/>
      <c r="M144"/>
      <c r="N144"/>
      <c r="O144"/>
      <c r="P144"/>
      <c r="Q144"/>
      <c r="R144"/>
    </row>
    <row r="145" spans="1:18" x14ac:dyDescent="0.25">
      <c r="A145" t="str">
        <f>IFERROR(VLOOKUP(B145&amp; "*",'SKU Maintenance'!D:H,5,0),"not found")</f>
        <v>2010060106022106</v>
      </c>
      <c r="B145">
        <v>40013867</v>
      </c>
      <c r="C145" t="s">
        <v>236</v>
      </c>
      <c r="D145"/>
      <c r="E145"/>
      <c r="F145" s="3">
        <v>44743</v>
      </c>
      <c r="G145" s="49">
        <v>1</v>
      </c>
      <c r="H145" s="23">
        <v>99.75</v>
      </c>
      <c r="I145" t="s">
        <v>6941</v>
      </c>
      <c r="J145"/>
      <c r="K145"/>
      <c r="L145"/>
      <c r="M145"/>
      <c r="N145"/>
      <c r="O145"/>
      <c r="P145"/>
      <c r="Q145"/>
      <c r="R145"/>
    </row>
    <row r="146" spans="1:18" x14ac:dyDescent="0.25">
      <c r="A146" t="str">
        <f>IFERROR(VLOOKUP(B146&amp; "*",'SKU Maintenance'!D:H,5,0),"not found")</f>
        <v>2010060106022106</v>
      </c>
      <c r="B146">
        <v>40013867</v>
      </c>
      <c r="C146" t="s">
        <v>236</v>
      </c>
      <c r="D146"/>
      <c r="E146"/>
      <c r="F146" s="3">
        <v>44759</v>
      </c>
      <c r="G146" s="49">
        <v>1</v>
      </c>
      <c r="H146" s="23">
        <v>99.75</v>
      </c>
      <c r="I146" t="s">
        <v>6941</v>
      </c>
      <c r="J146"/>
      <c r="K146"/>
      <c r="L146"/>
      <c r="M146"/>
      <c r="N146"/>
      <c r="O146"/>
      <c r="P146"/>
      <c r="Q146"/>
      <c r="R146"/>
    </row>
    <row r="147" spans="1:18" x14ac:dyDescent="0.25">
      <c r="A147" t="str">
        <f>IFERROR(VLOOKUP(B147&amp; "*",'SKU Maintenance'!D:H,5,0),"not found")</f>
        <v>2010060106022106</v>
      </c>
      <c r="B147">
        <v>40013867</v>
      </c>
      <c r="C147" t="s">
        <v>236</v>
      </c>
      <c r="D147"/>
      <c r="E147"/>
      <c r="F147" s="3">
        <v>44761</v>
      </c>
      <c r="G147" s="49">
        <v>1</v>
      </c>
      <c r="H147" s="23">
        <v>99.75</v>
      </c>
      <c r="I147" t="s">
        <v>6941</v>
      </c>
      <c r="J147"/>
      <c r="K147"/>
      <c r="L147"/>
      <c r="M147"/>
      <c r="N147"/>
      <c r="O147"/>
      <c r="P147"/>
      <c r="Q147"/>
      <c r="R147"/>
    </row>
    <row r="148" spans="1:18" x14ac:dyDescent="0.25">
      <c r="A148" t="str">
        <f>IFERROR(VLOOKUP(B148&amp; "*",'SKU Maintenance'!D:H,5,0),"not found")</f>
        <v>2010060106022106</v>
      </c>
      <c r="B148">
        <v>40013867</v>
      </c>
      <c r="C148" t="s">
        <v>236</v>
      </c>
      <c r="D148"/>
      <c r="E148"/>
      <c r="F148" s="3">
        <v>44752</v>
      </c>
      <c r="G148" s="49">
        <v>1</v>
      </c>
      <c r="H148" s="23">
        <v>99.75</v>
      </c>
      <c r="I148" t="s">
        <v>6943</v>
      </c>
      <c r="J148"/>
      <c r="K148"/>
      <c r="L148"/>
      <c r="M148"/>
      <c r="N148"/>
      <c r="O148"/>
      <c r="P148"/>
      <c r="Q148"/>
      <c r="R148"/>
    </row>
    <row r="149" spans="1:18" x14ac:dyDescent="0.25">
      <c r="A149" t="str">
        <f>IFERROR(VLOOKUP(B149&amp; "*",'SKU Maintenance'!D:H,5,0),"not found")</f>
        <v>2010060106022106</v>
      </c>
      <c r="B149">
        <v>40013867</v>
      </c>
      <c r="C149" t="s">
        <v>236</v>
      </c>
      <c r="D149"/>
      <c r="E149"/>
      <c r="F149" s="3">
        <v>44766</v>
      </c>
      <c r="G149" s="49">
        <v>1</v>
      </c>
      <c r="H149" s="23">
        <v>99.75</v>
      </c>
      <c r="I149" t="s">
        <v>6943</v>
      </c>
      <c r="J149"/>
      <c r="K149"/>
      <c r="L149"/>
      <c r="M149"/>
      <c r="N149"/>
      <c r="O149"/>
      <c r="P149"/>
      <c r="Q149"/>
      <c r="R149"/>
    </row>
    <row r="150" spans="1:18" x14ac:dyDescent="0.25">
      <c r="A150" t="str">
        <f>IFERROR(VLOOKUP(B150&amp; "*",'SKU Maintenance'!D:H,5,0),"not found")</f>
        <v>2010060106022106</v>
      </c>
      <c r="B150">
        <v>40013867</v>
      </c>
      <c r="C150" t="s">
        <v>236</v>
      </c>
      <c r="D150"/>
      <c r="E150"/>
      <c r="F150" s="3">
        <v>44772</v>
      </c>
      <c r="G150" s="49">
        <v>1</v>
      </c>
      <c r="H150" s="23">
        <v>99.75</v>
      </c>
      <c r="I150" t="s">
        <v>6943</v>
      </c>
      <c r="J150"/>
      <c r="K150"/>
      <c r="L150"/>
      <c r="M150"/>
      <c r="N150"/>
      <c r="O150"/>
      <c r="P150"/>
      <c r="Q150"/>
      <c r="R150"/>
    </row>
    <row r="151" spans="1:18" x14ac:dyDescent="0.25">
      <c r="A151" t="str">
        <f>IFERROR(VLOOKUP(B151&amp; "*",'SKU Maintenance'!D:H,5,0),"not found")</f>
        <v>2010060106022106</v>
      </c>
      <c r="B151">
        <v>40013867</v>
      </c>
      <c r="C151" t="s">
        <v>236</v>
      </c>
      <c r="D151"/>
      <c r="E151"/>
      <c r="F151" s="3">
        <v>44751</v>
      </c>
      <c r="G151" s="49">
        <v>1</v>
      </c>
      <c r="H151" s="23">
        <v>99.75</v>
      </c>
      <c r="I151" t="s">
        <v>6945</v>
      </c>
      <c r="J151"/>
      <c r="K151"/>
      <c r="L151"/>
      <c r="M151"/>
      <c r="N151"/>
      <c r="O151"/>
      <c r="P151"/>
      <c r="Q151"/>
      <c r="R151"/>
    </row>
    <row r="152" spans="1:18" x14ac:dyDescent="0.25">
      <c r="A152" t="str">
        <f>IFERROR(VLOOKUP(B152&amp; "*",'SKU Maintenance'!D:H,5,0),"not found")</f>
        <v>2010060106022106</v>
      </c>
      <c r="B152">
        <v>40013867</v>
      </c>
      <c r="C152" t="s">
        <v>236</v>
      </c>
      <c r="D152"/>
      <c r="E152"/>
      <c r="F152" s="3">
        <v>44755</v>
      </c>
      <c r="G152" s="49">
        <v>1</v>
      </c>
      <c r="H152" s="23">
        <v>99.75</v>
      </c>
      <c r="I152" t="s">
        <v>6945</v>
      </c>
      <c r="J152"/>
      <c r="K152"/>
      <c r="L152"/>
      <c r="M152"/>
      <c r="N152"/>
      <c r="O152"/>
      <c r="P152"/>
      <c r="Q152"/>
      <c r="R152"/>
    </row>
    <row r="153" spans="1:18" x14ac:dyDescent="0.25">
      <c r="A153" t="str">
        <f>IFERROR(VLOOKUP(B153&amp; "*",'SKU Maintenance'!D:H,5,0),"not found")</f>
        <v>2010060106072107</v>
      </c>
      <c r="B153">
        <v>40013868</v>
      </c>
      <c r="C153" t="s">
        <v>235</v>
      </c>
      <c r="D153"/>
      <c r="E153"/>
      <c r="F153" s="3">
        <v>44743</v>
      </c>
      <c r="G153" s="49">
        <v>1</v>
      </c>
      <c r="H153" s="23">
        <v>99.75</v>
      </c>
      <c r="I153" t="s">
        <v>6941</v>
      </c>
      <c r="J153"/>
      <c r="K153"/>
      <c r="L153"/>
      <c r="M153"/>
      <c r="N153"/>
      <c r="O153"/>
      <c r="P153"/>
      <c r="Q153"/>
      <c r="R153"/>
    </row>
    <row r="154" spans="1:18" x14ac:dyDescent="0.25">
      <c r="A154" t="str">
        <f>IFERROR(VLOOKUP(B154&amp; "*",'SKU Maintenance'!D:H,5,0),"not found")</f>
        <v>2010060106072107</v>
      </c>
      <c r="B154">
        <v>40013868</v>
      </c>
      <c r="C154" t="s">
        <v>235</v>
      </c>
      <c r="D154"/>
      <c r="E154"/>
      <c r="F154" s="3">
        <v>44755</v>
      </c>
      <c r="G154" s="49">
        <v>2</v>
      </c>
      <c r="H154" s="23">
        <v>199.5</v>
      </c>
      <c r="I154" t="s">
        <v>6941</v>
      </c>
      <c r="J154"/>
      <c r="K154"/>
      <c r="L154"/>
      <c r="M154"/>
      <c r="N154"/>
      <c r="O154"/>
      <c r="P154"/>
      <c r="Q154"/>
      <c r="R154"/>
    </row>
    <row r="155" spans="1:18" x14ac:dyDescent="0.25">
      <c r="A155" t="str">
        <f>IFERROR(VLOOKUP(B155&amp; "*",'SKU Maintenance'!D:H,5,0),"not found")</f>
        <v>2010060106072107</v>
      </c>
      <c r="B155">
        <v>40013868</v>
      </c>
      <c r="C155" t="s">
        <v>235</v>
      </c>
      <c r="D155"/>
      <c r="E155"/>
      <c r="F155" s="3">
        <v>44760</v>
      </c>
      <c r="G155" s="49">
        <v>1</v>
      </c>
      <c r="H155" s="23">
        <v>99.75</v>
      </c>
      <c r="I155" t="s">
        <v>6941</v>
      </c>
      <c r="J155"/>
      <c r="K155"/>
      <c r="L155"/>
      <c r="M155"/>
      <c r="N155"/>
      <c r="O155"/>
      <c r="P155"/>
      <c r="Q155"/>
      <c r="R155"/>
    </row>
    <row r="156" spans="1:18" x14ac:dyDescent="0.25">
      <c r="A156" t="str">
        <f>IFERROR(VLOOKUP(B156&amp; "*",'SKU Maintenance'!D:H,5,0),"not found")</f>
        <v>2010060106072107</v>
      </c>
      <c r="B156">
        <v>40013868</v>
      </c>
      <c r="C156" t="s">
        <v>235</v>
      </c>
      <c r="D156"/>
      <c r="E156"/>
      <c r="F156" s="3">
        <v>44766</v>
      </c>
      <c r="G156" s="49">
        <v>1</v>
      </c>
      <c r="H156" s="23">
        <v>99.75</v>
      </c>
      <c r="I156" t="s">
        <v>6941</v>
      </c>
      <c r="J156"/>
      <c r="K156"/>
      <c r="L156"/>
      <c r="M156"/>
      <c r="N156"/>
      <c r="O156"/>
      <c r="P156"/>
      <c r="Q156"/>
      <c r="R156"/>
    </row>
    <row r="157" spans="1:18" x14ac:dyDescent="0.25">
      <c r="A157" t="str">
        <f>IFERROR(VLOOKUP(B157&amp; "*",'SKU Maintenance'!D:H,5,0),"not found")</f>
        <v>2010060106072107</v>
      </c>
      <c r="B157">
        <v>40013868</v>
      </c>
      <c r="C157" t="s">
        <v>235</v>
      </c>
      <c r="D157"/>
      <c r="E157"/>
      <c r="F157" s="3">
        <v>44767</v>
      </c>
      <c r="G157" s="49">
        <v>1</v>
      </c>
      <c r="H157" s="23">
        <v>99.75</v>
      </c>
      <c r="I157" t="s">
        <v>6941</v>
      </c>
      <c r="J157"/>
      <c r="K157"/>
      <c r="L157"/>
      <c r="M157"/>
      <c r="N157"/>
      <c r="O157"/>
      <c r="P157"/>
      <c r="Q157"/>
      <c r="R157"/>
    </row>
    <row r="158" spans="1:18" x14ac:dyDescent="0.25">
      <c r="A158" t="str">
        <f>IFERROR(VLOOKUP(B158&amp; "*",'SKU Maintenance'!D:H,5,0),"not found")</f>
        <v>2010060106072107</v>
      </c>
      <c r="B158">
        <v>40013868</v>
      </c>
      <c r="C158" t="s">
        <v>235</v>
      </c>
      <c r="D158"/>
      <c r="E158"/>
      <c r="F158" s="3">
        <v>44752</v>
      </c>
      <c r="G158" s="49">
        <v>1</v>
      </c>
      <c r="H158" s="23">
        <v>99.75</v>
      </c>
      <c r="I158" t="s">
        <v>6943</v>
      </c>
      <c r="J158"/>
      <c r="K158"/>
      <c r="L158"/>
      <c r="M158"/>
      <c r="N158"/>
      <c r="O158"/>
      <c r="P158"/>
      <c r="Q158"/>
      <c r="R158"/>
    </row>
    <row r="159" spans="1:18" x14ac:dyDescent="0.25">
      <c r="A159" t="str">
        <f>IFERROR(VLOOKUP(B159&amp; "*",'SKU Maintenance'!D:H,5,0),"not found")</f>
        <v>2010060106132106</v>
      </c>
      <c r="B159">
        <v>40013870</v>
      </c>
      <c r="C159" t="s">
        <v>282</v>
      </c>
      <c r="D159"/>
      <c r="E159"/>
      <c r="F159" s="3">
        <v>44755</v>
      </c>
      <c r="G159" s="49">
        <v>1</v>
      </c>
      <c r="H159" s="23">
        <v>99.75</v>
      </c>
      <c r="I159" t="s">
        <v>6941</v>
      </c>
      <c r="J159"/>
      <c r="K159"/>
      <c r="L159"/>
      <c r="M159"/>
      <c r="N159"/>
      <c r="O159"/>
      <c r="P159"/>
      <c r="Q159"/>
      <c r="R159"/>
    </row>
    <row r="160" spans="1:18" x14ac:dyDescent="0.25">
      <c r="A160" t="str">
        <f>IFERROR(VLOOKUP(B160&amp; "*",'SKU Maintenance'!D:H,5,0),"not found")</f>
        <v>2010060106052106</v>
      </c>
      <c r="B160">
        <v>40013871</v>
      </c>
      <c r="C160" t="s">
        <v>254</v>
      </c>
      <c r="D160"/>
      <c r="E160"/>
      <c r="F160" s="3">
        <v>44746</v>
      </c>
      <c r="G160" s="49">
        <v>1</v>
      </c>
      <c r="H160" s="23">
        <v>99.75</v>
      </c>
      <c r="I160" t="s">
        <v>6941</v>
      </c>
      <c r="J160"/>
      <c r="K160"/>
      <c r="L160"/>
      <c r="M160"/>
      <c r="N160"/>
      <c r="O160"/>
      <c r="P160"/>
      <c r="Q160"/>
      <c r="R160"/>
    </row>
    <row r="161" spans="1:18" x14ac:dyDescent="0.25">
      <c r="A161" t="str">
        <f>IFERROR(VLOOKUP(B161&amp; "*",'SKU Maintenance'!D:H,5,0),"not found")</f>
        <v>2010060106052106</v>
      </c>
      <c r="B161">
        <v>40013871</v>
      </c>
      <c r="C161" t="s">
        <v>254</v>
      </c>
      <c r="D161"/>
      <c r="E161"/>
      <c r="F161" s="3">
        <v>44752</v>
      </c>
      <c r="G161" s="49">
        <v>1</v>
      </c>
      <c r="H161" s="23">
        <v>99.75</v>
      </c>
      <c r="I161" t="s">
        <v>6941</v>
      </c>
      <c r="J161"/>
      <c r="K161"/>
      <c r="L161"/>
      <c r="M161"/>
      <c r="N161"/>
      <c r="O161"/>
      <c r="P161"/>
      <c r="Q161"/>
      <c r="R161"/>
    </row>
    <row r="162" spans="1:18" x14ac:dyDescent="0.25">
      <c r="A162" t="str">
        <f>IFERROR(VLOOKUP(B162&amp; "*",'SKU Maintenance'!D:H,5,0),"not found")</f>
        <v>2010060106052106</v>
      </c>
      <c r="B162">
        <v>40013871</v>
      </c>
      <c r="C162" t="s">
        <v>254</v>
      </c>
      <c r="D162"/>
      <c r="E162"/>
      <c r="F162" s="3">
        <v>44755</v>
      </c>
      <c r="G162" s="49">
        <v>2</v>
      </c>
      <c r="H162" s="23">
        <v>199.5</v>
      </c>
      <c r="I162" t="s">
        <v>6941</v>
      </c>
      <c r="J162"/>
      <c r="K162"/>
      <c r="L162"/>
      <c r="M162"/>
      <c r="N162"/>
      <c r="O162"/>
      <c r="P162"/>
      <c r="Q162"/>
      <c r="R162"/>
    </row>
    <row r="163" spans="1:18" x14ac:dyDescent="0.25">
      <c r="A163" t="str">
        <f>IFERROR(VLOOKUP(B163&amp; "*",'SKU Maintenance'!D:H,5,0),"not found")</f>
        <v>2010060106052106</v>
      </c>
      <c r="B163">
        <v>40013871</v>
      </c>
      <c r="C163" t="s">
        <v>254</v>
      </c>
      <c r="D163"/>
      <c r="E163"/>
      <c r="F163" s="3">
        <v>44763</v>
      </c>
      <c r="G163" s="49">
        <v>2</v>
      </c>
      <c r="H163" s="23">
        <v>199.5</v>
      </c>
      <c r="I163" t="s">
        <v>6941</v>
      </c>
      <c r="J163"/>
      <c r="K163"/>
      <c r="L163"/>
      <c r="M163"/>
      <c r="N163"/>
      <c r="O163"/>
      <c r="P163"/>
      <c r="Q163"/>
      <c r="R163"/>
    </row>
    <row r="164" spans="1:18" x14ac:dyDescent="0.25">
      <c r="A164" t="str">
        <f>IFERROR(VLOOKUP(B164&amp; "*",'SKU Maintenance'!D:H,5,0),"not found")</f>
        <v>2010060106052106</v>
      </c>
      <c r="B164">
        <v>40013871</v>
      </c>
      <c r="C164" t="s">
        <v>254</v>
      </c>
      <c r="D164"/>
      <c r="E164"/>
      <c r="F164" s="3">
        <v>44766</v>
      </c>
      <c r="G164" s="49">
        <v>1</v>
      </c>
      <c r="H164" s="23">
        <v>99.75</v>
      </c>
      <c r="I164" t="s">
        <v>6941</v>
      </c>
      <c r="J164"/>
      <c r="K164"/>
      <c r="L164"/>
      <c r="M164"/>
      <c r="N164"/>
      <c r="O164"/>
      <c r="P164"/>
      <c r="Q164"/>
      <c r="R164"/>
    </row>
    <row r="165" spans="1:18" x14ac:dyDescent="0.25">
      <c r="A165" t="str">
        <f>IFERROR(VLOOKUP(B165&amp; "*",'SKU Maintenance'!D:H,5,0),"not found")</f>
        <v>2010060106052106</v>
      </c>
      <c r="B165">
        <v>40013871</v>
      </c>
      <c r="C165" t="s">
        <v>254</v>
      </c>
      <c r="D165"/>
      <c r="E165"/>
      <c r="F165" s="3">
        <v>44747</v>
      </c>
      <c r="G165" s="49">
        <v>1</v>
      </c>
      <c r="H165" s="23">
        <v>99.75</v>
      </c>
      <c r="I165" t="s">
        <v>6943</v>
      </c>
      <c r="J165"/>
      <c r="K165"/>
      <c r="L165"/>
      <c r="M165"/>
      <c r="N165"/>
      <c r="O165"/>
      <c r="P165"/>
      <c r="Q165"/>
      <c r="R165"/>
    </row>
    <row r="166" spans="1:18" x14ac:dyDescent="0.25">
      <c r="A166" t="str">
        <f>IFERROR(VLOOKUP(B166&amp; "*",'SKU Maintenance'!D:H,5,0),"not found")</f>
        <v>2010060106052106</v>
      </c>
      <c r="B166">
        <v>40013871</v>
      </c>
      <c r="C166" t="s">
        <v>254</v>
      </c>
      <c r="D166"/>
      <c r="E166"/>
      <c r="F166" s="3">
        <v>44767</v>
      </c>
      <c r="G166" s="49">
        <v>1</v>
      </c>
      <c r="H166" s="23">
        <v>99.75</v>
      </c>
      <c r="I166" t="s">
        <v>6943</v>
      </c>
      <c r="J166"/>
      <c r="K166"/>
      <c r="L166"/>
      <c r="M166"/>
      <c r="N166"/>
      <c r="O166"/>
      <c r="P166"/>
      <c r="Q166"/>
      <c r="R166"/>
    </row>
    <row r="167" spans="1:18" x14ac:dyDescent="0.25">
      <c r="A167" t="str">
        <f>IFERROR(VLOOKUP(B167&amp; "*",'SKU Maintenance'!D:H,5,0),"not found")</f>
        <v>2010060106052106</v>
      </c>
      <c r="B167">
        <v>40013871</v>
      </c>
      <c r="C167" t="s">
        <v>254</v>
      </c>
      <c r="D167"/>
      <c r="E167"/>
      <c r="F167" s="3">
        <v>44757</v>
      </c>
      <c r="G167" s="49">
        <v>1</v>
      </c>
      <c r="H167" s="23">
        <v>99.75</v>
      </c>
      <c r="I167" t="s">
        <v>6945</v>
      </c>
      <c r="J167"/>
      <c r="K167"/>
      <c r="L167"/>
      <c r="M167"/>
      <c r="N167"/>
      <c r="O167"/>
      <c r="P167"/>
      <c r="Q167"/>
      <c r="R167"/>
    </row>
    <row r="168" spans="1:18" x14ac:dyDescent="0.25">
      <c r="A168" t="str">
        <f>IFERROR(VLOOKUP(B168&amp; "*",'SKU Maintenance'!D:H,5,0),"not found")</f>
        <v>2010060106052106</v>
      </c>
      <c r="B168">
        <v>40013871</v>
      </c>
      <c r="C168" t="s">
        <v>254</v>
      </c>
      <c r="D168"/>
      <c r="E168"/>
      <c r="F168" s="3">
        <v>44771</v>
      </c>
      <c r="G168" s="49">
        <v>1</v>
      </c>
      <c r="H168" s="23">
        <v>99.75</v>
      </c>
      <c r="I168" t="s">
        <v>6945</v>
      </c>
      <c r="J168"/>
      <c r="K168"/>
      <c r="L168"/>
      <c r="M168"/>
      <c r="N168"/>
      <c r="O168"/>
      <c r="P168"/>
      <c r="Q168"/>
      <c r="R168"/>
    </row>
    <row r="169" spans="1:18" x14ac:dyDescent="0.25">
      <c r="A169" t="str">
        <f>IFERROR(VLOOKUP(B169&amp; "*",'SKU Maintenance'!D:H,5,0),"not found")</f>
        <v>2010060106192106</v>
      </c>
      <c r="B169">
        <v>40013872</v>
      </c>
      <c r="C169" t="s">
        <v>57</v>
      </c>
      <c r="D169"/>
      <c r="E169"/>
      <c r="F169" s="3">
        <v>44743</v>
      </c>
      <c r="G169" s="49">
        <v>1</v>
      </c>
      <c r="H169" s="23">
        <v>99.75</v>
      </c>
      <c r="I169" t="s">
        <v>6939</v>
      </c>
      <c r="J169"/>
      <c r="K169"/>
      <c r="L169"/>
      <c r="M169"/>
      <c r="N169"/>
      <c r="O169"/>
      <c r="P169"/>
      <c r="Q169"/>
      <c r="R169"/>
    </row>
    <row r="170" spans="1:18" x14ac:dyDescent="0.25">
      <c r="A170" t="str">
        <f>IFERROR(VLOOKUP(B170&amp; "*",'SKU Maintenance'!D:H,5,0),"not found")</f>
        <v>2010060106192106</v>
      </c>
      <c r="B170">
        <v>40013872</v>
      </c>
      <c r="C170" t="s">
        <v>57</v>
      </c>
      <c r="D170"/>
      <c r="E170"/>
      <c r="F170" s="3">
        <v>44745</v>
      </c>
      <c r="G170" s="49">
        <v>1</v>
      </c>
      <c r="H170" s="23">
        <v>99.75</v>
      </c>
      <c r="I170" t="s">
        <v>6939</v>
      </c>
      <c r="J170"/>
      <c r="K170"/>
      <c r="L170"/>
      <c r="M170"/>
      <c r="N170"/>
      <c r="O170"/>
      <c r="P170"/>
      <c r="Q170"/>
      <c r="R170"/>
    </row>
    <row r="171" spans="1:18" x14ac:dyDescent="0.25">
      <c r="A171" t="str">
        <f>IFERROR(VLOOKUP(B171&amp; "*",'SKU Maintenance'!D:H,5,0),"not found")</f>
        <v>2010060106192106</v>
      </c>
      <c r="B171">
        <v>40013872</v>
      </c>
      <c r="C171" t="s">
        <v>57</v>
      </c>
      <c r="D171"/>
      <c r="E171"/>
      <c r="F171" s="3">
        <v>44759</v>
      </c>
      <c r="G171" s="49">
        <v>1</v>
      </c>
      <c r="H171" s="23">
        <v>99.75</v>
      </c>
      <c r="I171" t="s">
        <v>6939</v>
      </c>
      <c r="J171"/>
      <c r="K171"/>
      <c r="L171"/>
      <c r="M171"/>
      <c r="N171"/>
      <c r="O171"/>
      <c r="P171"/>
      <c r="Q171"/>
      <c r="R171"/>
    </row>
    <row r="172" spans="1:18" x14ac:dyDescent="0.25">
      <c r="A172" t="str">
        <f>IFERROR(VLOOKUP(B172&amp; "*",'SKU Maintenance'!D:H,5,0),"not found")</f>
        <v>2010060106192106</v>
      </c>
      <c r="B172">
        <v>40013872</v>
      </c>
      <c r="C172" t="s">
        <v>57</v>
      </c>
      <c r="D172"/>
      <c r="E172"/>
      <c r="F172" s="3">
        <v>44759</v>
      </c>
      <c r="G172" s="49">
        <v>1</v>
      </c>
      <c r="H172" s="23">
        <v>99.75</v>
      </c>
      <c r="I172" t="s">
        <v>6943</v>
      </c>
      <c r="J172"/>
      <c r="K172"/>
      <c r="L172"/>
      <c r="M172"/>
      <c r="N172"/>
      <c r="O172"/>
      <c r="P172"/>
      <c r="Q172"/>
      <c r="R172"/>
    </row>
    <row r="173" spans="1:18" x14ac:dyDescent="0.25">
      <c r="A173" t="str">
        <f>IFERROR(VLOOKUP(B173&amp; "*",'SKU Maintenance'!D:H,5,0),"not found")</f>
        <v>2010060106192106</v>
      </c>
      <c r="B173">
        <v>40013872</v>
      </c>
      <c r="C173" t="s">
        <v>57</v>
      </c>
      <c r="D173"/>
      <c r="E173"/>
      <c r="F173" s="3">
        <v>44767</v>
      </c>
      <c r="G173" s="49">
        <v>1</v>
      </c>
      <c r="H173" s="23">
        <v>99.75</v>
      </c>
      <c r="I173" t="s">
        <v>6943</v>
      </c>
      <c r="J173"/>
      <c r="K173"/>
      <c r="L173"/>
      <c r="M173"/>
      <c r="N173"/>
      <c r="O173"/>
      <c r="P173"/>
      <c r="Q173"/>
      <c r="R173"/>
    </row>
    <row r="174" spans="1:18" x14ac:dyDescent="0.25">
      <c r="A174" t="str">
        <f>IFERROR(VLOOKUP(B174&amp; "*",'SKU Maintenance'!D:H,5,0),"not found")</f>
        <v>2010060106142106</v>
      </c>
      <c r="B174">
        <v>40013873</v>
      </c>
      <c r="C174" t="s">
        <v>98</v>
      </c>
      <c r="D174"/>
      <c r="E174"/>
      <c r="F174" s="3">
        <v>44750</v>
      </c>
      <c r="G174" s="49">
        <v>1</v>
      </c>
      <c r="H174" s="23">
        <v>99.75</v>
      </c>
      <c r="I174" t="s">
        <v>6939</v>
      </c>
      <c r="J174"/>
      <c r="K174"/>
      <c r="L174"/>
      <c r="M174"/>
      <c r="N174"/>
      <c r="O174"/>
      <c r="P174"/>
      <c r="Q174"/>
      <c r="R174"/>
    </row>
    <row r="175" spans="1:18" x14ac:dyDescent="0.25">
      <c r="A175" t="str">
        <f>IFERROR(VLOOKUP(B175&amp; "*",'SKU Maintenance'!D:H,5,0),"not found")</f>
        <v>2010060106142106</v>
      </c>
      <c r="B175">
        <v>40013873</v>
      </c>
      <c r="C175" t="s">
        <v>98</v>
      </c>
      <c r="D175"/>
      <c r="E175"/>
      <c r="F175" s="3">
        <v>44751</v>
      </c>
      <c r="G175" s="49">
        <v>1</v>
      </c>
      <c r="H175" s="23">
        <v>99.75</v>
      </c>
      <c r="I175" t="s">
        <v>6939</v>
      </c>
      <c r="J175"/>
      <c r="K175"/>
      <c r="L175"/>
      <c r="M175"/>
      <c r="N175"/>
      <c r="O175"/>
      <c r="P175"/>
      <c r="Q175"/>
      <c r="R175"/>
    </row>
    <row r="176" spans="1:18" x14ac:dyDescent="0.25">
      <c r="A176" t="str">
        <f>IFERROR(VLOOKUP(B176&amp; "*",'SKU Maintenance'!D:H,5,0),"not found")</f>
        <v>2010060106142106</v>
      </c>
      <c r="B176">
        <v>40013873</v>
      </c>
      <c r="C176" t="s">
        <v>98</v>
      </c>
      <c r="D176"/>
      <c r="E176"/>
      <c r="F176" s="3">
        <v>44752</v>
      </c>
      <c r="G176" s="49">
        <v>1</v>
      </c>
      <c r="H176" s="23">
        <v>99.75</v>
      </c>
      <c r="I176" t="s">
        <v>6939</v>
      </c>
      <c r="J176"/>
      <c r="K176"/>
      <c r="L176"/>
      <c r="M176"/>
      <c r="N176"/>
      <c r="O176"/>
      <c r="P176"/>
      <c r="Q176"/>
      <c r="R176"/>
    </row>
    <row r="177" spans="1:18" x14ac:dyDescent="0.25">
      <c r="A177" t="str">
        <f>IFERROR(VLOOKUP(B177&amp; "*",'SKU Maintenance'!D:H,5,0),"not found")</f>
        <v>2010060106142106</v>
      </c>
      <c r="B177">
        <v>40013873</v>
      </c>
      <c r="C177" t="s">
        <v>98</v>
      </c>
      <c r="D177"/>
      <c r="E177"/>
      <c r="F177" s="3">
        <v>44755</v>
      </c>
      <c r="G177" s="49">
        <v>1</v>
      </c>
      <c r="H177" s="23">
        <v>99.75</v>
      </c>
      <c r="I177" t="s">
        <v>6939</v>
      </c>
      <c r="J177"/>
      <c r="K177"/>
      <c r="L177"/>
      <c r="M177"/>
      <c r="N177"/>
      <c r="O177"/>
      <c r="P177"/>
      <c r="Q177"/>
      <c r="R177"/>
    </row>
    <row r="178" spans="1:18" x14ac:dyDescent="0.25">
      <c r="A178" t="str">
        <f>IFERROR(VLOOKUP(B178&amp; "*",'SKU Maintenance'!D:H,5,0),"not found")</f>
        <v>2010060106142106</v>
      </c>
      <c r="B178">
        <v>40013873</v>
      </c>
      <c r="C178" t="s">
        <v>98</v>
      </c>
      <c r="D178"/>
      <c r="E178"/>
      <c r="F178" s="3">
        <v>44765</v>
      </c>
      <c r="G178" s="49">
        <v>1</v>
      </c>
      <c r="H178" s="23">
        <v>99.75</v>
      </c>
      <c r="I178" t="s">
        <v>6939</v>
      </c>
      <c r="J178"/>
      <c r="K178"/>
      <c r="L178"/>
      <c r="M178"/>
      <c r="N178"/>
      <c r="O178"/>
      <c r="P178"/>
      <c r="Q178"/>
      <c r="R178"/>
    </row>
    <row r="179" spans="1:18" x14ac:dyDescent="0.25">
      <c r="A179" t="str">
        <f>IFERROR(VLOOKUP(B179&amp; "*",'SKU Maintenance'!D:H,5,0),"not found")</f>
        <v>2010060106142106</v>
      </c>
      <c r="B179">
        <v>40013873</v>
      </c>
      <c r="C179" t="s">
        <v>98</v>
      </c>
      <c r="D179"/>
      <c r="E179"/>
      <c r="F179" s="3">
        <v>44769</v>
      </c>
      <c r="G179" s="49">
        <v>1</v>
      </c>
      <c r="H179" s="23">
        <v>99.75</v>
      </c>
      <c r="I179" t="s">
        <v>6939</v>
      </c>
      <c r="J179"/>
      <c r="K179"/>
      <c r="L179"/>
      <c r="M179"/>
      <c r="N179"/>
      <c r="O179"/>
      <c r="P179"/>
      <c r="Q179"/>
      <c r="R179"/>
    </row>
    <row r="180" spans="1:18" x14ac:dyDescent="0.25">
      <c r="A180" t="str">
        <f>IFERROR(VLOOKUP(B180&amp; "*",'SKU Maintenance'!D:H,5,0),"not found")</f>
        <v>2010060106142106</v>
      </c>
      <c r="B180">
        <v>40013873</v>
      </c>
      <c r="C180" t="s">
        <v>98</v>
      </c>
      <c r="D180"/>
      <c r="E180"/>
      <c r="F180" s="3">
        <v>44746</v>
      </c>
      <c r="G180" s="49">
        <v>1</v>
      </c>
      <c r="H180" s="23">
        <v>99.75</v>
      </c>
      <c r="I180" t="s">
        <v>6941</v>
      </c>
      <c r="J180"/>
      <c r="K180"/>
      <c r="L180"/>
      <c r="M180"/>
      <c r="N180"/>
      <c r="O180"/>
      <c r="P180"/>
      <c r="Q180"/>
      <c r="R180"/>
    </row>
    <row r="181" spans="1:18" x14ac:dyDescent="0.25">
      <c r="A181" t="str">
        <f>IFERROR(VLOOKUP(B181&amp; "*",'SKU Maintenance'!D:H,5,0),"not found")</f>
        <v>2010060106142106</v>
      </c>
      <c r="B181">
        <v>40013873</v>
      </c>
      <c r="C181" t="s">
        <v>98</v>
      </c>
      <c r="D181"/>
      <c r="E181"/>
      <c r="F181" s="3">
        <v>44755</v>
      </c>
      <c r="G181" s="49">
        <v>1</v>
      </c>
      <c r="H181" s="23">
        <v>99.75</v>
      </c>
      <c r="I181" t="s">
        <v>6941</v>
      </c>
      <c r="J181"/>
      <c r="K181"/>
      <c r="L181"/>
      <c r="M181"/>
      <c r="N181"/>
      <c r="O181"/>
      <c r="P181"/>
      <c r="Q181"/>
      <c r="R181"/>
    </row>
    <row r="182" spans="1:18" x14ac:dyDescent="0.25">
      <c r="A182" t="str">
        <f>IFERROR(VLOOKUP(B182&amp; "*",'SKU Maintenance'!D:H,5,0),"not found")</f>
        <v>2010060106142106</v>
      </c>
      <c r="B182">
        <v>40013873</v>
      </c>
      <c r="C182" t="s">
        <v>98</v>
      </c>
      <c r="D182"/>
      <c r="E182"/>
      <c r="F182" s="3">
        <v>44760</v>
      </c>
      <c r="G182" s="49">
        <v>1</v>
      </c>
      <c r="H182" s="23">
        <v>99.75</v>
      </c>
      <c r="I182" t="s">
        <v>6941</v>
      </c>
      <c r="J182"/>
      <c r="K182"/>
      <c r="L182"/>
      <c r="M182"/>
      <c r="N182"/>
      <c r="O182"/>
      <c r="P182"/>
      <c r="Q182"/>
      <c r="R182"/>
    </row>
    <row r="183" spans="1:18" x14ac:dyDescent="0.25">
      <c r="A183" t="str">
        <f>IFERROR(VLOOKUP(B183&amp; "*",'SKU Maintenance'!D:H,5,0),"not found")</f>
        <v>2010060106142106</v>
      </c>
      <c r="B183">
        <v>40013873</v>
      </c>
      <c r="C183" t="s">
        <v>98</v>
      </c>
      <c r="D183"/>
      <c r="E183"/>
      <c r="F183" s="3">
        <v>44771</v>
      </c>
      <c r="G183" s="49">
        <v>1</v>
      </c>
      <c r="H183" s="23">
        <v>99.75</v>
      </c>
      <c r="I183" t="s">
        <v>6941</v>
      </c>
      <c r="J183"/>
      <c r="K183"/>
      <c r="L183"/>
      <c r="M183"/>
      <c r="N183"/>
      <c r="O183"/>
      <c r="P183"/>
      <c r="Q183"/>
      <c r="R183"/>
    </row>
    <row r="184" spans="1:18" x14ac:dyDescent="0.25">
      <c r="A184" t="str">
        <f>IFERROR(VLOOKUP(B184&amp; "*",'SKU Maintenance'!D:H,5,0),"not found")</f>
        <v>2010060106142106</v>
      </c>
      <c r="B184">
        <v>40013873</v>
      </c>
      <c r="C184" t="s">
        <v>98</v>
      </c>
      <c r="D184"/>
      <c r="E184"/>
      <c r="F184" s="3">
        <v>44772</v>
      </c>
      <c r="G184" s="49">
        <v>2</v>
      </c>
      <c r="H184" s="23">
        <v>199.5</v>
      </c>
      <c r="I184" t="s">
        <v>6941</v>
      </c>
      <c r="J184"/>
      <c r="K184"/>
      <c r="L184"/>
      <c r="M184"/>
      <c r="N184"/>
      <c r="O184"/>
      <c r="P184"/>
      <c r="Q184"/>
      <c r="R184"/>
    </row>
    <row r="185" spans="1:18" x14ac:dyDescent="0.25">
      <c r="A185" t="str">
        <f>IFERROR(VLOOKUP(B185&amp; "*",'SKU Maintenance'!D:H,5,0),"not found")</f>
        <v>2010060106142106</v>
      </c>
      <c r="B185">
        <v>40013873</v>
      </c>
      <c r="C185" t="s">
        <v>98</v>
      </c>
      <c r="D185"/>
      <c r="E185"/>
      <c r="F185" s="3">
        <v>44745</v>
      </c>
      <c r="G185" s="49">
        <v>1</v>
      </c>
      <c r="H185" s="23">
        <v>99.75</v>
      </c>
      <c r="I185" t="s">
        <v>6945</v>
      </c>
      <c r="J185"/>
      <c r="K185"/>
      <c r="L185"/>
      <c r="M185"/>
      <c r="N185"/>
      <c r="O185"/>
      <c r="P185"/>
      <c r="Q185"/>
      <c r="R185"/>
    </row>
    <row r="186" spans="1:18" x14ac:dyDescent="0.25">
      <c r="A186" t="str">
        <f>IFERROR(VLOOKUP(B186&amp; "*",'SKU Maintenance'!D:H,5,0),"not found")</f>
        <v>2010060106142106</v>
      </c>
      <c r="B186">
        <v>40013873</v>
      </c>
      <c r="C186" t="s">
        <v>98</v>
      </c>
      <c r="D186"/>
      <c r="E186"/>
      <c r="F186" s="3">
        <v>44770</v>
      </c>
      <c r="G186" s="49">
        <v>2</v>
      </c>
      <c r="H186" s="23">
        <v>199.5</v>
      </c>
      <c r="I186" t="s">
        <v>6945</v>
      </c>
      <c r="J186"/>
      <c r="K186"/>
      <c r="L186"/>
      <c r="M186"/>
      <c r="N186"/>
      <c r="O186"/>
      <c r="P186"/>
      <c r="Q186"/>
      <c r="R186"/>
    </row>
    <row r="187" spans="1:18" x14ac:dyDescent="0.25">
      <c r="A187" t="str">
        <f>IFERROR(VLOOKUP(B187&amp; "*",'SKU Maintenance'!D:H,5,0),"not found")</f>
        <v>2010060106142106</v>
      </c>
      <c r="B187">
        <v>40013873</v>
      </c>
      <c r="C187" t="s">
        <v>98</v>
      </c>
      <c r="D187"/>
      <c r="E187"/>
      <c r="F187" s="3">
        <v>44771</v>
      </c>
      <c r="G187" s="49">
        <v>1</v>
      </c>
      <c r="H187" s="23">
        <v>99.75</v>
      </c>
      <c r="I187" t="s">
        <v>6945</v>
      </c>
      <c r="J187"/>
      <c r="K187"/>
      <c r="L187"/>
      <c r="M187"/>
      <c r="N187"/>
      <c r="O187"/>
      <c r="P187"/>
      <c r="Q187"/>
      <c r="R187"/>
    </row>
    <row r="188" spans="1:18" x14ac:dyDescent="0.25">
      <c r="A188" t="str">
        <f>IFERROR(VLOOKUP(B188&amp; "*",'SKU Maintenance'!D:H,5,0),"not found")</f>
        <v>2010060106132107</v>
      </c>
      <c r="B188">
        <v>40013874</v>
      </c>
      <c r="C188" t="s">
        <v>51</v>
      </c>
      <c r="D188"/>
      <c r="E188"/>
      <c r="F188" s="3">
        <v>44743</v>
      </c>
      <c r="G188" s="49">
        <v>1</v>
      </c>
      <c r="H188" s="23">
        <v>99.75</v>
      </c>
      <c r="I188" t="s">
        <v>6939</v>
      </c>
      <c r="J188"/>
      <c r="K188"/>
      <c r="L188"/>
      <c r="M188"/>
      <c r="N188"/>
      <c r="O188"/>
      <c r="P188"/>
      <c r="Q188"/>
      <c r="R188"/>
    </row>
    <row r="189" spans="1:18" x14ac:dyDescent="0.25">
      <c r="A189" t="str">
        <f>IFERROR(VLOOKUP(B189&amp; "*",'SKU Maintenance'!D:H,5,0),"not found")</f>
        <v>2010060106132107</v>
      </c>
      <c r="B189">
        <v>40013874</v>
      </c>
      <c r="C189" t="s">
        <v>51</v>
      </c>
      <c r="D189"/>
      <c r="E189"/>
      <c r="F189" s="3">
        <v>44745</v>
      </c>
      <c r="G189" s="49">
        <v>1</v>
      </c>
      <c r="H189" s="23">
        <v>99.75</v>
      </c>
      <c r="I189" t="s">
        <v>6939</v>
      </c>
      <c r="J189"/>
      <c r="K189"/>
      <c r="L189"/>
      <c r="M189"/>
      <c r="N189"/>
      <c r="O189"/>
      <c r="P189"/>
      <c r="Q189"/>
      <c r="R189"/>
    </row>
    <row r="190" spans="1:18" x14ac:dyDescent="0.25">
      <c r="A190" t="str">
        <f>IFERROR(VLOOKUP(B190&amp; "*",'SKU Maintenance'!D:H,5,0),"not found")</f>
        <v>2010060106132107</v>
      </c>
      <c r="B190">
        <v>40013874</v>
      </c>
      <c r="C190" t="s">
        <v>51</v>
      </c>
      <c r="D190"/>
      <c r="E190"/>
      <c r="F190" s="3">
        <v>44747</v>
      </c>
      <c r="G190" s="49">
        <v>1</v>
      </c>
      <c r="H190" s="23">
        <v>99.75</v>
      </c>
      <c r="I190" t="s">
        <v>6939</v>
      </c>
      <c r="J190"/>
      <c r="K190"/>
      <c r="L190"/>
      <c r="M190"/>
      <c r="N190"/>
      <c r="O190"/>
      <c r="P190"/>
      <c r="Q190"/>
      <c r="R190"/>
    </row>
    <row r="191" spans="1:18" x14ac:dyDescent="0.25">
      <c r="A191" t="str">
        <f>IFERROR(VLOOKUP(B191&amp; "*",'SKU Maintenance'!D:H,5,0),"not found")</f>
        <v>2010060106132107</v>
      </c>
      <c r="B191">
        <v>40013874</v>
      </c>
      <c r="C191" t="s">
        <v>51</v>
      </c>
      <c r="D191"/>
      <c r="E191"/>
      <c r="F191" s="3">
        <v>44770</v>
      </c>
      <c r="G191" s="49">
        <v>1</v>
      </c>
      <c r="H191" s="23">
        <v>99.75</v>
      </c>
      <c r="I191" t="s">
        <v>6939</v>
      </c>
      <c r="J191"/>
      <c r="K191"/>
      <c r="L191"/>
      <c r="M191"/>
      <c r="N191"/>
      <c r="O191"/>
      <c r="P191"/>
      <c r="Q191"/>
      <c r="R191"/>
    </row>
    <row r="192" spans="1:18" x14ac:dyDescent="0.25">
      <c r="A192" t="str">
        <f>IFERROR(VLOOKUP(B192&amp; "*",'SKU Maintenance'!D:H,5,0),"not found")</f>
        <v>2010060106132107</v>
      </c>
      <c r="B192">
        <v>40013874</v>
      </c>
      <c r="C192" t="s">
        <v>51</v>
      </c>
      <c r="D192"/>
      <c r="E192"/>
      <c r="F192" s="3">
        <v>44747</v>
      </c>
      <c r="G192" s="49">
        <v>1</v>
      </c>
      <c r="H192" s="23">
        <v>99.75</v>
      </c>
      <c r="I192" t="s">
        <v>6943</v>
      </c>
      <c r="J192"/>
      <c r="K192"/>
      <c r="L192"/>
      <c r="M192"/>
      <c r="N192"/>
      <c r="O192"/>
      <c r="P192"/>
      <c r="Q192"/>
      <c r="R192"/>
    </row>
    <row r="193" spans="1:18" x14ac:dyDescent="0.25">
      <c r="A193" t="str">
        <f>IFERROR(VLOOKUP(B193&amp; "*",'SKU Maintenance'!D:H,5,0),"not found")</f>
        <v>2010060106132107</v>
      </c>
      <c r="B193">
        <v>40013874</v>
      </c>
      <c r="C193" t="s">
        <v>51</v>
      </c>
      <c r="D193"/>
      <c r="E193"/>
      <c r="F193" s="3">
        <v>44749</v>
      </c>
      <c r="G193" s="49">
        <v>1</v>
      </c>
      <c r="H193" s="23">
        <v>99.75</v>
      </c>
      <c r="I193" t="s">
        <v>6943</v>
      </c>
      <c r="J193"/>
      <c r="K193"/>
      <c r="L193"/>
      <c r="M193"/>
      <c r="N193"/>
      <c r="O193"/>
      <c r="P193"/>
      <c r="Q193"/>
      <c r="R193"/>
    </row>
    <row r="194" spans="1:18" x14ac:dyDescent="0.25">
      <c r="A194" t="str">
        <f>IFERROR(VLOOKUP(B194&amp; "*",'SKU Maintenance'!D:H,5,0),"not found")</f>
        <v>2010060106132107</v>
      </c>
      <c r="B194">
        <v>40013874</v>
      </c>
      <c r="C194" t="s">
        <v>51</v>
      </c>
      <c r="D194"/>
      <c r="E194"/>
      <c r="F194" s="3">
        <v>44752</v>
      </c>
      <c r="G194" s="49">
        <v>1</v>
      </c>
      <c r="H194" s="23">
        <v>99.75</v>
      </c>
      <c r="I194" t="s">
        <v>6943</v>
      </c>
      <c r="J194"/>
      <c r="K194"/>
      <c r="L194"/>
      <c r="M194"/>
      <c r="N194"/>
      <c r="O194"/>
      <c r="P194"/>
      <c r="Q194"/>
      <c r="R194"/>
    </row>
    <row r="195" spans="1:18" x14ac:dyDescent="0.25">
      <c r="A195" t="str">
        <f>IFERROR(VLOOKUP(B195&amp; "*",'SKU Maintenance'!D:H,5,0),"not found")</f>
        <v>2010060106222106</v>
      </c>
      <c r="B195">
        <v>40013875</v>
      </c>
      <c r="C195" t="s">
        <v>126</v>
      </c>
      <c r="D195"/>
      <c r="E195"/>
      <c r="F195" s="3">
        <v>44755</v>
      </c>
      <c r="G195" s="49">
        <v>1</v>
      </c>
      <c r="H195" s="23">
        <v>99.75</v>
      </c>
      <c r="I195" t="s">
        <v>6939</v>
      </c>
      <c r="J195"/>
      <c r="K195"/>
      <c r="L195"/>
      <c r="M195"/>
      <c r="N195"/>
      <c r="O195"/>
      <c r="P195"/>
      <c r="Q195"/>
      <c r="R195"/>
    </row>
    <row r="196" spans="1:18" x14ac:dyDescent="0.25">
      <c r="A196" t="str">
        <f>IFERROR(VLOOKUP(B196&amp; "*",'SKU Maintenance'!D:H,5,0),"not found")</f>
        <v>2010060106222106</v>
      </c>
      <c r="B196">
        <v>40013875</v>
      </c>
      <c r="C196" t="s">
        <v>126</v>
      </c>
      <c r="D196"/>
      <c r="E196"/>
      <c r="F196" s="3">
        <v>44764</v>
      </c>
      <c r="G196" s="49">
        <v>1</v>
      </c>
      <c r="H196" s="23">
        <v>99.75</v>
      </c>
      <c r="I196" t="s">
        <v>6939</v>
      </c>
      <c r="J196"/>
      <c r="K196"/>
      <c r="L196"/>
      <c r="M196"/>
      <c r="N196"/>
      <c r="O196"/>
      <c r="P196"/>
      <c r="Q196"/>
      <c r="R196"/>
    </row>
    <row r="197" spans="1:18" x14ac:dyDescent="0.25">
      <c r="A197" t="str">
        <f>IFERROR(VLOOKUP(B197&amp; "*",'SKU Maintenance'!D:H,5,0),"not found")</f>
        <v>2010060106222106</v>
      </c>
      <c r="B197">
        <v>40013875</v>
      </c>
      <c r="C197" t="s">
        <v>126</v>
      </c>
      <c r="D197"/>
      <c r="E197"/>
      <c r="F197" s="3">
        <v>44770</v>
      </c>
      <c r="G197" s="49">
        <v>1</v>
      </c>
      <c r="H197" s="23">
        <v>99.75</v>
      </c>
      <c r="I197" t="s">
        <v>6939</v>
      </c>
      <c r="J197"/>
      <c r="K197"/>
      <c r="L197"/>
      <c r="M197"/>
      <c r="N197"/>
      <c r="O197"/>
      <c r="P197"/>
      <c r="Q197"/>
      <c r="R197"/>
    </row>
    <row r="198" spans="1:18" x14ac:dyDescent="0.25">
      <c r="A198" t="str">
        <f>IFERROR(VLOOKUP(B198&amp; "*",'SKU Maintenance'!D:H,5,0),"not found")</f>
        <v>2010060106042107</v>
      </c>
      <c r="B198">
        <v>40013876</v>
      </c>
      <c r="C198" t="s">
        <v>377</v>
      </c>
      <c r="D198"/>
      <c r="E198"/>
      <c r="F198" s="3">
        <v>44752</v>
      </c>
      <c r="G198" s="49">
        <v>1</v>
      </c>
      <c r="H198" s="23">
        <v>99.75</v>
      </c>
      <c r="I198" t="s">
        <v>6943</v>
      </c>
      <c r="J198"/>
      <c r="K198"/>
      <c r="L198"/>
      <c r="M198"/>
      <c r="N198"/>
      <c r="O198"/>
      <c r="P198"/>
      <c r="Q198"/>
      <c r="R198"/>
    </row>
    <row r="199" spans="1:18" x14ac:dyDescent="0.25">
      <c r="A199" t="str">
        <f>IFERROR(VLOOKUP(B199&amp; "*",'SKU Maintenance'!D:H,5,0),"not found")</f>
        <v>2010060106042107</v>
      </c>
      <c r="B199">
        <v>40013876</v>
      </c>
      <c r="C199" t="s">
        <v>377</v>
      </c>
      <c r="D199"/>
      <c r="E199"/>
      <c r="F199" s="3">
        <v>44767</v>
      </c>
      <c r="G199" s="49">
        <v>1</v>
      </c>
      <c r="H199" s="23">
        <v>99.75</v>
      </c>
      <c r="I199" t="s">
        <v>6943</v>
      </c>
      <c r="J199"/>
      <c r="K199"/>
      <c r="L199"/>
      <c r="M199"/>
      <c r="N199"/>
      <c r="O199"/>
      <c r="P199"/>
      <c r="Q199"/>
      <c r="R199"/>
    </row>
    <row r="200" spans="1:18" x14ac:dyDescent="0.25">
      <c r="A200" t="str">
        <f>IFERROR(VLOOKUP(B200&amp; "*",'SKU Maintenance'!D:H,5,0),"not found")</f>
        <v>2010060106042107</v>
      </c>
      <c r="B200">
        <v>40013876</v>
      </c>
      <c r="C200" t="s">
        <v>377</v>
      </c>
      <c r="D200"/>
      <c r="E200"/>
      <c r="F200" s="3">
        <v>44772</v>
      </c>
      <c r="G200" s="49">
        <v>1</v>
      </c>
      <c r="H200" s="23">
        <v>99.75</v>
      </c>
      <c r="I200" t="s">
        <v>6943</v>
      </c>
      <c r="J200"/>
      <c r="K200"/>
      <c r="L200"/>
      <c r="M200"/>
      <c r="N200"/>
      <c r="O200"/>
      <c r="P200"/>
      <c r="Q200"/>
      <c r="R200"/>
    </row>
    <row r="201" spans="1:18" x14ac:dyDescent="0.25">
      <c r="A201" t="str">
        <f>IFERROR(VLOOKUP(B201&amp; "*",'SKU Maintenance'!D:H,5,0),"not found")</f>
        <v>2010060106042107</v>
      </c>
      <c r="B201">
        <v>40013876</v>
      </c>
      <c r="C201" t="s">
        <v>377</v>
      </c>
      <c r="D201"/>
      <c r="E201"/>
      <c r="F201" s="3">
        <v>44773</v>
      </c>
      <c r="G201" s="49">
        <v>1</v>
      </c>
      <c r="H201" s="23">
        <v>99.75</v>
      </c>
      <c r="I201" t="s">
        <v>6943</v>
      </c>
      <c r="J201"/>
      <c r="K201"/>
      <c r="L201"/>
      <c r="M201"/>
      <c r="N201"/>
      <c r="O201"/>
      <c r="P201"/>
      <c r="Q201"/>
      <c r="R201"/>
    </row>
    <row r="202" spans="1:18" x14ac:dyDescent="0.25">
      <c r="A202" t="str">
        <f>IFERROR(VLOOKUP(B202&amp; "*",'SKU Maintenance'!D:H,5,0),"not found")</f>
        <v>2010060106172106</v>
      </c>
      <c r="B202">
        <v>40013877</v>
      </c>
      <c r="C202" t="s">
        <v>332</v>
      </c>
      <c r="D202"/>
      <c r="E202"/>
      <c r="F202" s="3">
        <v>44767</v>
      </c>
      <c r="G202" s="49">
        <v>1</v>
      </c>
      <c r="H202" s="23">
        <v>99.75</v>
      </c>
      <c r="I202" t="s">
        <v>6941</v>
      </c>
      <c r="J202"/>
      <c r="K202"/>
      <c r="L202"/>
      <c r="M202"/>
      <c r="N202"/>
      <c r="O202"/>
      <c r="P202"/>
      <c r="Q202"/>
      <c r="R202"/>
    </row>
    <row r="203" spans="1:18" x14ac:dyDescent="0.25">
      <c r="A203" t="str">
        <f>IFERROR(VLOOKUP(B203&amp; "*",'SKU Maintenance'!D:H,5,0),"not found")</f>
        <v>2010060106172106</v>
      </c>
      <c r="B203">
        <v>40013877</v>
      </c>
      <c r="C203" t="s">
        <v>332</v>
      </c>
      <c r="D203"/>
      <c r="E203"/>
      <c r="F203" s="3">
        <v>44771</v>
      </c>
      <c r="G203" s="49">
        <v>1</v>
      </c>
      <c r="H203" s="23">
        <v>99.75</v>
      </c>
      <c r="I203" t="s">
        <v>6941</v>
      </c>
      <c r="J203"/>
      <c r="K203"/>
      <c r="L203"/>
      <c r="M203"/>
      <c r="N203"/>
      <c r="O203"/>
      <c r="P203"/>
      <c r="Q203"/>
      <c r="R203"/>
    </row>
    <row r="204" spans="1:18" x14ac:dyDescent="0.25">
      <c r="A204" t="str">
        <f>IFERROR(VLOOKUP(B204&amp; "*",'SKU Maintenance'!D:H,5,0),"not found")</f>
        <v>2010060106172106</v>
      </c>
      <c r="B204">
        <v>40013877</v>
      </c>
      <c r="C204" t="s">
        <v>332</v>
      </c>
      <c r="D204"/>
      <c r="E204"/>
      <c r="F204" s="3">
        <v>44743</v>
      </c>
      <c r="G204" s="49">
        <v>1</v>
      </c>
      <c r="H204" s="23">
        <v>99.75</v>
      </c>
      <c r="I204" t="s">
        <v>6943</v>
      </c>
      <c r="J204"/>
      <c r="K204"/>
      <c r="L204"/>
      <c r="M204"/>
      <c r="N204"/>
      <c r="O204"/>
      <c r="P204"/>
      <c r="Q204"/>
      <c r="R204"/>
    </row>
    <row r="205" spans="1:18" x14ac:dyDescent="0.25">
      <c r="A205" t="str">
        <f>IFERROR(VLOOKUP(B205&amp; "*",'SKU Maintenance'!D:H,5,0),"not found")</f>
        <v>2010060106172106</v>
      </c>
      <c r="B205">
        <v>40013877</v>
      </c>
      <c r="C205" t="s">
        <v>332</v>
      </c>
      <c r="D205"/>
      <c r="E205"/>
      <c r="F205" s="3">
        <v>44765</v>
      </c>
      <c r="G205" s="49">
        <v>1</v>
      </c>
      <c r="H205" s="23">
        <v>99.75</v>
      </c>
      <c r="I205" t="s">
        <v>6943</v>
      </c>
      <c r="J205"/>
      <c r="K205"/>
      <c r="L205"/>
      <c r="M205"/>
      <c r="N205"/>
      <c r="O205"/>
      <c r="P205"/>
      <c r="Q205"/>
      <c r="R205"/>
    </row>
    <row r="206" spans="1:18" x14ac:dyDescent="0.25">
      <c r="A206" t="str">
        <f>IFERROR(VLOOKUP(B206&amp; "*",'SKU Maintenance'!D:H,5,0),"not found")</f>
        <v>2010060106172106</v>
      </c>
      <c r="B206">
        <v>40013877</v>
      </c>
      <c r="C206" t="s">
        <v>332</v>
      </c>
      <c r="D206"/>
      <c r="E206"/>
      <c r="F206" s="3">
        <v>44770</v>
      </c>
      <c r="G206" s="49">
        <v>2</v>
      </c>
      <c r="H206" s="23">
        <v>199.5</v>
      </c>
      <c r="I206" t="s">
        <v>6945</v>
      </c>
      <c r="J206"/>
      <c r="K206"/>
      <c r="L206"/>
      <c r="M206"/>
      <c r="N206"/>
      <c r="O206"/>
      <c r="P206"/>
      <c r="Q206"/>
      <c r="R206"/>
    </row>
    <row r="207" spans="1:18" x14ac:dyDescent="0.25">
      <c r="A207" t="str">
        <f>IFERROR(VLOOKUP(B207&amp; "*",'SKU Maintenance'!D:H,5,0),"not found")</f>
        <v>2010060106172106</v>
      </c>
      <c r="B207">
        <v>40013877</v>
      </c>
      <c r="C207" t="s">
        <v>332</v>
      </c>
      <c r="D207"/>
      <c r="E207"/>
      <c r="F207" s="3">
        <v>44771</v>
      </c>
      <c r="G207" s="49">
        <v>1</v>
      </c>
      <c r="H207" s="23">
        <v>99.75</v>
      </c>
      <c r="I207" t="s">
        <v>6945</v>
      </c>
      <c r="J207"/>
      <c r="K207"/>
      <c r="L207"/>
      <c r="M207"/>
      <c r="N207"/>
      <c r="O207"/>
      <c r="P207"/>
      <c r="Q207"/>
      <c r="R207"/>
    </row>
    <row r="208" spans="1:18" x14ac:dyDescent="0.25">
      <c r="A208" t="str">
        <f>IFERROR(VLOOKUP(B208&amp; "*",'SKU Maintenance'!D:H,5,0),"not found")</f>
        <v>2010060106012106</v>
      </c>
      <c r="B208">
        <v>40013878</v>
      </c>
      <c r="C208" t="s">
        <v>114</v>
      </c>
      <c r="D208"/>
      <c r="E208"/>
      <c r="F208" s="3">
        <v>44752</v>
      </c>
      <c r="G208" s="49">
        <v>1</v>
      </c>
      <c r="H208" s="23">
        <v>99.75</v>
      </c>
      <c r="I208" t="s">
        <v>6939</v>
      </c>
      <c r="J208"/>
      <c r="K208"/>
      <c r="L208"/>
      <c r="M208"/>
      <c r="N208"/>
      <c r="O208"/>
      <c r="P208"/>
      <c r="Q208"/>
      <c r="R208"/>
    </row>
    <row r="209" spans="1:18" x14ac:dyDescent="0.25">
      <c r="A209" t="str">
        <f>IFERROR(VLOOKUP(B209&amp; "*",'SKU Maintenance'!D:H,5,0),"not found")</f>
        <v>2010060106012106</v>
      </c>
      <c r="B209">
        <v>40013878</v>
      </c>
      <c r="C209" t="s">
        <v>114</v>
      </c>
      <c r="D209"/>
      <c r="E209"/>
      <c r="F209" s="3">
        <v>44765</v>
      </c>
      <c r="G209" s="49">
        <v>1</v>
      </c>
      <c r="H209" s="23">
        <v>99.75</v>
      </c>
      <c r="I209" t="s">
        <v>6939</v>
      </c>
      <c r="J209"/>
      <c r="K209"/>
      <c r="L209"/>
      <c r="M209"/>
      <c r="N209"/>
      <c r="O209"/>
      <c r="P209"/>
      <c r="Q209"/>
      <c r="R209"/>
    </row>
    <row r="210" spans="1:18" x14ac:dyDescent="0.25">
      <c r="A210" t="str">
        <f>IFERROR(VLOOKUP(B210&amp; "*",'SKU Maintenance'!D:H,5,0),"not found")</f>
        <v>2010060106012106</v>
      </c>
      <c r="B210">
        <v>40013878</v>
      </c>
      <c r="C210" t="s">
        <v>114</v>
      </c>
      <c r="D210"/>
      <c r="E210"/>
      <c r="F210" s="3">
        <v>44743</v>
      </c>
      <c r="G210" s="49">
        <v>1</v>
      </c>
      <c r="H210" s="23">
        <v>99.75</v>
      </c>
      <c r="I210" t="s">
        <v>6941</v>
      </c>
      <c r="J210"/>
      <c r="K210"/>
      <c r="L210"/>
      <c r="M210"/>
      <c r="N210"/>
      <c r="O210"/>
      <c r="P210"/>
      <c r="Q210"/>
      <c r="R210"/>
    </row>
    <row r="211" spans="1:18" x14ac:dyDescent="0.25">
      <c r="A211" t="str">
        <f>IFERROR(VLOOKUP(B211&amp; "*",'SKU Maintenance'!D:H,5,0),"not found")</f>
        <v>2010060106012106</v>
      </c>
      <c r="B211">
        <v>40013878</v>
      </c>
      <c r="C211" t="s">
        <v>114</v>
      </c>
      <c r="D211"/>
      <c r="E211"/>
      <c r="F211" s="3">
        <v>44759</v>
      </c>
      <c r="G211" s="49">
        <v>1</v>
      </c>
      <c r="H211" s="23">
        <v>99.75</v>
      </c>
      <c r="I211" t="s">
        <v>6941</v>
      </c>
      <c r="J211"/>
      <c r="K211"/>
      <c r="L211"/>
      <c r="M211"/>
      <c r="N211"/>
      <c r="O211"/>
      <c r="P211"/>
      <c r="Q211"/>
      <c r="R211"/>
    </row>
    <row r="212" spans="1:18" x14ac:dyDescent="0.25">
      <c r="A212" t="str">
        <f>IFERROR(VLOOKUP(B212&amp; "*",'SKU Maintenance'!D:H,5,0),"not found")</f>
        <v>2010060106012106</v>
      </c>
      <c r="B212">
        <v>40013878</v>
      </c>
      <c r="C212" t="s">
        <v>114</v>
      </c>
      <c r="D212"/>
      <c r="E212"/>
      <c r="F212" s="3">
        <v>44759</v>
      </c>
      <c r="G212" s="49">
        <v>1</v>
      </c>
      <c r="H212" s="23">
        <v>99.75</v>
      </c>
      <c r="I212" t="s">
        <v>6943</v>
      </c>
      <c r="J212"/>
      <c r="K212"/>
      <c r="L212"/>
      <c r="M212"/>
      <c r="N212"/>
      <c r="O212"/>
      <c r="P212"/>
      <c r="Q212"/>
      <c r="R212"/>
    </row>
    <row r="213" spans="1:18" x14ac:dyDescent="0.25">
      <c r="A213" t="str">
        <f>IFERROR(VLOOKUP(B213&amp; "*",'SKU Maintenance'!D:H,5,0),"not found")</f>
        <v>2010060106012106</v>
      </c>
      <c r="B213">
        <v>40013878</v>
      </c>
      <c r="C213" t="s">
        <v>114</v>
      </c>
      <c r="D213"/>
      <c r="E213"/>
      <c r="F213" s="3">
        <v>44766</v>
      </c>
      <c r="G213" s="49">
        <v>1</v>
      </c>
      <c r="H213" s="23">
        <v>99.75</v>
      </c>
      <c r="I213" t="s">
        <v>6943</v>
      </c>
      <c r="J213"/>
      <c r="K213"/>
      <c r="L213"/>
      <c r="M213"/>
      <c r="N213"/>
      <c r="O213"/>
      <c r="P213"/>
      <c r="Q213"/>
      <c r="R213"/>
    </row>
    <row r="214" spans="1:18" x14ac:dyDescent="0.25">
      <c r="A214" t="str">
        <f>IFERROR(VLOOKUP(B214&amp; "*",'SKU Maintenance'!D:H,5,0),"not found")</f>
        <v>2010060106012106</v>
      </c>
      <c r="B214">
        <v>40013878</v>
      </c>
      <c r="C214" t="s">
        <v>114</v>
      </c>
      <c r="D214"/>
      <c r="E214"/>
      <c r="F214" s="3">
        <v>44773</v>
      </c>
      <c r="G214" s="49">
        <v>1</v>
      </c>
      <c r="H214" s="23">
        <v>99.75</v>
      </c>
      <c r="I214" t="s">
        <v>6943</v>
      </c>
      <c r="J214"/>
      <c r="K214"/>
      <c r="L214"/>
      <c r="M214"/>
      <c r="N214"/>
      <c r="O214"/>
      <c r="P214"/>
      <c r="Q214"/>
      <c r="R214"/>
    </row>
    <row r="215" spans="1:18" x14ac:dyDescent="0.25">
      <c r="A215" t="str">
        <f>IFERROR(VLOOKUP(B215&amp; "*",'SKU Maintenance'!D:H,5,0),"not found")</f>
        <v>2010060106032106</v>
      </c>
      <c r="B215">
        <v>40013879</v>
      </c>
      <c r="C215" t="s">
        <v>298</v>
      </c>
      <c r="D215"/>
      <c r="E215"/>
      <c r="F215" s="3">
        <v>44759</v>
      </c>
      <c r="G215" s="49">
        <v>1</v>
      </c>
      <c r="H215" s="23">
        <v>349.75</v>
      </c>
      <c r="I215" t="s">
        <v>6941</v>
      </c>
      <c r="J215"/>
      <c r="K215"/>
      <c r="L215"/>
      <c r="M215"/>
      <c r="N215"/>
      <c r="O215"/>
      <c r="P215"/>
      <c r="Q215"/>
      <c r="R215"/>
    </row>
    <row r="216" spans="1:18" x14ac:dyDescent="0.25">
      <c r="A216" t="str">
        <f>IFERROR(VLOOKUP(B216&amp; "*",'SKU Maintenance'!D:H,5,0),"not found")</f>
        <v>2010060106032106</v>
      </c>
      <c r="B216">
        <v>40013879</v>
      </c>
      <c r="C216" t="s">
        <v>298</v>
      </c>
      <c r="D216"/>
      <c r="E216"/>
      <c r="F216" s="3">
        <v>44760</v>
      </c>
      <c r="G216" s="49">
        <v>1</v>
      </c>
      <c r="H216" s="23">
        <v>349.75</v>
      </c>
      <c r="I216" t="s">
        <v>6941</v>
      </c>
      <c r="J216"/>
      <c r="K216"/>
      <c r="L216"/>
      <c r="M216"/>
      <c r="N216"/>
      <c r="O216"/>
      <c r="P216"/>
      <c r="Q216"/>
      <c r="R216"/>
    </row>
    <row r="217" spans="1:18" x14ac:dyDescent="0.25">
      <c r="A217" t="str">
        <f>IFERROR(VLOOKUP(B217&amp; "*",'SKU Maintenance'!D:H,5,0),"not found")</f>
        <v>2010060106032106</v>
      </c>
      <c r="B217">
        <v>40013879</v>
      </c>
      <c r="C217" t="s">
        <v>298</v>
      </c>
      <c r="D217"/>
      <c r="E217"/>
      <c r="F217" s="3">
        <v>44755</v>
      </c>
      <c r="G217" s="49">
        <v>1</v>
      </c>
      <c r="H217" s="23">
        <v>349.75</v>
      </c>
      <c r="I217" t="s">
        <v>6945</v>
      </c>
      <c r="J217"/>
      <c r="K217"/>
      <c r="L217"/>
      <c r="M217"/>
      <c r="N217"/>
      <c r="O217"/>
      <c r="P217"/>
      <c r="Q217"/>
      <c r="R217"/>
    </row>
    <row r="218" spans="1:18" x14ac:dyDescent="0.25">
      <c r="A218" t="str">
        <f>IFERROR(VLOOKUP(B218&amp; "*",'SKU Maintenance'!D:H,5,0),"not found")</f>
        <v>2010040701185053</v>
      </c>
      <c r="B218">
        <v>40013889</v>
      </c>
      <c r="C218" t="s">
        <v>93</v>
      </c>
      <c r="D218"/>
      <c r="E218"/>
      <c r="F218" s="3">
        <v>44747</v>
      </c>
      <c r="G218" s="49">
        <v>1</v>
      </c>
      <c r="H218" s="23">
        <v>99.75</v>
      </c>
      <c r="I218" t="s">
        <v>6939</v>
      </c>
      <c r="J218"/>
      <c r="K218"/>
      <c r="L218"/>
      <c r="M218"/>
      <c r="N218"/>
      <c r="O218"/>
      <c r="P218"/>
      <c r="Q218"/>
      <c r="R218"/>
    </row>
    <row r="219" spans="1:18" x14ac:dyDescent="0.25">
      <c r="A219" t="str">
        <f>IFERROR(VLOOKUP(B219&amp; "*",'SKU Maintenance'!D:H,5,0),"not found")</f>
        <v>2010040701185055</v>
      </c>
      <c r="B219">
        <v>40013895</v>
      </c>
      <c r="C219" t="s">
        <v>65</v>
      </c>
      <c r="D219"/>
      <c r="E219"/>
      <c r="F219" s="3">
        <v>44747</v>
      </c>
      <c r="G219" s="49">
        <v>4</v>
      </c>
      <c r="H219" s="23">
        <v>519</v>
      </c>
      <c r="I219" t="s">
        <v>6939</v>
      </c>
      <c r="J219"/>
      <c r="K219"/>
      <c r="L219"/>
      <c r="M219"/>
      <c r="N219"/>
      <c r="O219"/>
      <c r="P219"/>
      <c r="Q219"/>
      <c r="R219"/>
    </row>
    <row r="220" spans="1:18" x14ac:dyDescent="0.25">
      <c r="A220" t="str">
        <f>IFERROR(VLOOKUP(B220&amp; "*",'SKU Maintenance'!D:H,5,0),"not found")</f>
        <v>2010040701185055</v>
      </c>
      <c r="B220">
        <v>40013895</v>
      </c>
      <c r="C220" t="s">
        <v>65</v>
      </c>
      <c r="D220"/>
      <c r="E220"/>
      <c r="F220" s="3">
        <v>44762</v>
      </c>
      <c r="G220" s="49">
        <v>1</v>
      </c>
      <c r="H220" s="23">
        <v>129.75</v>
      </c>
      <c r="I220" t="s">
        <v>6939</v>
      </c>
      <c r="J220"/>
      <c r="K220"/>
      <c r="L220"/>
      <c r="M220"/>
      <c r="N220"/>
      <c r="O220"/>
      <c r="P220"/>
      <c r="Q220"/>
      <c r="R220"/>
    </row>
    <row r="221" spans="1:18" x14ac:dyDescent="0.25">
      <c r="A221" t="str">
        <f>IFERROR(VLOOKUP(B221&amp; "*",'SKU Maintenance'!D:H,5,0),"not found")</f>
        <v>2010040701195055</v>
      </c>
      <c r="B221">
        <v>40013897</v>
      </c>
      <c r="C221" t="s">
        <v>65</v>
      </c>
      <c r="D221"/>
      <c r="E221"/>
      <c r="F221" s="3">
        <v>44744</v>
      </c>
      <c r="G221" s="49">
        <v>1</v>
      </c>
      <c r="H221" s="23">
        <v>129.75</v>
      </c>
      <c r="I221" t="s">
        <v>6939</v>
      </c>
      <c r="J221"/>
      <c r="K221"/>
      <c r="L221"/>
      <c r="M221"/>
      <c r="N221"/>
      <c r="O221"/>
      <c r="P221"/>
      <c r="Q221"/>
      <c r="R221"/>
    </row>
    <row r="222" spans="1:18" x14ac:dyDescent="0.25">
      <c r="A222" t="str">
        <f>IFERROR(VLOOKUP(B222&amp; "*",'SKU Maintenance'!D:H,5,0),"not found")</f>
        <v>2010012104163245</v>
      </c>
      <c r="B222">
        <v>40013971</v>
      </c>
      <c r="C222" t="s">
        <v>167</v>
      </c>
      <c r="D222"/>
      <c r="E222"/>
      <c r="F222" s="3">
        <v>44759</v>
      </c>
      <c r="G222" s="49">
        <v>1</v>
      </c>
      <c r="H222" s="23">
        <v>150</v>
      </c>
      <c r="I222" t="s">
        <v>6939</v>
      </c>
      <c r="J222"/>
      <c r="K222"/>
      <c r="L222"/>
      <c r="M222"/>
      <c r="N222"/>
      <c r="O222"/>
      <c r="P222"/>
      <c r="Q222"/>
      <c r="R222"/>
    </row>
    <row r="223" spans="1:18" x14ac:dyDescent="0.25">
      <c r="A223" t="str">
        <f>IFERROR(VLOOKUP(B223&amp; "*",'SKU Maintenance'!D:H,5,0),"not found")</f>
        <v>2010012103223246</v>
      </c>
      <c r="B223">
        <v>40013972</v>
      </c>
      <c r="C223" t="s">
        <v>321</v>
      </c>
      <c r="D223"/>
      <c r="E223"/>
      <c r="F223" s="3">
        <v>44765</v>
      </c>
      <c r="G223" s="49">
        <v>1</v>
      </c>
      <c r="H223" s="23">
        <v>100</v>
      </c>
      <c r="I223" t="s">
        <v>6941</v>
      </c>
      <c r="J223"/>
      <c r="K223"/>
      <c r="L223"/>
      <c r="M223"/>
      <c r="N223"/>
      <c r="O223"/>
      <c r="P223"/>
      <c r="Q223"/>
      <c r="R223"/>
    </row>
    <row r="224" spans="1:18" x14ac:dyDescent="0.25">
      <c r="A224" t="str">
        <f>IFERROR(VLOOKUP(B224&amp; "*",'SKU Maintenance'!D:H,5,0),"not found")</f>
        <v>2010012103223249</v>
      </c>
      <c r="B224">
        <v>40013986</v>
      </c>
      <c r="C224" t="s">
        <v>256</v>
      </c>
      <c r="D224"/>
      <c r="E224"/>
      <c r="F224" s="3">
        <v>44746</v>
      </c>
      <c r="G224" s="49">
        <v>1</v>
      </c>
      <c r="H224" s="23">
        <v>199</v>
      </c>
      <c r="I224" t="s">
        <v>6941</v>
      </c>
      <c r="J224"/>
      <c r="K224"/>
      <c r="L224"/>
      <c r="M224"/>
      <c r="N224"/>
      <c r="O224"/>
      <c r="P224"/>
      <c r="Q224"/>
      <c r="R224"/>
    </row>
    <row r="225" spans="1:18" x14ac:dyDescent="0.25">
      <c r="A225" t="str">
        <f>IFERROR(VLOOKUP(B225&amp; "*",'SKU Maintenance'!D:H,5,0),"not found")</f>
        <v>2010012104210002</v>
      </c>
      <c r="B225">
        <v>40013998</v>
      </c>
      <c r="C225" t="s">
        <v>292</v>
      </c>
      <c r="D225"/>
      <c r="E225"/>
      <c r="F225" s="3">
        <v>44758</v>
      </c>
      <c r="G225" s="49">
        <v>1</v>
      </c>
      <c r="H225" s="23">
        <v>224.77500000000001</v>
      </c>
      <c r="I225" t="s">
        <v>6941</v>
      </c>
      <c r="J225"/>
      <c r="K225"/>
      <c r="L225"/>
      <c r="M225"/>
      <c r="N225"/>
      <c r="O225"/>
      <c r="P225"/>
      <c r="Q225"/>
      <c r="R225"/>
    </row>
    <row r="226" spans="1:18" x14ac:dyDescent="0.25">
      <c r="A226" t="str">
        <f>IFERROR(VLOOKUP(B226&amp; "*",'SKU Maintenance'!D:H,5,0),"not found")</f>
        <v>2010010601180002</v>
      </c>
      <c r="B226">
        <v>40013999</v>
      </c>
      <c r="C226" t="s">
        <v>408</v>
      </c>
      <c r="D226"/>
      <c r="E226"/>
      <c r="F226" s="3">
        <v>44759</v>
      </c>
      <c r="G226" s="49">
        <v>1</v>
      </c>
      <c r="H226" s="23">
        <v>224.77500000000001</v>
      </c>
      <c r="I226" t="s">
        <v>6943</v>
      </c>
      <c r="J226"/>
      <c r="K226"/>
      <c r="L226"/>
      <c r="M226"/>
      <c r="N226"/>
      <c r="O226"/>
      <c r="P226"/>
      <c r="Q226"/>
      <c r="R226"/>
    </row>
    <row r="227" spans="1:18" x14ac:dyDescent="0.25">
      <c r="A227" t="str">
        <f>IFERROR(VLOOKUP(B227&amp; "*",'SKU Maintenance'!D:H,5,0),"not found")</f>
        <v>2010010601180002</v>
      </c>
      <c r="B227">
        <v>40013999</v>
      </c>
      <c r="C227" t="s">
        <v>408</v>
      </c>
      <c r="D227"/>
      <c r="E227"/>
      <c r="F227" s="3">
        <v>44762</v>
      </c>
      <c r="G227" s="49">
        <v>1</v>
      </c>
      <c r="H227" s="23">
        <v>249.75</v>
      </c>
      <c r="I227" t="s">
        <v>6943</v>
      </c>
      <c r="J227"/>
      <c r="K227"/>
      <c r="L227"/>
      <c r="M227"/>
      <c r="N227"/>
      <c r="O227"/>
      <c r="P227"/>
      <c r="Q227"/>
      <c r="R227"/>
    </row>
    <row r="228" spans="1:18" x14ac:dyDescent="0.25">
      <c r="A228" t="str">
        <f>IFERROR(VLOOKUP(B228&amp; "*",'SKU Maintenance'!D:H,5,0),"not found")</f>
        <v>2010010699200002</v>
      </c>
      <c r="B228">
        <v>40014000</v>
      </c>
      <c r="C228" t="s">
        <v>203</v>
      </c>
      <c r="D228"/>
      <c r="E228"/>
      <c r="F228" s="3">
        <v>44768</v>
      </c>
      <c r="G228" s="49">
        <v>1</v>
      </c>
      <c r="H228" s="23">
        <v>549.75</v>
      </c>
      <c r="I228" t="s">
        <v>6939</v>
      </c>
      <c r="J228"/>
      <c r="K228"/>
      <c r="L228"/>
      <c r="M228"/>
      <c r="N228"/>
      <c r="O228"/>
      <c r="P228"/>
      <c r="Q228"/>
      <c r="R228"/>
    </row>
    <row r="229" spans="1:18" x14ac:dyDescent="0.25">
      <c r="A229" t="str">
        <f>IFERROR(VLOOKUP(B229&amp; "*",'SKU Maintenance'!D:H,5,0),"not found")</f>
        <v>2010010699200002</v>
      </c>
      <c r="B229">
        <v>40014000</v>
      </c>
      <c r="C229" t="s">
        <v>203</v>
      </c>
      <c r="D229"/>
      <c r="E229"/>
      <c r="F229" s="3">
        <v>44772</v>
      </c>
      <c r="G229" s="49">
        <v>1</v>
      </c>
      <c r="H229" s="23">
        <v>494.77500000000003</v>
      </c>
      <c r="I229" t="s">
        <v>6939</v>
      </c>
      <c r="J229"/>
      <c r="K229"/>
      <c r="L229"/>
      <c r="M229"/>
      <c r="N229"/>
      <c r="O229"/>
      <c r="P229"/>
      <c r="Q229"/>
      <c r="R229"/>
    </row>
    <row r="230" spans="1:18" x14ac:dyDescent="0.25">
      <c r="A230" t="str">
        <f>IFERROR(VLOOKUP(B230&amp; "*",'SKU Maintenance'!D:H,5,0),"not found")</f>
        <v>2010010698190001</v>
      </c>
      <c r="B230">
        <v>40014006</v>
      </c>
      <c r="C230" t="s">
        <v>425</v>
      </c>
      <c r="D230"/>
      <c r="E230"/>
      <c r="F230" s="3">
        <v>44769</v>
      </c>
      <c r="G230" s="49">
        <v>1</v>
      </c>
      <c r="H230" s="23">
        <v>2499.75</v>
      </c>
      <c r="I230" t="s">
        <v>6943</v>
      </c>
      <c r="J230"/>
      <c r="K230"/>
      <c r="L230"/>
      <c r="M230"/>
      <c r="N230"/>
      <c r="O230"/>
      <c r="P230"/>
      <c r="Q230"/>
      <c r="R230"/>
    </row>
    <row r="231" spans="1:18" x14ac:dyDescent="0.25">
      <c r="A231" t="str">
        <f>IFERROR(VLOOKUP(B231&amp; "*",'SKU Maintenance'!D:H,5,0),"not found")</f>
        <v>2010010698180001</v>
      </c>
      <c r="B231">
        <v>40014007</v>
      </c>
      <c r="C231" t="s">
        <v>411</v>
      </c>
      <c r="D231"/>
      <c r="E231"/>
      <c r="F231" s="3">
        <v>44761</v>
      </c>
      <c r="G231" s="49">
        <v>1</v>
      </c>
      <c r="H231" s="23">
        <v>2499.75</v>
      </c>
      <c r="I231" t="s">
        <v>6943</v>
      </c>
      <c r="J231"/>
      <c r="K231"/>
      <c r="L231"/>
      <c r="M231"/>
      <c r="N231"/>
      <c r="O231"/>
      <c r="P231"/>
      <c r="Q231"/>
      <c r="R231"/>
    </row>
    <row r="232" spans="1:18" x14ac:dyDescent="0.25">
      <c r="A232" t="str">
        <f>IFERROR(VLOOKUP(B232&amp; "*",'SKU Maintenance'!D:H,5,0),"not found")</f>
        <v>2010010698190005</v>
      </c>
      <c r="B232">
        <v>40014008</v>
      </c>
      <c r="C232" t="s">
        <v>409</v>
      </c>
      <c r="D232"/>
      <c r="E232"/>
      <c r="F232" s="3">
        <v>44760</v>
      </c>
      <c r="G232" s="49">
        <v>1</v>
      </c>
      <c r="H232" s="23">
        <v>2999.75</v>
      </c>
      <c r="I232" t="s">
        <v>6943</v>
      </c>
      <c r="J232"/>
      <c r="K232"/>
      <c r="L232"/>
      <c r="M232"/>
      <c r="N232"/>
      <c r="O232"/>
      <c r="P232"/>
      <c r="Q232"/>
      <c r="R232"/>
    </row>
    <row r="233" spans="1:18" x14ac:dyDescent="0.25">
      <c r="A233" t="str">
        <f>IFERROR(VLOOKUP(B233&amp; "*",'SKU Maintenance'!D:H,5,0),"not found")</f>
        <v>2010010698190005</v>
      </c>
      <c r="B233">
        <v>40014008</v>
      </c>
      <c r="C233" t="s">
        <v>409</v>
      </c>
      <c r="D233"/>
      <c r="E233"/>
      <c r="F233" s="3">
        <v>44772</v>
      </c>
      <c r="G233" s="49">
        <v>1</v>
      </c>
      <c r="H233" s="23">
        <v>2699.7750000000001</v>
      </c>
      <c r="I233" t="s">
        <v>6945</v>
      </c>
      <c r="J233"/>
      <c r="K233"/>
      <c r="L233"/>
      <c r="M233"/>
      <c r="N233"/>
      <c r="O233"/>
      <c r="P233"/>
      <c r="Q233"/>
      <c r="R233"/>
    </row>
    <row r="234" spans="1:18" x14ac:dyDescent="0.25">
      <c r="A234" t="str">
        <f>IFERROR(VLOOKUP(B234&amp; "*",'SKU Maintenance'!D:H,5,0),"not found")</f>
        <v>2010010698160006</v>
      </c>
      <c r="B234">
        <v>40014010</v>
      </c>
      <c r="C234" t="s">
        <v>245</v>
      </c>
      <c r="D234"/>
      <c r="E234"/>
      <c r="F234" s="3">
        <v>44745</v>
      </c>
      <c r="G234" s="49">
        <v>1</v>
      </c>
      <c r="H234" s="23">
        <v>2699.7750000000001</v>
      </c>
      <c r="I234" t="s">
        <v>6941</v>
      </c>
      <c r="J234"/>
      <c r="K234"/>
      <c r="L234"/>
      <c r="M234"/>
      <c r="N234"/>
      <c r="O234"/>
      <c r="P234"/>
      <c r="Q234"/>
      <c r="R234"/>
    </row>
    <row r="235" spans="1:18" x14ac:dyDescent="0.25">
      <c r="A235" t="str">
        <f>IFERROR(VLOOKUP(B235&amp; "*",'SKU Maintenance'!D:H,5,0),"not found")</f>
        <v>2010010698160006</v>
      </c>
      <c r="B235">
        <v>40014010</v>
      </c>
      <c r="C235" t="s">
        <v>245</v>
      </c>
      <c r="D235"/>
      <c r="E235"/>
      <c r="F235" s="3">
        <v>44751</v>
      </c>
      <c r="G235" s="49">
        <v>1</v>
      </c>
      <c r="H235" s="23">
        <v>2999.75</v>
      </c>
      <c r="I235" t="s">
        <v>6941</v>
      </c>
      <c r="J235"/>
      <c r="K235"/>
      <c r="L235"/>
      <c r="M235"/>
      <c r="N235"/>
      <c r="O235"/>
      <c r="P235"/>
      <c r="Q235"/>
      <c r="R235"/>
    </row>
    <row r="236" spans="1:18" x14ac:dyDescent="0.25">
      <c r="A236" t="str">
        <f>IFERROR(VLOOKUP(B236&amp; "*",'SKU Maintenance'!D:H,5,0),"not found")</f>
        <v>2010010698160006</v>
      </c>
      <c r="B236">
        <v>40014010</v>
      </c>
      <c r="C236" t="s">
        <v>245</v>
      </c>
      <c r="D236"/>
      <c r="E236"/>
      <c r="F236" s="3">
        <v>44761</v>
      </c>
      <c r="G236" s="49">
        <v>1</v>
      </c>
      <c r="H236" s="23">
        <v>2999.75</v>
      </c>
      <c r="I236" t="s">
        <v>6941</v>
      </c>
      <c r="J236"/>
      <c r="K236"/>
      <c r="L236"/>
      <c r="M236"/>
      <c r="N236"/>
      <c r="O236"/>
      <c r="P236"/>
      <c r="Q236"/>
      <c r="R236"/>
    </row>
    <row r="237" spans="1:18" x14ac:dyDescent="0.25">
      <c r="A237" t="str">
        <f>IFERROR(VLOOKUP(B237&amp; "*",'SKU Maintenance'!D:H,5,0),"not found")</f>
        <v>2010010698160006</v>
      </c>
      <c r="B237">
        <v>40014010</v>
      </c>
      <c r="C237" t="s">
        <v>245</v>
      </c>
      <c r="D237"/>
      <c r="E237"/>
      <c r="F237" s="3">
        <v>44766</v>
      </c>
      <c r="G237" s="49">
        <v>1</v>
      </c>
      <c r="H237" s="23">
        <v>2999.75</v>
      </c>
      <c r="I237" t="s">
        <v>6941</v>
      </c>
      <c r="J237"/>
      <c r="K237"/>
      <c r="L237"/>
      <c r="M237"/>
      <c r="N237"/>
      <c r="O237"/>
      <c r="P237"/>
      <c r="Q237"/>
      <c r="R237"/>
    </row>
    <row r="238" spans="1:18" x14ac:dyDescent="0.25">
      <c r="A238" t="str">
        <f>IFERROR(VLOOKUP(B238&amp; "*",'SKU Maintenance'!D:H,5,0),"not found")</f>
        <v>2010010698160006</v>
      </c>
      <c r="B238">
        <v>40014010</v>
      </c>
      <c r="C238" t="s">
        <v>245</v>
      </c>
      <c r="D238"/>
      <c r="E238"/>
      <c r="F238" s="3">
        <v>44772</v>
      </c>
      <c r="G238" s="49">
        <v>1</v>
      </c>
      <c r="H238" s="23">
        <v>2699.7750000000001</v>
      </c>
      <c r="I238" t="s">
        <v>6941</v>
      </c>
      <c r="J238"/>
      <c r="K238"/>
      <c r="L238"/>
      <c r="M238"/>
      <c r="N238"/>
      <c r="O238"/>
      <c r="P238"/>
      <c r="Q238"/>
      <c r="R238"/>
    </row>
    <row r="239" spans="1:18" x14ac:dyDescent="0.25">
      <c r="A239" t="str">
        <f>IFERROR(VLOOKUP(B239&amp; "*",'SKU Maintenance'!D:H,5,0),"not found")</f>
        <v>2010020298167040</v>
      </c>
      <c r="B239">
        <v>40014012</v>
      </c>
      <c r="C239" t="s">
        <v>438</v>
      </c>
      <c r="D239"/>
      <c r="E239"/>
      <c r="F239" s="3">
        <v>44749</v>
      </c>
      <c r="G239" s="49">
        <v>1</v>
      </c>
      <c r="H239" s="23">
        <v>299.75</v>
      </c>
      <c r="I239" t="s">
        <v>6945</v>
      </c>
      <c r="J239"/>
      <c r="K239"/>
      <c r="L239"/>
      <c r="M239"/>
      <c r="N239"/>
      <c r="O239"/>
      <c r="P239"/>
      <c r="Q239"/>
      <c r="R239"/>
    </row>
    <row r="240" spans="1:18" x14ac:dyDescent="0.25">
      <c r="A240" t="str">
        <f>IFERROR(VLOOKUP(B240&amp; "*",'SKU Maintenance'!D:H,5,0),"not found")</f>
        <v>2010020298167040</v>
      </c>
      <c r="B240">
        <v>40014012</v>
      </c>
      <c r="C240" t="s">
        <v>438</v>
      </c>
      <c r="D240"/>
      <c r="E240"/>
      <c r="F240" s="3">
        <v>44771</v>
      </c>
      <c r="G240" s="49">
        <v>1</v>
      </c>
      <c r="H240" s="23">
        <v>299.75</v>
      </c>
      <c r="I240" t="s">
        <v>6945</v>
      </c>
      <c r="J240"/>
      <c r="K240"/>
      <c r="L240"/>
      <c r="M240"/>
      <c r="N240"/>
      <c r="O240"/>
      <c r="P240"/>
      <c r="Q240"/>
      <c r="R240"/>
    </row>
    <row r="241" spans="1:18" x14ac:dyDescent="0.25">
      <c r="A241" t="str">
        <f>IFERROR(VLOOKUP(B241&amp; "*",'SKU Maintenance'!D:H,5,0),"not found")</f>
        <v>2010020298227041</v>
      </c>
      <c r="B241">
        <v>40014015</v>
      </c>
      <c r="C241" t="s">
        <v>289</v>
      </c>
      <c r="D241"/>
      <c r="E241"/>
      <c r="F241" s="3">
        <v>44757</v>
      </c>
      <c r="G241" s="49">
        <v>1</v>
      </c>
      <c r="H241" s="23">
        <v>599.75</v>
      </c>
      <c r="I241" t="s">
        <v>6941</v>
      </c>
      <c r="J241"/>
      <c r="K241"/>
      <c r="L241"/>
      <c r="M241"/>
      <c r="N241"/>
      <c r="O241"/>
      <c r="P241"/>
      <c r="Q241"/>
      <c r="R241"/>
    </row>
    <row r="242" spans="1:18" x14ac:dyDescent="0.25">
      <c r="A242" t="str">
        <f>IFERROR(VLOOKUP(B242&amp; "*",'SKU Maintenance'!D:H,5,0),"not found")</f>
        <v>2010020298227041</v>
      </c>
      <c r="B242">
        <v>40014015</v>
      </c>
      <c r="C242" t="s">
        <v>289</v>
      </c>
      <c r="D242"/>
      <c r="E242"/>
      <c r="F242" s="3">
        <v>44758</v>
      </c>
      <c r="G242" s="49">
        <v>1</v>
      </c>
      <c r="H242" s="23">
        <v>599.75</v>
      </c>
      <c r="I242" t="s">
        <v>6945</v>
      </c>
      <c r="J242"/>
      <c r="K242"/>
      <c r="L242"/>
      <c r="M242"/>
      <c r="N242"/>
      <c r="O242"/>
      <c r="P242"/>
      <c r="Q242"/>
      <c r="R242"/>
    </row>
    <row r="243" spans="1:18" x14ac:dyDescent="0.25">
      <c r="A243" t="str">
        <f>IFERROR(VLOOKUP(B243&amp; "*",'SKU Maintenance'!D:H,5,0),"not found")</f>
        <v>2010070198130045</v>
      </c>
      <c r="B243">
        <v>40014050</v>
      </c>
      <c r="C243" t="s">
        <v>429</v>
      </c>
      <c r="D243"/>
      <c r="E243"/>
      <c r="F243" s="3">
        <v>44771</v>
      </c>
      <c r="G243" s="49">
        <v>1</v>
      </c>
      <c r="H243" s="23">
        <v>125</v>
      </c>
      <c r="I243" t="s">
        <v>6943</v>
      </c>
      <c r="J243"/>
      <c r="K243"/>
      <c r="L243"/>
      <c r="M243"/>
      <c r="N243"/>
      <c r="O243"/>
      <c r="P243"/>
      <c r="Q243"/>
      <c r="R243"/>
    </row>
    <row r="244" spans="1:18" x14ac:dyDescent="0.25">
      <c r="A244" t="str">
        <f>IFERROR(VLOOKUP(B244&amp; "*",'SKU Maintenance'!D:H,5,0),"not found")</f>
        <v>2010070198300005</v>
      </c>
      <c r="B244">
        <v>40014064</v>
      </c>
      <c r="C244" t="s">
        <v>465</v>
      </c>
      <c r="D244"/>
      <c r="E244"/>
      <c r="F244" s="3">
        <v>44765</v>
      </c>
      <c r="G244" s="49">
        <v>1</v>
      </c>
      <c r="H244" s="23">
        <v>299.85000000000002</v>
      </c>
      <c r="I244" t="s">
        <v>6945</v>
      </c>
      <c r="J244"/>
      <c r="K244"/>
      <c r="L244"/>
      <c r="M244"/>
      <c r="N244"/>
      <c r="O244"/>
      <c r="P244"/>
      <c r="Q244"/>
      <c r="R244"/>
    </row>
    <row r="245" spans="1:18" x14ac:dyDescent="0.25">
      <c r="A245" t="str">
        <f>IFERROR(VLOOKUP(B245&amp; "*",'SKU Maintenance'!D:H,5,0),"not found")</f>
        <v>2010070198180011</v>
      </c>
      <c r="B245">
        <v>40014070</v>
      </c>
      <c r="C245" t="s">
        <v>463</v>
      </c>
      <c r="D245"/>
      <c r="E245"/>
      <c r="F245" s="3">
        <v>44765</v>
      </c>
      <c r="G245" s="49">
        <v>1</v>
      </c>
      <c r="H245" s="23">
        <v>150</v>
      </c>
      <c r="I245" t="s">
        <v>6945</v>
      </c>
      <c r="J245"/>
      <c r="K245"/>
      <c r="L245"/>
      <c r="M245"/>
      <c r="N245"/>
      <c r="O245"/>
      <c r="P245"/>
      <c r="Q245"/>
      <c r="R245"/>
    </row>
    <row r="246" spans="1:18" x14ac:dyDescent="0.25">
      <c r="A246" t="str">
        <f>IFERROR(VLOOKUP(B246&amp; "*",'SKU Maintenance'!D:H,5,0),"not found")</f>
        <v>2010070198180012</v>
      </c>
      <c r="B246">
        <v>40014071</v>
      </c>
      <c r="C246" t="s">
        <v>464</v>
      </c>
      <c r="D246"/>
      <c r="E246"/>
      <c r="F246" s="3">
        <v>44765</v>
      </c>
      <c r="G246" s="49">
        <v>1</v>
      </c>
      <c r="H246" s="23">
        <v>150</v>
      </c>
      <c r="I246" t="s">
        <v>6945</v>
      </c>
      <c r="J246"/>
      <c r="K246"/>
      <c r="L246"/>
      <c r="M246"/>
      <c r="N246"/>
      <c r="O246"/>
      <c r="P246"/>
      <c r="Q246"/>
      <c r="R246"/>
    </row>
    <row r="247" spans="1:18" x14ac:dyDescent="0.25">
      <c r="A247" t="str">
        <f>IFERROR(VLOOKUP(B247&amp; "*",'SKU Maintenance'!D:H,5,0),"not found")</f>
        <v>2020070103180015</v>
      </c>
      <c r="B247">
        <v>40014074</v>
      </c>
      <c r="C247" t="s">
        <v>294</v>
      </c>
      <c r="D247"/>
      <c r="E247"/>
      <c r="F247" s="3">
        <v>44758</v>
      </c>
      <c r="G247" s="49">
        <v>1</v>
      </c>
      <c r="H247" s="23">
        <v>699.75</v>
      </c>
      <c r="I247" t="s">
        <v>6941</v>
      </c>
      <c r="J247"/>
      <c r="K247"/>
      <c r="L247"/>
      <c r="M247"/>
      <c r="N247"/>
      <c r="O247"/>
      <c r="P247"/>
      <c r="Q247"/>
      <c r="R247"/>
    </row>
    <row r="248" spans="1:18" x14ac:dyDescent="0.25">
      <c r="A248" t="str">
        <f>IFERROR(VLOOKUP(B248&amp; "*",'SKU Maintenance'!D:H,5,0),"not found")</f>
        <v>2010070198180018</v>
      </c>
      <c r="B248">
        <v>40014080</v>
      </c>
      <c r="C248" t="s">
        <v>232</v>
      </c>
      <c r="D248"/>
      <c r="E248"/>
      <c r="F248" s="3">
        <v>44773</v>
      </c>
      <c r="G248" s="49">
        <v>1</v>
      </c>
      <c r="H248" s="23">
        <v>200</v>
      </c>
      <c r="I248" t="s">
        <v>6939</v>
      </c>
      <c r="J248"/>
      <c r="K248"/>
      <c r="L248"/>
      <c r="M248"/>
      <c r="N248"/>
      <c r="O248"/>
      <c r="P248"/>
      <c r="Q248"/>
      <c r="R248"/>
    </row>
    <row r="249" spans="1:18" x14ac:dyDescent="0.25">
      <c r="A249" t="str">
        <f>IFERROR(VLOOKUP(B249&amp; "*",'SKU Maintenance'!D:H,5,0),"not found")</f>
        <v>2010040598163159</v>
      </c>
      <c r="B249">
        <v>40014088</v>
      </c>
      <c r="C249" t="s">
        <v>447</v>
      </c>
      <c r="D249"/>
      <c r="E249"/>
      <c r="F249" s="3">
        <v>44757</v>
      </c>
      <c r="G249" s="49">
        <v>1</v>
      </c>
      <c r="H249" s="23">
        <v>89.75</v>
      </c>
      <c r="I249" t="s">
        <v>6945</v>
      </c>
      <c r="J249"/>
      <c r="K249"/>
      <c r="L249"/>
      <c r="M249"/>
      <c r="N249"/>
      <c r="O249"/>
      <c r="P249"/>
      <c r="Q249"/>
      <c r="R249"/>
    </row>
    <row r="250" spans="1:18" x14ac:dyDescent="0.25">
      <c r="A250" t="str">
        <f>IFERROR(VLOOKUP(B250&amp; "*",'SKU Maintenance'!D:H,5,0),"not found")</f>
        <v>2010040598163159</v>
      </c>
      <c r="B250">
        <v>40014088</v>
      </c>
      <c r="C250" t="s">
        <v>447</v>
      </c>
      <c r="D250"/>
      <c r="E250"/>
      <c r="F250" s="3">
        <v>44759</v>
      </c>
      <c r="G250" s="49">
        <v>1</v>
      </c>
      <c r="H250" s="23">
        <v>89.75</v>
      </c>
      <c r="I250" t="s">
        <v>6945</v>
      </c>
      <c r="J250"/>
      <c r="K250"/>
      <c r="L250"/>
      <c r="M250"/>
      <c r="N250"/>
      <c r="O250"/>
      <c r="P250"/>
      <c r="Q250"/>
      <c r="R250"/>
    </row>
    <row r="251" spans="1:18" x14ac:dyDescent="0.25">
      <c r="A251" t="str">
        <f>IFERROR(VLOOKUP(B251&amp; "*",'SKU Maintenance'!D:H,5,0),"not found")</f>
        <v>2010040598173159</v>
      </c>
      <c r="B251">
        <v>40014090</v>
      </c>
      <c r="C251" t="s">
        <v>447</v>
      </c>
      <c r="D251"/>
      <c r="E251"/>
      <c r="F251" s="3">
        <v>44758</v>
      </c>
      <c r="G251" s="49">
        <v>1</v>
      </c>
      <c r="H251" s="23">
        <v>89.75</v>
      </c>
      <c r="I251" t="s">
        <v>6945</v>
      </c>
      <c r="J251"/>
      <c r="K251"/>
      <c r="L251"/>
      <c r="M251"/>
      <c r="N251"/>
      <c r="O251"/>
      <c r="P251"/>
      <c r="Q251"/>
      <c r="R251"/>
    </row>
    <row r="252" spans="1:18" x14ac:dyDescent="0.25">
      <c r="A252" t="str">
        <f>IFERROR(VLOOKUP(B252&amp; "*",'SKU Maintenance'!D:H,5,0),"not found")</f>
        <v>2010040598173159</v>
      </c>
      <c r="B252">
        <v>40014090</v>
      </c>
      <c r="C252" t="s">
        <v>447</v>
      </c>
      <c r="D252"/>
      <c r="E252"/>
      <c r="F252" s="3">
        <v>44759</v>
      </c>
      <c r="G252" s="49">
        <v>1</v>
      </c>
      <c r="H252" s="23">
        <v>89.75</v>
      </c>
      <c r="I252" t="s">
        <v>6945</v>
      </c>
      <c r="J252"/>
      <c r="K252"/>
      <c r="L252"/>
      <c r="M252"/>
      <c r="N252"/>
      <c r="O252"/>
      <c r="P252"/>
      <c r="Q252"/>
      <c r="R252"/>
    </row>
    <row r="253" spans="1:18" x14ac:dyDescent="0.25">
      <c r="A253" t="str">
        <f>IFERROR(VLOOKUP(B253&amp; "*",'SKU Maintenance'!D:H,5,0),"not found")</f>
        <v>2010010102200001</v>
      </c>
      <c r="B253">
        <v>40014506</v>
      </c>
      <c r="C253" t="s">
        <v>406</v>
      </c>
      <c r="D253"/>
      <c r="E253"/>
      <c r="F253" s="3">
        <v>44758</v>
      </c>
      <c r="G253" s="49">
        <v>1</v>
      </c>
      <c r="H253" s="23">
        <v>100</v>
      </c>
      <c r="I253" t="s">
        <v>6943</v>
      </c>
      <c r="J253"/>
      <c r="K253"/>
      <c r="L253"/>
      <c r="M253"/>
      <c r="N253"/>
      <c r="O253"/>
      <c r="P253"/>
      <c r="Q253"/>
      <c r="R253"/>
    </row>
    <row r="254" spans="1:18" x14ac:dyDescent="0.25">
      <c r="A254" t="str">
        <f>IFERROR(VLOOKUP(B254&amp; "*",'SKU Maintenance'!D:H,5,0),"not found")</f>
        <v>2010010103200001</v>
      </c>
      <c r="B254">
        <v>40014507</v>
      </c>
      <c r="C254" t="s">
        <v>136</v>
      </c>
      <c r="D254"/>
      <c r="E254"/>
      <c r="F254" s="3">
        <v>44756</v>
      </c>
      <c r="G254" s="49">
        <v>2</v>
      </c>
      <c r="H254" s="23">
        <v>250</v>
      </c>
      <c r="I254" t="s">
        <v>6939</v>
      </c>
      <c r="J254"/>
      <c r="K254"/>
      <c r="L254"/>
      <c r="M254"/>
      <c r="N254"/>
      <c r="O254"/>
      <c r="P254"/>
      <c r="Q254"/>
      <c r="R254"/>
    </row>
    <row r="255" spans="1:18" x14ac:dyDescent="0.25">
      <c r="A255" t="str">
        <f>IFERROR(VLOOKUP(B255&amp; "*",'SKU Maintenance'!D:H,5,0),"not found")</f>
        <v>2010010102180001</v>
      </c>
      <c r="B255">
        <v>40014509</v>
      </c>
      <c r="C255" t="s">
        <v>405</v>
      </c>
      <c r="D255"/>
      <c r="E255"/>
      <c r="F255" s="3">
        <v>44758</v>
      </c>
      <c r="G255" s="49">
        <v>1</v>
      </c>
      <c r="H255" s="23">
        <v>100</v>
      </c>
      <c r="I255" t="s">
        <v>6943</v>
      </c>
      <c r="J255"/>
      <c r="K255"/>
      <c r="L255"/>
      <c r="M255"/>
      <c r="N255"/>
      <c r="O255"/>
      <c r="P255"/>
      <c r="Q255"/>
      <c r="R255"/>
    </row>
    <row r="256" spans="1:18" x14ac:dyDescent="0.25">
      <c r="A256" t="str">
        <f>IFERROR(VLOOKUP(B256&amp; "*",'SKU Maintenance'!D:H,5,0),"not found")</f>
        <v>2010010104180001</v>
      </c>
      <c r="B256">
        <v>40014511</v>
      </c>
      <c r="C256" t="s">
        <v>348</v>
      </c>
      <c r="D256"/>
      <c r="E256"/>
      <c r="F256" s="3">
        <v>44772</v>
      </c>
      <c r="G256" s="49">
        <v>1</v>
      </c>
      <c r="H256" s="23">
        <v>175</v>
      </c>
      <c r="I256" t="s">
        <v>6941</v>
      </c>
      <c r="J256"/>
      <c r="K256"/>
      <c r="L256"/>
      <c r="M256"/>
      <c r="N256"/>
      <c r="O256"/>
      <c r="P256"/>
      <c r="Q256"/>
      <c r="R256"/>
    </row>
    <row r="257" spans="1:18" x14ac:dyDescent="0.25">
      <c r="A257" t="str">
        <f>IFERROR(VLOOKUP(B257&amp; "*",'SKU Maintenance'!D:H,5,0),"not found")</f>
        <v>2010010104180001</v>
      </c>
      <c r="B257">
        <v>40014511</v>
      </c>
      <c r="C257" t="s">
        <v>348</v>
      </c>
      <c r="D257"/>
      <c r="E257"/>
      <c r="F257" s="3">
        <v>44765</v>
      </c>
      <c r="G257" s="49">
        <v>1</v>
      </c>
      <c r="H257" s="23">
        <v>175</v>
      </c>
      <c r="I257" t="s">
        <v>6945</v>
      </c>
      <c r="J257"/>
      <c r="K257"/>
      <c r="L257"/>
      <c r="M257"/>
      <c r="N257"/>
      <c r="O257"/>
      <c r="P257"/>
      <c r="Q257"/>
      <c r="R257"/>
    </row>
    <row r="258" spans="1:18" x14ac:dyDescent="0.25">
      <c r="A258" t="str">
        <f>IFERROR(VLOOKUP(B258&amp; "*",'SKU Maintenance'!D:H,5,0),"not found")</f>
        <v>2010010104160002</v>
      </c>
      <c r="B258">
        <v>40014514</v>
      </c>
      <c r="C258" t="s">
        <v>359</v>
      </c>
      <c r="D258"/>
      <c r="E258"/>
      <c r="F258" s="3">
        <v>44746</v>
      </c>
      <c r="G258" s="49">
        <v>3</v>
      </c>
      <c r="H258" s="23">
        <v>599.25</v>
      </c>
      <c r="I258" t="s">
        <v>6943</v>
      </c>
      <c r="J258"/>
      <c r="K258"/>
      <c r="L258"/>
      <c r="M258"/>
      <c r="N258"/>
      <c r="O258"/>
      <c r="P258"/>
      <c r="Q258"/>
      <c r="R258"/>
    </row>
    <row r="259" spans="1:18" x14ac:dyDescent="0.25">
      <c r="A259" t="str">
        <f>IFERROR(VLOOKUP(B259&amp; "*",'SKU Maintenance'!D:H,5,0),"not found")</f>
        <v>2010010102180002</v>
      </c>
      <c r="B259">
        <v>40014515</v>
      </c>
      <c r="C259" t="s">
        <v>358</v>
      </c>
      <c r="D259"/>
      <c r="E259"/>
      <c r="F259" s="3">
        <v>44746</v>
      </c>
      <c r="G259" s="49">
        <v>2</v>
      </c>
      <c r="H259" s="23">
        <v>259.5</v>
      </c>
      <c r="I259" t="s">
        <v>6943</v>
      </c>
      <c r="J259"/>
      <c r="K259"/>
      <c r="L259"/>
      <c r="M259"/>
      <c r="N259"/>
      <c r="O259"/>
      <c r="P259"/>
      <c r="Q259"/>
      <c r="R259"/>
    </row>
    <row r="260" spans="1:18" x14ac:dyDescent="0.25">
      <c r="A260" t="str">
        <f>IFERROR(VLOOKUP(B260&amp; "*",'SKU Maintenance'!D:H,5,0),"not found")</f>
        <v>2010010103220004</v>
      </c>
      <c r="B260">
        <v>40014525</v>
      </c>
      <c r="C260" t="s">
        <v>407</v>
      </c>
      <c r="D260"/>
      <c r="E260"/>
      <c r="F260" s="3">
        <v>44758</v>
      </c>
      <c r="G260" s="49">
        <v>1</v>
      </c>
      <c r="H260" s="23">
        <v>85</v>
      </c>
      <c r="I260" t="s">
        <v>6943</v>
      </c>
      <c r="J260"/>
      <c r="K260"/>
      <c r="L260"/>
      <c r="M260"/>
      <c r="N260"/>
      <c r="O260"/>
      <c r="P260"/>
      <c r="Q260"/>
      <c r="R260"/>
    </row>
    <row r="261" spans="1:18" x14ac:dyDescent="0.25">
      <c r="A261" t="str">
        <f>IFERROR(VLOOKUP(B261&amp; "*",'SKU Maintenance'!D:H,5,0),"not found")</f>
        <v>2010010103200004</v>
      </c>
      <c r="B261">
        <v>40014528</v>
      </c>
      <c r="C261" t="s">
        <v>197</v>
      </c>
      <c r="D261"/>
      <c r="E261"/>
      <c r="F261" s="3">
        <v>44766</v>
      </c>
      <c r="G261" s="49">
        <v>1</v>
      </c>
      <c r="H261" s="23">
        <v>85</v>
      </c>
      <c r="I261" t="s">
        <v>6939</v>
      </c>
      <c r="J261"/>
      <c r="K261"/>
      <c r="L261"/>
      <c r="M261"/>
      <c r="N261"/>
      <c r="O261"/>
      <c r="P261"/>
      <c r="Q261"/>
      <c r="R261"/>
    </row>
    <row r="262" spans="1:18" x14ac:dyDescent="0.25">
      <c r="A262" t="str">
        <f>IFERROR(VLOOKUP(B262&amp; "*",'SKU Maintenance'!D:H,5,0),"not found")</f>
        <v>2010010103200004</v>
      </c>
      <c r="B262">
        <v>40014528</v>
      </c>
      <c r="C262" t="s">
        <v>197</v>
      </c>
      <c r="D262"/>
      <c r="E262"/>
      <c r="F262" s="3">
        <v>44758</v>
      </c>
      <c r="G262" s="49">
        <v>1</v>
      </c>
      <c r="H262" s="23">
        <v>85</v>
      </c>
      <c r="I262" t="s">
        <v>6943</v>
      </c>
      <c r="J262"/>
      <c r="K262"/>
      <c r="L262"/>
      <c r="M262"/>
      <c r="N262"/>
      <c r="O262"/>
      <c r="P262"/>
      <c r="Q262"/>
      <c r="R262"/>
    </row>
    <row r="263" spans="1:18" x14ac:dyDescent="0.25">
      <c r="A263" t="str">
        <f>IFERROR(VLOOKUP(B263&amp; "*",'SKU Maintenance'!D:H,5,0),"not found")</f>
        <v>2010010104250007</v>
      </c>
      <c r="B263">
        <v>40014543</v>
      </c>
      <c r="C263" t="s">
        <v>402</v>
      </c>
      <c r="D263"/>
      <c r="E263"/>
      <c r="F263" s="3">
        <v>44756</v>
      </c>
      <c r="G263" s="49">
        <v>1</v>
      </c>
      <c r="H263" s="23">
        <v>100</v>
      </c>
      <c r="I263" t="s">
        <v>6943</v>
      </c>
      <c r="J263"/>
      <c r="K263"/>
      <c r="L263"/>
      <c r="M263"/>
      <c r="N263"/>
      <c r="O263"/>
      <c r="P263"/>
      <c r="Q263"/>
      <c r="R263"/>
    </row>
    <row r="264" spans="1:18" x14ac:dyDescent="0.25">
      <c r="A264" t="str">
        <f>IFERROR(VLOOKUP(B264&amp; "*",'SKU Maintenance'!D:H,5,0),"not found")</f>
        <v>2010010103250009</v>
      </c>
      <c r="B264">
        <v>40014550</v>
      </c>
      <c r="C264" t="s">
        <v>387</v>
      </c>
      <c r="D264"/>
      <c r="E264"/>
      <c r="F264" s="3">
        <v>44754</v>
      </c>
      <c r="G264" s="49">
        <v>1</v>
      </c>
      <c r="H264" s="23">
        <v>150</v>
      </c>
      <c r="I264" t="s">
        <v>6943</v>
      </c>
      <c r="J264"/>
      <c r="K264"/>
      <c r="L264"/>
      <c r="M264"/>
      <c r="N264"/>
      <c r="O264"/>
      <c r="P264"/>
      <c r="Q264"/>
      <c r="R264"/>
    </row>
    <row r="265" spans="1:18" x14ac:dyDescent="0.25">
      <c r="A265" t="str">
        <f>IFERROR(VLOOKUP(B265&amp; "*",'SKU Maintenance'!D:H,5,0),"not found")</f>
        <v>2010010104250009</v>
      </c>
      <c r="B265">
        <v>40014551</v>
      </c>
      <c r="C265" t="s">
        <v>119</v>
      </c>
      <c r="D265"/>
      <c r="E265"/>
      <c r="F265" s="3">
        <v>44753</v>
      </c>
      <c r="G265" s="49">
        <v>6</v>
      </c>
      <c r="H265" s="23">
        <v>1200</v>
      </c>
      <c r="I265" t="s">
        <v>6939</v>
      </c>
      <c r="J265"/>
      <c r="K265"/>
      <c r="L265"/>
      <c r="M265"/>
      <c r="N265"/>
      <c r="O265"/>
      <c r="P265"/>
      <c r="Q265"/>
      <c r="R265"/>
    </row>
    <row r="266" spans="1:18" x14ac:dyDescent="0.25">
      <c r="A266" t="str">
        <f>IFERROR(VLOOKUP(B266&amp; "*",'SKU Maintenance'!D:H,5,0),"not found")</f>
        <v>2010010103160009</v>
      </c>
      <c r="B266">
        <v>40014556</v>
      </c>
      <c r="C266" t="s">
        <v>119</v>
      </c>
      <c r="D266"/>
      <c r="E266"/>
      <c r="F266" s="3">
        <v>44747</v>
      </c>
      <c r="G266" s="49">
        <v>1</v>
      </c>
      <c r="H266" s="23">
        <v>150</v>
      </c>
      <c r="I266" t="s">
        <v>6945</v>
      </c>
      <c r="J266"/>
      <c r="K266"/>
      <c r="L266"/>
      <c r="M266"/>
      <c r="N266"/>
      <c r="O266"/>
      <c r="P266"/>
      <c r="Q266"/>
      <c r="R266"/>
    </row>
    <row r="267" spans="1:18" x14ac:dyDescent="0.25">
      <c r="A267" t="str">
        <f>IFERROR(VLOOKUP(B267&amp; "*",'SKU Maintenance'!D:H,5,0),"not found")</f>
        <v>2010010104160009</v>
      </c>
      <c r="B267">
        <v>40014557</v>
      </c>
      <c r="C267" t="s">
        <v>119</v>
      </c>
      <c r="D267"/>
      <c r="E267"/>
      <c r="F267" s="3">
        <v>44753</v>
      </c>
      <c r="G267" s="49">
        <v>3</v>
      </c>
      <c r="H267" s="23">
        <v>600</v>
      </c>
      <c r="I267" t="s">
        <v>6939</v>
      </c>
      <c r="J267"/>
      <c r="K267"/>
      <c r="L267"/>
      <c r="M267"/>
      <c r="N267"/>
      <c r="O267"/>
      <c r="P267"/>
      <c r="Q267"/>
      <c r="R267"/>
    </row>
    <row r="268" spans="1:18" x14ac:dyDescent="0.25">
      <c r="A268" t="str">
        <f>IFERROR(VLOOKUP(B268&amp; "*",'SKU Maintenance'!D:H,5,0),"not found")</f>
        <v>2010040601042521</v>
      </c>
      <c r="B268">
        <v>40014582</v>
      </c>
      <c r="C268" t="s">
        <v>349</v>
      </c>
      <c r="D268"/>
      <c r="E268"/>
      <c r="F268" s="3">
        <v>44773</v>
      </c>
      <c r="G268" s="49">
        <v>1</v>
      </c>
      <c r="H268" s="23">
        <v>149.75</v>
      </c>
      <c r="I268" t="s">
        <v>6941</v>
      </c>
      <c r="J268"/>
      <c r="K268"/>
      <c r="L268"/>
      <c r="M268"/>
      <c r="N268"/>
      <c r="O268"/>
      <c r="P268"/>
      <c r="Q268"/>
      <c r="R268"/>
    </row>
    <row r="269" spans="1:18" x14ac:dyDescent="0.25">
      <c r="A269" t="str">
        <f>IFERROR(VLOOKUP(B269&amp; "*",'SKU Maintenance'!D:H,5,0),"not found")</f>
        <v>2010070101180054</v>
      </c>
      <c r="B269">
        <v>40014606</v>
      </c>
      <c r="C269" t="s">
        <v>386</v>
      </c>
      <c r="D269"/>
      <c r="E269"/>
      <c r="F269" s="3">
        <v>44754</v>
      </c>
      <c r="G269" s="49">
        <v>1</v>
      </c>
      <c r="H269" s="23">
        <v>150</v>
      </c>
      <c r="I269" t="s">
        <v>6943</v>
      </c>
      <c r="J269"/>
      <c r="K269"/>
      <c r="L269"/>
      <c r="M269"/>
      <c r="N269"/>
      <c r="O269"/>
      <c r="P269"/>
      <c r="Q269"/>
      <c r="R269"/>
    </row>
    <row r="270" spans="1:18" x14ac:dyDescent="0.25">
      <c r="A270" t="str">
        <f>IFERROR(VLOOKUP(B270&amp; "*",'SKU Maintenance'!D:H,5,0),"not found")</f>
        <v>2010070101020054</v>
      </c>
      <c r="B270">
        <v>40014607</v>
      </c>
      <c r="C270" t="s">
        <v>267</v>
      </c>
      <c r="D270"/>
      <c r="E270"/>
      <c r="F270" s="3">
        <v>44749</v>
      </c>
      <c r="G270" s="49">
        <v>1</v>
      </c>
      <c r="H270" s="23">
        <v>299.75</v>
      </c>
      <c r="I270" t="s">
        <v>6941</v>
      </c>
      <c r="J270"/>
      <c r="K270"/>
      <c r="L270"/>
      <c r="M270"/>
      <c r="N270"/>
      <c r="O270"/>
      <c r="P270"/>
      <c r="Q270"/>
      <c r="R270"/>
    </row>
    <row r="271" spans="1:18" x14ac:dyDescent="0.25">
      <c r="A271" t="str">
        <f>IFERROR(VLOOKUP(B271&amp; "*",'SKU Maintenance'!D:H,5,0),"not found")</f>
        <v>2010070101020054</v>
      </c>
      <c r="B271">
        <v>40014607</v>
      </c>
      <c r="C271" t="s">
        <v>267</v>
      </c>
      <c r="D271"/>
      <c r="E271"/>
      <c r="F271" s="3">
        <v>44757</v>
      </c>
      <c r="G271" s="49">
        <v>1</v>
      </c>
      <c r="H271" s="23">
        <v>150</v>
      </c>
      <c r="I271" t="s">
        <v>6943</v>
      </c>
      <c r="J271"/>
      <c r="K271"/>
      <c r="L271"/>
      <c r="M271"/>
      <c r="N271"/>
      <c r="O271"/>
      <c r="P271"/>
      <c r="Q271"/>
      <c r="R271"/>
    </row>
    <row r="272" spans="1:18" x14ac:dyDescent="0.25">
      <c r="A272" t="str">
        <f>IFERROR(VLOOKUP(B272&amp; "*",'SKU Maintenance'!D:H,5,0),"not found")</f>
        <v>2010070101020054</v>
      </c>
      <c r="B272">
        <v>40014607</v>
      </c>
      <c r="C272" t="s">
        <v>267</v>
      </c>
      <c r="D272"/>
      <c r="E272"/>
      <c r="F272" s="3">
        <v>44772</v>
      </c>
      <c r="G272" s="49">
        <v>1</v>
      </c>
      <c r="H272" s="23">
        <v>299.75</v>
      </c>
      <c r="I272" t="s">
        <v>6945</v>
      </c>
      <c r="J272"/>
      <c r="K272"/>
      <c r="L272"/>
      <c r="M272"/>
      <c r="N272"/>
      <c r="O272"/>
      <c r="P272"/>
      <c r="Q272"/>
      <c r="R272"/>
    </row>
    <row r="273" spans="1:18" x14ac:dyDescent="0.25">
      <c r="A273" t="str">
        <f>IFERROR(VLOOKUP(B273&amp; "*",'SKU Maintenance'!D:H,5,0),"not found")</f>
        <v>2010070102020054</v>
      </c>
      <c r="B273">
        <v>40014609</v>
      </c>
      <c r="C273" t="s">
        <v>200</v>
      </c>
      <c r="D273"/>
      <c r="E273"/>
      <c r="F273" s="3">
        <v>44767</v>
      </c>
      <c r="G273" s="49">
        <v>2</v>
      </c>
      <c r="H273" s="23">
        <v>600</v>
      </c>
      <c r="I273" t="s">
        <v>6939</v>
      </c>
      <c r="J273"/>
      <c r="K273"/>
      <c r="L273"/>
      <c r="M273"/>
      <c r="N273"/>
      <c r="O273"/>
      <c r="P273"/>
      <c r="Q273"/>
      <c r="R273"/>
    </row>
    <row r="274" spans="1:18" x14ac:dyDescent="0.25">
      <c r="A274" t="str">
        <f>IFERROR(VLOOKUP(B274&amp; "*",'SKU Maintenance'!D:H,5,0),"not found")</f>
        <v>2010070102020054</v>
      </c>
      <c r="B274">
        <v>40014609</v>
      </c>
      <c r="C274" t="s">
        <v>200</v>
      </c>
      <c r="D274"/>
      <c r="E274"/>
      <c r="F274" s="3">
        <v>44771</v>
      </c>
      <c r="G274" s="49">
        <v>1</v>
      </c>
      <c r="H274" s="23">
        <v>300</v>
      </c>
      <c r="I274" t="s">
        <v>6945</v>
      </c>
      <c r="J274"/>
      <c r="K274"/>
      <c r="L274"/>
      <c r="M274"/>
      <c r="N274"/>
      <c r="O274"/>
      <c r="P274"/>
      <c r="Q274"/>
      <c r="R274"/>
    </row>
    <row r="275" spans="1:18" x14ac:dyDescent="0.25">
      <c r="A275" t="str">
        <f>IFERROR(VLOOKUP(B275&amp; "*",'SKU Maintenance'!D:H,5,0),"not found")</f>
        <v>2010070101130055</v>
      </c>
      <c r="B275">
        <v>40014610</v>
      </c>
      <c r="C275" t="s">
        <v>385</v>
      </c>
      <c r="D275"/>
      <c r="E275"/>
      <c r="F275" s="3">
        <v>44757</v>
      </c>
      <c r="G275" s="49">
        <v>1</v>
      </c>
      <c r="H275" s="23">
        <v>175</v>
      </c>
      <c r="I275" t="s">
        <v>6943</v>
      </c>
      <c r="J275"/>
      <c r="K275"/>
      <c r="L275"/>
      <c r="M275"/>
      <c r="N275"/>
      <c r="O275"/>
      <c r="P275"/>
      <c r="Q275"/>
      <c r="R275"/>
    </row>
    <row r="276" spans="1:18" x14ac:dyDescent="0.25">
      <c r="A276" t="str">
        <f>IFERROR(VLOOKUP(B276&amp; "*",'SKU Maintenance'!D:H,5,0),"not found")</f>
        <v>2010070101220055</v>
      </c>
      <c r="B276">
        <v>40014611</v>
      </c>
      <c r="C276" t="s">
        <v>385</v>
      </c>
      <c r="D276"/>
      <c r="E276"/>
      <c r="F276" s="3">
        <v>44754</v>
      </c>
      <c r="G276" s="49">
        <v>1</v>
      </c>
      <c r="H276" s="23">
        <v>175</v>
      </c>
      <c r="I276" t="s">
        <v>6943</v>
      </c>
      <c r="J276"/>
      <c r="K276"/>
      <c r="L276"/>
      <c r="M276"/>
      <c r="N276"/>
      <c r="O276"/>
      <c r="P276"/>
      <c r="Q276"/>
      <c r="R276"/>
    </row>
    <row r="277" spans="1:18" x14ac:dyDescent="0.25">
      <c r="A277" t="str">
        <f>IFERROR(VLOOKUP(B277&amp; "*",'SKU Maintenance'!D:H,5,0),"not found")</f>
        <v>2010070103130055</v>
      </c>
      <c r="B277">
        <v>40014612</v>
      </c>
      <c r="C277" t="s">
        <v>120</v>
      </c>
      <c r="D277"/>
      <c r="E277"/>
      <c r="F277" s="3">
        <v>44753</v>
      </c>
      <c r="G277" s="49">
        <v>1</v>
      </c>
      <c r="H277" s="23">
        <v>250</v>
      </c>
      <c r="I277" t="s">
        <v>6939</v>
      </c>
      <c r="J277"/>
      <c r="K277"/>
      <c r="L277"/>
      <c r="M277"/>
      <c r="N277"/>
      <c r="O277"/>
      <c r="P277"/>
      <c r="Q277"/>
      <c r="R277"/>
    </row>
    <row r="278" spans="1:18" x14ac:dyDescent="0.25">
      <c r="A278" t="str">
        <f>IFERROR(VLOOKUP(B278&amp; "*",'SKU Maintenance'!D:H,5,0),"not found")</f>
        <v>2010070103130055</v>
      </c>
      <c r="B278">
        <v>40014612</v>
      </c>
      <c r="C278" t="s">
        <v>120</v>
      </c>
      <c r="D278"/>
      <c r="E278"/>
      <c r="F278" s="3">
        <v>44769</v>
      </c>
      <c r="G278" s="49">
        <v>2</v>
      </c>
      <c r="H278" s="23">
        <v>500</v>
      </c>
      <c r="I278" t="s">
        <v>6939</v>
      </c>
      <c r="J278"/>
      <c r="K278"/>
      <c r="L278"/>
      <c r="M278"/>
      <c r="N278"/>
      <c r="O278"/>
      <c r="P278"/>
      <c r="Q278"/>
      <c r="R278"/>
    </row>
    <row r="279" spans="1:18" x14ac:dyDescent="0.25">
      <c r="A279" t="str">
        <f>IFERROR(VLOOKUP(B279&amp; "*",'SKU Maintenance'!D:H,5,0),"not found")</f>
        <v>2010070103130055</v>
      </c>
      <c r="B279">
        <v>40014612</v>
      </c>
      <c r="C279" t="s">
        <v>120</v>
      </c>
      <c r="D279"/>
      <c r="E279"/>
      <c r="F279" s="3">
        <v>44765</v>
      </c>
      <c r="G279" s="49">
        <v>2</v>
      </c>
      <c r="H279" s="23">
        <v>500</v>
      </c>
      <c r="I279" t="s">
        <v>6945</v>
      </c>
      <c r="J279"/>
      <c r="K279"/>
      <c r="L279"/>
      <c r="M279"/>
      <c r="N279"/>
      <c r="O279"/>
      <c r="P279"/>
      <c r="Q279"/>
      <c r="R279"/>
    </row>
    <row r="280" spans="1:18" x14ac:dyDescent="0.25">
      <c r="A280" t="str">
        <f>IFERROR(VLOOKUP(B280&amp; "*",'SKU Maintenance'!D:H,5,0),"not found")</f>
        <v>2010040598193172</v>
      </c>
      <c r="B280">
        <v>40014623</v>
      </c>
      <c r="C280" t="s">
        <v>388</v>
      </c>
      <c r="D280"/>
      <c r="E280"/>
      <c r="F280" s="3">
        <v>44754</v>
      </c>
      <c r="G280" s="49">
        <v>1</v>
      </c>
      <c r="H280" s="23">
        <v>100</v>
      </c>
      <c r="I280" t="s">
        <v>6943</v>
      </c>
      <c r="J280"/>
      <c r="K280"/>
      <c r="L280"/>
      <c r="M280"/>
      <c r="N280"/>
      <c r="O280"/>
      <c r="P280"/>
      <c r="Q280"/>
      <c r="R280"/>
    </row>
    <row r="281" spans="1:18" x14ac:dyDescent="0.25">
      <c r="A281" t="str">
        <f>IFERROR(VLOOKUP(B281&amp; "*",'SKU Maintenance'!D:H,5,0),"not found")</f>
        <v>2010060998200010</v>
      </c>
      <c r="B281">
        <v>40014656</v>
      </c>
      <c r="C281" t="s">
        <v>378</v>
      </c>
      <c r="D281"/>
      <c r="E281"/>
      <c r="F281" s="3">
        <v>44752</v>
      </c>
      <c r="G281" s="49">
        <v>1</v>
      </c>
      <c r="H281" s="23">
        <v>799.75</v>
      </c>
      <c r="I281" t="s">
        <v>6943</v>
      </c>
      <c r="J281"/>
      <c r="K281"/>
      <c r="L281"/>
      <c r="M281"/>
      <c r="N281"/>
      <c r="O281"/>
      <c r="P281"/>
      <c r="Q281"/>
      <c r="R281"/>
    </row>
    <row r="282" spans="1:18" x14ac:dyDescent="0.25">
      <c r="A282" t="str">
        <f>IFERROR(VLOOKUP(B282&amp; "*",'SKU Maintenance'!D:H,5,0),"not found")</f>
        <v>2010030403163336</v>
      </c>
      <c r="B282">
        <v>40014663</v>
      </c>
      <c r="C282" t="s">
        <v>271</v>
      </c>
      <c r="D282"/>
      <c r="E282"/>
      <c r="F282" s="3">
        <v>44750</v>
      </c>
      <c r="G282" s="49">
        <v>2</v>
      </c>
      <c r="H282" s="23">
        <v>999.5</v>
      </c>
      <c r="I282" t="s">
        <v>6941</v>
      </c>
      <c r="J282"/>
      <c r="K282"/>
      <c r="L282"/>
      <c r="M282"/>
      <c r="N282"/>
      <c r="O282"/>
      <c r="P282"/>
      <c r="Q282"/>
      <c r="R282"/>
    </row>
    <row r="283" spans="1:18" x14ac:dyDescent="0.25">
      <c r="A283" t="str">
        <f>IFERROR(VLOOKUP(B283&amp; "*",'SKU Maintenance'!D:H,5,0),"not found")</f>
        <v>2010030403163336</v>
      </c>
      <c r="B283">
        <v>40014663</v>
      </c>
      <c r="C283" t="s">
        <v>271</v>
      </c>
      <c r="D283"/>
      <c r="E283"/>
      <c r="F283" s="3">
        <v>44755</v>
      </c>
      <c r="G283" s="49">
        <v>1</v>
      </c>
      <c r="H283" s="23">
        <v>499.75</v>
      </c>
      <c r="I283" t="s">
        <v>6941</v>
      </c>
      <c r="J283"/>
      <c r="K283"/>
      <c r="L283"/>
      <c r="M283"/>
      <c r="N283"/>
      <c r="O283"/>
      <c r="P283"/>
      <c r="Q283"/>
      <c r="R283"/>
    </row>
    <row r="284" spans="1:18" x14ac:dyDescent="0.25">
      <c r="A284" t="str">
        <f>IFERROR(VLOOKUP(B284&amp; "*",'SKU Maintenance'!D:H,5,0),"not found")</f>
        <v>2010030403163336</v>
      </c>
      <c r="B284">
        <v>40014663</v>
      </c>
      <c r="C284" t="s">
        <v>271</v>
      </c>
      <c r="D284"/>
      <c r="E284"/>
      <c r="F284" s="3">
        <v>44758</v>
      </c>
      <c r="G284" s="49">
        <v>1</v>
      </c>
      <c r="H284" s="23">
        <v>499.75</v>
      </c>
      <c r="I284" t="s">
        <v>6941</v>
      </c>
      <c r="J284"/>
      <c r="K284"/>
      <c r="L284"/>
      <c r="M284"/>
      <c r="N284"/>
      <c r="O284"/>
      <c r="P284"/>
      <c r="Q284"/>
      <c r="R284"/>
    </row>
    <row r="285" spans="1:18" x14ac:dyDescent="0.25">
      <c r="A285" t="str">
        <f>IFERROR(VLOOKUP(B285&amp; "*",'SKU Maintenance'!D:H,5,0),"not found")</f>
        <v>2010030403163336</v>
      </c>
      <c r="B285">
        <v>40014663</v>
      </c>
      <c r="C285" t="s">
        <v>271</v>
      </c>
      <c r="D285"/>
      <c r="E285"/>
      <c r="F285" s="3">
        <v>44772</v>
      </c>
      <c r="G285" s="49">
        <v>1</v>
      </c>
      <c r="H285" s="23">
        <v>499.75</v>
      </c>
      <c r="I285" t="s">
        <v>6941</v>
      </c>
      <c r="J285"/>
      <c r="K285"/>
      <c r="L285"/>
      <c r="M285"/>
      <c r="N285"/>
      <c r="O285"/>
      <c r="P285"/>
      <c r="Q285"/>
      <c r="R285"/>
    </row>
    <row r="286" spans="1:18" x14ac:dyDescent="0.25">
      <c r="A286" t="str">
        <f>IFERROR(VLOOKUP(B286&amp; "*",'SKU Maintenance'!D:H,5,0),"not found")</f>
        <v>2010030403163336</v>
      </c>
      <c r="B286">
        <v>40014663</v>
      </c>
      <c r="C286" t="s">
        <v>271</v>
      </c>
      <c r="D286"/>
      <c r="E286"/>
      <c r="F286" s="3">
        <v>44744</v>
      </c>
      <c r="G286" s="49">
        <v>1</v>
      </c>
      <c r="H286" s="23">
        <v>499.75</v>
      </c>
      <c r="I286" t="s">
        <v>6943</v>
      </c>
      <c r="J286"/>
      <c r="K286"/>
      <c r="L286"/>
      <c r="M286"/>
      <c r="N286"/>
      <c r="O286"/>
      <c r="P286"/>
      <c r="Q286"/>
      <c r="R286"/>
    </row>
    <row r="287" spans="1:18" x14ac:dyDescent="0.25">
      <c r="A287" t="str">
        <f>IFERROR(VLOOKUP(B287&amp; "*",'SKU Maintenance'!D:H,5,0),"not found")</f>
        <v>2010030403163336</v>
      </c>
      <c r="B287">
        <v>40014663</v>
      </c>
      <c r="C287" t="s">
        <v>271</v>
      </c>
      <c r="D287"/>
      <c r="E287"/>
      <c r="F287" s="3">
        <v>44745</v>
      </c>
      <c r="G287" s="49">
        <v>1</v>
      </c>
      <c r="H287" s="23">
        <v>499.75</v>
      </c>
      <c r="I287" t="s">
        <v>6943</v>
      </c>
      <c r="J287"/>
      <c r="K287"/>
      <c r="L287"/>
      <c r="M287"/>
      <c r="N287"/>
      <c r="O287"/>
      <c r="P287"/>
      <c r="Q287"/>
      <c r="R287"/>
    </row>
    <row r="288" spans="1:18" x14ac:dyDescent="0.25">
      <c r="A288" t="str">
        <f>IFERROR(VLOOKUP(B288&amp; "*",'SKU Maintenance'!D:H,5,0),"not found")</f>
        <v>2010030403163336</v>
      </c>
      <c r="B288">
        <v>40014663</v>
      </c>
      <c r="C288" t="s">
        <v>271</v>
      </c>
      <c r="D288"/>
      <c r="E288"/>
      <c r="F288" s="3">
        <v>44749</v>
      </c>
      <c r="G288" s="49">
        <v>1</v>
      </c>
      <c r="H288" s="23">
        <v>499.75</v>
      </c>
      <c r="I288" t="s">
        <v>6943</v>
      </c>
      <c r="J288"/>
      <c r="K288"/>
      <c r="L288"/>
      <c r="M288"/>
      <c r="N288"/>
      <c r="O288"/>
      <c r="P288"/>
      <c r="Q288"/>
      <c r="R288"/>
    </row>
    <row r="289" spans="1:18" x14ac:dyDescent="0.25">
      <c r="A289" t="str">
        <f>IFERROR(VLOOKUP(B289&amp; "*",'SKU Maintenance'!D:H,5,0),"not found")</f>
        <v>2010030403163336</v>
      </c>
      <c r="B289">
        <v>40014663</v>
      </c>
      <c r="C289" t="s">
        <v>271</v>
      </c>
      <c r="D289"/>
      <c r="E289"/>
      <c r="F289" s="3">
        <v>44757</v>
      </c>
      <c r="G289" s="49">
        <v>1</v>
      </c>
      <c r="H289" s="23">
        <v>499.75</v>
      </c>
      <c r="I289" t="s">
        <v>6943</v>
      </c>
      <c r="J289"/>
      <c r="K289"/>
      <c r="L289"/>
      <c r="M289"/>
      <c r="N289"/>
      <c r="O289"/>
      <c r="P289"/>
      <c r="Q289"/>
      <c r="R289"/>
    </row>
    <row r="290" spans="1:18" x14ac:dyDescent="0.25">
      <c r="A290" t="str">
        <f>IFERROR(VLOOKUP(B290&amp; "*",'SKU Maintenance'!D:H,5,0),"not found")</f>
        <v>2010030403163336</v>
      </c>
      <c r="B290">
        <v>40014663</v>
      </c>
      <c r="C290" t="s">
        <v>271</v>
      </c>
      <c r="D290"/>
      <c r="E290"/>
      <c r="F290" s="3">
        <v>44749</v>
      </c>
      <c r="G290" s="49">
        <v>1</v>
      </c>
      <c r="H290" s="23">
        <v>499.75</v>
      </c>
      <c r="I290" t="s">
        <v>6945</v>
      </c>
      <c r="J290"/>
      <c r="K290"/>
      <c r="L290"/>
      <c r="M290"/>
      <c r="N290"/>
      <c r="O290"/>
      <c r="P290"/>
      <c r="Q290"/>
      <c r="R290"/>
    </row>
    <row r="291" spans="1:18" x14ac:dyDescent="0.25">
      <c r="A291" t="str">
        <f>IFERROR(VLOOKUP(B291&amp; "*",'SKU Maintenance'!D:H,5,0),"not found")</f>
        <v>2010030403163336</v>
      </c>
      <c r="B291">
        <v>40014663</v>
      </c>
      <c r="C291" t="s">
        <v>271</v>
      </c>
      <c r="D291"/>
      <c r="E291"/>
      <c r="F291" s="3">
        <v>44751</v>
      </c>
      <c r="G291" s="49">
        <v>1</v>
      </c>
      <c r="H291" s="23">
        <v>499.75</v>
      </c>
      <c r="I291" t="s">
        <v>6945</v>
      </c>
      <c r="J291"/>
      <c r="K291"/>
      <c r="L291"/>
      <c r="M291"/>
      <c r="N291"/>
      <c r="O291"/>
      <c r="P291"/>
      <c r="Q291"/>
      <c r="R291"/>
    </row>
    <row r="292" spans="1:18" x14ac:dyDescent="0.25">
      <c r="A292" t="str">
        <f>IFERROR(VLOOKUP(B292&amp; "*",'SKU Maintenance'!D:H,5,0),"not found")</f>
        <v>2010030403163336</v>
      </c>
      <c r="B292">
        <v>40014663</v>
      </c>
      <c r="C292" t="s">
        <v>271</v>
      </c>
      <c r="D292"/>
      <c r="E292"/>
      <c r="F292" s="3">
        <v>44757</v>
      </c>
      <c r="G292" s="49">
        <v>1</v>
      </c>
      <c r="H292" s="23">
        <v>499.75</v>
      </c>
      <c r="I292" t="s">
        <v>6945</v>
      </c>
      <c r="J292"/>
      <c r="K292"/>
      <c r="L292"/>
      <c r="M292"/>
      <c r="N292"/>
      <c r="O292"/>
      <c r="P292"/>
      <c r="Q292"/>
      <c r="R292"/>
    </row>
    <row r="293" spans="1:18" x14ac:dyDescent="0.25">
      <c r="A293" t="str">
        <f>IFERROR(VLOOKUP(B293&amp; "*",'SKU Maintenance'!D:H,5,0),"not found")</f>
        <v>2010030403163336</v>
      </c>
      <c r="B293">
        <v>40014663</v>
      </c>
      <c r="C293" t="s">
        <v>271</v>
      </c>
      <c r="D293"/>
      <c r="E293"/>
      <c r="F293" s="3">
        <v>44765</v>
      </c>
      <c r="G293" s="49">
        <v>1</v>
      </c>
      <c r="H293" s="23">
        <v>499.75</v>
      </c>
      <c r="I293" t="s">
        <v>6945</v>
      </c>
      <c r="J293"/>
      <c r="K293"/>
      <c r="L293"/>
      <c r="M293"/>
      <c r="N293"/>
      <c r="O293"/>
      <c r="P293"/>
      <c r="Q293"/>
      <c r="R293"/>
    </row>
    <row r="294" spans="1:18" x14ac:dyDescent="0.25">
      <c r="A294" t="str">
        <f>IFERROR(VLOOKUP(B294&amp; "*",'SKU Maintenance'!D:H,5,0),"not found")</f>
        <v>2010030403183336</v>
      </c>
      <c r="B294">
        <v>40014664</v>
      </c>
      <c r="C294" t="s">
        <v>271</v>
      </c>
      <c r="D294"/>
      <c r="E294"/>
      <c r="F294" s="3">
        <v>44750</v>
      </c>
      <c r="G294" s="49">
        <v>1</v>
      </c>
      <c r="H294" s="23">
        <v>499.75</v>
      </c>
      <c r="I294" t="s">
        <v>6941</v>
      </c>
      <c r="J294"/>
      <c r="K294"/>
      <c r="L294"/>
      <c r="M294"/>
      <c r="N294"/>
      <c r="O294"/>
      <c r="P294"/>
      <c r="Q294"/>
      <c r="R294"/>
    </row>
    <row r="295" spans="1:18" x14ac:dyDescent="0.25">
      <c r="A295" t="str">
        <f>IFERROR(VLOOKUP(B295&amp; "*",'SKU Maintenance'!D:H,5,0),"not found")</f>
        <v>2010030403183336</v>
      </c>
      <c r="B295">
        <v>40014664</v>
      </c>
      <c r="C295" t="s">
        <v>271</v>
      </c>
      <c r="D295"/>
      <c r="E295"/>
      <c r="F295" s="3">
        <v>44755</v>
      </c>
      <c r="G295" s="49">
        <v>1</v>
      </c>
      <c r="H295" s="23">
        <v>499.75</v>
      </c>
      <c r="I295" t="s">
        <v>6941</v>
      </c>
      <c r="J295"/>
      <c r="K295"/>
      <c r="L295"/>
      <c r="M295"/>
      <c r="N295"/>
      <c r="O295"/>
      <c r="P295"/>
      <c r="Q295"/>
      <c r="R295"/>
    </row>
    <row r="296" spans="1:18" x14ac:dyDescent="0.25">
      <c r="A296" t="str">
        <f>IFERROR(VLOOKUP(B296&amp; "*",'SKU Maintenance'!D:H,5,0),"not found")</f>
        <v>2010030403183336</v>
      </c>
      <c r="B296">
        <v>40014664</v>
      </c>
      <c r="C296" t="s">
        <v>271</v>
      </c>
      <c r="D296"/>
      <c r="E296"/>
      <c r="F296" s="3">
        <v>44759</v>
      </c>
      <c r="G296" s="49">
        <v>1</v>
      </c>
      <c r="H296" s="23">
        <v>499.75</v>
      </c>
      <c r="I296" t="s">
        <v>6941</v>
      </c>
      <c r="J296"/>
      <c r="K296"/>
      <c r="L296"/>
      <c r="M296"/>
      <c r="N296"/>
      <c r="O296"/>
      <c r="P296"/>
      <c r="Q296"/>
      <c r="R296"/>
    </row>
    <row r="297" spans="1:18" x14ac:dyDescent="0.25">
      <c r="A297" t="str">
        <f>IFERROR(VLOOKUP(B297&amp; "*",'SKU Maintenance'!D:H,5,0),"not found")</f>
        <v>2010030403183336</v>
      </c>
      <c r="B297">
        <v>40014664</v>
      </c>
      <c r="C297" t="s">
        <v>271</v>
      </c>
      <c r="D297"/>
      <c r="E297"/>
      <c r="F297" s="3">
        <v>44761</v>
      </c>
      <c r="G297" s="49">
        <v>1</v>
      </c>
      <c r="H297" s="23">
        <v>499.75</v>
      </c>
      <c r="I297" t="s">
        <v>6941</v>
      </c>
      <c r="J297"/>
      <c r="K297"/>
      <c r="L297"/>
      <c r="M297"/>
      <c r="N297"/>
      <c r="O297"/>
      <c r="P297"/>
      <c r="Q297"/>
      <c r="R297"/>
    </row>
    <row r="298" spans="1:18" x14ac:dyDescent="0.25">
      <c r="A298" t="str">
        <f>IFERROR(VLOOKUP(B298&amp; "*",'SKU Maintenance'!D:H,5,0),"not found")</f>
        <v>2010030403183336</v>
      </c>
      <c r="B298">
        <v>40014664</v>
      </c>
      <c r="C298" t="s">
        <v>271</v>
      </c>
      <c r="D298"/>
      <c r="E298"/>
      <c r="F298" s="3">
        <v>44764</v>
      </c>
      <c r="G298" s="49">
        <v>1</v>
      </c>
      <c r="H298" s="23">
        <v>499.75</v>
      </c>
      <c r="I298" t="s">
        <v>6943</v>
      </c>
      <c r="J298"/>
      <c r="K298"/>
      <c r="L298"/>
      <c r="M298"/>
      <c r="N298"/>
      <c r="O298"/>
      <c r="P298"/>
      <c r="Q298"/>
      <c r="R298"/>
    </row>
    <row r="299" spans="1:18" x14ac:dyDescent="0.25">
      <c r="A299" t="str">
        <f>IFERROR(VLOOKUP(B299&amp; "*",'SKU Maintenance'!D:H,5,0),"not found")</f>
        <v>2010030403183336</v>
      </c>
      <c r="B299">
        <v>40014664</v>
      </c>
      <c r="C299" t="s">
        <v>271</v>
      </c>
      <c r="D299"/>
      <c r="E299"/>
      <c r="F299" s="3">
        <v>44746</v>
      </c>
      <c r="G299" s="49">
        <v>1</v>
      </c>
      <c r="H299" s="23">
        <v>499.75</v>
      </c>
      <c r="I299" t="s">
        <v>6945</v>
      </c>
      <c r="J299"/>
      <c r="K299"/>
      <c r="L299"/>
      <c r="M299"/>
      <c r="N299"/>
      <c r="O299"/>
      <c r="P299"/>
      <c r="Q299"/>
      <c r="R299"/>
    </row>
    <row r="300" spans="1:18" x14ac:dyDescent="0.25">
      <c r="A300" t="str">
        <f>IFERROR(VLOOKUP(B300&amp; "*",'SKU Maintenance'!D:H,5,0),"not found")</f>
        <v>2010030403183336</v>
      </c>
      <c r="B300">
        <v>40014664</v>
      </c>
      <c r="C300" t="s">
        <v>271</v>
      </c>
      <c r="D300"/>
      <c r="E300"/>
      <c r="F300" s="3">
        <v>44747</v>
      </c>
      <c r="G300" s="49">
        <v>2</v>
      </c>
      <c r="H300" s="23">
        <v>999.5</v>
      </c>
      <c r="I300" t="s">
        <v>6945</v>
      </c>
      <c r="J300"/>
      <c r="K300"/>
      <c r="L300"/>
      <c r="M300"/>
      <c r="N300"/>
      <c r="O300"/>
      <c r="P300"/>
      <c r="Q300"/>
      <c r="R300"/>
    </row>
    <row r="301" spans="1:18" x14ac:dyDescent="0.25">
      <c r="A301" t="str">
        <f>IFERROR(VLOOKUP(B301&amp; "*",'SKU Maintenance'!D:H,5,0),"not found")</f>
        <v>2010030403183336</v>
      </c>
      <c r="B301">
        <v>40014664</v>
      </c>
      <c r="C301" t="s">
        <v>271</v>
      </c>
      <c r="D301"/>
      <c r="E301"/>
      <c r="F301" s="3">
        <v>44748</v>
      </c>
      <c r="G301" s="49">
        <v>1</v>
      </c>
      <c r="H301" s="23">
        <v>499.75</v>
      </c>
      <c r="I301" t="s">
        <v>6945</v>
      </c>
      <c r="J301"/>
      <c r="K301"/>
      <c r="L301"/>
      <c r="M301"/>
      <c r="N301"/>
      <c r="O301"/>
      <c r="P301"/>
      <c r="Q301"/>
      <c r="R301"/>
    </row>
    <row r="302" spans="1:18" x14ac:dyDescent="0.25">
      <c r="A302" t="str">
        <f>IFERROR(VLOOKUP(B302&amp; "*",'SKU Maintenance'!D:H,5,0),"not found")</f>
        <v>2010030403183336</v>
      </c>
      <c r="B302">
        <v>40014664</v>
      </c>
      <c r="C302" t="s">
        <v>271</v>
      </c>
      <c r="D302"/>
      <c r="E302"/>
      <c r="F302" s="3">
        <v>44749</v>
      </c>
      <c r="G302" s="49">
        <v>1</v>
      </c>
      <c r="H302" s="23">
        <v>499.75</v>
      </c>
      <c r="I302" t="s">
        <v>6945</v>
      </c>
      <c r="J302"/>
      <c r="K302"/>
      <c r="L302"/>
      <c r="M302"/>
      <c r="N302"/>
      <c r="O302"/>
      <c r="P302"/>
      <c r="Q302"/>
      <c r="R302"/>
    </row>
    <row r="303" spans="1:18" x14ac:dyDescent="0.25">
      <c r="A303" t="str">
        <f>IFERROR(VLOOKUP(B303&amp; "*",'SKU Maintenance'!D:H,5,0),"not found")</f>
        <v>2010030403183337</v>
      </c>
      <c r="B303">
        <v>40014666</v>
      </c>
      <c r="C303" t="s">
        <v>202</v>
      </c>
      <c r="D303"/>
      <c r="E303"/>
      <c r="F303" s="3">
        <v>44767</v>
      </c>
      <c r="G303" s="49">
        <v>1</v>
      </c>
      <c r="H303" s="23">
        <v>499.75</v>
      </c>
      <c r="I303" t="s">
        <v>6939</v>
      </c>
      <c r="J303"/>
      <c r="K303"/>
      <c r="L303"/>
      <c r="M303"/>
      <c r="N303"/>
      <c r="O303"/>
      <c r="P303"/>
      <c r="Q303"/>
      <c r="R303"/>
    </row>
    <row r="304" spans="1:18" x14ac:dyDescent="0.25">
      <c r="A304" t="str">
        <f>IFERROR(VLOOKUP(B304&amp; "*",'SKU Maintenance'!D:H,5,0),"not found")</f>
        <v>2010030403163346</v>
      </c>
      <c r="B304">
        <v>40014667</v>
      </c>
      <c r="C304" t="s">
        <v>68</v>
      </c>
      <c r="D304"/>
      <c r="E304"/>
      <c r="F304" s="3">
        <v>44746</v>
      </c>
      <c r="G304" s="49">
        <v>2</v>
      </c>
      <c r="H304" s="23">
        <v>999.5</v>
      </c>
      <c r="I304" t="s">
        <v>6939</v>
      </c>
      <c r="J304"/>
      <c r="K304"/>
      <c r="L304"/>
      <c r="M304"/>
      <c r="N304"/>
      <c r="O304"/>
      <c r="P304"/>
      <c r="Q304"/>
      <c r="R304"/>
    </row>
    <row r="305" spans="1:18" x14ac:dyDescent="0.25">
      <c r="A305" t="str">
        <f>IFERROR(VLOOKUP(B305&amp; "*",'SKU Maintenance'!D:H,5,0),"not found")</f>
        <v>2010030403163346</v>
      </c>
      <c r="B305">
        <v>40014667</v>
      </c>
      <c r="C305" t="s">
        <v>68</v>
      </c>
      <c r="D305"/>
      <c r="E305"/>
      <c r="F305" s="3">
        <v>44751</v>
      </c>
      <c r="G305" s="49">
        <v>1</v>
      </c>
      <c r="H305" s="23">
        <v>499.75</v>
      </c>
      <c r="I305" t="s">
        <v>6939</v>
      </c>
      <c r="J305"/>
      <c r="K305"/>
      <c r="L305"/>
      <c r="M305"/>
      <c r="N305"/>
      <c r="O305"/>
      <c r="P305"/>
      <c r="Q305"/>
      <c r="R305"/>
    </row>
    <row r="306" spans="1:18" x14ac:dyDescent="0.25">
      <c r="A306" t="str">
        <f>IFERROR(VLOOKUP(B306&amp; "*",'SKU Maintenance'!D:H,5,0),"not found")</f>
        <v>2010030403163346</v>
      </c>
      <c r="B306">
        <v>40014667</v>
      </c>
      <c r="C306" t="s">
        <v>68</v>
      </c>
      <c r="D306"/>
      <c r="E306"/>
      <c r="F306" s="3">
        <v>44753</v>
      </c>
      <c r="G306" s="49">
        <v>1</v>
      </c>
      <c r="H306" s="23">
        <v>499.75</v>
      </c>
      <c r="I306" t="s">
        <v>6939</v>
      </c>
      <c r="J306"/>
      <c r="K306"/>
      <c r="L306"/>
      <c r="M306"/>
      <c r="N306"/>
      <c r="O306"/>
      <c r="P306"/>
      <c r="Q306"/>
      <c r="R306"/>
    </row>
    <row r="307" spans="1:18" x14ac:dyDescent="0.25">
      <c r="A307" t="str">
        <f>IFERROR(VLOOKUP(B307&amp; "*",'SKU Maintenance'!D:H,5,0),"not found")</f>
        <v>2010030403163346</v>
      </c>
      <c r="B307">
        <v>40014667</v>
      </c>
      <c r="C307" t="s">
        <v>68</v>
      </c>
      <c r="D307"/>
      <c r="E307"/>
      <c r="F307" s="3">
        <v>44751</v>
      </c>
      <c r="G307" s="49">
        <v>2</v>
      </c>
      <c r="H307" s="23">
        <v>999.5</v>
      </c>
      <c r="I307" t="s">
        <v>6941</v>
      </c>
      <c r="J307"/>
      <c r="K307"/>
      <c r="L307"/>
      <c r="M307"/>
      <c r="N307"/>
      <c r="O307"/>
      <c r="P307"/>
      <c r="Q307"/>
      <c r="R307"/>
    </row>
    <row r="308" spans="1:18" x14ac:dyDescent="0.25">
      <c r="A308" t="str">
        <f>IFERROR(VLOOKUP(B308&amp; "*",'SKU Maintenance'!D:H,5,0),"not found")</f>
        <v>2010030403163346</v>
      </c>
      <c r="B308">
        <v>40014667</v>
      </c>
      <c r="C308" t="s">
        <v>68</v>
      </c>
      <c r="D308"/>
      <c r="E308"/>
      <c r="F308" s="3">
        <v>44752</v>
      </c>
      <c r="G308" s="49">
        <v>1</v>
      </c>
      <c r="H308" s="23">
        <v>499.75</v>
      </c>
      <c r="I308" t="s">
        <v>6941</v>
      </c>
      <c r="J308"/>
      <c r="K308"/>
      <c r="L308"/>
      <c r="M308"/>
      <c r="N308"/>
      <c r="O308"/>
      <c r="P308"/>
      <c r="Q308"/>
      <c r="R308"/>
    </row>
    <row r="309" spans="1:18" x14ac:dyDescent="0.25">
      <c r="A309" t="str">
        <f>IFERROR(VLOOKUP(B309&amp; "*",'SKU Maintenance'!D:H,5,0),"not found")</f>
        <v>2010030403163346</v>
      </c>
      <c r="B309">
        <v>40014667</v>
      </c>
      <c r="C309" t="s">
        <v>68</v>
      </c>
      <c r="D309"/>
      <c r="E309"/>
      <c r="F309" s="3">
        <v>44758</v>
      </c>
      <c r="G309" s="49">
        <v>1</v>
      </c>
      <c r="H309" s="23">
        <v>499.75</v>
      </c>
      <c r="I309" t="s">
        <v>6941</v>
      </c>
      <c r="J309"/>
      <c r="K309"/>
      <c r="L309"/>
      <c r="M309"/>
      <c r="N309"/>
      <c r="O309"/>
      <c r="P309"/>
      <c r="Q309"/>
      <c r="R309"/>
    </row>
    <row r="310" spans="1:18" x14ac:dyDescent="0.25">
      <c r="A310" t="str">
        <f>IFERROR(VLOOKUP(B310&amp; "*",'SKU Maintenance'!D:H,5,0),"not found")</f>
        <v>2010030403163346</v>
      </c>
      <c r="B310">
        <v>40014667</v>
      </c>
      <c r="C310" t="s">
        <v>68</v>
      </c>
      <c r="D310"/>
      <c r="E310"/>
      <c r="F310" s="3">
        <v>44761</v>
      </c>
      <c r="G310" s="49">
        <v>1</v>
      </c>
      <c r="H310" s="23">
        <v>499.75</v>
      </c>
      <c r="I310" t="s">
        <v>6941</v>
      </c>
      <c r="J310"/>
      <c r="K310"/>
      <c r="L310"/>
      <c r="M310"/>
      <c r="N310"/>
      <c r="O310"/>
      <c r="P310"/>
      <c r="Q310"/>
      <c r="R310"/>
    </row>
    <row r="311" spans="1:18" x14ac:dyDescent="0.25">
      <c r="A311" t="str">
        <f>IFERROR(VLOOKUP(B311&amp; "*",'SKU Maintenance'!D:H,5,0),"not found")</f>
        <v>2010030403163346</v>
      </c>
      <c r="B311">
        <v>40014667</v>
      </c>
      <c r="C311" t="s">
        <v>68</v>
      </c>
      <c r="D311"/>
      <c r="E311"/>
      <c r="F311" s="3">
        <v>44745</v>
      </c>
      <c r="G311" s="49">
        <v>1</v>
      </c>
      <c r="H311" s="23">
        <v>499.75</v>
      </c>
      <c r="I311" t="s">
        <v>6943</v>
      </c>
      <c r="J311"/>
      <c r="K311"/>
      <c r="L311"/>
      <c r="M311"/>
      <c r="N311"/>
      <c r="O311"/>
      <c r="P311"/>
      <c r="Q311"/>
      <c r="R311"/>
    </row>
    <row r="312" spans="1:18" x14ac:dyDescent="0.25">
      <c r="A312" t="str">
        <f>IFERROR(VLOOKUP(B312&amp; "*",'SKU Maintenance'!D:H,5,0),"not found")</f>
        <v>2010030403163346</v>
      </c>
      <c r="B312">
        <v>40014667</v>
      </c>
      <c r="C312" t="s">
        <v>68</v>
      </c>
      <c r="D312"/>
      <c r="E312"/>
      <c r="F312" s="3">
        <v>44749</v>
      </c>
      <c r="G312" s="49">
        <v>1</v>
      </c>
      <c r="H312" s="23">
        <v>499.75</v>
      </c>
      <c r="I312" t="s">
        <v>6943</v>
      </c>
      <c r="J312"/>
      <c r="K312"/>
      <c r="L312"/>
      <c r="M312"/>
      <c r="N312"/>
      <c r="O312"/>
      <c r="P312"/>
      <c r="Q312"/>
      <c r="R312"/>
    </row>
    <row r="313" spans="1:18" x14ac:dyDescent="0.25">
      <c r="A313" t="str">
        <f>IFERROR(VLOOKUP(B313&amp; "*",'SKU Maintenance'!D:H,5,0),"not found")</f>
        <v>2010030403163346</v>
      </c>
      <c r="B313">
        <v>40014667</v>
      </c>
      <c r="C313" t="s">
        <v>68</v>
      </c>
      <c r="D313"/>
      <c r="E313"/>
      <c r="F313" s="3">
        <v>44770</v>
      </c>
      <c r="G313" s="49">
        <v>1</v>
      </c>
      <c r="H313" s="23">
        <v>499.75</v>
      </c>
      <c r="I313" t="s">
        <v>6943</v>
      </c>
      <c r="J313"/>
      <c r="K313"/>
      <c r="L313"/>
      <c r="M313"/>
      <c r="N313"/>
      <c r="O313"/>
      <c r="P313"/>
      <c r="Q313"/>
      <c r="R313"/>
    </row>
    <row r="314" spans="1:18" x14ac:dyDescent="0.25">
      <c r="A314" t="str">
        <f>IFERROR(VLOOKUP(B314&amp; "*",'SKU Maintenance'!D:H,5,0),"not found")</f>
        <v>2010030403183346</v>
      </c>
      <c r="B314">
        <v>40014668</v>
      </c>
      <c r="C314" t="s">
        <v>68</v>
      </c>
      <c r="D314"/>
      <c r="E314"/>
      <c r="F314" s="3">
        <v>44744</v>
      </c>
      <c r="G314" s="49">
        <v>1</v>
      </c>
      <c r="H314" s="23">
        <v>499.75</v>
      </c>
      <c r="I314" t="s">
        <v>6939</v>
      </c>
      <c r="J314"/>
      <c r="K314"/>
      <c r="L314"/>
      <c r="M314"/>
      <c r="N314"/>
      <c r="O314"/>
      <c r="P314"/>
      <c r="Q314"/>
      <c r="R314"/>
    </row>
    <row r="315" spans="1:18" x14ac:dyDescent="0.25">
      <c r="A315" t="str">
        <f>IFERROR(VLOOKUP(B315&amp; "*",'SKU Maintenance'!D:H,5,0),"not found")</f>
        <v>2010030403183346</v>
      </c>
      <c r="B315">
        <v>40014668</v>
      </c>
      <c r="C315" t="s">
        <v>68</v>
      </c>
      <c r="D315"/>
      <c r="E315"/>
      <c r="F315" s="3">
        <v>44751</v>
      </c>
      <c r="G315" s="49">
        <v>1</v>
      </c>
      <c r="H315" s="23">
        <v>499.75</v>
      </c>
      <c r="I315" t="s">
        <v>6941</v>
      </c>
      <c r="J315"/>
      <c r="K315"/>
      <c r="L315"/>
      <c r="M315"/>
      <c r="N315"/>
      <c r="O315"/>
      <c r="P315"/>
      <c r="Q315"/>
      <c r="R315"/>
    </row>
    <row r="316" spans="1:18" x14ac:dyDescent="0.25">
      <c r="A316" t="str">
        <f>IFERROR(VLOOKUP(B316&amp; "*",'SKU Maintenance'!D:H,5,0),"not found")</f>
        <v>2010030403183346</v>
      </c>
      <c r="B316">
        <v>40014668</v>
      </c>
      <c r="C316" t="s">
        <v>68</v>
      </c>
      <c r="D316"/>
      <c r="E316"/>
      <c r="F316" s="3">
        <v>44758</v>
      </c>
      <c r="G316" s="49">
        <v>1</v>
      </c>
      <c r="H316" s="23">
        <v>499.75</v>
      </c>
      <c r="I316" t="s">
        <v>6941</v>
      </c>
      <c r="J316"/>
      <c r="K316"/>
      <c r="L316"/>
      <c r="M316"/>
      <c r="N316"/>
      <c r="O316"/>
      <c r="P316"/>
      <c r="Q316"/>
      <c r="R316"/>
    </row>
    <row r="317" spans="1:18" x14ac:dyDescent="0.25">
      <c r="A317" t="str">
        <f>IFERROR(VLOOKUP(B317&amp; "*",'SKU Maintenance'!D:H,5,0),"not found")</f>
        <v>2010030403183346</v>
      </c>
      <c r="B317">
        <v>40014668</v>
      </c>
      <c r="C317" t="s">
        <v>68</v>
      </c>
      <c r="D317"/>
      <c r="E317"/>
      <c r="F317" s="3">
        <v>44763</v>
      </c>
      <c r="G317" s="49">
        <v>1</v>
      </c>
      <c r="H317" s="23">
        <v>499.75</v>
      </c>
      <c r="I317" t="s">
        <v>6941</v>
      </c>
      <c r="J317"/>
      <c r="K317"/>
      <c r="L317"/>
      <c r="M317"/>
      <c r="N317"/>
      <c r="O317"/>
      <c r="P317"/>
      <c r="Q317"/>
      <c r="R317"/>
    </row>
    <row r="318" spans="1:18" x14ac:dyDescent="0.25">
      <c r="A318" t="str">
        <f>IFERROR(VLOOKUP(B318&amp; "*",'SKU Maintenance'!D:H,5,0),"not found")</f>
        <v>2010030403183346</v>
      </c>
      <c r="B318">
        <v>40014668</v>
      </c>
      <c r="C318" t="s">
        <v>68</v>
      </c>
      <c r="D318"/>
      <c r="E318"/>
      <c r="F318" s="3">
        <v>44773</v>
      </c>
      <c r="G318" s="49">
        <v>1</v>
      </c>
      <c r="H318" s="23">
        <v>499.75</v>
      </c>
      <c r="I318" t="s">
        <v>6943</v>
      </c>
      <c r="J318"/>
      <c r="K318"/>
      <c r="L318"/>
      <c r="M318"/>
      <c r="N318"/>
      <c r="O318"/>
      <c r="P318"/>
      <c r="Q318"/>
      <c r="R318"/>
    </row>
    <row r="319" spans="1:18" x14ac:dyDescent="0.25">
      <c r="A319" t="str">
        <f>IFERROR(VLOOKUP(B319&amp; "*",'SKU Maintenance'!D:H,5,0),"not found")</f>
        <v>2010041098020202</v>
      </c>
      <c r="B319">
        <v>40014679</v>
      </c>
      <c r="C319" t="s">
        <v>179</v>
      </c>
      <c r="D319"/>
      <c r="E319"/>
      <c r="F319" s="3">
        <v>44764</v>
      </c>
      <c r="G319" s="49">
        <v>1</v>
      </c>
      <c r="H319" s="23">
        <v>199.75</v>
      </c>
      <c r="I319" t="s">
        <v>6939</v>
      </c>
      <c r="J319"/>
      <c r="K319"/>
      <c r="L319"/>
      <c r="M319"/>
      <c r="N319"/>
      <c r="O319"/>
      <c r="P319"/>
      <c r="Q319"/>
      <c r="R319"/>
    </row>
    <row r="320" spans="1:18" x14ac:dyDescent="0.25">
      <c r="A320" t="str">
        <f>IFERROR(VLOOKUP(B320&amp; "*",'SKU Maintenance'!D:H,5,0),"not found")</f>
        <v>2010041098020202</v>
      </c>
      <c r="B320">
        <v>40014679</v>
      </c>
      <c r="C320" t="s">
        <v>179</v>
      </c>
      <c r="D320"/>
      <c r="E320"/>
      <c r="F320" s="3">
        <v>44754</v>
      </c>
      <c r="G320" s="49">
        <v>1</v>
      </c>
      <c r="H320" s="23">
        <v>199.75</v>
      </c>
      <c r="I320" t="s">
        <v>6943</v>
      </c>
      <c r="J320"/>
      <c r="K320"/>
      <c r="L320"/>
      <c r="M320"/>
      <c r="N320"/>
      <c r="O320"/>
      <c r="P320"/>
      <c r="Q320"/>
      <c r="R320"/>
    </row>
    <row r="321" spans="1:18" x14ac:dyDescent="0.25">
      <c r="A321" t="str">
        <f>IFERROR(VLOOKUP(B321&amp; "*",'SKU Maintenance'!D:H,5,0),"not found")</f>
        <v>2010041098160202</v>
      </c>
      <c r="B321">
        <v>40014681</v>
      </c>
      <c r="C321" t="s">
        <v>391</v>
      </c>
      <c r="D321"/>
      <c r="E321"/>
      <c r="F321" s="3">
        <v>44754</v>
      </c>
      <c r="G321" s="49">
        <v>1</v>
      </c>
      <c r="H321" s="23">
        <v>199.75</v>
      </c>
      <c r="I321" t="s">
        <v>6943</v>
      </c>
      <c r="J321"/>
      <c r="K321"/>
      <c r="L321"/>
      <c r="M321"/>
      <c r="N321"/>
      <c r="O321"/>
      <c r="P321"/>
      <c r="Q321"/>
      <c r="R321"/>
    </row>
    <row r="322" spans="1:18" x14ac:dyDescent="0.25">
      <c r="A322" t="str">
        <f>IFERROR(VLOOKUP(B322&amp; "*",'SKU Maintenance'!D:H,5,0),"not found")</f>
        <v>2010041098160203</v>
      </c>
      <c r="B322">
        <v>40014684</v>
      </c>
      <c r="C322" t="s">
        <v>305</v>
      </c>
      <c r="D322"/>
      <c r="E322"/>
      <c r="F322" s="3">
        <v>44760</v>
      </c>
      <c r="G322" s="49">
        <v>1</v>
      </c>
      <c r="H322" s="23">
        <v>199.75</v>
      </c>
      <c r="I322" t="s">
        <v>6941</v>
      </c>
      <c r="J322"/>
      <c r="K322"/>
      <c r="L322"/>
      <c r="M322"/>
      <c r="N322"/>
      <c r="O322"/>
      <c r="P322"/>
      <c r="Q322"/>
      <c r="R322"/>
    </row>
    <row r="323" spans="1:18" x14ac:dyDescent="0.25">
      <c r="A323" t="str">
        <f>IFERROR(VLOOKUP(B323&amp; "*",'SKU Maintenance'!D:H,5,0),"not found")</f>
        <v>2010041098190204</v>
      </c>
      <c r="B323">
        <v>40014686</v>
      </c>
      <c r="C323" t="s">
        <v>392</v>
      </c>
      <c r="D323"/>
      <c r="E323"/>
      <c r="F323" s="3">
        <v>44754</v>
      </c>
      <c r="G323" s="49">
        <v>1</v>
      </c>
      <c r="H323" s="23">
        <v>199.75</v>
      </c>
      <c r="I323" t="s">
        <v>6943</v>
      </c>
      <c r="J323"/>
      <c r="K323"/>
      <c r="L323"/>
      <c r="M323"/>
      <c r="N323"/>
      <c r="O323"/>
      <c r="P323"/>
      <c r="Q323"/>
      <c r="R323"/>
    </row>
    <row r="324" spans="1:18" x14ac:dyDescent="0.25">
      <c r="A324" t="str">
        <f>IFERROR(VLOOKUP(B324&amp; "*",'SKU Maintenance'!D:H,5,0),"not found")</f>
        <v>2010041098160205</v>
      </c>
      <c r="B324">
        <v>40014688</v>
      </c>
      <c r="C324" t="s">
        <v>146</v>
      </c>
      <c r="D324"/>
      <c r="E324"/>
      <c r="F324" s="3">
        <v>44760</v>
      </c>
      <c r="G324" s="49">
        <v>1</v>
      </c>
      <c r="H324" s="23">
        <v>199.75</v>
      </c>
      <c r="I324" t="s">
        <v>6939</v>
      </c>
      <c r="J324"/>
      <c r="K324"/>
      <c r="L324"/>
      <c r="M324"/>
      <c r="N324"/>
      <c r="O324"/>
      <c r="P324"/>
      <c r="Q324"/>
      <c r="R324"/>
    </row>
    <row r="325" spans="1:18" x14ac:dyDescent="0.25">
      <c r="A325" t="str">
        <f>IFERROR(VLOOKUP(B325&amp; "*",'SKU Maintenance'!D:H,5,0),"not found")</f>
        <v>2010041098040205</v>
      </c>
      <c r="B325">
        <v>40014690</v>
      </c>
      <c r="C325" t="s">
        <v>146</v>
      </c>
      <c r="D325"/>
      <c r="E325"/>
      <c r="F325" s="3">
        <v>44757</v>
      </c>
      <c r="G325" s="49">
        <v>1</v>
      </c>
      <c r="H325" s="23">
        <v>199.75</v>
      </c>
      <c r="I325" t="s">
        <v>6939</v>
      </c>
      <c r="J325"/>
      <c r="K325"/>
      <c r="L325"/>
      <c r="M325"/>
      <c r="N325"/>
      <c r="O325"/>
      <c r="P325"/>
      <c r="Q325"/>
      <c r="R325"/>
    </row>
    <row r="326" spans="1:18" x14ac:dyDescent="0.25">
      <c r="A326" t="str">
        <f>IFERROR(VLOOKUP(B326&amp; "*",'SKU Maintenance'!D:H,5,0),"not found")</f>
        <v>2010041098040205</v>
      </c>
      <c r="B326">
        <v>40014690</v>
      </c>
      <c r="C326" t="s">
        <v>146</v>
      </c>
      <c r="D326"/>
      <c r="E326"/>
      <c r="F326" s="3">
        <v>44760</v>
      </c>
      <c r="G326" s="49">
        <v>1</v>
      </c>
      <c r="H326" s="23">
        <v>199.75</v>
      </c>
      <c r="I326" t="s">
        <v>6939</v>
      </c>
      <c r="J326"/>
      <c r="K326"/>
      <c r="L326"/>
      <c r="M326"/>
      <c r="N326"/>
      <c r="O326"/>
      <c r="P326"/>
      <c r="Q326"/>
      <c r="R326"/>
    </row>
    <row r="327" spans="1:18" x14ac:dyDescent="0.25">
      <c r="A327" t="str">
        <f>IFERROR(VLOOKUP(B327&amp; "*",'SKU Maintenance'!D:H,5,0),"not found")</f>
        <v>2010041098040206</v>
      </c>
      <c r="B327">
        <v>40014693</v>
      </c>
      <c r="C327" t="s">
        <v>286</v>
      </c>
      <c r="D327"/>
      <c r="E327"/>
      <c r="F327" s="3">
        <v>44756</v>
      </c>
      <c r="G327" s="49">
        <v>1</v>
      </c>
      <c r="H327" s="23">
        <v>199.75</v>
      </c>
      <c r="I327" t="s">
        <v>6941</v>
      </c>
      <c r="J327"/>
      <c r="K327"/>
      <c r="L327"/>
      <c r="M327"/>
      <c r="N327"/>
      <c r="O327"/>
      <c r="P327"/>
      <c r="Q327"/>
      <c r="R327"/>
    </row>
    <row r="328" spans="1:18" x14ac:dyDescent="0.25">
      <c r="A328" t="str">
        <f>IFERROR(VLOOKUP(B328&amp; "*",'SKU Maintenance'!D:H,5,0),"not found")</f>
        <v>2010041098160207</v>
      </c>
      <c r="B328">
        <v>40014696</v>
      </c>
      <c r="C328" t="s">
        <v>229</v>
      </c>
      <c r="D328"/>
      <c r="E328"/>
      <c r="F328" s="3">
        <v>44773</v>
      </c>
      <c r="G328" s="49">
        <v>1</v>
      </c>
      <c r="H328" s="23">
        <v>199.75</v>
      </c>
      <c r="I328" t="s">
        <v>6939</v>
      </c>
      <c r="J328"/>
      <c r="K328"/>
      <c r="L328"/>
      <c r="M328"/>
      <c r="N328"/>
      <c r="O328"/>
      <c r="P328"/>
      <c r="Q328"/>
      <c r="R328"/>
    </row>
    <row r="329" spans="1:18" x14ac:dyDescent="0.25">
      <c r="A329" t="str">
        <f>IFERROR(VLOOKUP(B329&amp; "*",'SKU Maintenance'!D:H,5,0),"not found")</f>
        <v>2010011498160018</v>
      </c>
      <c r="B329">
        <v>40014712</v>
      </c>
      <c r="C329" t="s">
        <v>353</v>
      </c>
      <c r="D329"/>
      <c r="E329"/>
      <c r="F329" s="3">
        <v>44743</v>
      </c>
      <c r="G329" s="49">
        <v>2</v>
      </c>
      <c r="H329" s="23">
        <v>413.55</v>
      </c>
      <c r="I329" t="s">
        <v>6943</v>
      </c>
      <c r="J329"/>
      <c r="K329"/>
      <c r="L329"/>
      <c r="M329"/>
      <c r="N329"/>
      <c r="O329"/>
      <c r="P329"/>
      <c r="Q329"/>
      <c r="R329"/>
    </row>
    <row r="330" spans="1:18" x14ac:dyDescent="0.25">
      <c r="A330" t="str">
        <f>IFERROR(VLOOKUP(B330&amp; "*",'SKU Maintenance'!D:H,5,0),"not found")</f>
        <v>2010011498160018</v>
      </c>
      <c r="B330">
        <v>40014712</v>
      </c>
      <c r="C330" t="s">
        <v>353</v>
      </c>
      <c r="D330"/>
      <c r="E330"/>
      <c r="F330" s="3">
        <v>44752</v>
      </c>
      <c r="G330" s="49">
        <v>1</v>
      </c>
      <c r="H330" s="23">
        <v>169.75</v>
      </c>
      <c r="I330" t="s">
        <v>6943</v>
      </c>
      <c r="J330"/>
      <c r="K330"/>
      <c r="L330"/>
      <c r="M330"/>
      <c r="N330"/>
      <c r="O330"/>
      <c r="P330"/>
      <c r="Q330"/>
      <c r="R330"/>
    </row>
    <row r="331" spans="1:18" x14ac:dyDescent="0.25">
      <c r="A331" t="str">
        <f>IFERROR(VLOOKUP(B331&amp; "*",'SKU Maintenance'!D:H,5,0),"not found")</f>
        <v>2010011498220018</v>
      </c>
      <c r="B331">
        <v>40014713</v>
      </c>
      <c r="C331" t="s">
        <v>353</v>
      </c>
      <c r="D331"/>
      <c r="E331"/>
      <c r="F331" s="3">
        <v>44752</v>
      </c>
      <c r="G331" s="49">
        <v>1</v>
      </c>
      <c r="H331" s="23">
        <v>229.75</v>
      </c>
      <c r="I331" t="s">
        <v>6943</v>
      </c>
      <c r="J331"/>
      <c r="K331"/>
      <c r="L331"/>
      <c r="M331"/>
      <c r="N331"/>
      <c r="O331"/>
      <c r="P331"/>
      <c r="Q331"/>
      <c r="R331"/>
    </row>
    <row r="332" spans="1:18" x14ac:dyDescent="0.25">
      <c r="A332" t="str">
        <f>IFERROR(VLOOKUP(B332&amp; "*",'SKU Maintenance'!D:H,5,0),"not found")</f>
        <v>2010030404183361</v>
      </c>
      <c r="B332">
        <v>40015370</v>
      </c>
      <c r="C332" t="s">
        <v>91</v>
      </c>
      <c r="D332"/>
      <c r="E332"/>
      <c r="F332" s="3">
        <v>44747</v>
      </c>
      <c r="G332" s="49">
        <v>1</v>
      </c>
      <c r="H332" s="23">
        <v>599.75</v>
      </c>
      <c r="I332" t="s">
        <v>6939</v>
      </c>
      <c r="J332"/>
      <c r="K332"/>
      <c r="L332"/>
      <c r="M332"/>
      <c r="N332"/>
      <c r="O332"/>
      <c r="P332"/>
      <c r="Q332"/>
      <c r="R332"/>
    </row>
    <row r="333" spans="1:18" x14ac:dyDescent="0.25">
      <c r="A333" t="str">
        <f>IFERROR(VLOOKUP(B333&amp; "*",'SKU Maintenance'!D:H,5,0),"not found")</f>
        <v>2010030404183361</v>
      </c>
      <c r="B333">
        <v>40015370</v>
      </c>
      <c r="C333" t="s">
        <v>91</v>
      </c>
      <c r="D333"/>
      <c r="E333"/>
      <c r="F333" s="3">
        <v>44753</v>
      </c>
      <c r="G333" s="49">
        <v>1</v>
      </c>
      <c r="H333" s="23">
        <v>599.75</v>
      </c>
      <c r="I333" t="s">
        <v>6939</v>
      </c>
      <c r="J333"/>
      <c r="K333"/>
      <c r="L333"/>
      <c r="M333"/>
      <c r="N333"/>
      <c r="O333"/>
      <c r="P333"/>
      <c r="Q333"/>
      <c r="R333"/>
    </row>
    <row r="334" spans="1:18" x14ac:dyDescent="0.25">
      <c r="A334" t="str">
        <f>IFERROR(VLOOKUP(B334&amp; "*",'SKU Maintenance'!D:H,5,0),"not found")</f>
        <v>2010030404163361</v>
      </c>
      <c r="B334">
        <v>40015371</v>
      </c>
      <c r="C334" t="s">
        <v>77</v>
      </c>
      <c r="D334"/>
      <c r="E334"/>
      <c r="F334" s="3">
        <v>44745</v>
      </c>
      <c r="G334" s="49">
        <v>1</v>
      </c>
      <c r="H334" s="23">
        <v>599.75</v>
      </c>
      <c r="I334" t="s">
        <v>6939</v>
      </c>
      <c r="J334"/>
      <c r="K334"/>
      <c r="L334"/>
      <c r="M334"/>
      <c r="N334"/>
      <c r="O334"/>
      <c r="P334"/>
      <c r="Q334"/>
      <c r="R334"/>
    </row>
    <row r="335" spans="1:18" x14ac:dyDescent="0.25">
      <c r="A335" t="str">
        <f>IFERROR(VLOOKUP(B335&amp; "*",'SKU Maintenance'!D:H,5,0),"not found")</f>
        <v>2010040603132517</v>
      </c>
      <c r="B335">
        <v>40015383</v>
      </c>
      <c r="C335" t="s">
        <v>183</v>
      </c>
      <c r="D335"/>
      <c r="E335"/>
      <c r="F335" s="3">
        <v>44764</v>
      </c>
      <c r="G335" s="49">
        <v>1</v>
      </c>
      <c r="H335" s="23">
        <v>169.75</v>
      </c>
      <c r="I335" t="s">
        <v>6939</v>
      </c>
      <c r="J335"/>
      <c r="K335"/>
      <c r="L335"/>
      <c r="M335"/>
      <c r="N335"/>
      <c r="O335"/>
      <c r="P335"/>
      <c r="Q335"/>
      <c r="R335"/>
    </row>
    <row r="336" spans="1:18" x14ac:dyDescent="0.25">
      <c r="A336" t="str">
        <f>IFERROR(VLOOKUP(B336&amp; "*",'SKU Maintenance'!D:H,5,0),"not found")</f>
        <v>2010030498203393</v>
      </c>
      <c r="B336">
        <v>40015613</v>
      </c>
      <c r="C336" t="s">
        <v>403</v>
      </c>
      <c r="D336"/>
      <c r="E336"/>
      <c r="F336" s="3">
        <v>44757</v>
      </c>
      <c r="G336" s="49">
        <v>2</v>
      </c>
      <c r="H336" s="23">
        <v>899.5</v>
      </c>
      <c r="I336" t="s">
        <v>6943</v>
      </c>
      <c r="J336"/>
      <c r="K336"/>
      <c r="L336"/>
      <c r="M336"/>
      <c r="N336"/>
      <c r="O336"/>
      <c r="P336"/>
      <c r="Q336"/>
      <c r="R336"/>
    </row>
    <row r="337" spans="1:18" x14ac:dyDescent="0.25">
      <c r="A337" t="str">
        <f>IFERROR(VLOOKUP(B337&amp; "*",'SKU Maintenance'!D:H,5,0),"not found")</f>
        <v>2010030498203394</v>
      </c>
      <c r="B337">
        <v>40015614</v>
      </c>
      <c r="C337" t="s">
        <v>160</v>
      </c>
      <c r="D337"/>
      <c r="E337"/>
      <c r="F337" s="3">
        <v>44758</v>
      </c>
      <c r="G337" s="49">
        <v>1</v>
      </c>
      <c r="H337" s="23">
        <v>449.75</v>
      </c>
      <c r="I337" t="s">
        <v>6939</v>
      </c>
      <c r="J337"/>
      <c r="K337"/>
      <c r="L337"/>
      <c r="M337"/>
      <c r="N337"/>
      <c r="O337"/>
      <c r="P337"/>
      <c r="Q337"/>
      <c r="R337"/>
    </row>
    <row r="338" spans="1:18" x14ac:dyDescent="0.25">
      <c r="A338" t="str">
        <f>IFERROR(VLOOKUP(B338&amp; "*",'SKU Maintenance'!D:H,5,0),"not found")</f>
        <v>2010030498203394</v>
      </c>
      <c r="B338">
        <v>40015614</v>
      </c>
      <c r="C338" t="s">
        <v>160</v>
      </c>
      <c r="D338"/>
      <c r="E338"/>
      <c r="F338" s="3">
        <v>44771</v>
      </c>
      <c r="G338" s="49">
        <v>1</v>
      </c>
      <c r="H338" s="23">
        <v>449.75</v>
      </c>
      <c r="I338" t="s">
        <v>6941</v>
      </c>
      <c r="J338"/>
      <c r="K338"/>
      <c r="L338"/>
      <c r="M338"/>
      <c r="N338"/>
      <c r="O338"/>
      <c r="P338"/>
      <c r="Q338"/>
      <c r="R338"/>
    </row>
    <row r="339" spans="1:18" x14ac:dyDescent="0.25">
      <c r="A339" t="str">
        <f>IFERROR(VLOOKUP(B339&amp; "*",'SKU Maintenance'!D:H,5,0),"not found")</f>
        <v>2010030498203394</v>
      </c>
      <c r="B339">
        <v>40015614</v>
      </c>
      <c r="C339" t="s">
        <v>160</v>
      </c>
      <c r="D339"/>
      <c r="E339"/>
      <c r="F339" s="3">
        <v>44745</v>
      </c>
      <c r="G339" s="49">
        <v>1</v>
      </c>
      <c r="H339" s="23">
        <v>449.75</v>
      </c>
      <c r="I339" t="s">
        <v>6943</v>
      </c>
      <c r="J339"/>
      <c r="K339"/>
      <c r="L339"/>
      <c r="M339"/>
      <c r="N339"/>
      <c r="O339"/>
      <c r="P339"/>
      <c r="Q339"/>
      <c r="R339"/>
    </row>
    <row r="340" spans="1:18" x14ac:dyDescent="0.25">
      <c r="A340" t="str">
        <f>IFERROR(VLOOKUP(B340&amp; "*",'SKU Maintenance'!D:H,5,0),"not found")</f>
        <v>2010030498203395</v>
      </c>
      <c r="B340">
        <v>40015615</v>
      </c>
      <c r="C340" t="s">
        <v>140</v>
      </c>
      <c r="D340"/>
      <c r="E340"/>
      <c r="F340" s="3">
        <v>44757</v>
      </c>
      <c r="G340" s="49">
        <v>1</v>
      </c>
      <c r="H340" s="23">
        <v>449.75</v>
      </c>
      <c r="I340" t="s">
        <v>6939</v>
      </c>
      <c r="J340"/>
      <c r="K340"/>
      <c r="L340"/>
      <c r="M340"/>
      <c r="N340"/>
      <c r="O340"/>
      <c r="P340"/>
      <c r="Q340"/>
      <c r="R340"/>
    </row>
    <row r="341" spans="1:18" x14ac:dyDescent="0.25">
      <c r="A341" t="str">
        <f>IFERROR(VLOOKUP(B341&amp; "*",'SKU Maintenance'!D:H,5,0),"not found")</f>
        <v>2010030498203395</v>
      </c>
      <c r="B341">
        <v>40015615</v>
      </c>
      <c r="C341" t="s">
        <v>140</v>
      </c>
      <c r="D341"/>
      <c r="E341"/>
      <c r="F341" s="3">
        <v>44762</v>
      </c>
      <c r="G341" s="49">
        <v>1</v>
      </c>
      <c r="H341" s="23">
        <v>449.75</v>
      </c>
      <c r="I341" t="s">
        <v>6943</v>
      </c>
      <c r="J341"/>
      <c r="K341"/>
      <c r="L341"/>
      <c r="M341"/>
      <c r="N341"/>
      <c r="O341"/>
      <c r="P341"/>
      <c r="Q341"/>
      <c r="R341"/>
    </row>
    <row r="342" spans="1:18" x14ac:dyDescent="0.25">
      <c r="A342" t="str">
        <f>IFERROR(VLOOKUP(B342&amp; "*",'SKU Maintenance'!D:H,5,0),"not found")</f>
        <v>2010030498203395</v>
      </c>
      <c r="B342">
        <v>40015615</v>
      </c>
      <c r="C342" t="s">
        <v>140</v>
      </c>
      <c r="D342"/>
      <c r="E342"/>
      <c r="F342" s="3">
        <v>44768</v>
      </c>
      <c r="G342" s="49">
        <v>1</v>
      </c>
      <c r="H342" s="23">
        <v>449.75</v>
      </c>
      <c r="I342" t="s">
        <v>6943</v>
      </c>
      <c r="J342"/>
      <c r="K342"/>
      <c r="L342"/>
      <c r="M342"/>
      <c r="N342"/>
      <c r="O342"/>
      <c r="P342"/>
      <c r="Q342"/>
      <c r="R342"/>
    </row>
    <row r="343" spans="1:18" x14ac:dyDescent="0.25">
      <c r="A343" t="str">
        <f>IFERROR(VLOOKUP(B343&amp; "*",'SKU Maintenance'!D:H,5,0),"not found")</f>
        <v>2010030498203395</v>
      </c>
      <c r="B343">
        <v>40015615</v>
      </c>
      <c r="C343" t="s">
        <v>140</v>
      </c>
      <c r="D343"/>
      <c r="E343"/>
      <c r="F343" s="3">
        <v>44769</v>
      </c>
      <c r="G343" s="49">
        <v>1</v>
      </c>
      <c r="H343" s="23">
        <v>449.75</v>
      </c>
      <c r="I343" t="s">
        <v>6943</v>
      </c>
      <c r="J343"/>
      <c r="K343"/>
      <c r="L343"/>
      <c r="M343"/>
      <c r="N343"/>
      <c r="O343"/>
      <c r="P343"/>
      <c r="Q343"/>
      <c r="R343"/>
    </row>
    <row r="344" spans="1:18" x14ac:dyDescent="0.25">
      <c r="A344" t="str">
        <f>IFERROR(VLOOKUP(B344&amp; "*",'SKU Maintenance'!D:H,5,0),"not found")</f>
        <v>2010030498163414</v>
      </c>
      <c r="B344">
        <v>40015621</v>
      </c>
      <c r="C344" t="s">
        <v>55</v>
      </c>
      <c r="D344"/>
      <c r="E344"/>
      <c r="F344" s="3">
        <v>44743</v>
      </c>
      <c r="G344" s="49">
        <v>1</v>
      </c>
      <c r="H344" s="23">
        <v>499.75</v>
      </c>
      <c r="I344" t="s">
        <v>6939</v>
      </c>
      <c r="J344"/>
      <c r="K344"/>
      <c r="L344"/>
      <c r="M344"/>
      <c r="N344"/>
      <c r="O344"/>
      <c r="P344"/>
      <c r="Q344"/>
      <c r="R344"/>
    </row>
    <row r="345" spans="1:18" x14ac:dyDescent="0.25">
      <c r="A345" t="str">
        <f>IFERROR(VLOOKUP(B345&amp; "*",'SKU Maintenance'!D:H,5,0),"not found")</f>
        <v>2010030498163414</v>
      </c>
      <c r="B345">
        <v>40015621</v>
      </c>
      <c r="C345" t="s">
        <v>55</v>
      </c>
      <c r="D345"/>
      <c r="E345"/>
      <c r="F345" s="3">
        <v>44745</v>
      </c>
      <c r="G345" s="49">
        <v>1</v>
      </c>
      <c r="H345" s="23">
        <v>499.75</v>
      </c>
      <c r="I345" t="s">
        <v>6939</v>
      </c>
      <c r="J345"/>
      <c r="K345"/>
      <c r="L345"/>
      <c r="M345"/>
      <c r="N345"/>
      <c r="O345"/>
      <c r="P345"/>
      <c r="Q345"/>
      <c r="R345"/>
    </row>
    <row r="346" spans="1:18" x14ac:dyDescent="0.25">
      <c r="A346" t="str">
        <f>IFERROR(VLOOKUP(B346&amp; "*",'SKU Maintenance'!D:H,5,0),"not found")</f>
        <v>2010030498163414</v>
      </c>
      <c r="B346">
        <v>40015621</v>
      </c>
      <c r="C346" t="s">
        <v>55</v>
      </c>
      <c r="D346"/>
      <c r="E346"/>
      <c r="F346" s="3">
        <v>44757</v>
      </c>
      <c r="G346" s="49">
        <v>1</v>
      </c>
      <c r="H346" s="23">
        <v>499.75</v>
      </c>
      <c r="I346" t="s">
        <v>6939</v>
      </c>
      <c r="J346"/>
      <c r="K346"/>
      <c r="L346"/>
      <c r="M346"/>
      <c r="N346"/>
      <c r="O346"/>
      <c r="P346"/>
      <c r="Q346"/>
      <c r="R346"/>
    </row>
    <row r="347" spans="1:18" x14ac:dyDescent="0.25">
      <c r="A347" t="str">
        <f>IFERROR(VLOOKUP(B347&amp; "*",'SKU Maintenance'!D:H,5,0),"not found")</f>
        <v>2010030498163414</v>
      </c>
      <c r="B347">
        <v>40015621</v>
      </c>
      <c r="C347" t="s">
        <v>55</v>
      </c>
      <c r="D347"/>
      <c r="E347"/>
      <c r="F347" s="3">
        <v>44767</v>
      </c>
      <c r="G347" s="49">
        <v>1</v>
      </c>
      <c r="H347" s="23">
        <v>499.75</v>
      </c>
      <c r="I347" t="s">
        <v>6939</v>
      </c>
      <c r="J347"/>
      <c r="K347"/>
      <c r="L347"/>
      <c r="M347"/>
      <c r="N347"/>
      <c r="O347"/>
      <c r="P347"/>
      <c r="Q347"/>
      <c r="R347"/>
    </row>
    <row r="348" spans="1:18" x14ac:dyDescent="0.25">
      <c r="A348" t="str">
        <f>IFERROR(VLOOKUP(B348&amp; "*",'SKU Maintenance'!D:H,5,0),"not found")</f>
        <v>2010030498173414</v>
      </c>
      <c r="B348">
        <v>40015622</v>
      </c>
      <c r="C348" t="s">
        <v>55</v>
      </c>
      <c r="D348"/>
      <c r="E348"/>
      <c r="F348" s="3">
        <v>44743</v>
      </c>
      <c r="G348" s="49">
        <v>1</v>
      </c>
      <c r="H348" s="23">
        <v>499.75</v>
      </c>
      <c r="I348" t="s">
        <v>6939</v>
      </c>
      <c r="J348"/>
      <c r="K348"/>
      <c r="L348"/>
      <c r="M348"/>
      <c r="N348"/>
      <c r="O348"/>
      <c r="P348"/>
      <c r="Q348"/>
      <c r="R348"/>
    </row>
    <row r="349" spans="1:18" x14ac:dyDescent="0.25">
      <c r="A349" t="str">
        <f>IFERROR(VLOOKUP(B349&amp; "*",'SKU Maintenance'!D:H,5,0),"not found")</f>
        <v>2010030498173414</v>
      </c>
      <c r="B349">
        <v>40015622</v>
      </c>
      <c r="C349" t="s">
        <v>55</v>
      </c>
      <c r="D349"/>
      <c r="E349"/>
      <c r="F349" s="3">
        <v>44751</v>
      </c>
      <c r="G349" s="49">
        <v>1</v>
      </c>
      <c r="H349" s="23">
        <v>499.75</v>
      </c>
      <c r="I349" t="s">
        <v>6939</v>
      </c>
      <c r="J349"/>
      <c r="K349"/>
      <c r="L349"/>
      <c r="M349"/>
      <c r="N349"/>
      <c r="O349"/>
      <c r="P349"/>
      <c r="Q349"/>
      <c r="R349"/>
    </row>
    <row r="350" spans="1:18" x14ac:dyDescent="0.25">
      <c r="A350" t="str">
        <f>IFERROR(VLOOKUP(B350&amp; "*",'SKU Maintenance'!D:H,5,0),"not found")</f>
        <v>2010030498173414</v>
      </c>
      <c r="B350">
        <v>40015622</v>
      </c>
      <c r="C350" t="s">
        <v>55</v>
      </c>
      <c r="D350"/>
      <c r="E350"/>
      <c r="F350" s="3">
        <v>44762</v>
      </c>
      <c r="G350" s="49">
        <v>1</v>
      </c>
      <c r="H350" s="23">
        <v>499.75</v>
      </c>
      <c r="I350" t="s">
        <v>6939</v>
      </c>
      <c r="J350"/>
      <c r="K350"/>
      <c r="L350"/>
      <c r="M350"/>
      <c r="N350"/>
      <c r="O350"/>
      <c r="P350"/>
      <c r="Q350"/>
      <c r="R350"/>
    </row>
    <row r="351" spans="1:18" x14ac:dyDescent="0.25">
      <c r="A351" t="str">
        <f>IFERROR(VLOOKUP(B351&amp; "*",'SKU Maintenance'!D:H,5,0),"not found")</f>
        <v>2010030498223414</v>
      </c>
      <c r="B351">
        <v>40015623</v>
      </c>
      <c r="C351" t="s">
        <v>55</v>
      </c>
      <c r="D351"/>
      <c r="E351"/>
      <c r="F351" s="3">
        <v>44744</v>
      </c>
      <c r="G351" s="49">
        <v>1</v>
      </c>
      <c r="H351" s="23">
        <v>499.75</v>
      </c>
      <c r="I351" t="s">
        <v>6939</v>
      </c>
      <c r="J351"/>
      <c r="K351"/>
      <c r="L351"/>
      <c r="M351"/>
      <c r="N351"/>
      <c r="O351"/>
      <c r="P351"/>
      <c r="Q351"/>
      <c r="R351"/>
    </row>
    <row r="352" spans="1:18" x14ac:dyDescent="0.25">
      <c r="A352" t="str">
        <f>IFERROR(VLOOKUP(B352&amp; "*",'SKU Maintenance'!D:H,5,0),"not found")</f>
        <v>2010030498223414</v>
      </c>
      <c r="B352">
        <v>40015623</v>
      </c>
      <c r="C352" t="s">
        <v>55</v>
      </c>
      <c r="D352"/>
      <c r="E352"/>
      <c r="F352" s="3">
        <v>44763</v>
      </c>
      <c r="G352" s="49">
        <v>1</v>
      </c>
      <c r="H352" s="23">
        <v>499.75</v>
      </c>
      <c r="I352" t="s">
        <v>6939</v>
      </c>
      <c r="J352"/>
      <c r="K352"/>
      <c r="L352"/>
      <c r="M352"/>
      <c r="N352"/>
      <c r="O352"/>
      <c r="P352"/>
      <c r="Q352"/>
      <c r="R352"/>
    </row>
    <row r="353" spans="1:18" x14ac:dyDescent="0.25">
      <c r="A353" t="str">
        <f>IFERROR(VLOOKUP(B353&amp; "*",'SKU Maintenance'!D:H,5,0),"not found")</f>
        <v>2010010898035529</v>
      </c>
      <c r="B353">
        <v>40015666</v>
      </c>
      <c r="C353" t="s">
        <v>470</v>
      </c>
      <c r="D353"/>
      <c r="E353"/>
      <c r="F353" s="3">
        <v>44771</v>
      </c>
      <c r="G353" s="49">
        <v>1</v>
      </c>
      <c r="H353" s="23">
        <v>299.85000000000002</v>
      </c>
      <c r="I353" t="s">
        <v>6945</v>
      </c>
      <c r="J353"/>
      <c r="K353"/>
      <c r="L353"/>
      <c r="M353"/>
      <c r="N353"/>
      <c r="O353"/>
      <c r="P353"/>
      <c r="Q353"/>
      <c r="R353"/>
    </row>
    <row r="354" spans="1:18" x14ac:dyDescent="0.25">
      <c r="A354" t="str">
        <f>IFERROR(VLOOKUP(B354&amp; "*",'SKU Maintenance'!D:H,5,0),"not found")</f>
        <v>2010040598193161</v>
      </c>
      <c r="B354">
        <v>40015686</v>
      </c>
      <c r="C354" t="s">
        <v>460</v>
      </c>
      <c r="D354"/>
      <c r="E354"/>
      <c r="F354" s="3">
        <v>44763</v>
      </c>
      <c r="G354" s="49">
        <v>2</v>
      </c>
      <c r="H354" s="23">
        <v>259.5</v>
      </c>
      <c r="I354" t="s">
        <v>6945</v>
      </c>
      <c r="J354"/>
      <c r="K354"/>
      <c r="L354"/>
      <c r="M354"/>
      <c r="N354"/>
      <c r="O354"/>
      <c r="P354"/>
      <c r="Q354"/>
      <c r="R354"/>
    </row>
    <row r="355" spans="1:18" x14ac:dyDescent="0.25">
      <c r="A355" t="str">
        <f>IFERROR(VLOOKUP(B355&amp; "*",'SKU Maintenance'!D:H,5,0),"not found")</f>
        <v>2010041098180209</v>
      </c>
      <c r="B355">
        <v>40015695</v>
      </c>
      <c r="C355" t="s">
        <v>390</v>
      </c>
      <c r="D355"/>
      <c r="E355"/>
      <c r="F355" s="3">
        <v>44754</v>
      </c>
      <c r="G355" s="49">
        <v>4</v>
      </c>
      <c r="H355" s="23">
        <v>799</v>
      </c>
      <c r="I355" t="s">
        <v>6943</v>
      </c>
      <c r="J355"/>
      <c r="K355"/>
      <c r="L355"/>
      <c r="M355"/>
      <c r="N355"/>
      <c r="O355"/>
      <c r="P355"/>
      <c r="Q355"/>
      <c r="R355"/>
    </row>
    <row r="356" spans="1:18" x14ac:dyDescent="0.25">
      <c r="A356" t="str">
        <f>IFERROR(VLOOKUP(B356&amp; "*",'SKU Maintenance'!D:H,5,0),"not found")</f>
        <v>2010041098160211</v>
      </c>
      <c r="B356">
        <v>40015699</v>
      </c>
      <c r="C356" t="s">
        <v>389</v>
      </c>
      <c r="D356"/>
      <c r="E356"/>
      <c r="F356" s="3">
        <v>44754</v>
      </c>
      <c r="G356" s="49">
        <v>1</v>
      </c>
      <c r="H356" s="23">
        <v>199.75</v>
      </c>
      <c r="I356" t="s">
        <v>6943</v>
      </c>
      <c r="J356"/>
      <c r="K356"/>
      <c r="L356"/>
      <c r="M356"/>
      <c r="N356"/>
      <c r="O356"/>
      <c r="P356"/>
      <c r="Q356"/>
      <c r="R356"/>
    </row>
    <row r="357" spans="1:18" x14ac:dyDescent="0.25">
      <c r="A357" t="str">
        <f>IFERROR(VLOOKUP(B357&amp; "*",'SKU Maintenance'!D:H,5,0),"not found")</f>
        <v>2010030198171183</v>
      </c>
      <c r="B357">
        <v>40016533</v>
      </c>
      <c r="C357" t="s">
        <v>318</v>
      </c>
      <c r="D357"/>
      <c r="E357"/>
      <c r="F357" s="3">
        <v>44765</v>
      </c>
      <c r="G357" s="49">
        <v>1</v>
      </c>
      <c r="H357" s="23">
        <v>349.75</v>
      </c>
      <c r="I357" t="s">
        <v>6941</v>
      </c>
      <c r="J357"/>
      <c r="K357"/>
      <c r="L357"/>
      <c r="M357"/>
      <c r="N357"/>
      <c r="O357"/>
      <c r="P357"/>
      <c r="Q357"/>
      <c r="R357"/>
    </row>
    <row r="358" spans="1:18" x14ac:dyDescent="0.25">
      <c r="A358" t="str">
        <f>IFERROR(VLOOKUP(B358&amp; "*",'SKU Maintenance'!D:H,5,0),"not found")</f>
        <v>2010030198221183</v>
      </c>
      <c r="B358">
        <v>40016534</v>
      </c>
      <c r="C358" t="s">
        <v>293</v>
      </c>
      <c r="D358"/>
      <c r="E358"/>
      <c r="F358" s="3">
        <v>44758</v>
      </c>
      <c r="G358" s="49">
        <v>1</v>
      </c>
      <c r="H358" s="23">
        <v>349.75</v>
      </c>
      <c r="I358" t="s">
        <v>6941</v>
      </c>
      <c r="J358"/>
      <c r="K358"/>
      <c r="L358"/>
      <c r="M358"/>
      <c r="N358"/>
      <c r="O358"/>
      <c r="P358"/>
      <c r="Q358"/>
      <c r="R358"/>
    </row>
    <row r="359" spans="1:18" x14ac:dyDescent="0.25">
      <c r="A359" t="str">
        <f>IFERROR(VLOOKUP(B359&amp; "*",'SKU Maintenance'!D:H,5,0),"not found")</f>
        <v>2010030198181183</v>
      </c>
      <c r="B359">
        <v>40016535</v>
      </c>
      <c r="C359" t="s">
        <v>430</v>
      </c>
      <c r="D359"/>
      <c r="E359"/>
      <c r="F359" s="3">
        <v>44772</v>
      </c>
      <c r="G359" s="49">
        <v>1</v>
      </c>
      <c r="H359" s="23">
        <v>349.75</v>
      </c>
      <c r="I359" t="s">
        <v>6943</v>
      </c>
      <c r="J359"/>
      <c r="K359"/>
      <c r="L359"/>
      <c r="M359"/>
      <c r="N359"/>
      <c r="O359"/>
      <c r="P359"/>
      <c r="Q359"/>
      <c r="R359"/>
    </row>
    <row r="360" spans="1:18" x14ac:dyDescent="0.25">
      <c r="A360" t="str">
        <f>IFERROR(VLOOKUP(B360&amp; "*",'SKU Maintenance'!D:H,5,0),"not found")</f>
        <v>2010041098020069</v>
      </c>
      <c r="B360">
        <v>40016537</v>
      </c>
      <c r="C360" t="s">
        <v>421</v>
      </c>
      <c r="D360"/>
      <c r="E360"/>
      <c r="F360" s="3">
        <v>44767</v>
      </c>
      <c r="G360" s="49">
        <v>1</v>
      </c>
      <c r="H360" s="23">
        <v>175</v>
      </c>
      <c r="I360" t="s">
        <v>6943</v>
      </c>
      <c r="J360"/>
      <c r="K360"/>
      <c r="L360"/>
      <c r="M360"/>
      <c r="N360"/>
      <c r="O360"/>
      <c r="P360"/>
      <c r="Q360"/>
      <c r="R360"/>
    </row>
    <row r="361" spans="1:18" x14ac:dyDescent="0.25">
      <c r="A361" t="str">
        <f>IFERROR(VLOOKUP(B361&amp; "*",'SKU Maintenance'!D:H,5,0),"not found")</f>
        <v>2010030498173421</v>
      </c>
      <c r="B361">
        <v>40016709</v>
      </c>
      <c r="C361" t="s">
        <v>63</v>
      </c>
      <c r="D361"/>
      <c r="E361"/>
      <c r="F361" s="3">
        <v>44744</v>
      </c>
      <c r="G361" s="49">
        <v>1</v>
      </c>
      <c r="H361" s="23">
        <v>250</v>
      </c>
      <c r="I361" t="s">
        <v>6939</v>
      </c>
      <c r="J361"/>
      <c r="K361"/>
      <c r="L361"/>
      <c r="M361"/>
      <c r="N361"/>
      <c r="O361"/>
      <c r="P361"/>
      <c r="Q361"/>
      <c r="R361"/>
    </row>
    <row r="362" spans="1:18" x14ac:dyDescent="0.25">
      <c r="A362" t="str">
        <f>IFERROR(VLOOKUP(B362&amp; "*",'SKU Maintenance'!D:H,5,0),"not found")</f>
        <v>2010030498173421</v>
      </c>
      <c r="B362">
        <v>40016709</v>
      </c>
      <c r="C362" t="s">
        <v>63</v>
      </c>
      <c r="D362"/>
      <c r="E362"/>
      <c r="F362" s="3">
        <v>44765</v>
      </c>
      <c r="G362" s="49">
        <v>1</v>
      </c>
      <c r="H362" s="23">
        <v>250</v>
      </c>
      <c r="I362" t="s">
        <v>6939</v>
      </c>
      <c r="J362"/>
      <c r="K362"/>
      <c r="L362"/>
      <c r="M362"/>
      <c r="N362"/>
      <c r="O362"/>
      <c r="P362"/>
      <c r="Q362"/>
      <c r="R362"/>
    </row>
    <row r="363" spans="1:18" x14ac:dyDescent="0.25">
      <c r="A363" t="str">
        <f>IFERROR(VLOOKUP(B363&amp; "*",'SKU Maintenance'!D:H,5,0),"not found")</f>
        <v>2010030198181188</v>
      </c>
      <c r="B363">
        <v>40016725</v>
      </c>
      <c r="C363" t="s">
        <v>54</v>
      </c>
      <c r="D363"/>
      <c r="E363"/>
      <c r="F363" s="3">
        <v>44743</v>
      </c>
      <c r="G363" s="49">
        <v>1</v>
      </c>
      <c r="H363" s="23">
        <v>399.75</v>
      </c>
      <c r="I363" t="s">
        <v>6939</v>
      </c>
      <c r="J363"/>
      <c r="K363"/>
      <c r="L363"/>
      <c r="M363"/>
      <c r="N363"/>
      <c r="O363"/>
      <c r="P363"/>
      <c r="Q363"/>
      <c r="R363"/>
    </row>
    <row r="364" spans="1:18" x14ac:dyDescent="0.25">
      <c r="A364" t="str">
        <f>IFERROR(VLOOKUP(B364&amp; "*",'SKU Maintenance'!D:H,5,0),"not found")</f>
        <v>2010030198181188</v>
      </c>
      <c r="B364">
        <v>40016725</v>
      </c>
      <c r="C364" t="s">
        <v>54</v>
      </c>
      <c r="D364"/>
      <c r="E364"/>
      <c r="F364" s="3">
        <v>44771</v>
      </c>
      <c r="G364" s="49">
        <v>1</v>
      </c>
      <c r="H364" s="23">
        <v>399.75</v>
      </c>
      <c r="I364" t="s">
        <v>6939</v>
      </c>
      <c r="J364"/>
      <c r="K364"/>
      <c r="L364"/>
      <c r="M364"/>
      <c r="N364"/>
      <c r="O364"/>
      <c r="P364"/>
      <c r="Q364"/>
      <c r="R364"/>
    </row>
    <row r="365" spans="1:18" x14ac:dyDescent="0.25">
      <c r="A365" t="str">
        <f>IFERROR(VLOOKUP(B365&amp; "*",'SKU Maintenance'!D:H,5,0),"not found")</f>
        <v>2010030198181188</v>
      </c>
      <c r="B365">
        <v>40016725</v>
      </c>
      <c r="C365" t="s">
        <v>54</v>
      </c>
      <c r="D365"/>
      <c r="E365"/>
      <c r="F365" s="3">
        <v>44764</v>
      </c>
      <c r="G365" s="49">
        <v>1</v>
      </c>
      <c r="H365" s="23">
        <v>399.75</v>
      </c>
      <c r="I365" t="s">
        <v>6943</v>
      </c>
      <c r="J365"/>
      <c r="K365"/>
      <c r="L365"/>
      <c r="M365"/>
      <c r="N365"/>
      <c r="O365"/>
      <c r="P365"/>
      <c r="Q365"/>
      <c r="R365"/>
    </row>
    <row r="366" spans="1:18" x14ac:dyDescent="0.25">
      <c r="A366" t="str">
        <f>IFERROR(VLOOKUP(B366&amp; "*",'SKU Maintenance'!D:H,5,0),"not found")</f>
        <v>2010030198181188</v>
      </c>
      <c r="B366">
        <v>40016725</v>
      </c>
      <c r="C366" t="s">
        <v>54</v>
      </c>
      <c r="D366"/>
      <c r="E366"/>
      <c r="F366" s="3">
        <v>44751</v>
      </c>
      <c r="G366" s="49">
        <v>1</v>
      </c>
      <c r="H366" s="23">
        <v>399.75</v>
      </c>
      <c r="I366" t="s">
        <v>6945</v>
      </c>
      <c r="J366"/>
      <c r="K366"/>
      <c r="L366"/>
      <c r="M366"/>
      <c r="N366"/>
      <c r="O366"/>
      <c r="P366"/>
      <c r="Q366"/>
      <c r="R366"/>
    </row>
    <row r="367" spans="1:18" x14ac:dyDescent="0.25">
      <c r="A367" t="str">
        <f>IFERROR(VLOOKUP(B367&amp; "*",'SKU Maintenance'!D:H,5,0),"not found")</f>
        <v>2010030198181186</v>
      </c>
      <c r="B367">
        <v>40016727</v>
      </c>
      <c r="C367" t="s">
        <v>206</v>
      </c>
      <c r="D367"/>
      <c r="E367"/>
      <c r="F367" s="3">
        <v>44768</v>
      </c>
      <c r="G367" s="49">
        <v>2</v>
      </c>
      <c r="H367" s="23">
        <v>499.5</v>
      </c>
      <c r="I367" t="s">
        <v>6939</v>
      </c>
      <c r="J367"/>
      <c r="K367"/>
      <c r="L367"/>
      <c r="M367"/>
      <c r="N367"/>
      <c r="O367"/>
      <c r="P367"/>
      <c r="Q367"/>
      <c r="R367"/>
    </row>
    <row r="368" spans="1:18" x14ac:dyDescent="0.25">
      <c r="A368" t="str">
        <f>IFERROR(VLOOKUP(B368&amp; "*",'SKU Maintenance'!D:H,5,0),"not found")</f>
        <v>2010030198181186</v>
      </c>
      <c r="B368">
        <v>40016727</v>
      </c>
      <c r="C368" t="s">
        <v>206</v>
      </c>
      <c r="D368"/>
      <c r="E368"/>
      <c r="F368" s="3">
        <v>44771</v>
      </c>
      <c r="G368" s="49">
        <v>1</v>
      </c>
      <c r="H368" s="23">
        <v>249.75</v>
      </c>
      <c r="I368" t="s">
        <v>6939</v>
      </c>
      <c r="J368"/>
      <c r="K368"/>
      <c r="L368"/>
      <c r="M368"/>
      <c r="N368"/>
      <c r="O368"/>
      <c r="P368"/>
      <c r="Q368"/>
      <c r="R368"/>
    </row>
    <row r="369" spans="1:18" x14ac:dyDescent="0.25">
      <c r="A369" t="str">
        <f>IFERROR(VLOOKUP(B369&amp; "*",'SKU Maintenance'!D:H,5,0),"not found")</f>
        <v>2010030198221186</v>
      </c>
      <c r="B369">
        <v>40016728</v>
      </c>
      <c r="C369" t="s">
        <v>182</v>
      </c>
      <c r="D369"/>
      <c r="E369"/>
      <c r="F369" s="3">
        <v>44764</v>
      </c>
      <c r="G369" s="49">
        <v>1</v>
      </c>
      <c r="H369" s="23">
        <v>249.75</v>
      </c>
      <c r="I369" t="s">
        <v>6939</v>
      </c>
      <c r="J369"/>
      <c r="K369"/>
      <c r="L369"/>
      <c r="M369"/>
      <c r="N369"/>
      <c r="O369"/>
      <c r="P369"/>
      <c r="Q369"/>
      <c r="R369"/>
    </row>
    <row r="370" spans="1:18" x14ac:dyDescent="0.25">
      <c r="A370" t="str">
        <f>IFERROR(VLOOKUP(B370&amp; "*",'SKU Maintenance'!D:H,5,0),"not found")</f>
        <v>2010030198221186</v>
      </c>
      <c r="B370">
        <v>40016728</v>
      </c>
      <c r="C370" t="s">
        <v>182</v>
      </c>
      <c r="D370"/>
      <c r="E370"/>
      <c r="F370" s="3">
        <v>44752</v>
      </c>
      <c r="G370" s="49">
        <v>1</v>
      </c>
      <c r="H370" s="23">
        <v>249.75</v>
      </c>
      <c r="I370" t="s">
        <v>6943</v>
      </c>
      <c r="J370"/>
      <c r="K370"/>
      <c r="L370"/>
      <c r="M370"/>
      <c r="N370"/>
      <c r="O370"/>
      <c r="P370"/>
      <c r="Q370"/>
      <c r="R370"/>
    </row>
    <row r="371" spans="1:18" x14ac:dyDescent="0.25">
      <c r="A371" t="str">
        <f>IFERROR(VLOOKUP(B371&amp; "*",'SKU Maintenance'!D:H,5,0),"not found")</f>
        <v>2010020198184167</v>
      </c>
      <c r="B371">
        <v>40016786</v>
      </c>
      <c r="C371" t="s">
        <v>177</v>
      </c>
      <c r="D371"/>
      <c r="E371"/>
      <c r="F371" s="3">
        <v>44763</v>
      </c>
      <c r="G371" s="49">
        <v>1</v>
      </c>
      <c r="H371" s="23">
        <v>300</v>
      </c>
      <c r="I371" t="s">
        <v>6939</v>
      </c>
      <c r="J371"/>
      <c r="K371"/>
      <c r="L371"/>
      <c r="M371"/>
      <c r="N371"/>
      <c r="O371"/>
      <c r="P371"/>
      <c r="Q371"/>
      <c r="R371"/>
    </row>
    <row r="372" spans="1:18" x14ac:dyDescent="0.25">
      <c r="A372" t="str">
        <f>IFERROR(VLOOKUP(B372&amp; "*",'SKU Maintenance'!D:H,5,0),"not found")</f>
        <v>2010041204180068</v>
      </c>
      <c r="B372">
        <v>40016813</v>
      </c>
      <c r="C372" t="s">
        <v>440</v>
      </c>
      <c r="D372"/>
      <c r="E372"/>
      <c r="F372" s="3">
        <v>44749</v>
      </c>
      <c r="G372" s="49">
        <v>1</v>
      </c>
      <c r="H372" s="23">
        <v>125.92</v>
      </c>
      <c r="I372" t="s">
        <v>6945</v>
      </c>
      <c r="J372"/>
      <c r="K372"/>
      <c r="L372"/>
      <c r="M372"/>
      <c r="N372"/>
      <c r="O372"/>
      <c r="P372"/>
      <c r="Q372"/>
      <c r="R372"/>
    </row>
    <row r="373" spans="1:18" x14ac:dyDescent="0.25">
      <c r="A373" t="str">
        <f>IFERROR(VLOOKUP(B373&amp; "*",'SKU Maintenance'!D:H,5,0),"not found")</f>
        <v>2010030498183420</v>
      </c>
      <c r="B373">
        <v>40016861</v>
      </c>
      <c r="C373" t="s">
        <v>239</v>
      </c>
      <c r="D373"/>
      <c r="E373"/>
      <c r="F373" s="3">
        <v>44743</v>
      </c>
      <c r="G373" s="49">
        <v>1</v>
      </c>
      <c r="H373" s="23">
        <v>499.75</v>
      </c>
      <c r="I373" t="s">
        <v>6941</v>
      </c>
      <c r="J373"/>
      <c r="K373"/>
      <c r="L373"/>
      <c r="M373"/>
      <c r="N373"/>
      <c r="O373"/>
      <c r="P373"/>
      <c r="Q373"/>
      <c r="R373"/>
    </row>
    <row r="374" spans="1:18" x14ac:dyDescent="0.25">
      <c r="A374" t="str">
        <f>IFERROR(VLOOKUP(B374&amp; "*",'SKU Maintenance'!D:H,5,0),"not found")</f>
        <v>2010030198181187</v>
      </c>
      <c r="B374">
        <v>40016862</v>
      </c>
      <c r="C374" t="s">
        <v>418</v>
      </c>
      <c r="D374"/>
      <c r="E374"/>
      <c r="F374" s="3">
        <v>44766</v>
      </c>
      <c r="G374" s="49">
        <v>1</v>
      </c>
      <c r="H374" s="23">
        <v>249.75</v>
      </c>
      <c r="I374" t="s">
        <v>6943</v>
      </c>
      <c r="J374"/>
      <c r="K374"/>
      <c r="L374"/>
      <c r="M374"/>
      <c r="N374"/>
      <c r="O374"/>
      <c r="P374"/>
      <c r="Q374"/>
      <c r="R374"/>
    </row>
    <row r="375" spans="1:18" x14ac:dyDescent="0.25">
      <c r="A375" t="str">
        <f>IFERROR(VLOOKUP(B375&amp; "*",'SKU Maintenance'!D:H,5,0),"not found")</f>
        <v>2010030198221187</v>
      </c>
      <c r="B375">
        <v>40016863</v>
      </c>
      <c r="C375" t="s">
        <v>134</v>
      </c>
      <c r="D375"/>
      <c r="E375"/>
      <c r="F375" s="3">
        <v>44756</v>
      </c>
      <c r="G375" s="49">
        <v>1</v>
      </c>
      <c r="H375" s="23">
        <v>249.75</v>
      </c>
      <c r="I375" t="s">
        <v>6939</v>
      </c>
      <c r="J375"/>
      <c r="K375"/>
      <c r="L375"/>
      <c r="M375"/>
      <c r="N375"/>
      <c r="O375"/>
      <c r="P375"/>
      <c r="Q375"/>
      <c r="R375"/>
    </row>
    <row r="376" spans="1:18" x14ac:dyDescent="0.25">
      <c r="A376" t="str">
        <f>IFERROR(VLOOKUP(B376&amp; "*",'SKU Maintenance'!D:H,5,0),"not found")</f>
        <v>2010030198221187</v>
      </c>
      <c r="B376">
        <v>40016863</v>
      </c>
      <c r="C376" t="s">
        <v>134</v>
      </c>
      <c r="D376"/>
      <c r="E376"/>
      <c r="F376" s="3">
        <v>44752</v>
      </c>
      <c r="G376" s="49">
        <v>1</v>
      </c>
      <c r="H376" s="23">
        <v>249.75</v>
      </c>
      <c r="I376" t="s">
        <v>6943</v>
      </c>
      <c r="J376"/>
      <c r="K376"/>
      <c r="L376"/>
      <c r="M376"/>
      <c r="N376"/>
      <c r="O376"/>
      <c r="P376"/>
      <c r="Q376"/>
      <c r="R376"/>
    </row>
    <row r="377" spans="1:18" x14ac:dyDescent="0.25">
      <c r="A377" t="str">
        <f>IFERROR(VLOOKUP(B377&amp; "*",'SKU Maintenance'!D:H,5,0),"not found")</f>
        <v>2010030198221187</v>
      </c>
      <c r="B377">
        <v>40016863</v>
      </c>
      <c r="C377" t="s">
        <v>134</v>
      </c>
      <c r="D377"/>
      <c r="E377"/>
      <c r="F377" s="3">
        <v>44754</v>
      </c>
      <c r="G377" s="49">
        <v>1</v>
      </c>
      <c r="H377" s="23">
        <v>249.75</v>
      </c>
      <c r="I377" t="s">
        <v>6943</v>
      </c>
      <c r="J377"/>
      <c r="K377"/>
      <c r="L377"/>
      <c r="M377"/>
      <c r="N377"/>
      <c r="O377"/>
      <c r="P377"/>
      <c r="Q377"/>
      <c r="R377"/>
    </row>
    <row r="378" spans="1:18" x14ac:dyDescent="0.25">
      <c r="A378" t="str">
        <f>IFERROR(VLOOKUP(B378&amp; "*",'SKU Maintenance'!D:H,5,0),"not found")</f>
        <v>2010030298180003</v>
      </c>
      <c r="B378">
        <v>40016865</v>
      </c>
      <c r="C378" t="s">
        <v>157</v>
      </c>
      <c r="D378"/>
      <c r="E378"/>
      <c r="F378" s="3">
        <v>44758</v>
      </c>
      <c r="G378" s="49">
        <v>1</v>
      </c>
      <c r="H378" s="23">
        <v>599.75</v>
      </c>
      <c r="I378" t="s">
        <v>6939</v>
      </c>
      <c r="J378"/>
      <c r="K378"/>
      <c r="L378"/>
      <c r="M378"/>
      <c r="N378"/>
      <c r="O378"/>
      <c r="P378"/>
      <c r="Q378"/>
      <c r="R378"/>
    </row>
    <row r="379" spans="1:18" x14ac:dyDescent="0.25">
      <c r="A379" t="str">
        <f>IFERROR(VLOOKUP(B379&amp; "*",'SKU Maintenance'!D:H,5,0),"not found")</f>
        <v>2010030298180003</v>
      </c>
      <c r="B379">
        <v>40016865</v>
      </c>
      <c r="C379" t="s">
        <v>157</v>
      </c>
      <c r="D379"/>
      <c r="E379"/>
      <c r="F379" s="3">
        <v>44763</v>
      </c>
      <c r="G379" s="49">
        <v>1</v>
      </c>
      <c r="H379" s="23">
        <v>599.75</v>
      </c>
      <c r="I379" t="s">
        <v>6939</v>
      </c>
      <c r="J379"/>
      <c r="K379"/>
      <c r="L379"/>
      <c r="M379"/>
      <c r="N379"/>
      <c r="O379"/>
      <c r="P379"/>
      <c r="Q379"/>
      <c r="R379"/>
    </row>
    <row r="380" spans="1:18" x14ac:dyDescent="0.25">
      <c r="A380" t="str">
        <f>IFERROR(VLOOKUP(B380&amp; "*",'SKU Maintenance'!D:H,5,0),"not found")</f>
        <v>2010020198228150</v>
      </c>
      <c r="B380">
        <v>40016885</v>
      </c>
      <c r="C380" t="s">
        <v>171</v>
      </c>
      <c r="D380"/>
      <c r="E380"/>
      <c r="F380" s="3">
        <v>44761</v>
      </c>
      <c r="G380" s="49">
        <v>2</v>
      </c>
      <c r="H380" s="23">
        <v>1098</v>
      </c>
      <c r="I380" t="s">
        <v>6939</v>
      </c>
      <c r="J380"/>
      <c r="K380"/>
      <c r="L380"/>
      <c r="M380"/>
      <c r="N380"/>
      <c r="O380"/>
      <c r="P380"/>
      <c r="Q380"/>
      <c r="R380"/>
    </row>
    <row r="381" spans="1:18" x14ac:dyDescent="0.25">
      <c r="A381" t="str">
        <f>IFERROR(VLOOKUP(B381&amp; "*",'SKU Maintenance'!D:H,5,0),"not found")</f>
        <v>2010010102180019</v>
      </c>
      <c r="B381">
        <v>40017345</v>
      </c>
      <c r="C381" t="s">
        <v>461</v>
      </c>
      <c r="D381"/>
      <c r="E381"/>
      <c r="F381" s="3">
        <v>44765</v>
      </c>
      <c r="G381" s="49">
        <v>1</v>
      </c>
      <c r="H381" s="23">
        <v>169.75</v>
      </c>
      <c r="I381" t="s">
        <v>6945</v>
      </c>
      <c r="J381"/>
      <c r="K381"/>
      <c r="L381"/>
      <c r="M381"/>
      <c r="N381"/>
      <c r="O381"/>
      <c r="P381"/>
      <c r="Q381"/>
      <c r="R381"/>
    </row>
    <row r="382" spans="1:18" x14ac:dyDescent="0.25">
      <c r="A382" t="str">
        <f>IFERROR(VLOOKUP(B382&amp; "*",'SKU Maintenance'!D:H,5,0),"not found")</f>
        <v>2010010103180021</v>
      </c>
      <c r="B382">
        <v>40017353</v>
      </c>
      <c r="C382" t="s">
        <v>61</v>
      </c>
      <c r="D382"/>
      <c r="E382"/>
      <c r="F382" s="3">
        <v>44744</v>
      </c>
      <c r="G382" s="49">
        <v>1</v>
      </c>
      <c r="H382" s="23">
        <v>152.77500000000001</v>
      </c>
      <c r="I382" t="s">
        <v>6941</v>
      </c>
      <c r="J382"/>
      <c r="K382"/>
      <c r="L382"/>
      <c r="M382"/>
      <c r="N382"/>
      <c r="O382"/>
      <c r="P382"/>
      <c r="Q382"/>
      <c r="R382"/>
    </row>
    <row r="383" spans="1:18" x14ac:dyDescent="0.25">
      <c r="A383" t="str">
        <f>IFERROR(VLOOKUP(B383&amp; "*",'SKU Maintenance'!D:H,5,0),"not found")</f>
        <v>2010010103180021</v>
      </c>
      <c r="B383">
        <v>40017353</v>
      </c>
      <c r="C383" t="s">
        <v>61</v>
      </c>
      <c r="D383"/>
      <c r="E383"/>
      <c r="F383" s="3">
        <v>44755</v>
      </c>
      <c r="G383" s="49">
        <v>1</v>
      </c>
      <c r="H383" s="23">
        <v>169.75</v>
      </c>
      <c r="I383" t="s">
        <v>6941</v>
      </c>
      <c r="J383"/>
      <c r="K383"/>
      <c r="L383"/>
      <c r="M383"/>
      <c r="N383"/>
      <c r="O383"/>
      <c r="P383"/>
      <c r="Q383"/>
      <c r="R383"/>
    </row>
    <row r="384" spans="1:18" x14ac:dyDescent="0.25">
      <c r="A384" t="str">
        <f>IFERROR(VLOOKUP(B384&amp; "*",'SKU Maintenance'!D:H,5,0),"not found")</f>
        <v>2010010104180021</v>
      </c>
      <c r="B384">
        <v>40017354</v>
      </c>
      <c r="C384" t="s">
        <v>101</v>
      </c>
      <c r="D384"/>
      <c r="E384"/>
      <c r="F384" s="3">
        <v>44759</v>
      </c>
      <c r="G384" s="49">
        <v>1</v>
      </c>
      <c r="H384" s="23">
        <v>242.77500000000001</v>
      </c>
      <c r="I384" t="s">
        <v>6939</v>
      </c>
      <c r="J384"/>
      <c r="K384"/>
      <c r="L384"/>
      <c r="M384"/>
      <c r="N384"/>
      <c r="O384"/>
      <c r="P384"/>
      <c r="Q384"/>
      <c r="R384"/>
    </row>
    <row r="385" spans="1:18" x14ac:dyDescent="0.25">
      <c r="A385" t="str">
        <f>IFERROR(VLOOKUP(B385&amp; "*",'SKU Maintenance'!D:H,5,0),"not found")</f>
        <v>2010010103200021</v>
      </c>
      <c r="B385">
        <v>40017355</v>
      </c>
      <c r="C385" t="s">
        <v>61</v>
      </c>
      <c r="D385"/>
      <c r="E385"/>
      <c r="F385" s="3">
        <v>44744</v>
      </c>
      <c r="G385" s="49">
        <v>1</v>
      </c>
      <c r="H385" s="23">
        <v>152.77500000000001</v>
      </c>
      <c r="I385" t="s">
        <v>6939</v>
      </c>
      <c r="J385"/>
      <c r="K385"/>
      <c r="L385"/>
      <c r="M385"/>
      <c r="N385"/>
      <c r="O385"/>
      <c r="P385"/>
      <c r="Q385"/>
      <c r="R385"/>
    </row>
    <row r="386" spans="1:18" x14ac:dyDescent="0.25">
      <c r="A386" t="str">
        <f>IFERROR(VLOOKUP(B386&amp; "*",'SKU Maintenance'!D:H,5,0),"not found")</f>
        <v>2010010104200021</v>
      </c>
      <c r="B386">
        <v>40017356</v>
      </c>
      <c r="C386" t="s">
        <v>101</v>
      </c>
      <c r="D386"/>
      <c r="E386"/>
      <c r="F386" s="3">
        <v>44751</v>
      </c>
      <c r="G386" s="49">
        <v>1</v>
      </c>
      <c r="H386" s="23">
        <v>269.75</v>
      </c>
      <c r="I386" t="s">
        <v>6939</v>
      </c>
      <c r="J386"/>
      <c r="K386"/>
      <c r="L386"/>
      <c r="M386"/>
      <c r="N386"/>
      <c r="O386"/>
      <c r="P386"/>
      <c r="Q386"/>
      <c r="R386"/>
    </row>
    <row r="387" spans="1:18" x14ac:dyDescent="0.25">
      <c r="A387" t="str">
        <f>IFERROR(VLOOKUP(B387&amp; "*",'SKU Maintenance'!D:H,5,0),"not found")</f>
        <v>2010010104200021</v>
      </c>
      <c r="B387">
        <v>40017356</v>
      </c>
      <c r="C387" t="s">
        <v>101</v>
      </c>
      <c r="D387"/>
      <c r="E387"/>
      <c r="F387" s="3">
        <v>44752</v>
      </c>
      <c r="G387" s="49">
        <v>1</v>
      </c>
      <c r="H387" s="23">
        <v>269.75</v>
      </c>
      <c r="I387" t="s">
        <v>6943</v>
      </c>
      <c r="J387"/>
      <c r="K387"/>
      <c r="L387"/>
      <c r="M387"/>
      <c r="N387"/>
      <c r="O387"/>
      <c r="P387"/>
      <c r="Q387"/>
      <c r="R387"/>
    </row>
    <row r="388" spans="1:18" x14ac:dyDescent="0.25">
      <c r="A388" t="str">
        <f>IFERROR(VLOOKUP(B388&amp; "*",'SKU Maintenance'!D:H,5,0),"not found")</f>
        <v>2010010104200022</v>
      </c>
      <c r="B388">
        <v>40017362</v>
      </c>
      <c r="C388" t="s">
        <v>131</v>
      </c>
      <c r="D388"/>
      <c r="E388"/>
      <c r="F388" s="3">
        <v>44756</v>
      </c>
      <c r="G388" s="49">
        <v>2</v>
      </c>
      <c r="H388" s="23">
        <v>539.5</v>
      </c>
      <c r="I388" t="s">
        <v>6939</v>
      </c>
      <c r="J388"/>
      <c r="K388"/>
      <c r="L388"/>
      <c r="M388"/>
      <c r="N388"/>
      <c r="O388"/>
      <c r="P388"/>
      <c r="Q388"/>
      <c r="R388"/>
    </row>
    <row r="389" spans="1:18" x14ac:dyDescent="0.25">
      <c r="A389" t="str">
        <f>IFERROR(VLOOKUP(B389&amp; "*",'SKU Maintenance'!D:H,5,0),"not found")</f>
        <v>2010050201170001</v>
      </c>
      <c r="B389">
        <v>40017363</v>
      </c>
      <c r="C389" t="s">
        <v>72</v>
      </c>
      <c r="D389"/>
      <c r="E389"/>
      <c r="F389" s="3">
        <v>44745</v>
      </c>
      <c r="G389" s="49">
        <v>1</v>
      </c>
      <c r="H389" s="23">
        <v>99.75</v>
      </c>
      <c r="I389" t="s">
        <v>6939</v>
      </c>
      <c r="J389"/>
      <c r="K389"/>
      <c r="L389"/>
      <c r="M389"/>
      <c r="N389"/>
      <c r="O389"/>
      <c r="P389"/>
      <c r="Q389"/>
      <c r="R389"/>
    </row>
    <row r="390" spans="1:18" x14ac:dyDescent="0.25">
      <c r="A390" t="str">
        <f>IFERROR(VLOOKUP(B390&amp; "*",'SKU Maintenance'!D:H,5,0),"not found")</f>
        <v>2010050204170001</v>
      </c>
      <c r="B390">
        <v>40017365</v>
      </c>
      <c r="C390" t="s">
        <v>112</v>
      </c>
      <c r="D390"/>
      <c r="E390"/>
      <c r="F390" s="3">
        <v>44752</v>
      </c>
      <c r="G390" s="49">
        <v>1</v>
      </c>
      <c r="H390" s="23">
        <v>199.75</v>
      </c>
      <c r="I390" t="s">
        <v>6939</v>
      </c>
      <c r="J390"/>
      <c r="K390"/>
      <c r="L390"/>
      <c r="M390"/>
      <c r="N390"/>
      <c r="O390"/>
      <c r="P390"/>
      <c r="Q390"/>
      <c r="R390"/>
    </row>
    <row r="391" spans="1:18" x14ac:dyDescent="0.25">
      <c r="A391" t="str">
        <f>IFERROR(VLOOKUP(B391&amp; "*",'SKU Maintenance'!D:H,5,0),"not found")</f>
        <v>2010050201100001</v>
      </c>
      <c r="B391">
        <v>40017366</v>
      </c>
      <c r="C391" t="s">
        <v>449</v>
      </c>
      <c r="D391"/>
      <c r="E391"/>
      <c r="F391" s="3">
        <v>44757</v>
      </c>
      <c r="G391" s="49">
        <v>1</v>
      </c>
      <c r="H391" s="23">
        <v>99.75</v>
      </c>
      <c r="I391" t="s">
        <v>6945</v>
      </c>
      <c r="J391"/>
      <c r="K391"/>
      <c r="L391"/>
      <c r="M391"/>
      <c r="N391"/>
      <c r="O391"/>
      <c r="P391"/>
      <c r="Q391"/>
      <c r="R391"/>
    </row>
    <row r="392" spans="1:18" x14ac:dyDescent="0.25">
      <c r="A392" t="str">
        <f>IFERROR(VLOOKUP(B392&amp; "*",'SKU Maintenance'!D:H,5,0),"not found")</f>
        <v>2010050204100001</v>
      </c>
      <c r="B392">
        <v>40017368</v>
      </c>
      <c r="C392" t="s">
        <v>80</v>
      </c>
      <c r="D392"/>
      <c r="E392"/>
      <c r="F392" s="3">
        <v>44745</v>
      </c>
      <c r="G392" s="49">
        <v>1</v>
      </c>
      <c r="H392" s="23">
        <v>199.75</v>
      </c>
      <c r="I392" t="s">
        <v>6939</v>
      </c>
      <c r="J392"/>
      <c r="K392"/>
      <c r="L392"/>
      <c r="M392"/>
      <c r="N392"/>
      <c r="O392"/>
      <c r="P392"/>
      <c r="Q392"/>
      <c r="R392"/>
    </row>
    <row r="393" spans="1:18" x14ac:dyDescent="0.25">
      <c r="A393" t="str">
        <f>IFERROR(VLOOKUP(B393&amp; "*",'SKU Maintenance'!D:H,5,0),"not found")</f>
        <v>2010050204100001</v>
      </c>
      <c r="B393">
        <v>40017368</v>
      </c>
      <c r="C393" t="s">
        <v>80</v>
      </c>
      <c r="D393"/>
      <c r="E393"/>
      <c r="F393" s="3">
        <v>44747</v>
      </c>
      <c r="G393" s="49">
        <v>1</v>
      </c>
      <c r="H393" s="23">
        <v>199.75</v>
      </c>
      <c r="I393" t="s">
        <v>6939</v>
      </c>
      <c r="J393"/>
      <c r="K393"/>
      <c r="L393"/>
      <c r="M393"/>
      <c r="N393"/>
      <c r="O393"/>
      <c r="P393"/>
      <c r="Q393"/>
      <c r="R393"/>
    </row>
    <row r="394" spans="1:18" x14ac:dyDescent="0.25">
      <c r="A394" t="str">
        <f>IFERROR(VLOOKUP(B394&amp; "*",'SKU Maintenance'!D:H,5,0),"not found")</f>
        <v>2010050204100001</v>
      </c>
      <c r="B394">
        <v>40017368</v>
      </c>
      <c r="C394" t="s">
        <v>80</v>
      </c>
      <c r="D394"/>
      <c r="E394"/>
      <c r="F394" s="3">
        <v>44772</v>
      </c>
      <c r="G394" s="49">
        <v>1</v>
      </c>
      <c r="H394" s="23">
        <v>199.75</v>
      </c>
      <c r="I394" t="s">
        <v>6945</v>
      </c>
      <c r="J394"/>
      <c r="K394"/>
      <c r="L394"/>
      <c r="M394"/>
      <c r="N394"/>
      <c r="O394"/>
      <c r="P394"/>
      <c r="Q394"/>
      <c r="R394"/>
    </row>
    <row r="395" spans="1:18" x14ac:dyDescent="0.25">
      <c r="A395" t="str">
        <f>IFERROR(VLOOKUP(B395&amp; "*",'SKU Maintenance'!D:H,5,0),"not found")</f>
        <v>2010050202040001</v>
      </c>
      <c r="B395">
        <v>40017370</v>
      </c>
      <c r="C395" t="s">
        <v>66</v>
      </c>
      <c r="D395"/>
      <c r="E395"/>
      <c r="F395" s="3">
        <v>44744</v>
      </c>
      <c r="G395" s="49">
        <v>1</v>
      </c>
      <c r="H395" s="23">
        <v>129.75</v>
      </c>
      <c r="I395" t="s">
        <v>6939</v>
      </c>
      <c r="J395"/>
      <c r="K395"/>
      <c r="L395"/>
      <c r="M395"/>
      <c r="N395"/>
      <c r="O395"/>
      <c r="P395"/>
      <c r="Q395"/>
      <c r="R395"/>
    </row>
    <row r="396" spans="1:18" x14ac:dyDescent="0.25">
      <c r="A396" t="str">
        <f>IFERROR(VLOOKUP(B396&amp; "*",'SKU Maintenance'!D:H,5,0),"not found")</f>
        <v>2010050204220002</v>
      </c>
      <c r="B396">
        <v>40017372</v>
      </c>
      <c r="C396" t="s">
        <v>205</v>
      </c>
      <c r="D396"/>
      <c r="E396"/>
      <c r="F396" s="3">
        <v>44768</v>
      </c>
      <c r="G396" s="49">
        <v>1</v>
      </c>
      <c r="H396" s="23">
        <v>199.75</v>
      </c>
      <c r="I396" t="s">
        <v>6939</v>
      </c>
      <c r="J396"/>
      <c r="K396"/>
      <c r="L396"/>
      <c r="M396"/>
      <c r="N396"/>
      <c r="O396"/>
      <c r="P396"/>
      <c r="Q396"/>
      <c r="R396"/>
    </row>
    <row r="397" spans="1:18" x14ac:dyDescent="0.25">
      <c r="A397" t="str">
        <f>IFERROR(VLOOKUP(B397&amp; "*",'SKU Maintenance'!D:H,5,0),"not found")</f>
        <v>2010050205220002</v>
      </c>
      <c r="B397">
        <v>40017373</v>
      </c>
      <c r="C397" t="s">
        <v>366</v>
      </c>
      <c r="D397"/>
      <c r="E397"/>
      <c r="F397" s="3">
        <v>44749</v>
      </c>
      <c r="G397" s="49">
        <v>1</v>
      </c>
      <c r="H397" s="23">
        <v>249.75</v>
      </c>
      <c r="I397" t="s">
        <v>6943</v>
      </c>
      <c r="J397"/>
      <c r="K397"/>
      <c r="L397"/>
      <c r="M397"/>
      <c r="N397"/>
      <c r="O397"/>
      <c r="P397"/>
      <c r="Q397"/>
      <c r="R397"/>
    </row>
    <row r="398" spans="1:18" x14ac:dyDescent="0.25">
      <c r="A398" t="str">
        <f>IFERROR(VLOOKUP(B398&amp; "*",'SKU Maintenance'!D:H,5,0),"not found")</f>
        <v>2010050204100003</v>
      </c>
      <c r="B398">
        <v>40017381</v>
      </c>
      <c r="C398" t="s">
        <v>108</v>
      </c>
      <c r="D398"/>
      <c r="E398"/>
      <c r="F398" s="3">
        <v>44752</v>
      </c>
      <c r="G398" s="49">
        <v>2</v>
      </c>
      <c r="H398" s="23">
        <v>399.5</v>
      </c>
      <c r="I398" t="s">
        <v>6939</v>
      </c>
      <c r="J398"/>
      <c r="K398"/>
      <c r="L398"/>
      <c r="M398"/>
      <c r="N398"/>
      <c r="O398"/>
      <c r="P398"/>
      <c r="Q398"/>
      <c r="R398"/>
    </row>
    <row r="399" spans="1:18" x14ac:dyDescent="0.25">
      <c r="A399" t="str">
        <f>IFERROR(VLOOKUP(B399&amp; "*",'SKU Maintenance'!D:H,5,0),"not found")</f>
        <v>2010050201100004</v>
      </c>
      <c r="B399">
        <v>40017390</v>
      </c>
      <c r="C399" t="s">
        <v>417</v>
      </c>
      <c r="D399"/>
      <c r="E399"/>
      <c r="F399" s="3">
        <v>44765</v>
      </c>
      <c r="G399" s="49">
        <v>1</v>
      </c>
      <c r="H399" s="23">
        <v>99.75</v>
      </c>
      <c r="I399" t="s">
        <v>6943</v>
      </c>
      <c r="J399"/>
      <c r="K399"/>
      <c r="L399"/>
      <c r="M399"/>
      <c r="N399"/>
      <c r="O399"/>
      <c r="P399"/>
      <c r="Q399"/>
      <c r="R399"/>
    </row>
    <row r="400" spans="1:18" x14ac:dyDescent="0.25">
      <c r="A400" t="str">
        <f>IFERROR(VLOOKUP(B400&amp; "*",'SKU Maintenance'!D:H,5,0),"not found")</f>
        <v>2010050201100004</v>
      </c>
      <c r="B400">
        <v>40017390</v>
      </c>
      <c r="C400" t="s">
        <v>417</v>
      </c>
      <c r="D400"/>
      <c r="E400"/>
      <c r="F400" s="3">
        <v>44757</v>
      </c>
      <c r="G400" s="49">
        <v>1</v>
      </c>
      <c r="H400" s="23">
        <v>99.75</v>
      </c>
      <c r="I400" t="s">
        <v>6945</v>
      </c>
      <c r="J400"/>
      <c r="K400"/>
      <c r="L400"/>
      <c r="M400"/>
      <c r="N400"/>
      <c r="O400"/>
      <c r="P400"/>
      <c r="Q400"/>
      <c r="R400"/>
    </row>
    <row r="401" spans="1:18" x14ac:dyDescent="0.25">
      <c r="A401" t="str">
        <f>IFERROR(VLOOKUP(B401&amp; "*",'SKU Maintenance'!D:H,5,0),"not found")</f>
        <v>2010050204100004</v>
      </c>
      <c r="B401">
        <v>40017392</v>
      </c>
      <c r="C401" t="s">
        <v>356</v>
      </c>
      <c r="D401"/>
      <c r="E401"/>
      <c r="F401" s="3">
        <v>44744</v>
      </c>
      <c r="G401" s="49">
        <v>1</v>
      </c>
      <c r="H401" s="23">
        <v>199.75</v>
      </c>
      <c r="I401" t="s">
        <v>6943</v>
      </c>
      <c r="J401"/>
      <c r="K401"/>
      <c r="L401"/>
      <c r="M401"/>
      <c r="N401"/>
      <c r="O401"/>
      <c r="P401"/>
      <c r="Q401"/>
      <c r="R401"/>
    </row>
    <row r="402" spans="1:18" x14ac:dyDescent="0.25">
      <c r="A402" t="str">
        <f>IFERROR(VLOOKUP(B402&amp; "*",'SKU Maintenance'!D:H,5,0),"not found")</f>
        <v>2010050201040004</v>
      </c>
      <c r="B402">
        <v>40017393</v>
      </c>
      <c r="C402" t="s">
        <v>221</v>
      </c>
      <c r="D402"/>
      <c r="E402"/>
      <c r="F402" s="3">
        <v>44772</v>
      </c>
      <c r="G402" s="49">
        <v>1</v>
      </c>
      <c r="H402" s="23">
        <v>99.75</v>
      </c>
      <c r="I402" t="s">
        <v>6939</v>
      </c>
      <c r="J402"/>
      <c r="K402"/>
      <c r="L402"/>
      <c r="M402"/>
      <c r="N402"/>
      <c r="O402"/>
      <c r="P402"/>
      <c r="Q402"/>
      <c r="R402"/>
    </row>
    <row r="403" spans="1:18" x14ac:dyDescent="0.25">
      <c r="A403" t="str">
        <f>IFERROR(VLOOKUP(B403&amp; "*",'SKU Maintenance'!D:H,5,0),"not found")</f>
        <v>2010050204020004</v>
      </c>
      <c r="B403">
        <v>40017398</v>
      </c>
      <c r="C403" t="s">
        <v>400</v>
      </c>
      <c r="D403"/>
      <c r="E403"/>
      <c r="F403" s="3">
        <v>44755</v>
      </c>
      <c r="G403" s="49">
        <v>2</v>
      </c>
      <c r="H403" s="23">
        <v>399.5</v>
      </c>
      <c r="I403" t="s">
        <v>6943</v>
      </c>
      <c r="J403"/>
      <c r="K403"/>
      <c r="L403"/>
      <c r="M403"/>
      <c r="N403"/>
      <c r="O403"/>
      <c r="P403"/>
      <c r="Q403"/>
      <c r="R403"/>
    </row>
    <row r="404" spans="1:18" x14ac:dyDescent="0.25">
      <c r="A404" t="str">
        <f>IFERROR(VLOOKUP(B404&amp; "*",'SKU Maintenance'!D:H,5,0),"not found")</f>
        <v>2010051001160600</v>
      </c>
      <c r="B404">
        <v>40017399</v>
      </c>
      <c r="C404" t="s">
        <v>367</v>
      </c>
      <c r="D404"/>
      <c r="E404"/>
      <c r="F404" s="3">
        <v>44749</v>
      </c>
      <c r="G404" s="49">
        <v>1</v>
      </c>
      <c r="H404" s="23">
        <v>349.75</v>
      </c>
      <c r="I404" t="s">
        <v>6943</v>
      </c>
      <c r="J404"/>
      <c r="K404"/>
      <c r="L404"/>
      <c r="M404"/>
      <c r="N404"/>
      <c r="O404"/>
      <c r="P404"/>
      <c r="Q404"/>
      <c r="R404"/>
    </row>
    <row r="405" spans="1:18" x14ac:dyDescent="0.25">
      <c r="A405" t="str">
        <f>IFERROR(VLOOKUP(B405&amp; "*",'SKU Maintenance'!D:H,5,0),"not found")</f>
        <v>2010051001040600</v>
      </c>
      <c r="B405">
        <v>40017401</v>
      </c>
      <c r="C405" t="s">
        <v>109</v>
      </c>
      <c r="D405"/>
      <c r="E405"/>
      <c r="F405" s="3">
        <v>44752</v>
      </c>
      <c r="G405" s="49">
        <v>1</v>
      </c>
      <c r="H405" s="23">
        <v>349.75</v>
      </c>
      <c r="I405" t="s">
        <v>6939</v>
      </c>
      <c r="J405"/>
      <c r="K405"/>
      <c r="L405"/>
      <c r="M405"/>
      <c r="N405"/>
      <c r="O405"/>
      <c r="P405"/>
      <c r="Q405"/>
      <c r="R405"/>
    </row>
    <row r="406" spans="1:18" x14ac:dyDescent="0.25">
      <c r="A406" t="str">
        <f>IFERROR(VLOOKUP(B406&amp; "*",'SKU Maintenance'!D:H,5,0),"not found")</f>
        <v>2010051001040600</v>
      </c>
      <c r="B406">
        <v>40017401</v>
      </c>
      <c r="C406" t="s">
        <v>109</v>
      </c>
      <c r="D406"/>
      <c r="E406"/>
      <c r="F406" s="3">
        <v>44749</v>
      </c>
      <c r="G406" s="49">
        <v>1</v>
      </c>
      <c r="H406" s="23">
        <v>349.75</v>
      </c>
      <c r="I406" t="s">
        <v>6943</v>
      </c>
      <c r="J406"/>
      <c r="K406"/>
      <c r="L406"/>
      <c r="M406"/>
      <c r="N406"/>
      <c r="O406"/>
      <c r="P406"/>
      <c r="Q406"/>
      <c r="R406"/>
    </row>
    <row r="407" spans="1:18" x14ac:dyDescent="0.25">
      <c r="A407" t="str">
        <f>IFERROR(VLOOKUP(B407&amp; "*",'SKU Maintenance'!D:H,5,0),"not found")</f>
        <v>2010051002040600</v>
      </c>
      <c r="B407">
        <v>40017402</v>
      </c>
      <c r="C407" t="s">
        <v>330</v>
      </c>
      <c r="D407"/>
      <c r="E407"/>
      <c r="F407" s="3">
        <v>44766</v>
      </c>
      <c r="G407" s="49">
        <v>1</v>
      </c>
      <c r="H407" s="23">
        <v>499.75</v>
      </c>
      <c r="I407" t="s">
        <v>6941</v>
      </c>
      <c r="J407"/>
      <c r="K407"/>
      <c r="L407"/>
      <c r="M407"/>
      <c r="N407"/>
      <c r="O407"/>
      <c r="P407"/>
      <c r="Q407"/>
      <c r="R407"/>
    </row>
    <row r="408" spans="1:18" x14ac:dyDescent="0.25">
      <c r="A408" t="str">
        <f>IFERROR(VLOOKUP(B408&amp; "*",'SKU Maintenance'!D:H,5,0),"not found")</f>
        <v>2010051001020600</v>
      </c>
      <c r="B408">
        <v>40017403</v>
      </c>
      <c r="C408" t="s">
        <v>354</v>
      </c>
      <c r="D408"/>
      <c r="E408"/>
      <c r="F408" s="3">
        <v>44743</v>
      </c>
      <c r="G408" s="49">
        <v>1</v>
      </c>
      <c r="H408" s="23">
        <v>349.75</v>
      </c>
      <c r="I408" t="s">
        <v>6943</v>
      </c>
      <c r="J408"/>
      <c r="K408"/>
      <c r="L408"/>
      <c r="M408"/>
      <c r="N408"/>
      <c r="O408"/>
      <c r="P408"/>
      <c r="Q408"/>
      <c r="R408"/>
    </row>
    <row r="409" spans="1:18" x14ac:dyDescent="0.25">
      <c r="A409" t="str">
        <f>IFERROR(VLOOKUP(B409&amp; "*",'SKU Maintenance'!D:H,5,0),"not found")</f>
        <v>2010010798200106</v>
      </c>
      <c r="B409">
        <v>40017419</v>
      </c>
      <c r="C409" t="s">
        <v>336</v>
      </c>
      <c r="D409"/>
      <c r="E409"/>
      <c r="F409" s="3">
        <v>44768</v>
      </c>
      <c r="G409" s="49">
        <v>1</v>
      </c>
      <c r="H409" s="23">
        <v>399.75</v>
      </c>
      <c r="I409" t="s">
        <v>6941</v>
      </c>
      <c r="J409"/>
      <c r="K409"/>
      <c r="L409"/>
      <c r="M409"/>
      <c r="N409"/>
      <c r="O409"/>
      <c r="P409"/>
      <c r="Q409"/>
      <c r="R409"/>
    </row>
    <row r="410" spans="1:18" x14ac:dyDescent="0.25">
      <c r="A410" t="str">
        <f>IFERROR(VLOOKUP(B410&amp; "*",'SKU Maintenance'!D:H,5,0),"not found")</f>
        <v>2010010798180113</v>
      </c>
      <c r="B410">
        <v>40017426</v>
      </c>
      <c r="C410" t="s">
        <v>279</v>
      </c>
      <c r="D410"/>
      <c r="E410"/>
      <c r="F410" s="3">
        <v>44755</v>
      </c>
      <c r="G410" s="49">
        <v>1</v>
      </c>
      <c r="H410" s="23">
        <v>599.75</v>
      </c>
      <c r="I410" t="s">
        <v>6941</v>
      </c>
      <c r="J410"/>
      <c r="K410"/>
      <c r="L410"/>
      <c r="M410"/>
      <c r="N410"/>
      <c r="O410"/>
      <c r="P410"/>
      <c r="Q410"/>
      <c r="R410"/>
    </row>
    <row r="411" spans="1:18" x14ac:dyDescent="0.25">
      <c r="A411" t="str">
        <f>IFERROR(VLOOKUP(B411&amp; "*",'SKU Maintenance'!D:H,5,0),"not found")</f>
        <v>2010010798210120</v>
      </c>
      <c r="B411">
        <v>40017433</v>
      </c>
      <c r="C411" t="s">
        <v>343</v>
      </c>
      <c r="D411"/>
      <c r="E411"/>
      <c r="F411" s="3">
        <v>44770</v>
      </c>
      <c r="G411" s="49">
        <v>1</v>
      </c>
      <c r="H411" s="23">
        <v>599.75</v>
      </c>
      <c r="I411" t="s">
        <v>6941</v>
      </c>
      <c r="J411"/>
      <c r="K411"/>
      <c r="L411"/>
      <c r="M411"/>
      <c r="N411"/>
      <c r="O411"/>
      <c r="P411"/>
      <c r="Q411"/>
      <c r="R411"/>
    </row>
    <row r="412" spans="1:18" x14ac:dyDescent="0.25">
      <c r="A412" t="str">
        <f>IFERROR(VLOOKUP(B412&amp; "*",'SKU Maintenance'!D:H,5,0),"not found")</f>
        <v>2010010798210121</v>
      </c>
      <c r="B412">
        <v>40017434</v>
      </c>
      <c r="C412" t="s">
        <v>342</v>
      </c>
      <c r="D412"/>
      <c r="E412"/>
      <c r="F412" s="3">
        <v>44770</v>
      </c>
      <c r="G412" s="49">
        <v>2</v>
      </c>
      <c r="H412" s="23">
        <v>1199.5</v>
      </c>
      <c r="I412" t="s">
        <v>6941</v>
      </c>
      <c r="J412"/>
      <c r="K412"/>
      <c r="L412"/>
      <c r="M412"/>
      <c r="N412"/>
      <c r="O412"/>
      <c r="P412"/>
      <c r="Q412"/>
      <c r="R412"/>
    </row>
    <row r="413" spans="1:18" x14ac:dyDescent="0.25">
      <c r="A413" t="str">
        <f>IFERROR(VLOOKUP(B413&amp; "*",'SKU Maintenance'!D:H,5,0),"not found")</f>
        <v>2010010798180128</v>
      </c>
      <c r="B413">
        <v>40017441</v>
      </c>
      <c r="C413" t="s">
        <v>450</v>
      </c>
      <c r="D413"/>
      <c r="E413"/>
      <c r="F413" s="3">
        <v>44758</v>
      </c>
      <c r="G413" s="49">
        <v>1</v>
      </c>
      <c r="H413" s="23">
        <v>359.77500000000003</v>
      </c>
      <c r="I413" t="s">
        <v>6945</v>
      </c>
      <c r="J413"/>
      <c r="K413"/>
      <c r="L413"/>
      <c r="M413"/>
      <c r="N413"/>
      <c r="O413"/>
      <c r="P413"/>
      <c r="Q413"/>
      <c r="R413"/>
    </row>
    <row r="414" spans="1:18" x14ac:dyDescent="0.25">
      <c r="A414" t="str">
        <f>IFERROR(VLOOKUP(B414&amp; "*",'SKU Maintenance'!D:H,5,0),"not found")</f>
        <v>2010010798180129</v>
      </c>
      <c r="B414">
        <v>40017442</v>
      </c>
      <c r="C414" t="s">
        <v>451</v>
      </c>
      <c r="D414"/>
      <c r="E414"/>
      <c r="F414" s="3">
        <v>44758</v>
      </c>
      <c r="G414" s="49">
        <v>1</v>
      </c>
      <c r="H414" s="23">
        <v>359.77500000000003</v>
      </c>
      <c r="I414" t="s">
        <v>6945</v>
      </c>
      <c r="J414"/>
      <c r="K414"/>
      <c r="L414"/>
      <c r="M414"/>
      <c r="N414"/>
      <c r="O414"/>
      <c r="P414"/>
      <c r="Q414"/>
      <c r="R414"/>
    </row>
    <row r="415" spans="1:18" x14ac:dyDescent="0.25">
      <c r="A415" t="str">
        <f>IFERROR(VLOOKUP(B415&amp; "*",'SKU Maintenance'!D:H,5,0),"not found")</f>
        <v>2010010798180130</v>
      </c>
      <c r="B415">
        <v>40017443</v>
      </c>
      <c r="C415" t="s">
        <v>452</v>
      </c>
      <c r="D415"/>
      <c r="E415"/>
      <c r="F415" s="3">
        <v>44758</v>
      </c>
      <c r="G415" s="49">
        <v>1</v>
      </c>
      <c r="H415" s="23">
        <v>359.77500000000003</v>
      </c>
      <c r="I415" t="s">
        <v>6945</v>
      </c>
      <c r="J415"/>
      <c r="K415"/>
      <c r="L415"/>
      <c r="M415"/>
      <c r="N415"/>
      <c r="O415"/>
      <c r="P415"/>
      <c r="Q415"/>
      <c r="R415"/>
    </row>
    <row r="416" spans="1:18" x14ac:dyDescent="0.25">
      <c r="A416" t="str">
        <f>IFERROR(VLOOKUP(B416&amp; "*",'SKU Maintenance'!D:H,5,0),"not found")</f>
        <v>2010010798180131</v>
      </c>
      <c r="B416">
        <v>40017444</v>
      </c>
      <c r="C416" t="s">
        <v>191</v>
      </c>
      <c r="D416"/>
      <c r="E416"/>
      <c r="F416" s="3">
        <v>44766</v>
      </c>
      <c r="G416" s="49">
        <v>1</v>
      </c>
      <c r="H416" s="23">
        <v>399.75</v>
      </c>
      <c r="I416" t="s">
        <v>6939</v>
      </c>
      <c r="J416"/>
      <c r="K416"/>
      <c r="L416"/>
      <c r="M416"/>
      <c r="N416"/>
      <c r="O416"/>
      <c r="P416"/>
      <c r="Q416"/>
      <c r="R416"/>
    </row>
    <row r="417" spans="1:18" x14ac:dyDescent="0.25">
      <c r="A417" t="str">
        <f>IFERROR(VLOOKUP(B417&amp; "*",'SKU Maintenance'!D:H,5,0),"not found")</f>
        <v>2010010798180131</v>
      </c>
      <c r="B417">
        <v>40017444</v>
      </c>
      <c r="C417" t="s">
        <v>191</v>
      </c>
      <c r="D417"/>
      <c r="E417"/>
      <c r="F417" s="3">
        <v>44758</v>
      </c>
      <c r="G417" s="49">
        <v>1</v>
      </c>
      <c r="H417" s="23">
        <v>359.77500000000003</v>
      </c>
      <c r="I417" t="s">
        <v>6945</v>
      </c>
      <c r="J417"/>
      <c r="K417"/>
      <c r="L417"/>
      <c r="M417"/>
      <c r="N417"/>
      <c r="O417"/>
      <c r="P417"/>
      <c r="Q417"/>
      <c r="R417"/>
    </row>
    <row r="418" spans="1:18" x14ac:dyDescent="0.25">
      <c r="A418" t="str">
        <f>IFERROR(VLOOKUP(B418&amp; "*",'SKU Maintenance'!D:H,5,0),"not found")</f>
        <v>2010010798200092</v>
      </c>
      <c r="B418">
        <v>40017459</v>
      </c>
      <c r="C418" t="s">
        <v>223</v>
      </c>
      <c r="D418"/>
      <c r="E418"/>
      <c r="F418" s="3">
        <v>44773</v>
      </c>
      <c r="G418" s="49">
        <v>1</v>
      </c>
      <c r="H418" s="23">
        <v>539.77499999999998</v>
      </c>
      <c r="I418" t="s">
        <v>6939</v>
      </c>
      <c r="J418"/>
      <c r="K418"/>
      <c r="L418"/>
      <c r="M418"/>
      <c r="N418"/>
      <c r="O418"/>
      <c r="P418"/>
      <c r="Q418"/>
      <c r="R418"/>
    </row>
    <row r="419" spans="1:18" x14ac:dyDescent="0.25">
      <c r="A419" t="str">
        <f>IFERROR(VLOOKUP(B419&amp; "*",'SKU Maintenance'!D:H,5,0),"not found")</f>
        <v>2010010798200093</v>
      </c>
      <c r="B419">
        <v>40017460</v>
      </c>
      <c r="C419" t="s">
        <v>153</v>
      </c>
      <c r="D419"/>
      <c r="E419"/>
      <c r="F419" s="3">
        <v>44758</v>
      </c>
      <c r="G419" s="49">
        <v>1</v>
      </c>
      <c r="H419" s="23">
        <v>539.77499999999998</v>
      </c>
      <c r="I419" t="s">
        <v>6939</v>
      </c>
      <c r="J419"/>
      <c r="K419"/>
      <c r="L419"/>
      <c r="M419"/>
      <c r="N419"/>
      <c r="O419"/>
      <c r="P419"/>
      <c r="Q419"/>
      <c r="R419"/>
    </row>
    <row r="420" spans="1:18" x14ac:dyDescent="0.25">
      <c r="A420" t="str">
        <f>IFERROR(VLOOKUP(B420&amp; "*",'SKU Maintenance'!D:H,5,0),"not found")</f>
        <v>2010010798200093</v>
      </c>
      <c r="B420">
        <v>40017460</v>
      </c>
      <c r="C420" t="s">
        <v>153</v>
      </c>
      <c r="D420"/>
      <c r="E420"/>
      <c r="F420" s="3">
        <v>44773</v>
      </c>
      <c r="G420" s="49">
        <v>1</v>
      </c>
      <c r="H420" s="23">
        <v>539.77499999999998</v>
      </c>
      <c r="I420" t="s">
        <v>6939</v>
      </c>
      <c r="J420"/>
      <c r="K420"/>
      <c r="L420"/>
      <c r="M420"/>
      <c r="N420"/>
      <c r="O420"/>
      <c r="P420"/>
      <c r="Q420"/>
      <c r="R420"/>
    </row>
    <row r="421" spans="1:18" x14ac:dyDescent="0.25">
      <c r="A421" t="str">
        <f>IFERROR(VLOOKUP(B421&amp; "*",'SKU Maintenance'!D:H,5,0),"not found")</f>
        <v>2010010798200094</v>
      </c>
      <c r="B421">
        <v>40017461</v>
      </c>
      <c r="C421" t="s">
        <v>222</v>
      </c>
      <c r="D421"/>
      <c r="E421"/>
      <c r="F421" s="3">
        <v>44773</v>
      </c>
      <c r="G421" s="49">
        <v>1</v>
      </c>
      <c r="H421" s="23">
        <v>719.77499999999998</v>
      </c>
      <c r="I421" t="s">
        <v>6939</v>
      </c>
      <c r="J421"/>
      <c r="K421"/>
      <c r="L421"/>
      <c r="M421"/>
      <c r="N421"/>
      <c r="O421"/>
      <c r="P421"/>
      <c r="Q421"/>
      <c r="R421"/>
    </row>
    <row r="422" spans="1:18" x14ac:dyDescent="0.25">
      <c r="A422" t="str">
        <f>IFERROR(VLOOKUP(B422&amp; "*",'SKU Maintenance'!D:H,5,0),"not found")</f>
        <v>2010010798200094</v>
      </c>
      <c r="B422">
        <v>40017461</v>
      </c>
      <c r="C422" t="s">
        <v>222</v>
      </c>
      <c r="D422"/>
      <c r="E422"/>
      <c r="F422" s="3">
        <v>44767</v>
      </c>
      <c r="G422" s="49">
        <v>1</v>
      </c>
      <c r="H422" s="23">
        <v>799.75</v>
      </c>
      <c r="I422" t="s">
        <v>6943</v>
      </c>
      <c r="J422"/>
      <c r="K422"/>
      <c r="L422"/>
      <c r="M422"/>
      <c r="N422"/>
      <c r="O422"/>
      <c r="P422"/>
      <c r="Q422"/>
      <c r="R422"/>
    </row>
    <row r="423" spans="1:18" x14ac:dyDescent="0.25">
      <c r="A423" t="str">
        <f>IFERROR(VLOOKUP(B423&amp; "*",'SKU Maintenance'!D:H,5,0),"not found")</f>
        <v>2010010798200095</v>
      </c>
      <c r="B423">
        <v>40017462</v>
      </c>
      <c r="C423" t="s">
        <v>137</v>
      </c>
      <c r="D423"/>
      <c r="E423"/>
      <c r="F423" s="3">
        <v>44757</v>
      </c>
      <c r="G423" s="49">
        <v>1</v>
      </c>
      <c r="H423" s="23">
        <v>719.77499999999998</v>
      </c>
      <c r="I423" t="s">
        <v>6939</v>
      </c>
      <c r="J423"/>
      <c r="K423"/>
      <c r="L423"/>
      <c r="M423"/>
      <c r="N423"/>
      <c r="O423"/>
      <c r="P423"/>
      <c r="Q423"/>
      <c r="R423"/>
    </row>
    <row r="424" spans="1:18" x14ac:dyDescent="0.25">
      <c r="A424" t="str">
        <f>IFERROR(VLOOKUP(B424&amp; "*",'SKU Maintenance'!D:H,5,0),"not found")</f>
        <v>2010010798200095</v>
      </c>
      <c r="B424">
        <v>40017462</v>
      </c>
      <c r="C424" t="s">
        <v>137</v>
      </c>
      <c r="D424"/>
      <c r="E424"/>
      <c r="F424" s="3">
        <v>44773</v>
      </c>
      <c r="G424" s="49">
        <v>1</v>
      </c>
      <c r="H424" s="23">
        <v>719.77499999999998</v>
      </c>
      <c r="I424" t="s">
        <v>6939</v>
      </c>
      <c r="J424"/>
      <c r="K424"/>
      <c r="L424"/>
      <c r="M424"/>
      <c r="N424"/>
      <c r="O424"/>
      <c r="P424"/>
      <c r="Q424"/>
      <c r="R424"/>
    </row>
    <row r="425" spans="1:18" x14ac:dyDescent="0.25">
      <c r="A425" t="str">
        <f>IFERROR(VLOOKUP(B425&amp; "*",'SKU Maintenance'!D:H,5,0),"not found")</f>
        <v>2010010798200095</v>
      </c>
      <c r="B425">
        <v>40017462</v>
      </c>
      <c r="C425" t="s">
        <v>137</v>
      </c>
      <c r="D425"/>
      <c r="E425"/>
      <c r="F425" s="3">
        <v>44767</v>
      </c>
      <c r="G425" s="49">
        <v>1</v>
      </c>
      <c r="H425" s="23">
        <v>799.75</v>
      </c>
      <c r="I425" t="s">
        <v>6943</v>
      </c>
      <c r="J425"/>
      <c r="K425"/>
      <c r="L425"/>
      <c r="M425"/>
      <c r="N425"/>
      <c r="O425"/>
      <c r="P425"/>
      <c r="Q425"/>
      <c r="R425"/>
    </row>
    <row r="426" spans="1:18" x14ac:dyDescent="0.25">
      <c r="A426" t="str">
        <f>IFERROR(VLOOKUP(B426&amp; "*",'SKU Maintenance'!D:H,5,0),"not found")</f>
        <v>2010010798200096</v>
      </c>
      <c r="B426">
        <v>40017463</v>
      </c>
      <c r="C426" t="s">
        <v>105</v>
      </c>
      <c r="D426"/>
      <c r="E426"/>
      <c r="F426" s="3">
        <v>44752</v>
      </c>
      <c r="G426" s="49">
        <v>2</v>
      </c>
      <c r="H426" s="23">
        <v>1199.5</v>
      </c>
      <c r="I426" t="s">
        <v>6939</v>
      </c>
      <c r="J426"/>
      <c r="K426"/>
      <c r="L426"/>
      <c r="M426"/>
      <c r="N426"/>
      <c r="O426"/>
      <c r="P426"/>
      <c r="Q426"/>
      <c r="R426"/>
    </row>
    <row r="427" spans="1:18" x14ac:dyDescent="0.25">
      <c r="A427" t="str">
        <f>IFERROR(VLOOKUP(B427&amp; "*",'SKU Maintenance'!D:H,5,0),"not found")</f>
        <v>2010010798200096</v>
      </c>
      <c r="B427">
        <v>40017463</v>
      </c>
      <c r="C427" t="s">
        <v>105</v>
      </c>
      <c r="D427"/>
      <c r="E427"/>
      <c r="F427" s="3">
        <v>44757</v>
      </c>
      <c r="G427" s="49">
        <v>1</v>
      </c>
      <c r="H427" s="23">
        <v>539.77499999999998</v>
      </c>
      <c r="I427" t="s">
        <v>6939</v>
      </c>
      <c r="J427"/>
      <c r="K427"/>
      <c r="L427"/>
      <c r="M427"/>
      <c r="N427"/>
      <c r="O427"/>
      <c r="P427"/>
      <c r="Q427"/>
      <c r="R427"/>
    </row>
    <row r="428" spans="1:18" x14ac:dyDescent="0.25">
      <c r="A428" t="str">
        <f>IFERROR(VLOOKUP(B428&amp; "*",'SKU Maintenance'!D:H,5,0),"not found")</f>
        <v>2010010798200097</v>
      </c>
      <c r="B428">
        <v>40017464</v>
      </c>
      <c r="C428" t="s">
        <v>224</v>
      </c>
      <c r="D428"/>
      <c r="E428"/>
      <c r="F428" s="3">
        <v>44773</v>
      </c>
      <c r="G428" s="49">
        <v>1</v>
      </c>
      <c r="H428" s="23">
        <v>539.77499999999998</v>
      </c>
      <c r="I428" t="s">
        <v>6939</v>
      </c>
      <c r="J428"/>
      <c r="K428"/>
      <c r="L428"/>
      <c r="M428"/>
      <c r="N428"/>
      <c r="O428"/>
      <c r="P428"/>
      <c r="Q428"/>
      <c r="R428"/>
    </row>
    <row r="429" spans="1:18" x14ac:dyDescent="0.25">
      <c r="A429" t="str">
        <f>IFERROR(VLOOKUP(B429&amp; "*",'SKU Maintenance'!D:H,5,0),"not found")</f>
        <v>2010010798200098</v>
      </c>
      <c r="B429">
        <v>40017465</v>
      </c>
      <c r="C429" t="s">
        <v>303</v>
      </c>
      <c r="D429"/>
      <c r="E429"/>
      <c r="F429" s="3">
        <v>44760</v>
      </c>
      <c r="G429" s="49">
        <v>1</v>
      </c>
      <c r="H429" s="23">
        <v>799.75</v>
      </c>
      <c r="I429" t="s">
        <v>6941</v>
      </c>
      <c r="J429"/>
      <c r="K429"/>
      <c r="L429"/>
      <c r="M429"/>
      <c r="N429"/>
      <c r="O429"/>
      <c r="P429"/>
      <c r="Q429"/>
      <c r="R429"/>
    </row>
    <row r="430" spans="1:18" x14ac:dyDescent="0.25">
      <c r="A430" t="str">
        <f>IFERROR(VLOOKUP(B430&amp; "*",'SKU Maintenance'!D:H,5,0),"not found")</f>
        <v>2010010798200100</v>
      </c>
      <c r="B430">
        <v>40017467</v>
      </c>
      <c r="C430" t="s">
        <v>335</v>
      </c>
      <c r="D430"/>
      <c r="E430"/>
      <c r="F430" s="3">
        <v>44768</v>
      </c>
      <c r="G430" s="49">
        <v>1</v>
      </c>
      <c r="H430" s="23">
        <v>399.75</v>
      </c>
      <c r="I430" t="s">
        <v>6941</v>
      </c>
      <c r="J430"/>
      <c r="K430"/>
      <c r="L430"/>
      <c r="M430"/>
      <c r="N430"/>
      <c r="O430"/>
      <c r="P430"/>
      <c r="Q430"/>
      <c r="R430"/>
    </row>
    <row r="431" spans="1:18" x14ac:dyDescent="0.25">
      <c r="A431" t="str">
        <f>IFERROR(VLOOKUP(B431&amp; "*",'SKU Maintenance'!D:H,5,0),"not found")</f>
        <v>2010010798200101</v>
      </c>
      <c r="B431">
        <v>40017468</v>
      </c>
      <c r="C431" t="s">
        <v>337</v>
      </c>
      <c r="D431"/>
      <c r="E431"/>
      <c r="F431" s="3">
        <v>44768</v>
      </c>
      <c r="G431" s="49">
        <v>1</v>
      </c>
      <c r="H431" s="23">
        <v>399.75</v>
      </c>
      <c r="I431" t="s">
        <v>6941</v>
      </c>
      <c r="J431"/>
      <c r="K431"/>
      <c r="L431"/>
      <c r="M431"/>
      <c r="N431"/>
      <c r="O431"/>
      <c r="P431"/>
      <c r="Q431"/>
      <c r="R431"/>
    </row>
    <row r="432" spans="1:18" x14ac:dyDescent="0.25">
      <c r="A432" t="str">
        <f>IFERROR(VLOOKUP(B432&amp; "*",'SKU Maintenance'!D:H,5,0),"not found")</f>
        <v>2010010798200103</v>
      </c>
      <c r="B432">
        <v>40017470</v>
      </c>
      <c r="C432" t="s">
        <v>192</v>
      </c>
      <c r="D432"/>
      <c r="E432"/>
      <c r="F432" s="3">
        <v>44766</v>
      </c>
      <c r="G432" s="49">
        <v>1</v>
      </c>
      <c r="H432" s="23">
        <v>399.75</v>
      </c>
      <c r="I432" t="s">
        <v>6939</v>
      </c>
      <c r="J432"/>
      <c r="K432"/>
      <c r="L432"/>
      <c r="M432"/>
      <c r="N432"/>
      <c r="O432"/>
      <c r="P432"/>
      <c r="Q432"/>
      <c r="R432"/>
    </row>
    <row r="433" spans="1:18" x14ac:dyDescent="0.25">
      <c r="A433" t="str">
        <f>IFERROR(VLOOKUP(B433&amp; "*",'SKU Maintenance'!D:H,5,0),"not found")</f>
        <v>2010010798200103</v>
      </c>
      <c r="B433">
        <v>40017470</v>
      </c>
      <c r="C433" t="s">
        <v>192</v>
      </c>
      <c r="D433"/>
      <c r="E433"/>
      <c r="F433" s="3">
        <v>44768</v>
      </c>
      <c r="G433" s="49">
        <v>1</v>
      </c>
      <c r="H433" s="23">
        <v>399.75</v>
      </c>
      <c r="I433" t="s">
        <v>6941</v>
      </c>
      <c r="J433"/>
      <c r="K433"/>
      <c r="L433"/>
      <c r="M433"/>
      <c r="N433"/>
      <c r="O433"/>
      <c r="P433"/>
      <c r="Q433"/>
      <c r="R433"/>
    </row>
    <row r="434" spans="1:18" x14ac:dyDescent="0.25">
      <c r="A434" t="str">
        <f>IFERROR(VLOOKUP(B434&amp; "*",'SKU Maintenance'!D:H,5,0),"not found")</f>
        <v>2010010798180068</v>
      </c>
      <c r="B434">
        <v>40017477</v>
      </c>
      <c r="C434" t="s">
        <v>129</v>
      </c>
      <c r="D434"/>
      <c r="E434"/>
      <c r="F434" s="3">
        <v>44756</v>
      </c>
      <c r="G434" s="49">
        <v>1</v>
      </c>
      <c r="H434" s="23">
        <v>599.75</v>
      </c>
      <c r="I434" t="s">
        <v>6939</v>
      </c>
      <c r="J434"/>
      <c r="K434"/>
      <c r="L434"/>
      <c r="M434"/>
      <c r="N434"/>
      <c r="O434"/>
      <c r="P434"/>
      <c r="Q434"/>
      <c r="R434"/>
    </row>
    <row r="435" spans="1:18" x14ac:dyDescent="0.25">
      <c r="A435" t="str">
        <f>IFERROR(VLOOKUP(B435&amp; "*",'SKU Maintenance'!D:H,5,0),"not found")</f>
        <v>2010010798180069</v>
      </c>
      <c r="B435">
        <v>40017478</v>
      </c>
      <c r="C435" t="s">
        <v>130</v>
      </c>
      <c r="D435"/>
      <c r="E435"/>
      <c r="F435" s="3">
        <v>44756</v>
      </c>
      <c r="G435" s="49">
        <v>1</v>
      </c>
      <c r="H435" s="23">
        <v>599.75</v>
      </c>
      <c r="I435" t="s">
        <v>6939</v>
      </c>
      <c r="J435"/>
      <c r="K435"/>
      <c r="L435"/>
      <c r="M435"/>
      <c r="N435"/>
      <c r="O435"/>
      <c r="P435"/>
      <c r="Q435"/>
      <c r="R435"/>
    </row>
    <row r="436" spans="1:18" x14ac:dyDescent="0.25">
      <c r="A436" t="str">
        <f>IFERROR(VLOOKUP(B436&amp; "*",'SKU Maintenance'!D:H,5,0),"not found")</f>
        <v>2010010798180069</v>
      </c>
      <c r="B436">
        <v>40017478</v>
      </c>
      <c r="C436" t="s">
        <v>130</v>
      </c>
      <c r="D436"/>
      <c r="E436"/>
      <c r="F436" s="3">
        <v>44746</v>
      </c>
      <c r="G436" s="49">
        <v>1</v>
      </c>
      <c r="H436" s="23">
        <v>599.75</v>
      </c>
      <c r="I436" t="s">
        <v>6941</v>
      </c>
      <c r="J436"/>
      <c r="K436"/>
      <c r="L436"/>
      <c r="M436"/>
      <c r="N436"/>
      <c r="O436"/>
      <c r="P436"/>
      <c r="Q436"/>
      <c r="R436"/>
    </row>
    <row r="437" spans="1:18" x14ac:dyDescent="0.25">
      <c r="A437" t="str">
        <f>IFERROR(VLOOKUP(B437&amp; "*",'SKU Maintenance'!D:H,5,0),"not found")</f>
        <v>2010010798210084</v>
      </c>
      <c r="B437">
        <v>40017493</v>
      </c>
      <c r="C437" t="s">
        <v>122</v>
      </c>
      <c r="D437"/>
      <c r="E437"/>
      <c r="F437" s="3">
        <v>44753</v>
      </c>
      <c r="G437" s="49">
        <v>1</v>
      </c>
      <c r="H437" s="23">
        <v>450</v>
      </c>
      <c r="I437" t="s">
        <v>6939</v>
      </c>
      <c r="J437"/>
      <c r="K437"/>
      <c r="L437"/>
      <c r="M437"/>
      <c r="N437"/>
      <c r="O437"/>
      <c r="P437"/>
      <c r="Q437"/>
      <c r="R437"/>
    </row>
    <row r="438" spans="1:18" x14ac:dyDescent="0.25">
      <c r="A438" t="str">
        <f>IFERROR(VLOOKUP(B438&amp; "*",'SKU Maintenance'!D:H,5,0),"not found")</f>
        <v>2010010798200059</v>
      </c>
      <c r="B438">
        <v>40017500</v>
      </c>
      <c r="C438" t="s">
        <v>322</v>
      </c>
      <c r="D438"/>
      <c r="E438"/>
      <c r="F438" s="3">
        <v>44765</v>
      </c>
      <c r="G438" s="49">
        <v>1</v>
      </c>
      <c r="H438" s="23">
        <v>600</v>
      </c>
      <c r="I438" t="s">
        <v>6941</v>
      </c>
      <c r="J438"/>
      <c r="K438"/>
      <c r="L438"/>
      <c r="M438"/>
      <c r="N438"/>
      <c r="O438"/>
      <c r="P438"/>
      <c r="Q438"/>
      <c r="R438"/>
    </row>
    <row r="439" spans="1:18" x14ac:dyDescent="0.25">
      <c r="A439" t="str">
        <f>IFERROR(VLOOKUP(B439&amp; "*",'SKU Maintenance'!D:H,5,0),"not found")</f>
        <v>2010010798200060</v>
      </c>
      <c r="B439">
        <v>40017501</v>
      </c>
      <c r="C439" t="s">
        <v>230</v>
      </c>
      <c r="D439"/>
      <c r="E439"/>
      <c r="F439" s="3">
        <v>44773</v>
      </c>
      <c r="G439" s="49">
        <v>1</v>
      </c>
      <c r="H439" s="23">
        <v>450</v>
      </c>
      <c r="I439" t="s">
        <v>6939</v>
      </c>
      <c r="J439"/>
      <c r="K439"/>
      <c r="L439"/>
      <c r="M439"/>
      <c r="N439"/>
      <c r="O439"/>
      <c r="P439"/>
      <c r="Q439"/>
      <c r="R439"/>
    </row>
    <row r="440" spans="1:18" x14ac:dyDescent="0.25">
      <c r="A440" t="str">
        <f>IFERROR(VLOOKUP(B440&amp; "*",'SKU Maintenance'!D:H,5,0),"not found")</f>
        <v>2010010798200061</v>
      </c>
      <c r="B440">
        <v>40017502</v>
      </c>
      <c r="C440" t="s">
        <v>141</v>
      </c>
      <c r="D440"/>
      <c r="E440"/>
      <c r="F440" s="3">
        <v>44757</v>
      </c>
      <c r="G440" s="49">
        <v>1</v>
      </c>
      <c r="H440" s="23">
        <v>450</v>
      </c>
      <c r="I440" t="s">
        <v>6939</v>
      </c>
      <c r="J440"/>
      <c r="K440"/>
      <c r="L440"/>
      <c r="M440"/>
      <c r="N440"/>
      <c r="O440"/>
      <c r="P440"/>
      <c r="Q440"/>
      <c r="R440"/>
    </row>
    <row r="441" spans="1:18" x14ac:dyDescent="0.25">
      <c r="A441" t="str">
        <f>IFERROR(VLOOKUP(B441&amp; "*",'SKU Maintenance'!D:H,5,0),"not found")</f>
        <v>2010010798200062</v>
      </c>
      <c r="B441">
        <v>40017503</v>
      </c>
      <c r="C441" t="s">
        <v>257</v>
      </c>
      <c r="D441"/>
      <c r="E441"/>
      <c r="F441" s="3">
        <v>44746</v>
      </c>
      <c r="G441" s="49">
        <v>1</v>
      </c>
      <c r="H441" s="23">
        <v>600</v>
      </c>
      <c r="I441" t="s">
        <v>6941</v>
      </c>
      <c r="J441"/>
      <c r="K441"/>
      <c r="L441"/>
      <c r="M441"/>
      <c r="N441"/>
      <c r="O441"/>
      <c r="P441"/>
      <c r="Q441"/>
      <c r="R441"/>
    </row>
    <row r="442" spans="1:18" x14ac:dyDescent="0.25">
      <c r="A442" t="str">
        <f>IFERROR(VLOOKUP(B442&amp; "*",'SKU Maintenance'!D:H,5,0),"not found")</f>
        <v>2010010798200063</v>
      </c>
      <c r="B442">
        <v>40017504</v>
      </c>
      <c r="C442" t="s">
        <v>258</v>
      </c>
      <c r="D442"/>
      <c r="E442"/>
      <c r="F442" s="3">
        <v>44746</v>
      </c>
      <c r="G442" s="49">
        <v>1</v>
      </c>
      <c r="H442" s="23">
        <v>600</v>
      </c>
      <c r="I442" t="s">
        <v>6941</v>
      </c>
      <c r="J442"/>
      <c r="K442"/>
      <c r="L442"/>
      <c r="M442"/>
      <c r="N442"/>
      <c r="O442"/>
      <c r="P442"/>
      <c r="Q442"/>
      <c r="R442"/>
    </row>
    <row r="443" spans="1:18" x14ac:dyDescent="0.25">
      <c r="A443" t="str">
        <f>IFERROR(VLOOKUP(B443&amp; "*",'SKU Maintenance'!D:H,5,0),"not found")</f>
        <v>2010010798200064</v>
      </c>
      <c r="B443">
        <v>40017505</v>
      </c>
      <c r="C443" t="s">
        <v>145</v>
      </c>
      <c r="D443"/>
      <c r="E443"/>
      <c r="F443" s="3">
        <v>44757</v>
      </c>
      <c r="G443" s="49">
        <v>1</v>
      </c>
      <c r="H443" s="23">
        <v>300</v>
      </c>
      <c r="I443" t="s">
        <v>6939</v>
      </c>
      <c r="J443"/>
      <c r="K443"/>
      <c r="L443"/>
      <c r="M443"/>
      <c r="N443"/>
      <c r="O443"/>
      <c r="P443"/>
      <c r="Q443"/>
      <c r="R443"/>
    </row>
    <row r="444" spans="1:18" x14ac:dyDescent="0.25">
      <c r="A444" t="str">
        <f>IFERROR(VLOOKUP(B444&amp; "*",'SKU Maintenance'!D:H,5,0),"not found")</f>
        <v>2010010798200065</v>
      </c>
      <c r="B444">
        <v>40017506</v>
      </c>
      <c r="C444" t="s">
        <v>148</v>
      </c>
      <c r="D444"/>
      <c r="E444"/>
      <c r="F444" s="3">
        <v>44757</v>
      </c>
      <c r="G444" s="49">
        <v>1</v>
      </c>
      <c r="H444" s="23">
        <v>300</v>
      </c>
      <c r="I444" t="s">
        <v>6939</v>
      </c>
      <c r="J444"/>
      <c r="K444"/>
      <c r="L444"/>
      <c r="M444"/>
      <c r="N444"/>
      <c r="O444"/>
      <c r="P444"/>
      <c r="Q444"/>
      <c r="R444"/>
    </row>
    <row r="445" spans="1:18" x14ac:dyDescent="0.25">
      <c r="A445" t="str">
        <f>IFERROR(VLOOKUP(B445&amp; "*",'SKU Maintenance'!D:H,5,0),"not found")</f>
        <v>2010010798200066</v>
      </c>
      <c r="B445">
        <v>40017507</v>
      </c>
      <c r="C445" t="s">
        <v>468</v>
      </c>
      <c r="D445"/>
      <c r="E445"/>
      <c r="F445" s="3">
        <v>44769</v>
      </c>
      <c r="G445" s="49">
        <v>2</v>
      </c>
      <c r="H445" s="23">
        <v>600</v>
      </c>
      <c r="I445" t="s">
        <v>6945</v>
      </c>
      <c r="J445"/>
      <c r="K445"/>
      <c r="L445"/>
      <c r="M445"/>
      <c r="N445"/>
      <c r="O445"/>
      <c r="P445"/>
      <c r="Q445"/>
      <c r="R445"/>
    </row>
    <row r="446" spans="1:18" x14ac:dyDescent="0.25">
      <c r="A446" t="str">
        <f>IFERROR(VLOOKUP(B446&amp; "*",'SKU Maintenance'!D:H,5,0),"not found")</f>
        <v>2010010798200067</v>
      </c>
      <c r="B446">
        <v>40017508</v>
      </c>
      <c r="C446" t="s">
        <v>198</v>
      </c>
      <c r="D446"/>
      <c r="E446"/>
      <c r="F446" s="3">
        <v>44766</v>
      </c>
      <c r="G446" s="49">
        <v>1</v>
      </c>
      <c r="H446" s="23">
        <v>300</v>
      </c>
      <c r="I446" t="s">
        <v>6939</v>
      </c>
      <c r="J446"/>
      <c r="K446"/>
      <c r="L446"/>
      <c r="M446"/>
      <c r="N446"/>
      <c r="O446"/>
      <c r="P446"/>
      <c r="Q446"/>
      <c r="R446"/>
    </row>
    <row r="447" spans="1:18" x14ac:dyDescent="0.25">
      <c r="A447" t="str">
        <f>IFERROR(VLOOKUP(B447&amp; "*",'SKU Maintenance'!D:H,5,0),"not found")</f>
        <v>2010010601210002</v>
      </c>
      <c r="B447">
        <v>40017525</v>
      </c>
      <c r="C447" t="s">
        <v>288</v>
      </c>
      <c r="D447"/>
      <c r="E447"/>
      <c r="F447" s="3">
        <v>44757</v>
      </c>
      <c r="G447" s="49">
        <v>1</v>
      </c>
      <c r="H447" s="23">
        <v>224.77500000000001</v>
      </c>
      <c r="I447" t="s">
        <v>6941</v>
      </c>
      <c r="J447"/>
      <c r="K447"/>
      <c r="L447"/>
      <c r="M447"/>
      <c r="N447"/>
      <c r="O447"/>
      <c r="P447"/>
      <c r="Q447"/>
      <c r="R447"/>
    </row>
    <row r="448" spans="1:18" x14ac:dyDescent="0.25">
      <c r="A448" t="str">
        <f>IFERROR(VLOOKUP(B448&amp; "*",'SKU Maintenance'!D:H,5,0),"not found")</f>
        <v>2010010699210002</v>
      </c>
      <c r="B448">
        <v>40017526</v>
      </c>
      <c r="C448" t="s">
        <v>209</v>
      </c>
      <c r="D448"/>
      <c r="E448"/>
      <c r="F448" s="3">
        <v>44769</v>
      </c>
      <c r="G448" s="49">
        <v>1</v>
      </c>
      <c r="H448" s="23">
        <v>549.75</v>
      </c>
      <c r="I448" t="s">
        <v>6939</v>
      </c>
      <c r="J448"/>
      <c r="K448"/>
      <c r="L448"/>
      <c r="M448"/>
      <c r="N448"/>
      <c r="O448"/>
      <c r="P448"/>
      <c r="Q448"/>
      <c r="R448"/>
    </row>
    <row r="449" spans="1:18" x14ac:dyDescent="0.25">
      <c r="A449" t="str">
        <f>IFERROR(VLOOKUP(B449&amp; "*",'SKU Maintenance'!D:H,5,0),"not found")</f>
        <v>2010010699210002</v>
      </c>
      <c r="B449">
        <v>40017526</v>
      </c>
      <c r="C449" t="s">
        <v>209</v>
      </c>
      <c r="D449"/>
      <c r="E449"/>
      <c r="F449" s="3">
        <v>44773</v>
      </c>
      <c r="G449" s="49">
        <v>1</v>
      </c>
      <c r="H449" s="23">
        <v>494.77500000000003</v>
      </c>
      <c r="I449" t="s">
        <v>6939</v>
      </c>
      <c r="J449"/>
      <c r="K449"/>
      <c r="L449"/>
      <c r="M449"/>
      <c r="N449"/>
      <c r="O449"/>
      <c r="P449"/>
      <c r="Q449"/>
      <c r="R449"/>
    </row>
    <row r="450" spans="1:18" x14ac:dyDescent="0.25">
      <c r="A450" t="str">
        <f>IFERROR(VLOOKUP(B450&amp; "*",'SKU Maintenance'!D:H,5,0),"not found")</f>
        <v>2010010604210002</v>
      </c>
      <c r="B450">
        <v>40017527</v>
      </c>
      <c r="C450" t="s">
        <v>278</v>
      </c>
      <c r="D450"/>
      <c r="E450"/>
      <c r="F450" s="3">
        <v>44753</v>
      </c>
      <c r="G450" s="49">
        <v>1</v>
      </c>
      <c r="H450" s="23">
        <v>749.75</v>
      </c>
      <c r="I450" t="s">
        <v>6941</v>
      </c>
      <c r="J450"/>
      <c r="K450"/>
      <c r="L450"/>
      <c r="M450"/>
      <c r="N450"/>
      <c r="O450"/>
      <c r="P450"/>
      <c r="Q450"/>
      <c r="R450"/>
    </row>
    <row r="451" spans="1:18" x14ac:dyDescent="0.25">
      <c r="A451" t="str">
        <f>IFERROR(VLOOKUP(B451&amp; "*",'SKU Maintenance'!D:H,5,0),"not found")</f>
        <v>2010010103220024</v>
      </c>
      <c r="B451">
        <v>40017546</v>
      </c>
      <c r="C451" t="s">
        <v>396</v>
      </c>
      <c r="D451"/>
      <c r="E451"/>
      <c r="F451" s="3">
        <v>44754</v>
      </c>
      <c r="G451" s="49">
        <v>1</v>
      </c>
      <c r="H451" s="23">
        <v>150</v>
      </c>
      <c r="I451" t="s">
        <v>6943</v>
      </c>
      <c r="J451"/>
      <c r="K451"/>
      <c r="L451"/>
      <c r="M451"/>
      <c r="N451"/>
      <c r="O451"/>
      <c r="P451"/>
      <c r="Q451"/>
      <c r="R451"/>
    </row>
    <row r="452" spans="1:18" x14ac:dyDescent="0.25">
      <c r="A452" t="str">
        <f>IFERROR(VLOOKUP(B452&amp; "*",'SKU Maintenance'!D:H,5,0),"not found")</f>
        <v>2010010104220024</v>
      </c>
      <c r="B452">
        <v>40017549</v>
      </c>
      <c r="C452" t="s">
        <v>357</v>
      </c>
      <c r="D452"/>
      <c r="E452"/>
      <c r="F452" s="3">
        <v>44745</v>
      </c>
      <c r="G452" s="49">
        <v>1</v>
      </c>
      <c r="H452" s="23">
        <v>225</v>
      </c>
      <c r="I452" t="s">
        <v>6943</v>
      </c>
      <c r="J452"/>
      <c r="K452"/>
      <c r="L452"/>
      <c r="M452"/>
      <c r="N452"/>
      <c r="O452"/>
      <c r="P452"/>
      <c r="Q452"/>
      <c r="R452"/>
    </row>
    <row r="453" spans="1:18" x14ac:dyDescent="0.25">
      <c r="A453" t="str">
        <f>IFERROR(VLOOKUP(B453&amp; "*",'SKU Maintenance'!D:H,5,0),"not found")</f>
        <v>2010010103200026</v>
      </c>
      <c r="B453">
        <v>40017559</v>
      </c>
      <c r="C453" t="s">
        <v>302</v>
      </c>
      <c r="D453"/>
      <c r="E453"/>
      <c r="F453" s="3">
        <v>44759</v>
      </c>
      <c r="G453" s="49">
        <v>1</v>
      </c>
      <c r="H453" s="23">
        <v>150</v>
      </c>
      <c r="I453" t="s">
        <v>6941</v>
      </c>
      <c r="J453"/>
      <c r="K453"/>
      <c r="L453"/>
      <c r="M453"/>
      <c r="N453"/>
      <c r="O453"/>
      <c r="P453"/>
      <c r="Q453"/>
      <c r="R453"/>
    </row>
    <row r="454" spans="1:18" x14ac:dyDescent="0.25">
      <c r="A454" t="str">
        <f>IFERROR(VLOOKUP(B454&amp; "*",'SKU Maintenance'!D:H,5,0),"not found")</f>
        <v>2010010104220026</v>
      </c>
      <c r="B454">
        <v>40017563</v>
      </c>
      <c r="C454" t="s">
        <v>158</v>
      </c>
      <c r="D454"/>
      <c r="E454"/>
      <c r="F454" s="3">
        <v>44758</v>
      </c>
      <c r="G454" s="49">
        <v>1</v>
      </c>
      <c r="H454" s="23">
        <v>225</v>
      </c>
      <c r="I454" t="s">
        <v>6939</v>
      </c>
      <c r="J454"/>
      <c r="K454"/>
      <c r="L454"/>
      <c r="M454"/>
      <c r="N454"/>
      <c r="O454"/>
      <c r="P454"/>
      <c r="Q454"/>
      <c r="R454"/>
    </row>
    <row r="455" spans="1:18" x14ac:dyDescent="0.25">
      <c r="A455" t="str">
        <f>IFERROR(VLOOKUP(B455&amp; "*",'SKU Maintenance'!D:H,5,0),"not found")</f>
        <v>2010010104170027</v>
      </c>
      <c r="B455">
        <v>40017567</v>
      </c>
      <c r="C455" t="s">
        <v>471</v>
      </c>
      <c r="D455"/>
      <c r="E455"/>
      <c r="F455" s="3">
        <v>44771</v>
      </c>
      <c r="G455" s="49">
        <v>1</v>
      </c>
      <c r="H455" s="23">
        <v>225</v>
      </c>
      <c r="I455" t="s">
        <v>6945</v>
      </c>
      <c r="J455"/>
      <c r="K455"/>
      <c r="L455"/>
      <c r="M455"/>
      <c r="N455"/>
      <c r="O455"/>
      <c r="P455"/>
      <c r="Q455"/>
      <c r="R455"/>
    </row>
    <row r="456" spans="1:18" x14ac:dyDescent="0.25">
      <c r="A456" t="str">
        <f>IFERROR(VLOOKUP(B456&amp; "*",'SKU Maintenance'!D:H,5,0),"not found")</f>
        <v>2010010104160027</v>
      </c>
      <c r="B456">
        <v>40017568</v>
      </c>
      <c r="C456" t="s">
        <v>473</v>
      </c>
      <c r="D456"/>
      <c r="E456"/>
      <c r="F456" s="3">
        <v>44771</v>
      </c>
      <c r="G456" s="49">
        <v>1</v>
      </c>
      <c r="H456" s="23">
        <v>225</v>
      </c>
      <c r="I456" t="s">
        <v>6945</v>
      </c>
      <c r="J456"/>
      <c r="K456"/>
      <c r="L456"/>
      <c r="M456"/>
      <c r="N456"/>
      <c r="O456"/>
      <c r="P456"/>
      <c r="Q456"/>
      <c r="R456"/>
    </row>
    <row r="457" spans="1:18" x14ac:dyDescent="0.25">
      <c r="A457" t="str">
        <f>IFERROR(VLOOKUP(B457&amp; "*",'SKU Maintenance'!D:H,5,0),"not found")</f>
        <v>2010010104220027</v>
      </c>
      <c r="B457">
        <v>40017569</v>
      </c>
      <c r="C457" t="s">
        <v>472</v>
      </c>
      <c r="D457"/>
      <c r="E457"/>
      <c r="F457" s="3">
        <v>44771</v>
      </c>
      <c r="G457" s="49">
        <v>1</v>
      </c>
      <c r="H457" s="23">
        <v>225</v>
      </c>
      <c r="I457" t="s">
        <v>6945</v>
      </c>
      <c r="J457"/>
      <c r="K457"/>
      <c r="L457"/>
      <c r="M457"/>
      <c r="N457"/>
      <c r="O457"/>
      <c r="P457"/>
      <c r="Q457"/>
      <c r="R457"/>
    </row>
    <row r="458" spans="1:18" x14ac:dyDescent="0.25">
      <c r="A458" t="str">
        <f>IFERROR(VLOOKUP(B458&amp; "*",'SKU Maintenance'!D:H,5,0),"not found")</f>
        <v>2010020298180003</v>
      </c>
      <c r="B458">
        <v>40017571</v>
      </c>
      <c r="C458" t="s">
        <v>264</v>
      </c>
      <c r="D458"/>
      <c r="E458"/>
      <c r="F458" s="3">
        <v>44748</v>
      </c>
      <c r="G458" s="49">
        <v>1</v>
      </c>
      <c r="H458" s="23">
        <v>299.75</v>
      </c>
      <c r="I458" t="s">
        <v>6941</v>
      </c>
      <c r="J458"/>
      <c r="K458"/>
      <c r="L458"/>
      <c r="M458"/>
      <c r="N458"/>
      <c r="O458"/>
      <c r="P458"/>
      <c r="Q458"/>
      <c r="R458"/>
    </row>
    <row r="459" spans="1:18" x14ac:dyDescent="0.25">
      <c r="A459" t="str">
        <f>IFERROR(VLOOKUP(B459&amp; "*",'SKU Maintenance'!D:H,5,0),"not found")</f>
        <v>2010020298180003</v>
      </c>
      <c r="B459">
        <v>40017571</v>
      </c>
      <c r="C459" t="s">
        <v>264</v>
      </c>
      <c r="D459"/>
      <c r="E459"/>
      <c r="F459" s="3">
        <v>44754</v>
      </c>
      <c r="G459" s="49">
        <v>1</v>
      </c>
      <c r="H459" s="23">
        <v>299.75</v>
      </c>
      <c r="I459" t="s">
        <v>6941</v>
      </c>
      <c r="J459"/>
      <c r="K459"/>
      <c r="L459"/>
      <c r="M459"/>
      <c r="N459"/>
      <c r="O459"/>
      <c r="P459"/>
      <c r="Q459"/>
      <c r="R459"/>
    </row>
    <row r="460" spans="1:18" x14ac:dyDescent="0.25">
      <c r="A460" t="str">
        <f>IFERROR(VLOOKUP(B460&amp; "*",'SKU Maintenance'!D:H,5,0),"not found")</f>
        <v>2010020298180003</v>
      </c>
      <c r="B460">
        <v>40017571</v>
      </c>
      <c r="C460" t="s">
        <v>264</v>
      </c>
      <c r="D460"/>
      <c r="E460"/>
      <c r="F460" s="3">
        <v>44757</v>
      </c>
      <c r="G460" s="49">
        <v>1</v>
      </c>
      <c r="H460" s="23">
        <v>299.75</v>
      </c>
      <c r="I460" t="s">
        <v>6941</v>
      </c>
      <c r="J460"/>
      <c r="K460"/>
      <c r="L460"/>
      <c r="M460"/>
      <c r="N460"/>
      <c r="O460"/>
      <c r="P460"/>
      <c r="Q460"/>
      <c r="R460"/>
    </row>
    <row r="461" spans="1:18" x14ac:dyDescent="0.25">
      <c r="A461" t="str">
        <f>IFERROR(VLOOKUP(B461&amp; "*",'SKU Maintenance'!D:H,5,0),"not found")</f>
        <v>2010020298180003</v>
      </c>
      <c r="B461">
        <v>40017571</v>
      </c>
      <c r="C461" t="s">
        <v>264</v>
      </c>
      <c r="D461"/>
      <c r="E461"/>
      <c r="F461" s="3">
        <v>44770</v>
      </c>
      <c r="G461" s="49">
        <v>1</v>
      </c>
      <c r="H461" s="23">
        <v>299.75</v>
      </c>
      <c r="I461" t="s">
        <v>6941</v>
      </c>
      <c r="J461"/>
      <c r="K461"/>
      <c r="L461"/>
      <c r="M461"/>
      <c r="N461"/>
      <c r="O461"/>
      <c r="P461"/>
      <c r="Q461"/>
      <c r="R461"/>
    </row>
    <row r="462" spans="1:18" x14ac:dyDescent="0.25">
      <c r="A462" t="str">
        <f>IFERROR(VLOOKUP(B462&amp; "*",'SKU Maintenance'!D:H,5,0),"not found")</f>
        <v>2010020298180003</v>
      </c>
      <c r="B462">
        <v>40017571</v>
      </c>
      <c r="C462" t="s">
        <v>264</v>
      </c>
      <c r="D462"/>
      <c r="E462"/>
      <c r="F462" s="3">
        <v>44750</v>
      </c>
      <c r="G462" s="49">
        <v>1</v>
      </c>
      <c r="H462" s="23">
        <v>299.75</v>
      </c>
      <c r="I462" t="s">
        <v>6945</v>
      </c>
      <c r="J462"/>
      <c r="K462"/>
      <c r="L462"/>
      <c r="M462"/>
      <c r="N462"/>
      <c r="O462"/>
      <c r="P462"/>
      <c r="Q462"/>
      <c r="R462"/>
    </row>
    <row r="463" spans="1:18" x14ac:dyDescent="0.25">
      <c r="A463" t="str">
        <f>IFERROR(VLOOKUP(B463&amp; "*",'SKU Maintenance'!D:H,5,0),"not found")</f>
        <v>2010020298180004</v>
      </c>
      <c r="B463">
        <v>40017574</v>
      </c>
      <c r="C463" t="s">
        <v>121</v>
      </c>
      <c r="D463"/>
      <c r="E463"/>
      <c r="F463" s="3">
        <v>44753</v>
      </c>
      <c r="G463" s="49">
        <v>1</v>
      </c>
      <c r="H463" s="23">
        <v>399.75</v>
      </c>
      <c r="I463" t="s">
        <v>6939</v>
      </c>
      <c r="J463"/>
      <c r="K463"/>
      <c r="L463"/>
      <c r="M463"/>
      <c r="N463"/>
      <c r="O463"/>
      <c r="P463"/>
      <c r="Q463"/>
      <c r="R463"/>
    </row>
    <row r="464" spans="1:18" x14ac:dyDescent="0.25">
      <c r="A464" t="str">
        <f>IFERROR(VLOOKUP(B464&amp; "*",'SKU Maintenance'!D:H,5,0),"not found")</f>
        <v>2010041003160214</v>
      </c>
      <c r="B464">
        <v>40017577</v>
      </c>
      <c r="C464" t="s">
        <v>404</v>
      </c>
      <c r="D464"/>
      <c r="E464"/>
      <c r="F464" s="3">
        <v>44757</v>
      </c>
      <c r="G464" s="49">
        <v>1</v>
      </c>
      <c r="H464" s="23">
        <v>399.75</v>
      </c>
      <c r="I464" t="s">
        <v>6943</v>
      </c>
      <c r="J464"/>
      <c r="K464"/>
      <c r="L464"/>
      <c r="M464"/>
      <c r="N464"/>
      <c r="O464"/>
      <c r="P464"/>
      <c r="Q464"/>
      <c r="R464"/>
    </row>
    <row r="465" spans="1:18" x14ac:dyDescent="0.25">
      <c r="A465" t="str">
        <f>IFERROR(VLOOKUP(B465&amp; "*",'SKU Maintenance'!D:H,5,0),"not found")</f>
        <v>2010061198200001</v>
      </c>
      <c r="B465">
        <v>40017580</v>
      </c>
      <c r="C465" t="s">
        <v>445</v>
      </c>
      <c r="D465"/>
      <c r="E465"/>
      <c r="F465" s="3">
        <v>44757</v>
      </c>
      <c r="G465" s="49">
        <v>1</v>
      </c>
      <c r="H465" s="23">
        <v>1499.75</v>
      </c>
      <c r="I465" t="s">
        <v>6945</v>
      </c>
      <c r="J465"/>
      <c r="K465"/>
      <c r="L465"/>
      <c r="M465"/>
      <c r="N465"/>
      <c r="O465"/>
      <c r="P465"/>
      <c r="Q465"/>
      <c r="R465"/>
    </row>
    <row r="466" spans="1:18" x14ac:dyDescent="0.25">
      <c r="A466" t="str">
        <f>IFERROR(VLOOKUP(B466&amp; "*",'SKU Maintenance'!D:H,5,0),"not found")</f>
        <v>2010061198200001</v>
      </c>
      <c r="B466">
        <v>40017580</v>
      </c>
      <c r="C466" t="s">
        <v>445</v>
      </c>
      <c r="D466"/>
      <c r="E466"/>
      <c r="F466" s="3">
        <v>44762</v>
      </c>
      <c r="G466" s="49">
        <v>2</v>
      </c>
      <c r="H466" s="23">
        <v>2999.5</v>
      </c>
      <c r="I466" t="s">
        <v>6945</v>
      </c>
      <c r="J466"/>
      <c r="K466"/>
      <c r="L466"/>
      <c r="M466"/>
      <c r="N466"/>
      <c r="O466"/>
      <c r="P466"/>
      <c r="Q466"/>
      <c r="R466"/>
    </row>
    <row r="467" spans="1:18" x14ac:dyDescent="0.25">
      <c r="A467" t="str">
        <f>IFERROR(VLOOKUP(B467&amp; "*",'SKU Maintenance'!D:H,5,0),"not found")</f>
        <v>2010061198200001</v>
      </c>
      <c r="B467">
        <v>40017580</v>
      </c>
      <c r="C467" t="s">
        <v>445</v>
      </c>
      <c r="D467"/>
      <c r="E467"/>
      <c r="F467" s="3">
        <v>44763</v>
      </c>
      <c r="G467" s="49">
        <v>1</v>
      </c>
      <c r="H467" s="23">
        <v>1349.78</v>
      </c>
      <c r="I467" t="s">
        <v>6945</v>
      </c>
      <c r="J467"/>
      <c r="K467"/>
      <c r="L467"/>
      <c r="M467"/>
      <c r="N467"/>
      <c r="O467"/>
      <c r="P467"/>
      <c r="Q467"/>
      <c r="R467"/>
    </row>
    <row r="468" spans="1:18" x14ac:dyDescent="0.25">
      <c r="A468" t="str">
        <f>IFERROR(VLOOKUP(B468&amp; "*",'SKU Maintenance'!D:H,5,0),"not found")</f>
        <v>2010061198200001</v>
      </c>
      <c r="B468">
        <v>40017580</v>
      </c>
      <c r="C468" t="s">
        <v>445</v>
      </c>
      <c r="D468"/>
      <c r="E468"/>
      <c r="F468" s="3">
        <v>44768</v>
      </c>
      <c r="G468" s="49">
        <v>1</v>
      </c>
      <c r="H468" s="23">
        <v>1499.75</v>
      </c>
      <c r="I468" t="s">
        <v>6945</v>
      </c>
      <c r="J468"/>
      <c r="K468"/>
      <c r="L468"/>
      <c r="M468"/>
      <c r="N468"/>
      <c r="O468"/>
      <c r="P468"/>
      <c r="Q468"/>
      <c r="R468"/>
    </row>
    <row r="469" spans="1:18" x14ac:dyDescent="0.25">
      <c r="A469" t="str">
        <f>IFERROR(VLOOKUP(B469&amp; "*",'SKU Maintenance'!D:H,5,0),"X9998")</f>
        <v>X9998</v>
      </c>
      <c r="B469">
        <v>40017585</v>
      </c>
      <c r="C469" t="s">
        <v>155</v>
      </c>
      <c r="D469"/>
      <c r="E469"/>
      <c r="F469" s="3">
        <v>44758</v>
      </c>
      <c r="G469" s="49">
        <v>1</v>
      </c>
      <c r="H469" s="23">
        <v>449.77500000000003</v>
      </c>
      <c r="I469" t="s">
        <v>6939</v>
      </c>
      <c r="J469"/>
      <c r="K469"/>
      <c r="L469"/>
      <c r="M469"/>
      <c r="N469"/>
      <c r="O469"/>
      <c r="P469"/>
      <c r="Q469"/>
      <c r="R469"/>
    </row>
    <row r="470" spans="1:18" x14ac:dyDescent="0.25">
      <c r="A470" t="str">
        <f>IFERROR(VLOOKUP(B470&amp; "*",'SKU Maintenance'!D:H,5,0),"X9998")</f>
        <v>X9998</v>
      </c>
      <c r="B470">
        <v>40017588</v>
      </c>
      <c r="C470" t="s">
        <v>457</v>
      </c>
      <c r="D470"/>
      <c r="E470"/>
      <c r="F470" s="3">
        <v>44759</v>
      </c>
      <c r="G470" s="49">
        <v>1</v>
      </c>
      <c r="H470" s="23">
        <v>206.77500000000001</v>
      </c>
      <c r="I470" t="s">
        <v>6945</v>
      </c>
      <c r="J470"/>
      <c r="K470"/>
      <c r="L470"/>
      <c r="M470"/>
      <c r="N470"/>
      <c r="O470"/>
      <c r="P470"/>
      <c r="Q470"/>
      <c r="R470"/>
    </row>
    <row r="471" spans="1:18" x14ac:dyDescent="0.25">
      <c r="A471" t="str">
        <f>IFERROR(VLOOKUP(B471&amp; "*",'SKU Maintenance'!D:H,5,0),"X9998")</f>
        <v>X9998</v>
      </c>
      <c r="B471">
        <v>40017593</v>
      </c>
      <c r="C471" t="s">
        <v>176</v>
      </c>
      <c r="D471"/>
      <c r="E471"/>
      <c r="F471" s="3">
        <v>44763</v>
      </c>
      <c r="G471" s="49">
        <v>1</v>
      </c>
      <c r="H471" s="23">
        <v>229.75</v>
      </c>
      <c r="I471" t="s">
        <v>6939</v>
      </c>
      <c r="J471"/>
      <c r="K471"/>
      <c r="L471"/>
      <c r="M471"/>
      <c r="N471"/>
      <c r="O471"/>
      <c r="P471"/>
      <c r="Q471"/>
      <c r="R471"/>
    </row>
    <row r="472" spans="1:18" x14ac:dyDescent="0.25">
      <c r="A472" t="str">
        <f>IFERROR(VLOOKUP(B472&amp; "*",'SKU Maintenance'!D:H,5,0),"X9998")</f>
        <v>X9998</v>
      </c>
      <c r="B472">
        <v>40017594</v>
      </c>
      <c r="C472" t="s">
        <v>102</v>
      </c>
      <c r="D472"/>
      <c r="E472"/>
      <c r="F472" s="3">
        <v>44751</v>
      </c>
      <c r="G472" s="49">
        <v>1</v>
      </c>
      <c r="H472" s="23">
        <v>229.75</v>
      </c>
      <c r="I472" t="s">
        <v>6939</v>
      </c>
      <c r="J472"/>
      <c r="K472"/>
      <c r="L472"/>
      <c r="M472"/>
      <c r="N472"/>
      <c r="O472"/>
      <c r="P472"/>
      <c r="Q472"/>
      <c r="R472"/>
    </row>
    <row r="473" spans="1:18" x14ac:dyDescent="0.25">
      <c r="A473" t="str">
        <f>IFERROR(VLOOKUP(B473&amp; "*",'SKU Maintenance'!D:H,5,0),"X9998")</f>
        <v>X9998</v>
      </c>
      <c r="B473">
        <v>40017597</v>
      </c>
      <c r="C473" t="s">
        <v>280</v>
      </c>
      <c r="D473"/>
      <c r="E473"/>
      <c r="F473" s="3">
        <v>44755</v>
      </c>
      <c r="G473" s="49">
        <v>1</v>
      </c>
      <c r="H473" s="23">
        <v>199.75</v>
      </c>
      <c r="I473" t="s">
        <v>6941</v>
      </c>
      <c r="J473"/>
      <c r="K473"/>
      <c r="L473"/>
      <c r="M473"/>
      <c r="N473"/>
      <c r="O473"/>
      <c r="P473"/>
      <c r="Q473"/>
      <c r="R473"/>
    </row>
    <row r="474" spans="1:18" x14ac:dyDescent="0.25">
      <c r="A474" t="str">
        <f>IFERROR(VLOOKUP(B474&amp; "*",'SKU Maintenance'!D:H,5,0),"X9998")</f>
        <v>X9998</v>
      </c>
      <c r="B474">
        <v>40017597</v>
      </c>
      <c r="C474" t="s">
        <v>280</v>
      </c>
      <c r="D474"/>
      <c r="E474"/>
      <c r="F474" s="3">
        <v>44768</v>
      </c>
      <c r="G474" s="49">
        <v>1</v>
      </c>
      <c r="H474" s="23">
        <v>199.75</v>
      </c>
      <c r="I474" t="s">
        <v>6941</v>
      </c>
      <c r="J474"/>
      <c r="K474"/>
      <c r="L474"/>
      <c r="M474"/>
      <c r="N474"/>
      <c r="O474"/>
      <c r="P474"/>
      <c r="Q474"/>
      <c r="R474"/>
    </row>
    <row r="475" spans="1:18" x14ac:dyDescent="0.25">
      <c r="A475" t="str">
        <f>IFERROR(VLOOKUP(B475&amp; "*",'SKU Maintenance'!D:H,5,0),"X9998")</f>
        <v>X9998</v>
      </c>
      <c r="B475">
        <v>40017598</v>
      </c>
      <c r="C475" t="s">
        <v>280</v>
      </c>
      <c r="D475"/>
      <c r="E475"/>
      <c r="F475" s="3">
        <v>44768</v>
      </c>
      <c r="G475" s="49">
        <v>1</v>
      </c>
      <c r="H475" s="23">
        <v>199.75</v>
      </c>
      <c r="I475" t="s">
        <v>6941</v>
      </c>
      <c r="J475"/>
      <c r="K475"/>
      <c r="L475"/>
      <c r="M475"/>
      <c r="N475"/>
      <c r="O475"/>
      <c r="P475"/>
      <c r="Q475"/>
      <c r="R475"/>
    </row>
    <row r="476" spans="1:18" x14ac:dyDescent="0.25">
      <c r="A476" t="str">
        <f>IFERROR(VLOOKUP(B476&amp; "*",'SKU Maintenance'!D:H,5,0),"X9998")</f>
        <v>X9998</v>
      </c>
      <c r="B476">
        <v>40017599</v>
      </c>
      <c r="C476" t="s">
        <v>210</v>
      </c>
      <c r="D476"/>
      <c r="E476"/>
      <c r="F476" s="3">
        <v>44769</v>
      </c>
      <c r="G476" s="49">
        <v>1</v>
      </c>
      <c r="H476" s="23">
        <v>349.75</v>
      </c>
      <c r="I476" t="s">
        <v>6939</v>
      </c>
      <c r="J476"/>
      <c r="K476"/>
      <c r="L476"/>
      <c r="M476"/>
      <c r="N476"/>
      <c r="O476"/>
      <c r="P476"/>
      <c r="Q476"/>
      <c r="R476"/>
    </row>
    <row r="477" spans="1:18" x14ac:dyDescent="0.25">
      <c r="A477" t="str">
        <f>IFERROR(VLOOKUP(B477&amp; "*",'SKU Maintenance'!D:H,5,0),"not found")</f>
        <v>2010010502180002</v>
      </c>
      <c r="B477">
        <v>40017603</v>
      </c>
      <c r="C477" t="s">
        <v>334</v>
      </c>
      <c r="D477"/>
      <c r="E477"/>
      <c r="F477" s="3">
        <v>44768</v>
      </c>
      <c r="G477" s="49">
        <v>1</v>
      </c>
      <c r="H477" s="23">
        <v>599.75</v>
      </c>
      <c r="I477" t="s">
        <v>6941</v>
      </c>
      <c r="J477"/>
      <c r="K477"/>
      <c r="L477"/>
      <c r="M477"/>
      <c r="N477"/>
      <c r="O477"/>
      <c r="P477"/>
      <c r="Q477"/>
      <c r="R477"/>
    </row>
    <row r="478" spans="1:18" x14ac:dyDescent="0.25">
      <c r="A478" t="str">
        <f>IFERROR(VLOOKUP(B478&amp; "*",'SKU Maintenance'!D:H,5,0),"not found")</f>
        <v>2010040598163161</v>
      </c>
      <c r="B478">
        <v>40017613</v>
      </c>
      <c r="C478" t="s">
        <v>416</v>
      </c>
      <c r="D478"/>
      <c r="E478"/>
      <c r="F478" s="3">
        <v>44765</v>
      </c>
      <c r="G478" s="49">
        <v>1</v>
      </c>
      <c r="H478" s="23">
        <v>89.75</v>
      </c>
      <c r="I478" t="s">
        <v>6943</v>
      </c>
      <c r="J478"/>
      <c r="K478"/>
      <c r="L478"/>
      <c r="M478"/>
      <c r="N478"/>
      <c r="O478"/>
      <c r="P478"/>
      <c r="Q478"/>
      <c r="R478"/>
    </row>
    <row r="479" spans="1:18" x14ac:dyDescent="0.25">
      <c r="A479" t="str">
        <f>IFERROR(VLOOKUP(B479&amp; "*",'SKU Maintenance'!D:H,5,0),"not found")</f>
        <v>2010040598163161</v>
      </c>
      <c r="B479">
        <v>40017613</v>
      </c>
      <c r="C479" t="s">
        <v>416</v>
      </c>
      <c r="D479"/>
      <c r="E479"/>
      <c r="F479" s="3">
        <v>44766</v>
      </c>
      <c r="G479" s="49">
        <v>1</v>
      </c>
      <c r="H479" s="23">
        <v>89.75</v>
      </c>
      <c r="I479" t="s">
        <v>6945</v>
      </c>
      <c r="J479"/>
      <c r="K479"/>
      <c r="L479"/>
      <c r="M479"/>
      <c r="N479"/>
      <c r="O479"/>
      <c r="P479"/>
      <c r="Q479"/>
      <c r="R479"/>
    </row>
    <row r="480" spans="1:18" x14ac:dyDescent="0.25">
      <c r="A480" t="str">
        <f>IFERROR(VLOOKUP(B480&amp; "*",'SKU Maintenance'!D:H,5,0),"not found")</f>
        <v>2010040598043177</v>
      </c>
      <c r="B480">
        <v>40017618</v>
      </c>
      <c r="C480" t="s">
        <v>375</v>
      </c>
      <c r="D480"/>
      <c r="E480"/>
      <c r="F480" s="3">
        <v>44751</v>
      </c>
      <c r="G480" s="49">
        <v>1</v>
      </c>
      <c r="H480" s="23">
        <v>129.75</v>
      </c>
      <c r="I480" t="s">
        <v>6943</v>
      </c>
      <c r="J480"/>
      <c r="K480"/>
      <c r="L480"/>
      <c r="M480"/>
      <c r="N480"/>
      <c r="O480"/>
      <c r="P480"/>
      <c r="Q480"/>
      <c r="R480"/>
    </row>
    <row r="481" spans="1:18" x14ac:dyDescent="0.25">
      <c r="A481" t="str">
        <f>IFERROR(VLOOKUP(B481&amp; "*",'SKU Maintenance'!D:H,5,0),"not found")</f>
        <v>2010040598243178</v>
      </c>
      <c r="B481">
        <v>40017621</v>
      </c>
      <c r="C481" t="s">
        <v>374</v>
      </c>
      <c r="D481"/>
      <c r="E481"/>
      <c r="F481" s="3">
        <v>44767</v>
      </c>
      <c r="G481" s="49">
        <v>1</v>
      </c>
      <c r="H481" s="23">
        <v>150</v>
      </c>
      <c r="I481" t="s">
        <v>6943</v>
      </c>
      <c r="J481"/>
      <c r="K481"/>
      <c r="L481"/>
      <c r="M481"/>
      <c r="N481"/>
      <c r="O481"/>
      <c r="P481"/>
      <c r="Q481"/>
      <c r="R481"/>
    </row>
    <row r="482" spans="1:18" x14ac:dyDescent="0.25">
      <c r="A482" t="str">
        <f>IFERROR(VLOOKUP(B482&amp; "*",'SKU Maintenance'!D:H,5,0),"not found")</f>
        <v>2010040598233178</v>
      </c>
      <c r="B482">
        <v>40017622</v>
      </c>
      <c r="C482" t="s">
        <v>374</v>
      </c>
      <c r="D482"/>
      <c r="E482"/>
      <c r="F482" s="3">
        <v>44751</v>
      </c>
      <c r="G482" s="49">
        <v>1</v>
      </c>
      <c r="H482" s="23">
        <v>150</v>
      </c>
      <c r="I482" t="s">
        <v>6943</v>
      </c>
      <c r="J482"/>
      <c r="K482"/>
      <c r="L482"/>
      <c r="M482"/>
      <c r="N482"/>
      <c r="O482"/>
      <c r="P482"/>
      <c r="Q482"/>
      <c r="R482"/>
    </row>
    <row r="483" spans="1:18" x14ac:dyDescent="0.25">
      <c r="A483" t="str">
        <f>IFERROR(VLOOKUP(B483&amp; "*",'SKU Maintenance'!D:H,5,0),"not found")</f>
        <v>2010040598243179</v>
      </c>
      <c r="B483">
        <v>40017623</v>
      </c>
      <c r="C483" t="s">
        <v>90</v>
      </c>
      <c r="D483"/>
      <c r="E483"/>
      <c r="F483" s="3">
        <v>44758</v>
      </c>
      <c r="G483" s="49">
        <v>1</v>
      </c>
      <c r="H483" s="23">
        <v>150</v>
      </c>
      <c r="I483" t="s">
        <v>6945</v>
      </c>
      <c r="J483"/>
      <c r="K483"/>
      <c r="L483"/>
      <c r="M483"/>
      <c r="N483"/>
      <c r="O483"/>
      <c r="P483"/>
      <c r="Q483"/>
      <c r="R483"/>
    </row>
    <row r="484" spans="1:18" x14ac:dyDescent="0.25">
      <c r="A484" t="str">
        <f>IFERROR(VLOOKUP(B484&amp; "*",'SKU Maintenance'!D:H,5,0),"not found")</f>
        <v>2010040598233179</v>
      </c>
      <c r="B484">
        <v>40017624</v>
      </c>
      <c r="C484" t="s">
        <v>90</v>
      </c>
      <c r="D484"/>
      <c r="E484"/>
      <c r="F484" s="3">
        <v>44747</v>
      </c>
      <c r="G484" s="49">
        <v>1</v>
      </c>
      <c r="H484" s="23">
        <v>150</v>
      </c>
      <c r="I484" t="s">
        <v>6939</v>
      </c>
      <c r="J484"/>
      <c r="K484"/>
      <c r="L484"/>
      <c r="M484"/>
      <c r="N484"/>
      <c r="O484"/>
      <c r="P484"/>
      <c r="Q484"/>
      <c r="R484"/>
    </row>
    <row r="485" spans="1:18" x14ac:dyDescent="0.25">
      <c r="A485" t="str">
        <f>IFERROR(VLOOKUP(B485&amp; "*",'SKU Maintenance'!D:H,5,0),"not found")</f>
        <v>2010060106102106</v>
      </c>
      <c r="B485">
        <v>40017625</v>
      </c>
      <c r="C485" t="s">
        <v>376</v>
      </c>
      <c r="D485"/>
      <c r="E485"/>
      <c r="F485" s="3">
        <v>44752</v>
      </c>
      <c r="G485" s="49">
        <v>1</v>
      </c>
      <c r="H485" s="23">
        <v>99.75</v>
      </c>
      <c r="I485" t="s">
        <v>6943</v>
      </c>
      <c r="J485"/>
      <c r="K485"/>
      <c r="L485"/>
      <c r="M485"/>
      <c r="N485"/>
      <c r="O485"/>
      <c r="P485"/>
      <c r="Q485"/>
      <c r="R485"/>
    </row>
    <row r="486" spans="1:18" x14ac:dyDescent="0.25">
      <c r="A486" t="str">
        <f>IFERROR(VLOOKUP(B486&amp; "*",'SKU Maintenance'!D:H,5,0),"not found")</f>
        <v>2010050198040001</v>
      </c>
      <c r="B486">
        <v>40017634</v>
      </c>
      <c r="C486" t="s">
        <v>100</v>
      </c>
      <c r="D486"/>
      <c r="E486"/>
      <c r="F486" s="3">
        <v>44750</v>
      </c>
      <c r="G486" s="49">
        <v>1</v>
      </c>
      <c r="H486" s="23">
        <v>299.75</v>
      </c>
      <c r="I486" t="s">
        <v>6939</v>
      </c>
      <c r="J486"/>
      <c r="K486"/>
      <c r="L486"/>
      <c r="M486"/>
      <c r="N486"/>
      <c r="O486"/>
      <c r="P486"/>
      <c r="Q486"/>
      <c r="R486"/>
    </row>
    <row r="487" spans="1:18" x14ac:dyDescent="0.25">
      <c r="A487" t="str">
        <f>IFERROR(VLOOKUP(B487&amp; "*",'SKU Maintenance'!D:H,5,0),"not found")</f>
        <v>2010050198040001</v>
      </c>
      <c r="B487">
        <v>40017634</v>
      </c>
      <c r="C487" t="s">
        <v>100</v>
      </c>
      <c r="D487"/>
      <c r="E487"/>
      <c r="F487" s="3">
        <v>44766</v>
      </c>
      <c r="G487" s="49">
        <v>1</v>
      </c>
      <c r="H487" s="23">
        <v>299.75</v>
      </c>
      <c r="I487" t="s">
        <v>6939</v>
      </c>
      <c r="J487"/>
      <c r="K487"/>
      <c r="L487"/>
      <c r="M487"/>
      <c r="N487"/>
      <c r="O487"/>
      <c r="P487"/>
      <c r="Q487"/>
      <c r="R487"/>
    </row>
    <row r="488" spans="1:18" x14ac:dyDescent="0.25">
      <c r="A488" t="str">
        <f>IFERROR(VLOOKUP(B488&amp; "*",'SKU Maintenance'!D:H,5,0),"not found")</f>
        <v>2010050198040001</v>
      </c>
      <c r="B488">
        <v>40017634</v>
      </c>
      <c r="C488" t="s">
        <v>100</v>
      </c>
      <c r="D488"/>
      <c r="E488"/>
      <c r="F488" s="3">
        <v>44770</v>
      </c>
      <c r="G488" s="49">
        <v>1</v>
      </c>
      <c r="H488" s="23">
        <v>299.75</v>
      </c>
      <c r="I488" t="s">
        <v>6939</v>
      </c>
      <c r="J488"/>
      <c r="K488"/>
      <c r="L488"/>
      <c r="M488"/>
      <c r="N488"/>
      <c r="O488"/>
      <c r="P488"/>
      <c r="Q488"/>
      <c r="R488"/>
    </row>
    <row r="489" spans="1:18" x14ac:dyDescent="0.25">
      <c r="A489" t="str">
        <f>IFERROR(VLOOKUP(B489&amp; "*",'SKU Maintenance'!D:H,5,0),"not found")</f>
        <v>2010050198040001</v>
      </c>
      <c r="B489">
        <v>40017634</v>
      </c>
      <c r="C489" t="s">
        <v>100</v>
      </c>
      <c r="D489"/>
      <c r="E489"/>
      <c r="F489" s="3">
        <v>44753</v>
      </c>
      <c r="G489" s="49">
        <v>1</v>
      </c>
      <c r="H489" s="23">
        <v>299.75</v>
      </c>
      <c r="I489" t="s">
        <v>6943</v>
      </c>
      <c r="J489"/>
      <c r="K489"/>
      <c r="L489"/>
      <c r="M489"/>
      <c r="N489"/>
      <c r="O489"/>
      <c r="P489"/>
      <c r="Q489"/>
      <c r="R489"/>
    </row>
    <row r="490" spans="1:18" x14ac:dyDescent="0.25">
      <c r="A490" t="str">
        <f>IFERROR(VLOOKUP(B490&amp; "*",'SKU Maintenance'!D:H,5,0),"not found")</f>
        <v>2010050198040001</v>
      </c>
      <c r="B490">
        <v>40017634</v>
      </c>
      <c r="C490" t="s">
        <v>100</v>
      </c>
      <c r="D490"/>
      <c r="E490"/>
      <c r="F490" s="3">
        <v>44754</v>
      </c>
      <c r="G490" s="49">
        <v>1</v>
      </c>
      <c r="H490" s="23">
        <v>299.75</v>
      </c>
      <c r="I490" t="s">
        <v>6943</v>
      </c>
      <c r="J490"/>
      <c r="K490"/>
      <c r="L490"/>
      <c r="M490"/>
      <c r="N490"/>
      <c r="O490"/>
      <c r="P490"/>
      <c r="Q490"/>
      <c r="R490"/>
    </row>
    <row r="491" spans="1:18" x14ac:dyDescent="0.25">
      <c r="A491" t="str">
        <f>IFERROR(VLOOKUP(B491&amp; "*",'SKU Maintenance'!D:H,5,0),"not found")</f>
        <v>2010050198020001</v>
      </c>
      <c r="B491">
        <v>40017635</v>
      </c>
      <c r="C491" t="s">
        <v>99</v>
      </c>
      <c r="D491"/>
      <c r="E491"/>
      <c r="F491" s="3">
        <v>44750</v>
      </c>
      <c r="G491" s="49">
        <v>1</v>
      </c>
      <c r="H491" s="23">
        <v>299.75</v>
      </c>
      <c r="I491" t="s">
        <v>6939</v>
      </c>
      <c r="J491"/>
      <c r="K491"/>
      <c r="L491"/>
      <c r="M491"/>
      <c r="N491"/>
      <c r="O491"/>
      <c r="P491"/>
      <c r="Q491"/>
      <c r="R491"/>
    </row>
    <row r="492" spans="1:18" x14ac:dyDescent="0.25">
      <c r="A492" t="str">
        <f>IFERROR(VLOOKUP(B492&amp; "*",'SKU Maintenance'!D:H,5,0),"not found")</f>
        <v>2010050198020001</v>
      </c>
      <c r="B492">
        <v>40017635</v>
      </c>
      <c r="C492" t="s">
        <v>99</v>
      </c>
      <c r="D492"/>
      <c r="E492"/>
      <c r="F492" s="3">
        <v>44771</v>
      </c>
      <c r="G492" s="49">
        <v>1</v>
      </c>
      <c r="H492" s="23">
        <v>299.75</v>
      </c>
      <c r="I492" t="s">
        <v>6943</v>
      </c>
      <c r="J492"/>
      <c r="K492"/>
      <c r="L492"/>
      <c r="M492"/>
      <c r="N492"/>
      <c r="O492"/>
      <c r="P492"/>
      <c r="Q492"/>
      <c r="R492"/>
    </row>
    <row r="493" spans="1:18" x14ac:dyDescent="0.25">
      <c r="A493" t="str">
        <f>IFERROR(VLOOKUP(B493&amp; "*",'SKU Maintenance'!D:H,5,0),"not found")</f>
        <v>2010050198130001</v>
      </c>
      <c r="B493">
        <v>40017636</v>
      </c>
      <c r="C493" t="s">
        <v>117</v>
      </c>
      <c r="D493"/>
      <c r="E493"/>
      <c r="F493" s="3">
        <v>44753</v>
      </c>
      <c r="G493" s="49">
        <v>1</v>
      </c>
      <c r="H493" s="23">
        <v>299.75</v>
      </c>
      <c r="I493" t="s">
        <v>6939</v>
      </c>
      <c r="J493"/>
      <c r="K493"/>
      <c r="L493"/>
      <c r="M493"/>
      <c r="N493"/>
      <c r="O493"/>
      <c r="P493"/>
      <c r="Q493"/>
      <c r="R493"/>
    </row>
    <row r="494" spans="1:18" x14ac:dyDescent="0.25">
      <c r="A494" t="str">
        <f>IFERROR(VLOOKUP(B494&amp; "*",'SKU Maintenance'!D:H,5,0),"not found")</f>
        <v>2010050198130001</v>
      </c>
      <c r="B494">
        <v>40017636</v>
      </c>
      <c r="C494" t="s">
        <v>117</v>
      </c>
      <c r="D494"/>
      <c r="E494"/>
      <c r="F494" s="3">
        <v>44761</v>
      </c>
      <c r="G494" s="49">
        <v>1</v>
      </c>
      <c r="H494" s="23">
        <v>299.75</v>
      </c>
      <c r="I494" t="s">
        <v>6939</v>
      </c>
      <c r="J494"/>
      <c r="K494"/>
      <c r="L494"/>
      <c r="M494"/>
      <c r="N494"/>
      <c r="O494"/>
      <c r="P494"/>
      <c r="Q494"/>
      <c r="R494"/>
    </row>
    <row r="495" spans="1:18" x14ac:dyDescent="0.25">
      <c r="A495" t="str">
        <f>IFERROR(VLOOKUP(B495&amp; "*",'SKU Maintenance'!D:H,5,0),"not found")</f>
        <v>2010050198100001</v>
      </c>
      <c r="B495">
        <v>40017637</v>
      </c>
      <c r="C495" t="s">
        <v>428</v>
      </c>
      <c r="D495"/>
      <c r="E495"/>
      <c r="F495" s="3">
        <v>44771</v>
      </c>
      <c r="G495" s="49">
        <v>1</v>
      </c>
      <c r="H495" s="23">
        <v>299.75</v>
      </c>
      <c r="I495" t="s">
        <v>6943</v>
      </c>
      <c r="J495"/>
      <c r="K495"/>
      <c r="L495"/>
      <c r="M495"/>
      <c r="N495"/>
      <c r="O495"/>
      <c r="P495"/>
      <c r="Q495"/>
      <c r="R495"/>
    </row>
    <row r="496" spans="1:18" x14ac:dyDescent="0.25">
      <c r="A496" t="str">
        <f>IFERROR(VLOOKUP(B496&amp; "*",'SKU Maintenance'!D:H,5,0),"not found")</f>
        <v>2010050198160001</v>
      </c>
      <c r="B496">
        <v>40017638</v>
      </c>
      <c r="C496" t="s">
        <v>166</v>
      </c>
      <c r="D496"/>
      <c r="E496"/>
      <c r="F496" s="3">
        <v>44759</v>
      </c>
      <c r="G496" s="49">
        <v>1</v>
      </c>
      <c r="H496" s="23">
        <v>249.75</v>
      </c>
      <c r="I496" t="s">
        <v>6939</v>
      </c>
      <c r="J496"/>
      <c r="K496"/>
      <c r="L496"/>
      <c r="M496"/>
      <c r="N496"/>
      <c r="O496"/>
      <c r="P496"/>
      <c r="Q496"/>
      <c r="R496"/>
    </row>
    <row r="497" spans="1:18" x14ac:dyDescent="0.25">
      <c r="A497" t="str">
        <f>IFERROR(VLOOKUP(B497&amp; "*",'SKU Maintenance'!D:H,5,0),"not found")</f>
        <v>2010050198160001</v>
      </c>
      <c r="B497">
        <v>40017638</v>
      </c>
      <c r="C497" t="s">
        <v>166</v>
      </c>
      <c r="D497"/>
      <c r="E497"/>
      <c r="F497" s="3">
        <v>44768</v>
      </c>
      <c r="G497" s="49">
        <v>2</v>
      </c>
      <c r="H497" s="23">
        <v>499.5</v>
      </c>
      <c r="I497" t="s">
        <v>6939</v>
      </c>
      <c r="J497"/>
      <c r="K497"/>
      <c r="L497"/>
      <c r="M497"/>
      <c r="N497"/>
      <c r="O497"/>
      <c r="P497"/>
      <c r="Q497"/>
      <c r="R497"/>
    </row>
    <row r="498" spans="1:18" x14ac:dyDescent="0.25">
      <c r="A498" t="str">
        <f>IFERROR(VLOOKUP(B498&amp; "*",'SKU Maintenance'!D:H,5,0),"not found")</f>
        <v>2010050198160001</v>
      </c>
      <c r="B498">
        <v>40017638</v>
      </c>
      <c r="C498" t="s">
        <v>166</v>
      </c>
      <c r="D498"/>
      <c r="E498"/>
      <c r="F498" s="3">
        <v>44769</v>
      </c>
      <c r="G498" s="49">
        <v>2</v>
      </c>
      <c r="H498" s="23">
        <v>499.5</v>
      </c>
      <c r="I498" t="s">
        <v>6939</v>
      </c>
      <c r="J498"/>
      <c r="K498"/>
      <c r="L498"/>
      <c r="M498"/>
      <c r="N498"/>
      <c r="O498"/>
      <c r="P498"/>
      <c r="Q498"/>
      <c r="R498"/>
    </row>
    <row r="499" spans="1:18" x14ac:dyDescent="0.25">
      <c r="A499" t="str">
        <f>IFERROR(VLOOKUP(B499&amp; "*",'SKU Maintenance'!D:H,5,0),"not found")</f>
        <v>2010051098040567</v>
      </c>
      <c r="B499">
        <v>40017639</v>
      </c>
      <c r="C499" t="s">
        <v>456</v>
      </c>
      <c r="D499"/>
      <c r="E499"/>
      <c r="F499" s="3">
        <v>44758</v>
      </c>
      <c r="G499" s="49">
        <v>1</v>
      </c>
      <c r="H499" s="23">
        <v>199.75</v>
      </c>
      <c r="I499" t="s">
        <v>6945</v>
      </c>
      <c r="J499"/>
      <c r="K499"/>
      <c r="L499"/>
      <c r="M499"/>
      <c r="N499"/>
      <c r="O499"/>
      <c r="P499"/>
      <c r="Q499"/>
      <c r="R499"/>
    </row>
    <row r="500" spans="1:18" x14ac:dyDescent="0.25">
      <c r="A500" t="str">
        <f>IFERROR(VLOOKUP(B500&amp; "*",'SKU Maintenance'!D:H,5,0),"not found")</f>
        <v>2010051098040567</v>
      </c>
      <c r="B500">
        <v>40017639</v>
      </c>
      <c r="C500" t="s">
        <v>456</v>
      </c>
      <c r="D500"/>
      <c r="E500"/>
      <c r="F500" s="3">
        <v>44766</v>
      </c>
      <c r="G500" s="49">
        <v>2</v>
      </c>
      <c r="H500" s="23">
        <v>399.5</v>
      </c>
      <c r="I500" t="s">
        <v>6945</v>
      </c>
      <c r="J500"/>
      <c r="K500"/>
      <c r="L500"/>
      <c r="M500"/>
      <c r="N500"/>
      <c r="O500"/>
      <c r="P500"/>
      <c r="Q500"/>
      <c r="R500"/>
    </row>
    <row r="501" spans="1:18" x14ac:dyDescent="0.25">
      <c r="A501" t="str">
        <f>IFERROR(VLOOKUP(B501&amp; "*",'SKU Maintenance'!D:H,5,0),"not found")</f>
        <v>2010042798030002</v>
      </c>
      <c r="B501">
        <v>40017844</v>
      </c>
      <c r="C501" t="s">
        <v>151</v>
      </c>
      <c r="D501"/>
      <c r="E501"/>
      <c r="F501" s="3">
        <v>44757</v>
      </c>
      <c r="G501" s="49">
        <v>1</v>
      </c>
      <c r="H501" s="23">
        <v>199.75</v>
      </c>
      <c r="I501" t="s">
        <v>6939</v>
      </c>
      <c r="J501"/>
      <c r="K501"/>
      <c r="L501"/>
      <c r="M501"/>
      <c r="N501"/>
      <c r="O501"/>
      <c r="P501"/>
      <c r="Q501"/>
      <c r="R501"/>
    </row>
    <row r="502" spans="1:18" x14ac:dyDescent="0.25">
      <c r="A502" t="str">
        <f>IFERROR(VLOOKUP(B502&amp; "*",'SKU Maintenance'!D:H,5,0),"not found")</f>
        <v>2010042798030002</v>
      </c>
      <c r="B502">
        <v>40017844</v>
      </c>
      <c r="C502" t="s">
        <v>151</v>
      </c>
      <c r="D502"/>
      <c r="E502"/>
      <c r="F502" s="3">
        <v>44754</v>
      </c>
      <c r="G502" s="49">
        <v>1</v>
      </c>
      <c r="H502" s="23">
        <v>199.75</v>
      </c>
      <c r="I502" t="s">
        <v>6943</v>
      </c>
      <c r="J502"/>
      <c r="K502"/>
      <c r="L502"/>
      <c r="M502"/>
      <c r="N502"/>
      <c r="O502"/>
      <c r="P502"/>
      <c r="Q502"/>
      <c r="R502"/>
    </row>
    <row r="503" spans="1:18" x14ac:dyDescent="0.25">
      <c r="A503" t="str">
        <f>IFERROR(VLOOKUP(B503&amp; "*",'SKU Maintenance'!D:H,5,0),"not found")</f>
        <v>2010042798220002</v>
      </c>
      <c r="B503">
        <v>40017845</v>
      </c>
      <c r="C503" t="s">
        <v>180</v>
      </c>
      <c r="D503"/>
      <c r="E503"/>
      <c r="F503" s="3">
        <v>44764</v>
      </c>
      <c r="G503" s="49">
        <v>1</v>
      </c>
      <c r="H503" s="23">
        <v>199.75</v>
      </c>
      <c r="I503" t="s">
        <v>6939</v>
      </c>
      <c r="J503"/>
      <c r="K503"/>
      <c r="L503"/>
      <c r="M503"/>
      <c r="N503"/>
      <c r="O503"/>
      <c r="P503"/>
      <c r="Q503"/>
      <c r="R503"/>
    </row>
    <row r="504" spans="1:18" x14ac:dyDescent="0.25">
      <c r="A504" t="str">
        <f>IFERROR(VLOOKUP(B504&amp; "*",'SKU Maintenance'!D:H,5,0),"not found")</f>
        <v>2010042798220002</v>
      </c>
      <c r="B504">
        <v>40017845</v>
      </c>
      <c r="C504" t="s">
        <v>180</v>
      </c>
      <c r="D504"/>
      <c r="E504"/>
      <c r="F504" s="3">
        <v>44773</v>
      </c>
      <c r="G504" s="49">
        <v>1</v>
      </c>
      <c r="H504" s="23">
        <v>199.75</v>
      </c>
      <c r="I504" t="s">
        <v>6939</v>
      </c>
      <c r="J504"/>
      <c r="K504"/>
      <c r="L504"/>
      <c r="M504"/>
      <c r="N504"/>
      <c r="O504"/>
      <c r="P504"/>
      <c r="Q504"/>
      <c r="R504"/>
    </row>
    <row r="505" spans="1:18" x14ac:dyDescent="0.25">
      <c r="A505" t="str">
        <f>IFERROR(VLOOKUP(B505&amp; "*",'SKU Maintenance'!D:H,5,0),"not found")</f>
        <v>2010042798160004</v>
      </c>
      <c r="B505">
        <v>40017851</v>
      </c>
      <c r="C505" t="s">
        <v>380</v>
      </c>
      <c r="D505"/>
      <c r="E505"/>
      <c r="F505" s="3">
        <v>44754</v>
      </c>
      <c r="G505" s="49">
        <v>1</v>
      </c>
      <c r="H505" s="23">
        <v>199.75</v>
      </c>
      <c r="I505" t="s">
        <v>6943</v>
      </c>
      <c r="J505"/>
      <c r="K505"/>
      <c r="L505"/>
      <c r="M505"/>
      <c r="N505"/>
      <c r="O505"/>
      <c r="P505"/>
      <c r="Q505"/>
      <c r="R505"/>
    </row>
    <row r="506" spans="1:18" x14ac:dyDescent="0.25">
      <c r="A506" t="str">
        <f>IFERROR(VLOOKUP(B506&amp; "*",'SKU Maintenance'!D:H,5,0),"not found")</f>
        <v>2010042798160005</v>
      </c>
      <c r="B506">
        <v>40017853</v>
      </c>
      <c r="C506" t="s">
        <v>384</v>
      </c>
      <c r="D506"/>
      <c r="E506"/>
      <c r="F506" s="3">
        <v>44754</v>
      </c>
      <c r="G506" s="49">
        <v>1</v>
      </c>
      <c r="H506" s="23">
        <v>249.75</v>
      </c>
      <c r="I506" t="s">
        <v>6943</v>
      </c>
      <c r="J506"/>
      <c r="K506"/>
      <c r="L506"/>
      <c r="M506"/>
      <c r="N506"/>
      <c r="O506"/>
      <c r="P506"/>
      <c r="Q506"/>
      <c r="R506"/>
    </row>
    <row r="507" spans="1:18" x14ac:dyDescent="0.25">
      <c r="A507" t="str">
        <f>IFERROR(VLOOKUP(B507&amp; "*",'SKU Maintenance'!D:H,5,0),"not found")</f>
        <v>2010042798180006</v>
      </c>
      <c r="B507">
        <v>40017855</v>
      </c>
      <c r="C507" t="s">
        <v>382</v>
      </c>
      <c r="D507"/>
      <c r="E507"/>
      <c r="F507" s="3">
        <v>44754</v>
      </c>
      <c r="G507" s="49">
        <v>1</v>
      </c>
      <c r="H507" s="23">
        <v>199.75</v>
      </c>
      <c r="I507" t="s">
        <v>6943</v>
      </c>
      <c r="J507"/>
      <c r="K507"/>
      <c r="L507"/>
      <c r="M507"/>
      <c r="N507"/>
      <c r="O507"/>
      <c r="P507"/>
      <c r="Q507"/>
      <c r="R507"/>
    </row>
    <row r="508" spans="1:18" x14ac:dyDescent="0.25">
      <c r="A508" t="str">
        <f>IFERROR(VLOOKUP(B508&amp; "*",'SKU Maintenance'!D:H,5,0),"not found")</f>
        <v>2010042798160007</v>
      </c>
      <c r="B508">
        <v>40017859</v>
      </c>
      <c r="C508" t="s">
        <v>383</v>
      </c>
      <c r="D508"/>
      <c r="E508"/>
      <c r="F508" s="3">
        <v>44754</v>
      </c>
      <c r="G508" s="49">
        <v>1</v>
      </c>
      <c r="H508" s="23">
        <v>199.75</v>
      </c>
      <c r="I508" t="s">
        <v>6943</v>
      </c>
      <c r="J508"/>
      <c r="K508"/>
      <c r="L508"/>
      <c r="M508"/>
      <c r="N508"/>
      <c r="O508"/>
      <c r="P508"/>
      <c r="Q508"/>
      <c r="R508"/>
    </row>
    <row r="509" spans="1:18" x14ac:dyDescent="0.25">
      <c r="A509" t="str">
        <f>IFERROR(VLOOKUP(B509&amp; "*",'SKU Maintenance'!D:H,5,0),"not found")</f>
        <v>2010042798250007</v>
      </c>
      <c r="B509">
        <v>40017860</v>
      </c>
      <c r="C509" t="s">
        <v>381</v>
      </c>
      <c r="D509"/>
      <c r="E509"/>
      <c r="F509" s="3">
        <v>44754</v>
      </c>
      <c r="G509" s="49">
        <v>4</v>
      </c>
      <c r="H509" s="23">
        <v>799</v>
      </c>
      <c r="I509" t="s">
        <v>6943</v>
      </c>
      <c r="J509"/>
      <c r="K509"/>
      <c r="L509"/>
      <c r="M509"/>
      <c r="N509"/>
      <c r="O509"/>
      <c r="P509"/>
      <c r="Q509"/>
      <c r="R509"/>
    </row>
    <row r="510" spans="1:18" x14ac:dyDescent="0.25">
      <c r="A510" t="str">
        <f>IFERROR(VLOOKUP(B510&amp; "*",'SKU Maintenance'!D:H,5,0),"not found")</f>
        <v>2010042798160008</v>
      </c>
      <c r="B510">
        <v>40017863</v>
      </c>
      <c r="C510" t="s">
        <v>181</v>
      </c>
      <c r="D510"/>
      <c r="E510"/>
      <c r="F510" s="3">
        <v>44764</v>
      </c>
      <c r="G510" s="49">
        <v>1</v>
      </c>
      <c r="H510" s="23">
        <v>199.75</v>
      </c>
      <c r="I510" t="s">
        <v>6939</v>
      </c>
      <c r="J510"/>
      <c r="K510"/>
      <c r="L510"/>
      <c r="M510"/>
      <c r="N510"/>
      <c r="O510"/>
      <c r="P510"/>
      <c r="Q510"/>
      <c r="R510"/>
    </row>
    <row r="511" spans="1:18" x14ac:dyDescent="0.25">
      <c r="A511" t="str">
        <f>IFERROR(VLOOKUP(B511&amp; "*",'SKU Maintenance'!D:H,5,0),"not found")</f>
        <v>2010042798160009</v>
      </c>
      <c r="B511">
        <v>40017866</v>
      </c>
      <c r="C511" t="s">
        <v>231</v>
      </c>
      <c r="D511"/>
      <c r="E511"/>
      <c r="F511" s="3">
        <v>44773</v>
      </c>
      <c r="G511" s="49">
        <v>1</v>
      </c>
      <c r="H511" s="23">
        <v>199.75</v>
      </c>
      <c r="I511" t="s">
        <v>6939</v>
      </c>
      <c r="J511"/>
      <c r="K511"/>
      <c r="L511"/>
      <c r="M511"/>
      <c r="N511"/>
      <c r="O511"/>
      <c r="P511"/>
      <c r="Q511"/>
      <c r="R511"/>
    </row>
    <row r="512" spans="1:18" x14ac:dyDescent="0.25">
      <c r="A512" t="str">
        <f>IFERROR(VLOOKUP(B512&amp; "*",'SKU Maintenance'!D:H,5,0),"not found")</f>
        <v>2010040598163180</v>
      </c>
      <c r="B512">
        <v>40017868</v>
      </c>
      <c r="C512" t="s">
        <v>58</v>
      </c>
      <c r="D512"/>
      <c r="E512"/>
      <c r="F512" s="3">
        <v>44743</v>
      </c>
      <c r="G512" s="49">
        <v>1</v>
      </c>
      <c r="H512" s="23">
        <v>129.75</v>
      </c>
      <c r="I512" t="s">
        <v>6939</v>
      </c>
      <c r="J512"/>
      <c r="K512"/>
      <c r="L512"/>
      <c r="M512"/>
      <c r="N512"/>
      <c r="O512"/>
      <c r="P512"/>
      <c r="Q512"/>
      <c r="R512"/>
    </row>
    <row r="513" spans="1:18" x14ac:dyDescent="0.25">
      <c r="A513" t="str">
        <f>IFERROR(VLOOKUP(B513&amp; "*",'SKU Maintenance'!D:H,5,0),"not found")</f>
        <v>2010040598163181</v>
      </c>
      <c r="B513">
        <v>40017871</v>
      </c>
      <c r="C513" t="s">
        <v>173</v>
      </c>
      <c r="D513"/>
      <c r="E513"/>
      <c r="F513" s="3">
        <v>44762</v>
      </c>
      <c r="G513" s="49">
        <v>1</v>
      </c>
      <c r="H513" s="23">
        <v>129.75</v>
      </c>
      <c r="I513" t="s">
        <v>6939</v>
      </c>
      <c r="J513"/>
      <c r="K513"/>
      <c r="L513"/>
      <c r="M513"/>
      <c r="N513"/>
      <c r="O513"/>
      <c r="P513"/>
      <c r="Q513"/>
      <c r="R513"/>
    </row>
    <row r="514" spans="1:18" x14ac:dyDescent="0.25">
      <c r="A514" t="str">
        <f>IFERROR(VLOOKUP(B514&amp; "*",'SKU Maintenance'!D:H,5,0),"not found")</f>
        <v>2010040598163181</v>
      </c>
      <c r="B514">
        <v>40017871</v>
      </c>
      <c r="C514" t="s">
        <v>173</v>
      </c>
      <c r="D514"/>
      <c r="E514"/>
      <c r="F514" s="3">
        <v>44772</v>
      </c>
      <c r="G514" s="49">
        <v>1</v>
      </c>
      <c r="H514" s="23">
        <v>129.75</v>
      </c>
      <c r="I514" t="s">
        <v>6939</v>
      </c>
      <c r="J514"/>
      <c r="K514"/>
      <c r="L514"/>
      <c r="M514"/>
      <c r="N514"/>
      <c r="O514"/>
      <c r="P514"/>
      <c r="Q514"/>
      <c r="R514"/>
    </row>
    <row r="515" spans="1:18" x14ac:dyDescent="0.25">
      <c r="A515" t="str">
        <f>IFERROR(VLOOKUP(B515&amp; "*",'SKU Maintenance'!D:H,5,0),"not found")</f>
        <v>2010010998160011</v>
      </c>
      <c r="B515">
        <v>40017901</v>
      </c>
      <c r="C515" t="s">
        <v>154</v>
      </c>
      <c r="D515"/>
      <c r="E515"/>
      <c r="F515" s="3">
        <v>44758</v>
      </c>
      <c r="G515" s="49">
        <v>1</v>
      </c>
      <c r="H515" s="23">
        <v>539.77499999999998</v>
      </c>
      <c r="I515" t="s">
        <v>6939</v>
      </c>
      <c r="J515"/>
      <c r="K515"/>
      <c r="L515"/>
      <c r="M515"/>
      <c r="N515"/>
      <c r="O515"/>
      <c r="P515"/>
      <c r="Q515"/>
      <c r="R515"/>
    </row>
    <row r="516" spans="1:18" x14ac:dyDescent="0.25">
      <c r="A516" t="str">
        <f>IFERROR(VLOOKUP(B516&amp; "*",'SKU Maintenance'!D:H,5,0),"not found")</f>
        <v>2010010998180020</v>
      </c>
      <c r="B516">
        <v>40017910</v>
      </c>
      <c r="C516" t="s">
        <v>219</v>
      </c>
      <c r="D516"/>
      <c r="E516"/>
      <c r="F516" s="3">
        <v>44772</v>
      </c>
      <c r="G516" s="49">
        <v>2</v>
      </c>
      <c r="H516" s="23">
        <v>1349.55</v>
      </c>
      <c r="I516" t="s">
        <v>6939</v>
      </c>
      <c r="J516"/>
      <c r="K516"/>
      <c r="L516"/>
      <c r="M516"/>
      <c r="N516"/>
      <c r="O516"/>
      <c r="P516"/>
      <c r="Q516"/>
      <c r="R516"/>
    </row>
    <row r="517" spans="1:18" x14ac:dyDescent="0.25">
      <c r="A517" t="str">
        <f>IFERROR(VLOOKUP(B517&amp; "*",'SKU Maintenance'!D:H,5,0),"not found")</f>
        <v>2010020298160002</v>
      </c>
      <c r="B517">
        <v>40017917</v>
      </c>
      <c r="C517" t="s">
        <v>243</v>
      </c>
      <c r="D517"/>
      <c r="E517"/>
      <c r="F517" s="3">
        <v>44744</v>
      </c>
      <c r="G517" s="49">
        <v>1</v>
      </c>
      <c r="H517" s="23">
        <v>699.75</v>
      </c>
      <c r="I517" t="s">
        <v>6941</v>
      </c>
      <c r="J517"/>
      <c r="K517"/>
      <c r="L517"/>
      <c r="M517"/>
      <c r="N517"/>
      <c r="O517"/>
      <c r="P517"/>
      <c r="Q517"/>
      <c r="R517"/>
    </row>
    <row r="518" spans="1:18" x14ac:dyDescent="0.25">
      <c r="A518" t="str">
        <f>IFERROR(VLOOKUP(B518&amp; "*",'SKU Maintenance'!D:H,5,0),"not found")</f>
        <v>2010040698250002</v>
      </c>
      <c r="B518">
        <v>40018021</v>
      </c>
      <c r="C518" t="s">
        <v>281</v>
      </c>
      <c r="D518"/>
      <c r="E518"/>
      <c r="F518" s="3">
        <v>44755</v>
      </c>
      <c r="G518" s="49">
        <v>1</v>
      </c>
      <c r="H518" s="23">
        <v>199.75</v>
      </c>
      <c r="I518" t="s">
        <v>6941</v>
      </c>
      <c r="J518"/>
      <c r="K518"/>
      <c r="L518"/>
      <c r="M518"/>
      <c r="N518"/>
      <c r="O518"/>
      <c r="P518"/>
      <c r="Q518"/>
      <c r="R518"/>
    </row>
    <row r="519" spans="1:18" x14ac:dyDescent="0.25">
      <c r="A519" t="str">
        <f>IFERROR(VLOOKUP(B519&amp; "*",'SKU Maintenance'!D:H,5,0),"not found")</f>
        <v>2010040698250002</v>
      </c>
      <c r="B519">
        <v>40018021</v>
      </c>
      <c r="C519" t="s">
        <v>281</v>
      </c>
      <c r="D519"/>
      <c r="E519"/>
      <c r="F519" s="3">
        <v>44754</v>
      </c>
      <c r="G519" s="49">
        <v>1</v>
      </c>
      <c r="H519" s="23">
        <v>199.75</v>
      </c>
      <c r="I519" t="s">
        <v>6943</v>
      </c>
      <c r="J519"/>
      <c r="K519"/>
      <c r="L519"/>
      <c r="M519"/>
      <c r="N519"/>
      <c r="O519"/>
      <c r="P519"/>
      <c r="Q519"/>
      <c r="R519"/>
    </row>
    <row r="520" spans="1:18" x14ac:dyDescent="0.25">
      <c r="A520" t="str">
        <f>IFERROR(VLOOKUP(B520&amp; "*",'SKU Maintenance'!D:H,5,0),"not found")</f>
        <v>2010040698250002</v>
      </c>
      <c r="B520">
        <v>40018021</v>
      </c>
      <c r="C520" t="s">
        <v>281</v>
      </c>
      <c r="D520"/>
      <c r="E520"/>
      <c r="F520" s="3">
        <v>44757</v>
      </c>
      <c r="G520" s="49">
        <v>1</v>
      </c>
      <c r="H520" s="23">
        <v>199.75</v>
      </c>
      <c r="I520" t="s">
        <v>6943</v>
      </c>
      <c r="J520"/>
      <c r="K520"/>
      <c r="L520"/>
      <c r="M520"/>
      <c r="N520"/>
      <c r="O520"/>
      <c r="P520"/>
      <c r="Q520"/>
      <c r="R520"/>
    </row>
    <row r="521" spans="1:18" x14ac:dyDescent="0.25">
      <c r="A521" t="str">
        <f>IFERROR(VLOOKUP(B521&amp; "*",'SKU Maintenance'!D:H,5,0),"not found")</f>
        <v>2010040698250002</v>
      </c>
      <c r="B521">
        <v>40018021</v>
      </c>
      <c r="C521" t="s">
        <v>281</v>
      </c>
      <c r="D521"/>
      <c r="E521"/>
      <c r="F521" s="3">
        <v>44765</v>
      </c>
      <c r="G521" s="49">
        <v>1</v>
      </c>
      <c r="H521" s="23">
        <v>199.75</v>
      </c>
      <c r="I521" t="s">
        <v>6945</v>
      </c>
      <c r="J521"/>
      <c r="K521"/>
      <c r="L521"/>
      <c r="M521"/>
      <c r="N521"/>
      <c r="O521"/>
      <c r="P521"/>
      <c r="Q521"/>
      <c r="R521"/>
    </row>
    <row r="522" spans="1:18" x14ac:dyDescent="0.25">
      <c r="A522" t="str">
        <f>IFERROR(VLOOKUP(B522&amp; "*",'SKU Maintenance'!D:H,5,0),"not found")</f>
        <v>2010040698180001</v>
      </c>
      <c r="B522">
        <v>40018023</v>
      </c>
      <c r="C522" t="s">
        <v>213</v>
      </c>
      <c r="D522"/>
      <c r="E522"/>
      <c r="F522" s="3">
        <v>44769</v>
      </c>
      <c r="G522" s="49">
        <v>4</v>
      </c>
      <c r="H522" s="23">
        <v>799</v>
      </c>
      <c r="I522" t="s">
        <v>6939</v>
      </c>
      <c r="J522"/>
      <c r="K522"/>
      <c r="L522"/>
      <c r="M522"/>
      <c r="N522"/>
      <c r="O522"/>
      <c r="P522"/>
      <c r="Q522"/>
      <c r="R522"/>
    </row>
    <row r="523" spans="1:18" x14ac:dyDescent="0.25">
      <c r="A523" t="str">
        <f>IFERROR(VLOOKUP(B523&amp; "*",'SKU Maintenance'!D:H,5,0),"not found")</f>
        <v>2010040698180001</v>
      </c>
      <c r="B523">
        <v>40018023</v>
      </c>
      <c r="C523" t="s">
        <v>213</v>
      </c>
      <c r="D523"/>
      <c r="E523"/>
      <c r="F523" s="3">
        <v>44773</v>
      </c>
      <c r="G523" s="49">
        <v>1</v>
      </c>
      <c r="H523" s="23">
        <v>199.75</v>
      </c>
      <c r="I523" t="s">
        <v>6941</v>
      </c>
      <c r="J523"/>
      <c r="K523"/>
      <c r="L523"/>
      <c r="M523"/>
      <c r="N523"/>
      <c r="O523"/>
      <c r="P523"/>
      <c r="Q523"/>
      <c r="R523"/>
    </row>
    <row r="524" spans="1:18" x14ac:dyDescent="0.25">
      <c r="A524" t="str">
        <f>IFERROR(VLOOKUP(B524&amp; "*",'SKU Maintenance'!D:H,5,0),"not found")</f>
        <v>2010040698180001</v>
      </c>
      <c r="B524">
        <v>40018023</v>
      </c>
      <c r="C524" t="s">
        <v>213</v>
      </c>
      <c r="D524"/>
      <c r="E524"/>
      <c r="F524" s="3">
        <v>44754</v>
      </c>
      <c r="G524" s="49">
        <v>1</v>
      </c>
      <c r="H524" s="23">
        <v>199.75</v>
      </c>
      <c r="I524" t="s">
        <v>6943</v>
      </c>
      <c r="J524"/>
      <c r="K524"/>
      <c r="L524"/>
      <c r="M524"/>
      <c r="N524"/>
      <c r="O524"/>
      <c r="P524"/>
      <c r="Q524"/>
      <c r="R524"/>
    </row>
    <row r="525" spans="1:18" x14ac:dyDescent="0.25">
      <c r="A525" t="str">
        <f>IFERROR(VLOOKUP(B525&amp; "*",'SKU Maintenance'!D:H,5,0),"not found")</f>
        <v>2010040698180001</v>
      </c>
      <c r="B525">
        <v>40018023</v>
      </c>
      <c r="C525" t="s">
        <v>213</v>
      </c>
      <c r="D525"/>
      <c r="E525"/>
      <c r="F525" s="3">
        <v>44757</v>
      </c>
      <c r="G525" s="49">
        <v>1</v>
      </c>
      <c r="H525" s="23">
        <v>199.75</v>
      </c>
      <c r="I525" t="s">
        <v>6943</v>
      </c>
      <c r="J525"/>
      <c r="K525"/>
      <c r="L525"/>
      <c r="M525"/>
      <c r="N525"/>
      <c r="O525"/>
      <c r="P525"/>
      <c r="Q525"/>
      <c r="R525"/>
    </row>
    <row r="526" spans="1:18" x14ac:dyDescent="0.25">
      <c r="A526" t="str">
        <f>IFERROR(VLOOKUP(B526&amp; "*",'SKU Maintenance'!D:H,5,0),"not found")</f>
        <v>2010040698250001</v>
      </c>
      <c r="B526">
        <v>40018028</v>
      </c>
      <c r="C526" t="s">
        <v>227</v>
      </c>
      <c r="D526"/>
      <c r="E526"/>
      <c r="F526" s="3">
        <v>44773</v>
      </c>
      <c r="G526" s="49">
        <v>2</v>
      </c>
      <c r="H526" s="23">
        <v>399.5</v>
      </c>
      <c r="I526" t="s">
        <v>6939</v>
      </c>
      <c r="J526"/>
      <c r="K526"/>
      <c r="L526"/>
      <c r="M526"/>
      <c r="N526"/>
      <c r="O526"/>
      <c r="P526"/>
      <c r="Q526"/>
      <c r="R526"/>
    </row>
    <row r="527" spans="1:18" x14ac:dyDescent="0.25">
      <c r="A527" t="str">
        <f>IFERROR(VLOOKUP(B527&amp; "*",'SKU Maintenance'!D:H,5,0),"not found")</f>
        <v>2010040698250001</v>
      </c>
      <c r="B527">
        <v>40018028</v>
      </c>
      <c r="C527" t="s">
        <v>227</v>
      </c>
      <c r="D527"/>
      <c r="E527"/>
      <c r="F527" s="3">
        <v>44773</v>
      </c>
      <c r="G527" s="49">
        <v>2</v>
      </c>
      <c r="H527" s="23">
        <v>399.5</v>
      </c>
      <c r="I527" t="s">
        <v>6941</v>
      </c>
      <c r="J527"/>
      <c r="K527"/>
      <c r="L527"/>
      <c r="M527"/>
      <c r="N527"/>
      <c r="O527"/>
      <c r="P527"/>
      <c r="Q527"/>
      <c r="R527"/>
    </row>
    <row r="528" spans="1:18" x14ac:dyDescent="0.25">
      <c r="A528" t="str">
        <f>IFERROR(VLOOKUP(B528&amp; "*",'SKU Maintenance'!D:H,5,0),"not found")</f>
        <v>2010040698250001</v>
      </c>
      <c r="B528">
        <v>40018028</v>
      </c>
      <c r="C528" t="s">
        <v>227</v>
      </c>
      <c r="D528"/>
      <c r="E528"/>
      <c r="F528" s="3">
        <v>44744</v>
      </c>
      <c r="G528" s="49">
        <v>2</v>
      </c>
      <c r="H528" s="23">
        <v>399.5</v>
      </c>
      <c r="I528" t="s">
        <v>6943</v>
      </c>
      <c r="J528"/>
      <c r="K528"/>
      <c r="L528"/>
      <c r="M528"/>
      <c r="N528"/>
      <c r="O528"/>
      <c r="P528"/>
      <c r="Q528"/>
      <c r="R528"/>
    </row>
    <row r="529" spans="1:18" x14ac:dyDescent="0.25">
      <c r="A529" t="str">
        <f>IFERROR(VLOOKUP(B529&amp; "*",'SKU Maintenance'!D:H,5,0),"not found")</f>
        <v>2010040698250001</v>
      </c>
      <c r="B529">
        <v>40018028</v>
      </c>
      <c r="C529" t="s">
        <v>227</v>
      </c>
      <c r="D529"/>
      <c r="E529"/>
      <c r="F529" s="3">
        <v>44754</v>
      </c>
      <c r="G529" s="49">
        <v>1</v>
      </c>
      <c r="H529" s="23">
        <v>199.75</v>
      </c>
      <c r="I529" t="s">
        <v>6943</v>
      </c>
      <c r="J529"/>
      <c r="K529"/>
      <c r="L529"/>
      <c r="M529"/>
      <c r="N529"/>
      <c r="O529"/>
      <c r="P529"/>
      <c r="Q529"/>
      <c r="R529"/>
    </row>
    <row r="530" spans="1:18" x14ac:dyDescent="0.25">
      <c r="A530" t="str">
        <f>IFERROR(VLOOKUP(B530&amp; "*",'SKU Maintenance'!D:H,5,0),"not found")</f>
        <v>2010040698250001</v>
      </c>
      <c r="B530">
        <v>40018028</v>
      </c>
      <c r="C530" t="s">
        <v>227</v>
      </c>
      <c r="D530"/>
      <c r="E530"/>
      <c r="F530" s="3">
        <v>44758</v>
      </c>
      <c r="G530" s="49">
        <v>1</v>
      </c>
      <c r="H530" s="23">
        <v>199.75</v>
      </c>
      <c r="I530" t="s">
        <v>6945</v>
      </c>
      <c r="J530"/>
      <c r="K530"/>
      <c r="L530"/>
      <c r="M530"/>
      <c r="N530"/>
      <c r="O530"/>
      <c r="P530"/>
      <c r="Q530"/>
      <c r="R530"/>
    </row>
    <row r="531" spans="1:18" x14ac:dyDescent="0.25">
      <c r="A531" t="str">
        <f>IFERROR(VLOOKUP(B531&amp; "*",'SKU Maintenance'!D:H,5,0),"not found")</f>
        <v>2010040698180002</v>
      </c>
      <c r="B531">
        <v>40018029</v>
      </c>
      <c r="C531" t="s">
        <v>75</v>
      </c>
      <c r="D531"/>
      <c r="E531"/>
      <c r="F531" s="3">
        <v>44745</v>
      </c>
      <c r="G531" s="49">
        <v>1</v>
      </c>
      <c r="H531" s="23">
        <v>199.75</v>
      </c>
      <c r="I531" t="s">
        <v>6939</v>
      </c>
      <c r="J531"/>
      <c r="K531"/>
      <c r="L531"/>
      <c r="M531"/>
      <c r="N531"/>
      <c r="O531"/>
      <c r="P531"/>
      <c r="Q531"/>
      <c r="R531"/>
    </row>
    <row r="532" spans="1:18" x14ac:dyDescent="0.25">
      <c r="A532" t="str">
        <f>IFERROR(VLOOKUP(B532&amp; "*",'SKU Maintenance'!D:H,5,0),"not found")</f>
        <v>2010040698180002</v>
      </c>
      <c r="B532">
        <v>40018029</v>
      </c>
      <c r="C532" t="s">
        <v>75</v>
      </c>
      <c r="D532"/>
      <c r="E532"/>
      <c r="F532" s="3">
        <v>44771</v>
      </c>
      <c r="G532" s="49">
        <v>1</v>
      </c>
      <c r="H532" s="23">
        <v>199.75</v>
      </c>
      <c r="I532" t="s">
        <v>6941</v>
      </c>
      <c r="J532"/>
      <c r="K532"/>
      <c r="L532"/>
      <c r="M532"/>
      <c r="N532"/>
      <c r="O532"/>
      <c r="P532"/>
      <c r="Q532"/>
      <c r="R532"/>
    </row>
    <row r="533" spans="1:18" x14ac:dyDescent="0.25">
      <c r="A533" t="str">
        <f>IFERROR(VLOOKUP(B533&amp; "*",'SKU Maintenance'!D:H,5,0),"not found")</f>
        <v>2010040698180002</v>
      </c>
      <c r="B533">
        <v>40018029</v>
      </c>
      <c r="C533" t="s">
        <v>75</v>
      </c>
      <c r="D533"/>
      <c r="E533"/>
      <c r="F533" s="3">
        <v>44765</v>
      </c>
      <c r="G533" s="49">
        <v>1</v>
      </c>
      <c r="H533" s="23">
        <v>199.75</v>
      </c>
      <c r="I533" t="s">
        <v>6943</v>
      </c>
      <c r="J533"/>
      <c r="K533"/>
      <c r="L533"/>
      <c r="M533"/>
      <c r="N533"/>
      <c r="O533"/>
      <c r="P533"/>
      <c r="Q533"/>
      <c r="R533"/>
    </row>
    <row r="534" spans="1:18" x14ac:dyDescent="0.25">
      <c r="A534" t="str">
        <f>IFERROR(VLOOKUP(B534&amp; "*",'SKU Maintenance'!D:H,5,0),"not found")</f>
        <v>2010040698170001</v>
      </c>
      <c r="B534">
        <v>40018033</v>
      </c>
      <c r="C534" t="s">
        <v>297</v>
      </c>
      <c r="D534"/>
      <c r="E534"/>
      <c r="F534" s="3">
        <v>44759</v>
      </c>
      <c r="G534" s="49">
        <v>1</v>
      </c>
      <c r="H534" s="23">
        <v>199.75</v>
      </c>
      <c r="I534" t="s">
        <v>6941</v>
      </c>
      <c r="J534"/>
      <c r="K534"/>
      <c r="L534"/>
      <c r="M534"/>
      <c r="N534"/>
      <c r="O534"/>
      <c r="P534"/>
      <c r="Q534"/>
      <c r="R534"/>
    </row>
    <row r="535" spans="1:18" x14ac:dyDescent="0.25">
      <c r="A535" t="str">
        <f>IFERROR(VLOOKUP(B535&amp; "*",'SKU Maintenance'!D:H,5,0),"not found")</f>
        <v>2010040698170002</v>
      </c>
      <c r="B535">
        <v>40018034</v>
      </c>
      <c r="C535" t="s">
        <v>74</v>
      </c>
      <c r="D535"/>
      <c r="E535"/>
      <c r="F535" s="3">
        <v>44745</v>
      </c>
      <c r="G535" s="49">
        <v>1</v>
      </c>
      <c r="H535" s="23">
        <v>199.75</v>
      </c>
      <c r="I535" t="s">
        <v>6939</v>
      </c>
      <c r="J535"/>
      <c r="K535"/>
      <c r="L535"/>
      <c r="M535"/>
      <c r="N535"/>
      <c r="O535"/>
      <c r="P535"/>
      <c r="Q535"/>
      <c r="R535"/>
    </row>
    <row r="536" spans="1:18" x14ac:dyDescent="0.25">
      <c r="A536" t="str">
        <f>IFERROR(VLOOKUP(B536&amp; "*",'SKU Maintenance'!D:H,5,0),"not found")</f>
        <v>2010040698170002</v>
      </c>
      <c r="B536">
        <v>40018034</v>
      </c>
      <c r="C536" t="s">
        <v>74</v>
      </c>
      <c r="D536"/>
      <c r="E536"/>
      <c r="F536" s="3">
        <v>44750</v>
      </c>
      <c r="G536" s="49">
        <v>2</v>
      </c>
      <c r="H536" s="23">
        <v>399.5</v>
      </c>
      <c r="I536" t="s">
        <v>6939</v>
      </c>
      <c r="J536"/>
      <c r="K536"/>
      <c r="L536"/>
      <c r="M536"/>
      <c r="N536"/>
      <c r="O536"/>
      <c r="P536"/>
      <c r="Q536"/>
      <c r="R536"/>
    </row>
    <row r="537" spans="1:18" x14ac:dyDescent="0.25">
      <c r="A537" t="str">
        <f>IFERROR(VLOOKUP(B537&amp; "*",'SKU Maintenance'!D:H,5,0),"not found")</f>
        <v>2010040698170002</v>
      </c>
      <c r="B537">
        <v>40018034</v>
      </c>
      <c r="C537" t="s">
        <v>74</v>
      </c>
      <c r="D537"/>
      <c r="E537"/>
      <c r="F537" s="3">
        <v>44754</v>
      </c>
      <c r="G537" s="49">
        <v>1</v>
      </c>
      <c r="H537" s="23">
        <v>199.75</v>
      </c>
      <c r="I537" t="s">
        <v>6943</v>
      </c>
      <c r="J537"/>
      <c r="K537"/>
      <c r="L537"/>
      <c r="M537"/>
      <c r="N537"/>
      <c r="O537"/>
      <c r="P537"/>
      <c r="Q537"/>
      <c r="R537"/>
    </row>
    <row r="538" spans="1:18" x14ac:dyDescent="0.25">
      <c r="A538" t="str">
        <f>IFERROR(VLOOKUP(B538&amp; "*",'SKU Maintenance'!D:H,5,0),"not found")</f>
        <v>2010040698170002</v>
      </c>
      <c r="B538">
        <v>40018034</v>
      </c>
      <c r="C538" t="s">
        <v>74</v>
      </c>
      <c r="D538"/>
      <c r="E538"/>
      <c r="F538" s="3">
        <v>44757</v>
      </c>
      <c r="G538" s="49">
        <v>1</v>
      </c>
      <c r="H538" s="23">
        <v>199.75</v>
      </c>
      <c r="I538" t="s">
        <v>6943</v>
      </c>
      <c r="J538"/>
      <c r="K538"/>
      <c r="L538"/>
      <c r="M538"/>
      <c r="N538"/>
      <c r="O538"/>
      <c r="P538"/>
      <c r="Q538"/>
      <c r="R538"/>
    </row>
    <row r="539" spans="1:18" x14ac:dyDescent="0.25">
      <c r="A539" t="str">
        <f>IFERROR(VLOOKUP(B539&amp; "*",'SKU Maintenance'!D:H,5,0),"not found")</f>
        <v>2010010298180016</v>
      </c>
      <c r="B539">
        <v>40018110</v>
      </c>
      <c r="C539" t="s">
        <v>132</v>
      </c>
      <c r="D539"/>
      <c r="E539"/>
      <c r="F539" s="3">
        <v>44747</v>
      </c>
      <c r="G539" s="49">
        <v>1</v>
      </c>
      <c r="H539" s="23">
        <v>199.75</v>
      </c>
      <c r="I539" t="s">
        <v>6941</v>
      </c>
      <c r="J539"/>
      <c r="K539"/>
      <c r="L539"/>
      <c r="M539"/>
      <c r="N539"/>
      <c r="O539"/>
      <c r="P539"/>
      <c r="Q539"/>
      <c r="R539"/>
    </row>
    <row r="540" spans="1:18" x14ac:dyDescent="0.25">
      <c r="A540" t="str">
        <f>IFERROR(VLOOKUP(B540&amp; "*",'SKU Maintenance'!D:H,5,0),"not found")</f>
        <v>2010010298160016</v>
      </c>
      <c r="B540">
        <v>40018111</v>
      </c>
      <c r="C540" t="s">
        <v>132</v>
      </c>
      <c r="D540"/>
      <c r="E540"/>
      <c r="F540" s="3">
        <v>44756</v>
      </c>
      <c r="G540" s="49">
        <v>1</v>
      </c>
      <c r="H540" s="23">
        <v>199.75</v>
      </c>
      <c r="I540" t="s">
        <v>6939</v>
      </c>
      <c r="J540"/>
      <c r="K540"/>
      <c r="L540"/>
      <c r="M540"/>
      <c r="N540"/>
      <c r="O540"/>
      <c r="P540"/>
      <c r="Q540"/>
      <c r="R540"/>
    </row>
    <row r="541" spans="1:18" x14ac:dyDescent="0.25">
      <c r="A541" t="str">
        <f>IFERROR(VLOOKUP(B541&amp; "*",'SKU Maintenance'!D:H,5,0),"not found")</f>
        <v>2010010898040035</v>
      </c>
      <c r="B541">
        <v>40018254</v>
      </c>
      <c r="C541" t="s">
        <v>164</v>
      </c>
      <c r="D541"/>
      <c r="E541"/>
      <c r="F541" s="3">
        <v>44759</v>
      </c>
      <c r="G541" s="49">
        <v>1</v>
      </c>
      <c r="H541" s="23">
        <v>449.77500000000003</v>
      </c>
      <c r="I541" t="s">
        <v>6939</v>
      </c>
      <c r="J541"/>
      <c r="K541"/>
      <c r="L541"/>
      <c r="M541"/>
      <c r="N541"/>
      <c r="O541"/>
      <c r="P541"/>
      <c r="Q541"/>
      <c r="R541"/>
    </row>
    <row r="542" spans="1:18" x14ac:dyDescent="0.25">
      <c r="A542" t="str">
        <f>IFERROR(VLOOKUP(B542&amp; "*",'SKU Maintenance'!D:H,5,0),"not found")</f>
        <v>2010010898040035</v>
      </c>
      <c r="B542">
        <v>40018254</v>
      </c>
      <c r="C542" t="s">
        <v>164</v>
      </c>
      <c r="D542"/>
      <c r="E542"/>
      <c r="F542" s="3">
        <v>44760</v>
      </c>
      <c r="G542" s="49">
        <v>1</v>
      </c>
      <c r="H542" s="23">
        <v>499.75</v>
      </c>
      <c r="I542" t="s">
        <v>6939</v>
      </c>
      <c r="J542"/>
      <c r="K542"/>
      <c r="L542"/>
      <c r="M542"/>
      <c r="N542"/>
      <c r="O542"/>
      <c r="P542"/>
      <c r="Q542"/>
      <c r="R542"/>
    </row>
    <row r="543" spans="1:18" x14ac:dyDescent="0.25">
      <c r="A543" t="str">
        <f>IFERROR(VLOOKUP(B543&amp; "*",'SKU Maintenance'!D:H,5,0),"not found")</f>
        <v>2010010898040035</v>
      </c>
      <c r="B543">
        <v>40018254</v>
      </c>
      <c r="C543" t="s">
        <v>164</v>
      </c>
      <c r="D543"/>
      <c r="E543"/>
      <c r="F543" s="3">
        <v>44768</v>
      </c>
      <c r="G543" s="49">
        <v>1</v>
      </c>
      <c r="H543" s="23">
        <v>499.75</v>
      </c>
      <c r="I543" t="s">
        <v>6939</v>
      </c>
      <c r="J543"/>
      <c r="K543"/>
      <c r="L543"/>
      <c r="M543"/>
      <c r="N543"/>
      <c r="O543"/>
      <c r="P543"/>
      <c r="Q543"/>
      <c r="R543"/>
    </row>
    <row r="544" spans="1:18" x14ac:dyDescent="0.25">
      <c r="A544" t="str">
        <f>IFERROR(VLOOKUP(B544&amp; "*",'SKU Maintenance'!D:H,5,0),"not found")</f>
        <v>2010010898040035</v>
      </c>
      <c r="B544">
        <v>40018254</v>
      </c>
      <c r="C544" t="s">
        <v>164</v>
      </c>
      <c r="D544"/>
      <c r="E544"/>
      <c r="F544" s="3">
        <v>44771</v>
      </c>
      <c r="G544" s="49">
        <v>1</v>
      </c>
      <c r="H544" s="23">
        <v>449.77500000000003</v>
      </c>
      <c r="I544" t="s">
        <v>6939</v>
      </c>
      <c r="J544"/>
      <c r="K544"/>
      <c r="L544"/>
      <c r="M544"/>
      <c r="N544"/>
      <c r="O544"/>
      <c r="P544"/>
      <c r="Q544"/>
      <c r="R544"/>
    </row>
    <row r="545" spans="1:18" x14ac:dyDescent="0.25">
      <c r="A545" t="str">
        <f>IFERROR(VLOOKUP(B545&amp; "*",'SKU Maintenance'!D:H,5,0),"not found")</f>
        <v>2010010804040036</v>
      </c>
      <c r="B545">
        <v>40018255</v>
      </c>
      <c r="C545" t="s">
        <v>96</v>
      </c>
      <c r="D545"/>
      <c r="E545"/>
      <c r="F545" s="3">
        <v>44749</v>
      </c>
      <c r="G545" s="49">
        <v>1</v>
      </c>
      <c r="H545" s="23">
        <v>749.75</v>
      </c>
      <c r="I545" t="s">
        <v>6939</v>
      </c>
      <c r="J545"/>
      <c r="K545"/>
      <c r="L545"/>
      <c r="M545"/>
      <c r="N545"/>
      <c r="O545"/>
      <c r="P545"/>
      <c r="Q545"/>
      <c r="R545"/>
    </row>
    <row r="546" spans="1:18" x14ac:dyDescent="0.25">
      <c r="A546" t="str">
        <f>IFERROR(VLOOKUP(B546&amp; "*",'SKU Maintenance'!D:H,5,0),"not found")</f>
        <v>2010010804040036</v>
      </c>
      <c r="B546">
        <v>40018255</v>
      </c>
      <c r="C546" t="s">
        <v>96</v>
      </c>
      <c r="D546"/>
      <c r="E546"/>
      <c r="F546" s="3">
        <v>44766</v>
      </c>
      <c r="G546" s="49">
        <v>1</v>
      </c>
      <c r="H546" s="23">
        <v>749.75</v>
      </c>
      <c r="I546" t="s">
        <v>6939</v>
      </c>
      <c r="J546"/>
      <c r="K546"/>
      <c r="L546"/>
      <c r="M546"/>
      <c r="N546"/>
      <c r="O546"/>
      <c r="P546"/>
      <c r="Q546"/>
      <c r="R546"/>
    </row>
    <row r="547" spans="1:18" x14ac:dyDescent="0.25">
      <c r="A547" t="str">
        <f>IFERROR(VLOOKUP(B547&amp; "*",'SKU Maintenance'!D:H,5,0),"not found")</f>
        <v>2010010804040036</v>
      </c>
      <c r="B547">
        <v>40018255</v>
      </c>
      <c r="C547" t="s">
        <v>96</v>
      </c>
      <c r="D547"/>
      <c r="E547"/>
      <c r="F547" s="3">
        <v>44761</v>
      </c>
      <c r="G547" s="49">
        <v>1</v>
      </c>
      <c r="H547" s="23">
        <v>749.75</v>
      </c>
      <c r="I547" t="s">
        <v>6941</v>
      </c>
      <c r="J547"/>
      <c r="K547"/>
      <c r="L547"/>
      <c r="M547"/>
      <c r="N547"/>
      <c r="O547"/>
      <c r="P547"/>
      <c r="Q547"/>
      <c r="R547"/>
    </row>
    <row r="548" spans="1:18" x14ac:dyDescent="0.25">
      <c r="A548" t="str">
        <f>IFERROR(VLOOKUP(B548&amp; "*",'SKU Maintenance'!D:H,5,0),"not found")</f>
        <v>2010010804040036</v>
      </c>
      <c r="B548">
        <v>40018255</v>
      </c>
      <c r="C548" t="s">
        <v>96</v>
      </c>
      <c r="D548"/>
      <c r="E548"/>
      <c r="F548" s="3">
        <v>44750</v>
      </c>
      <c r="G548" s="49">
        <v>1</v>
      </c>
      <c r="H548" s="23">
        <v>749.75</v>
      </c>
      <c r="I548" t="s">
        <v>6943</v>
      </c>
      <c r="J548"/>
      <c r="K548"/>
      <c r="L548"/>
      <c r="M548"/>
      <c r="N548"/>
      <c r="O548"/>
      <c r="P548"/>
      <c r="Q548"/>
      <c r="R548"/>
    </row>
    <row r="549" spans="1:18" x14ac:dyDescent="0.25">
      <c r="A549" t="str">
        <f>IFERROR(VLOOKUP(B549&amp; "*",'SKU Maintenance'!D:H,5,0),"not found")</f>
        <v>2010010898170046</v>
      </c>
      <c r="B549">
        <v>40018256</v>
      </c>
      <c r="C549" t="s">
        <v>60</v>
      </c>
      <c r="D549"/>
      <c r="E549"/>
      <c r="F549" s="3">
        <v>44744</v>
      </c>
      <c r="G549" s="49">
        <v>1</v>
      </c>
      <c r="H549" s="23">
        <v>1349.7750000000001</v>
      </c>
      <c r="I549" t="s">
        <v>6939</v>
      </c>
      <c r="J549"/>
      <c r="K549"/>
      <c r="L549"/>
      <c r="M549"/>
      <c r="N549"/>
      <c r="O549"/>
      <c r="P549"/>
      <c r="Q549"/>
      <c r="R549"/>
    </row>
    <row r="550" spans="1:18" x14ac:dyDescent="0.25">
      <c r="A550" t="str">
        <f>IFERROR(VLOOKUP(B550&amp; "*",'SKU Maintenance'!D:H,5,0),"not found")</f>
        <v>2010010898170046</v>
      </c>
      <c r="B550">
        <v>40018256</v>
      </c>
      <c r="C550" t="s">
        <v>60</v>
      </c>
      <c r="D550"/>
      <c r="E550"/>
      <c r="F550" s="3">
        <v>44759</v>
      </c>
      <c r="G550" s="49">
        <v>1</v>
      </c>
      <c r="H550" s="23">
        <v>1349.7750000000001</v>
      </c>
      <c r="I550" t="s">
        <v>6939</v>
      </c>
      <c r="J550"/>
      <c r="K550"/>
      <c r="L550"/>
      <c r="M550"/>
      <c r="N550"/>
      <c r="O550"/>
      <c r="P550"/>
      <c r="Q550"/>
      <c r="R550"/>
    </row>
    <row r="551" spans="1:18" x14ac:dyDescent="0.25">
      <c r="A551" t="str">
        <f>IFERROR(VLOOKUP(B551&amp; "*",'SKU Maintenance'!D:H,5,0),"not found")</f>
        <v>2010010804070038</v>
      </c>
      <c r="B551">
        <v>40018257</v>
      </c>
      <c r="C551" t="s">
        <v>138</v>
      </c>
      <c r="D551"/>
      <c r="E551"/>
      <c r="F551" s="3">
        <v>44757</v>
      </c>
      <c r="G551" s="49">
        <v>1</v>
      </c>
      <c r="H551" s="23">
        <v>674.77499999999998</v>
      </c>
      <c r="I551" t="s">
        <v>6939</v>
      </c>
      <c r="J551"/>
      <c r="K551"/>
      <c r="L551"/>
      <c r="M551"/>
      <c r="N551"/>
      <c r="O551"/>
      <c r="P551"/>
      <c r="Q551"/>
      <c r="R551"/>
    </row>
    <row r="552" spans="1:18" x14ac:dyDescent="0.25">
      <c r="A552" t="str">
        <f>IFERROR(VLOOKUP(B552&amp; "*",'SKU Maintenance'!D:H,5,0),"not found")</f>
        <v>2010010898130037</v>
      </c>
      <c r="B552">
        <v>40018259</v>
      </c>
      <c r="C552" t="s">
        <v>204</v>
      </c>
      <c r="D552"/>
      <c r="E552"/>
      <c r="F552" s="3">
        <v>44768</v>
      </c>
      <c r="G552" s="49">
        <v>1</v>
      </c>
      <c r="H552" s="23">
        <v>499.75</v>
      </c>
      <c r="I552" t="s">
        <v>6939</v>
      </c>
      <c r="J552"/>
      <c r="K552"/>
      <c r="L552"/>
      <c r="M552"/>
      <c r="N552"/>
      <c r="O552"/>
      <c r="P552"/>
      <c r="Q552"/>
      <c r="R552"/>
    </row>
    <row r="553" spans="1:18" x14ac:dyDescent="0.25">
      <c r="A553" t="str">
        <f>IFERROR(VLOOKUP(B553&amp; "*",'SKU Maintenance'!D:H,5,0),"not found")</f>
        <v>2010010898170048</v>
      </c>
      <c r="B553">
        <v>40018263</v>
      </c>
      <c r="C553" t="s">
        <v>308</v>
      </c>
      <c r="D553"/>
      <c r="E553"/>
      <c r="F553" s="3">
        <v>44761</v>
      </c>
      <c r="G553" s="49">
        <v>1</v>
      </c>
      <c r="H553" s="23">
        <v>999.75</v>
      </c>
      <c r="I553" t="s">
        <v>6941</v>
      </c>
      <c r="J553"/>
      <c r="K553"/>
      <c r="L553"/>
      <c r="M553"/>
      <c r="N553"/>
      <c r="O553"/>
      <c r="P553"/>
      <c r="Q553"/>
      <c r="R553"/>
    </row>
    <row r="554" spans="1:18" x14ac:dyDescent="0.25">
      <c r="A554" t="str">
        <f>IFERROR(VLOOKUP(B554&amp; "*",'SKU Maintenance'!D:H,5,0),"not found")</f>
        <v>2010010898070040</v>
      </c>
      <c r="B554">
        <v>40018265</v>
      </c>
      <c r="C554" t="s">
        <v>307</v>
      </c>
      <c r="D554"/>
      <c r="E554"/>
      <c r="F554" s="3">
        <v>44761</v>
      </c>
      <c r="G554" s="49">
        <v>1</v>
      </c>
      <c r="H554" s="23">
        <v>1299.75</v>
      </c>
      <c r="I554" t="s">
        <v>6941</v>
      </c>
      <c r="J554"/>
      <c r="K554"/>
      <c r="L554"/>
      <c r="M554"/>
      <c r="N554"/>
      <c r="O554"/>
      <c r="P554"/>
      <c r="Q554"/>
      <c r="R554"/>
    </row>
    <row r="555" spans="1:18" x14ac:dyDescent="0.25">
      <c r="A555" t="str">
        <f>IFERROR(VLOOKUP(B555&amp; "*",'SKU Maintenance'!D:H,5,0),"not found")</f>
        <v>2010010898170042</v>
      </c>
      <c r="B555">
        <v>40018267</v>
      </c>
      <c r="C555" t="s">
        <v>317</v>
      </c>
      <c r="D555"/>
      <c r="E555"/>
      <c r="F555" s="3">
        <v>44765</v>
      </c>
      <c r="G555" s="49">
        <v>1</v>
      </c>
      <c r="H555" s="23">
        <v>499.75</v>
      </c>
      <c r="I555" t="s">
        <v>6941</v>
      </c>
      <c r="J555"/>
      <c r="K555"/>
      <c r="L555"/>
      <c r="M555"/>
      <c r="N555"/>
      <c r="O555"/>
      <c r="P555"/>
      <c r="Q555"/>
      <c r="R555"/>
    </row>
    <row r="556" spans="1:18" x14ac:dyDescent="0.25">
      <c r="A556" t="str">
        <f>IFERROR(VLOOKUP(B556&amp; "*",'SKU Maintenance'!D:H,5,0),"not found")</f>
        <v>2010010898190058</v>
      </c>
      <c r="B556">
        <v>40018291</v>
      </c>
      <c r="C556" t="s">
        <v>304</v>
      </c>
      <c r="D556"/>
      <c r="E556"/>
      <c r="F556" s="3">
        <v>44760</v>
      </c>
      <c r="G556" s="49">
        <v>1</v>
      </c>
      <c r="H556" s="23">
        <v>499.75</v>
      </c>
      <c r="I556" t="s">
        <v>6941</v>
      </c>
      <c r="J556"/>
      <c r="K556"/>
      <c r="L556"/>
      <c r="M556"/>
      <c r="N556"/>
      <c r="O556"/>
      <c r="P556"/>
      <c r="Q556"/>
      <c r="R556"/>
    </row>
    <row r="557" spans="1:18" x14ac:dyDescent="0.25">
      <c r="A557" t="str">
        <f>IFERROR(VLOOKUP(B557&amp; "*",'SKU Maintenance'!D:H,5,0),"not found")</f>
        <v>2010041098220229</v>
      </c>
      <c r="B557">
        <v>40018295</v>
      </c>
      <c r="C557" t="s">
        <v>432</v>
      </c>
      <c r="D557"/>
      <c r="E557"/>
      <c r="F557" s="3">
        <v>44772</v>
      </c>
      <c r="G557" s="49">
        <v>2</v>
      </c>
      <c r="H557" s="23">
        <v>459.5</v>
      </c>
      <c r="I557" t="s">
        <v>6943</v>
      </c>
      <c r="J557"/>
      <c r="K557"/>
      <c r="L557"/>
      <c r="M557"/>
      <c r="N557"/>
      <c r="O557"/>
      <c r="P557"/>
      <c r="Q557"/>
      <c r="R557"/>
    </row>
    <row r="558" spans="1:18" x14ac:dyDescent="0.25">
      <c r="A558" t="str">
        <f>IFERROR(VLOOKUP(B558&amp; "*",'SKU Maintenance'!D:H,5,0),"not found")</f>
        <v>2010041098160230</v>
      </c>
      <c r="B558">
        <v>40018298</v>
      </c>
      <c r="C558" t="s">
        <v>165</v>
      </c>
      <c r="D558"/>
      <c r="E558"/>
      <c r="F558" s="3">
        <v>44759</v>
      </c>
      <c r="G558" s="49">
        <v>1</v>
      </c>
      <c r="H558" s="23">
        <v>249.75</v>
      </c>
      <c r="I558" t="s">
        <v>6939</v>
      </c>
      <c r="J558"/>
      <c r="K558"/>
      <c r="L558"/>
      <c r="M558"/>
      <c r="N558"/>
      <c r="O558"/>
      <c r="P558"/>
      <c r="Q558"/>
      <c r="R558"/>
    </row>
    <row r="559" spans="1:18" x14ac:dyDescent="0.25">
      <c r="A559" t="str">
        <f>IFERROR(VLOOKUP(B559&amp; "*",'SKU Maintenance'!D:H,5,0),"not found")</f>
        <v>2010041098220230</v>
      </c>
      <c r="B559">
        <v>40018301</v>
      </c>
      <c r="C559" t="s">
        <v>431</v>
      </c>
      <c r="D559"/>
      <c r="E559"/>
      <c r="F559" s="3">
        <v>44772</v>
      </c>
      <c r="G559" s="49">
        <v>2</v>
      </c>
      <c r="H559" s="23">
        <v>499.5</v>
      </c>
      <c r="I559" t="s">
        <v>6943</v>
      </c>
      <c r="J559"/>
      <c r="K559"/>
      <c r="L559"/>
      <c r="M559"/>
      <c r="N559"/>
      <c r="O559"/>
      <c r="P559"/>
      <c r="Q559"/>
      <c r="R559"/>
    </row>
    <row r="560" spans="1:18" x14ac:dyDescent="0.25">
      <c r="A560" t="str">
        <f>IFERROR(VLOOKUP(B560&amp; "*",'SKU Maintenance'!D:H,5,0),"not found")</f>
        <v>2010010898130051</v>
      </c>
      <c r="B560">
        <v>40018304</v>
      </c>
      <c r="C560" t="s">
        <v>352</v>
      </c>
      <c r="D560"/>
      <c r="E560"/>
      <c r="F560" s="3">
        <v>44743</v>
      </c>
      <c r="G560" s="49">
        <v>1</v>
      </c>
      <c r="H560" s="23">
        <v>449.77500000000003</v>
      </c>
      <c r="I560" t="s">
        <v>6943</v>
      </c>
      <c r="J560"/>
      <c r="K560"/>
      <c r="L560"/>
      <c r="M560"/>
      <c r="N560"/>
      <c r="O560"/>
      <c r="P560"/>
      <c r="Q560"/>
      <c r="R560"/>
    </row>
    <row r="561" spans="1:18" x14ac:dyDescent="0.25">
      <c r="A561" t="str">
        <f>IFERROR(VLOOKUP(B561&amp; "*",'SKU Maintenance'!D:H,5,0),"not found")</f>
        <v>2010010898130051</v>
      </c>
      <c r="B561">
        <v>40018304</v>
      </c>
      <c r="C561" t="s">
        <v>352</v>
      </c>
      <c r="D561"/>
      <c r="E561"/>
      <c r="F561" s="3">
        <v>44751</v>
      </c>
      <c r="G561" s="49">
        <v>1</v>
      </c>
      <c r="H561" s="23">
        <v>499.75</v>
      </c>
      <c r="I561" t="s">
        <v>6945</v>
      </c>
      <c r="J561"/>
      <c r="K561"/>
      <c r="L561"/>
      <c r="M561"/>
      <c r="N561"/>
      <c r="O561"/>
      <c r="P561"/>
      <c r="Q561"/>
      <c r="R561"/>
    </row>
    <row r="562" spans="1:18" x14ac:dyDescent="0.25">
      <c r="A562" t="str">
        <f>IFERROR(VLOOKUP(B562&amp; "*",'SKU Maintenance'!D:H,5,0),"not found")</f>
        <v>2010010804130052</v>
      </c>
      <c r="B562">
        <v>40018305</v>
      </c>
      <c r="C562" t="s">
        <v>410</v>
      </c>
      <c r="D562"/>
      <c r="E562"/>
      <c r="F562" s="3">
        <v>44760</v>
      </c>
      <c r="G562" s="49">
        <v>1</v>
      </c>
      <c r="H562" s="23">
        <v>749.75</v>
      </c>
      <c r="I562" t="s">
        <v>6943</v>
      </c>
      <c r="J562"/>
      <c r="K562"/>
      <c r="L562"/>
      <c r="M562"/>
      <c r="N562"/>
      <c r="O562"/>
      <c r="P562"/>
      <c r="Q562"/>
      <c r="R562"/>
    </row>
    <row r="563" spans="1:18" x14ac:dyDescent="0.25">
      <c r="A563" t="str">
        <f>IFERROR(VLOOKUP(B563&amp; "*",'SKU Maintenance'!D:H,5,0),"not found")</f>
        <v>2010010898130054</v>
      </c>
      <c r="B563">
        <v>40018307</v>
      </c>
      <c r="C563" t="s">
        <v>306</v>
      </c>
      <c r="D563"/>
      <c r="E563"/>
      <c r="F563" s="3">
        <v>44761</v>
      </c>
      <c r="G563" s="49">
        <v>1</v>
      </c>
      <c r="H563" s="23">
        <v>1299.75</v>
      </c>
      <c r="I563" t="s">
        <v>6941</v>
      </c>
      <c r="J563"/>
      <c r="K563"/>
      <c r="L563"/>
      <c r="M563"/>
      <c r="N563"/>
      <c r="O563"/>
      <c r="P563"/>
      <c r="Q563"/>
      <c r="R563"/>
    </row>
    <row r="564" spans="1:18" x14ac:dyDescent="0.25">
      <c r="A564" t="str">
        <f>IFERROR(VLOOKUP(B564&amp; "*",'SKU Maintenance'!D:H,5,0),"not found")</f>
        <v>2010010298180015</v>
      </c>
      <c r="B564">
        <v>40018347</v>
      </c>
      <c r="C564" t="s">
        <v>175</v>
      </c>
      <c r="D564"/>
      <c r="E564"/>
      <c r="F564" s="3">
        <v>44773</v>
      </c>
      <c r="G564" s="49">
        <v>2</v>
      </c>
      <c r="H564" s="23">
        <v>899.55000000000007</v>
      </c>
      <c r="I564" t="s">
        <v>6941</v>
      </c>
      <c r="J564"/>
      <c r="K564"/>
      <c r="L564"/>
      <c r="M564"/>
      <c r="N564"/>
      <c r="O564"/>
      <c r="P564"/>
      <c r="Q564"/>
      <c r="R564"/>
    </row>
    <row r="565" spans="1:18" x14ac:dyDescent="0.25">
      <c r="A565" t="str">
        <f>IFERROR(VLOOKUP(B565&amp; "*",'SKU Maintenance'!D:H,5,0),"not found")</f>
        <v>2010020198168155</v>
      </c>
      <c r="B565">
        <v>40018352</v>
      </c>
      <c r="C565" t="s">
        <v>350</v>
      </c>
      <c r="D565"/>
      <c r="E565"/>
      <c r="F565" s="3">
        <v>44773</v>
      </c>
      <c r="G565" s="49">
        <v>1</v>
      </c>
      <c r="H565" s="23">
        <v>599.75</v>
      </c>
      <c r="I565" t="s">
        <v>6941</v>
      </c>
      <c r="J565"/>
      <c r="K565"/>
      <c r="L565"/>
      <c r="M565"/>
      <c r="N565"/>
      <c r="O565"/>
      <c r="P565"/>
      <c r="Q565"/>
      <c r="R565"/>
    </row>
    <row r="566" spans="1:18" x14ac:dyDescent="0.25">
      <c r="A566" t="str">
        <f>IFERROR(VLOOKUP(B566&amp; "*",'SKU Maintenance'!D:H,5,0),"not found")</f>
        <v>2010010104180033</v>
      </c>
      <c r="B566">
        <v>40018353</v>
      </c>
      <c r="C566" t="s">
        <v>194</v>
      </c>
      <c r="D566"/>
      <c r="E566"/>
      <c r="F566" s="3">
        <v>44766</v>
      </c>
      <c r="G566" s="49">
        <v>3</v>
      </c>
      <c r="H566" s="23">
        <v>599.25</v>
      </c>
      <c r="I566" t="s">
        <v>6939</v>
      </c>
      <c r="J566"/>
      <c r="K566"/>
      <c r="L566"/>
      <c r="M566"/>
      <c r="N566"/>
      <c r="O566"/>
      <c r="P566"/>
      <c r="Q566"/>
      <c r="R566"/>
    </row>
    <row r="567" spans="1:18" x14ac:dyDescent="0.25">
      <c r="A567" t="str">
        <f>IFERROR(VLOOKUP(B567&amp; "*",'SKU Maintenance'!D:H,5,0),"not found")</f>
        <v>2010010104220033</v>
      </c>
      <c r="B567">
        <v>40018354</v>
      </c>
      <c r="C567" t="s">
        <v>195</v>
      </c>
      <c r="D567"/>
      <c r="E567"/>
      <c r="F567" s="3">
        <v>44766</v>
      </c>
      <c r="G567" s="49">
        <v>3</v>
      </c>
      <c r="H567" s="23">
        <v>599.25</v>
      </c>
      <c r="I567" t="s">
        <v>6939</v>
      </c>
      <c r="J567"/>
      <c r="K567"/>
      <c r="L567"/>
      <c r="M567"/>
      <c r="N567"/>
      <c r="O567"/>
      <c r="P567"/>
      <c r="Q567"/>
      <c r="R567"/>
    </row>
    <row r="568" spans="1:18" x14ac:dyDescent="0.25">
      <c r="A568" t="str">
        <f>IFERROR(VLOOKUP(B568&amp; "*",'SKU Maintenance'!D:H,5,0),"not found")</f>
        <v>2010010102220029</v>
      </c>
      <c r="B568">
        <v>40018360</v>
      </c>
      <c r="C568" t="s">
        <v>85</v>
      </c>
      <c r="D568"/>
      <c r="E568"/>
      <c r="F568" s="3">
        <v>44747</v>
      </c>
      <c r="G568" s="49">
        <v>1</v>
      </c>
      <c r="H568" s="23">
        <v>149.75</v>
      </c>
      <c r="I568" t="s">
        <v>6939</v>
      </c>
      <c r="J568"/>
      <c r="K568"/>
      <c r="L568"/>
      <c r="M568"/>
      <c r="N568"/>
      <c r="O568"/>
      <c r="P568"/>
      <c r="Q568"/>
      <c r="R568"/>
    </row>
    <row r="569" spans="1:18" x14ac:dyDescent="0.25">
      <c r="A569" t="str">
        <f>IFERROR(VLOOKUP(B569&amp; "*",'SKU Maintenance'!D:H,5,0),"not found")</f>
        <v>2010010102220029</v>
      </c>
      <c r="B569">
        <v>40018360</v>
      </c>
      <c r="C569" t="s">
        <v>85</v>
      </c>
      <c r="D569"/>
      <c r="E569"/>
      <c r="F569" s="3">
        <v>44753</v>
      </c>
      <c r="G569" s="49">
        <v>2</v>
      </c>
      <c r="H569" s="23">
        <v>299.5</v>
      </c>
      <c r="I569" t="s">
        <v>6939</v>
      </c>
      <c r="J569"/>
      <c r="K569"/>
      <c r="L569"/>
      <c r="M569"/>
      <c r="N569"/>
      <c r="O569"/>
      <c r="P569"/>
      <c r="Q569"/>
      <c r="R569"/>
    </row>
    <row r="570" spans="1:18" x14ac:dyDescent="0.25">
      <c r="A570" t="str">
        <f>IFERROR(VLOOKUP(B570&amp; "*",'SKU Maintenance'!D:H,5,0),"not found")</f>
        <v>2010010103180029</v>
      </c>
      <c r="B570">
        <v>40018361</v>
      </c>
      <c r="C570" t="s">
        <v>369</v>
      </c>
      <c r="D570"/>
      <c r="E570"/>
      <c r="F570" s="3">
        <v>44750</v>
      </c>
      <c r="G570" s="49">
        <v>1</v>
      </c>
      <c r="H570" s="23">
        <v>199.75</v>
      </c>
      <c r="I570" t="s">
        <v>6943</v>
      </c>
      <c r="J570"/>
      <c r="K570"/>
      <c r="L570"/>
      <c r="M570"/>
      <c r="N570"/>
      <c r="O570"/>
      <c r="P570"/>
      <c r="Q570"/>
      <c r="R570"/>
    </row>
    <row r="571" spans="1:18" x14ac:dyDescent="0.25">
      <c r="A571" t="str">
        <f>IFERROR(VLOOKUP(B571&amp; "*",'SKU Maintenance'!D:H,5,0),"not found")</f>
        <v>2010010103220029</v>
      </c>
      <c r="B571">
        <v>40018363</v>
      </c>
      <c r="C571" t="s">
        <v>242</v>
      </c>
      <c r="D571"/>
      <c r="E571"/>
      <c r="F571" s="3">
        <v>44744</v>
      </c>
      <c r="G571" s="49">
        <v>1</v>
      </c>
      <c r="H571" s="23">
        <v>179.77500000000001</v>
      </c>
      <c r="I571" t="s">
        <v>6941</v>
      </c>
      <c r="J571"/>
      <c r="K571"/>
      <c r="L571"/>
      <c r="M571"/>
      <c r="N571"/>
      <c r="O571"/>
      <c r="P571"/>
      <c r="Q571"/>
      <c r="R571"/>
    </row>
    <row r="572" spans="1:18" x14ac:dyDescent="0.25">
      <c r="A572" t="str">
        <f>IFERROR(VLOOKUP(B572&amp; "*",'SKU Maintenance'!D:H,5,0),"not found")</f>
        <v>2010010104160029</v>
      </c>
      <c r="B572">
        <v>40018365</v>
      </c>
      <c r="C572" t="s">
        <v>434</v>
      </c>
      <c r="D572"/>
      <c r="E572"/>
      <c r="F572" s="3">
        <v>44744</v>
      </c>
      <c r="G572" s="49">
        <v>2</v>
      </c>
      <c r="H572" s="23">
        <v>539.55000000000007</v>
      </c>
      <c r="I572" t="s">
        <v>6945</v>
      </c>
      <c r="J572"/>
      <c r="K572"/>
      <c r="L572"/>
      <c r="M572"/>
      <c r="N572"/>
      <c r="O572"/>
      <c r="P572"/>
      <c r="Q572"/>
      <c r="R572"/>
    </row>
    <row r="573" spans="1:18" x14ac:dyDescent="0.25">
      <c r="A573" t="str">
        <f>IFERROR(VLOOKUP(B573&amp; "*",'SKU Maintenance'!D:H,5,0),"not found")</f>
        <v>2010010104220029</v>
      </c>
      <c r="B573">
        <v>40018366</v>
      </c>
      <c r="C573" t="s">
        <v>246</v>
      </c>
      <c r="D573"/>
      <c r="E573"/>
      <c r="F573" s="3">
        <v>44745</v>
      </c>
      <c r="G573" s="49">
        <v>1</v>
      </c>
      <c r="H573" s="23">
        <v>269.77500000000003</v>
      </c>
      <c r="I573" t="s">
        <v>6941</v>
      </c>
      <c r="J573"/>
      <c r="K573"/>
      <c r="L573"/>
      <c r="M573"/>
      <c r="N573"/>
      <c r="O573"/>
      <c r="P573"/>
      <c r="Q573"/>
      <c r="R573"/>
    </row>
    <row r="574" spans="1:18" x14ac:dyDescent="0.25">
      <c r="A574" t="str">
        <f>IFERROR(VLOOKUP(B574&amp; "*",'SKU Maintenance'!D:H,5,0),"not found")</f>
        <v>2010010104160033</v>
      </c>
      <c r="B574">
        <v>40018372</v>
      </c>
      <c r="C574" t="s">
        <v>437</v>
      </c>
      <c r="D574"/>
      <c r="E574"/>
      <c r="F574" s="3">
        <v>44748</v>
      </c>
      <c r="G574" s="49">
        <v>1</v>
      </c>
      <c r="H574" s="23">
        <v>199.75</v>
      </c>
      <c r="I574" t="s">
        <v>6945</v>
      </c>
      <c r="J574"/>
      <c r="K574"/>
      <c r="L574"/>
      <c r="M574"/>
      <c r="N574"/>
      <c r="O574"/>
      <c r="P574"/>
      <c r="Q574"/>
      <c r="R574"/>
    </row>
    <row r="575" spans="1:18" x14ac:dyDescent="0.25">
      <c r="A575" t="str">
        <f>IFERROR(VLOOKUP(B575&amp; "*",'SKU Maintenance'!D:H,5,0),"not found")</f>
        <v>2010020103178170</v>
      </c>
      <c r="B575">
        <v>40018572</v>
      </c>
      <c r="C575" t="s">
        <v>341</v>
      </c>
      <c r="D575"/>
      <c r="E575"/>
      <c r="F575" s="3">
        <v>44757</v>
      </c>
      <c r="G575" s="49">
        <v>1</v>
      </c>
      <c r="H575" s="23">
        <v>999.75</v>
      </c>
      <c r="I575" t="s">
        <v>6943</v>
      </c>
      <c r="J575"/>
      <c r="K575"/>
      <c r="L575"/>
      <c r="M575"/>
      <c r="N575"/>
      <c r="O575"/>
      <c r="P575"/>
      <c r="Q575"/>
      <c r="R575"/>
    </row>
    <row r="576" spans="1:18" x14ac:dyDescent="0.25">
      <c r="A576" t="str">
        <f>IFERROR(VLOOKUP(B576&amp; "*",'SKU Maintenance'!D:H,5,0),"not found")</f>
        <v>2010020103138171</v>
      </c>
      <c r="B576">
        <v>40018573</v>
      </c>
      <c r="C576" t="s">
        <v>341</v>
      </c>
      <c r="D576"/>
      <c r="E576"/>
      <c r="F576" s="3">
        <v>44769</v>
      </c>
      <c r="G576" s="49">
        <v>1</v>
      </c>
      <c r="H576" s="23">
        <v>999.75</v>
      </c>
      <c r="I576" t="s">
        <v>6941</v>
      </c>
      <c r="J576"/>
      <c r="K576"/>
      <c r="L576"/>
      <c r="M576"/>
      <c r="N576"/>
      <c r="O576"/>
      <c r="P576"/>
      <c r="Q576"/>
      <c r="R576"/>
    </row>
    <row r="577" spans="1:18" x14ac:dyDescent="0.25">
      <c r="A577" t="str">
        <f>IFERROR(VLOOKUP(B577&amp; "*",'SKU Maintenance'!D:H,5,0),"not found")</f>
        <v>2010020103138171</v>
      </c>
      <c r="B577">
        <v>40018573</v>
      </c>
      <c r="C577" t="s">
        <v>341</v>
      </c>
      <c r="D577"/>
      <c r="E577"/>
      <c r="F577" s="3">
        <v>44758</v>
      </c>
      <c r="G577" s="49">
        <v>1</v>
      </c>
      <c r="H577" s="23">
        <v>999.75</v>
      </c>
      <c r="I577" t="s">
        <v>6943</v>
      </c>
      <c r="J577"/>
      <c r="K577"/>
      <c r="L577"/>
      <c r="M577"/>
      <c r="N577"/>
      <c r="O577"/>
      <c r="P577"/>
      <c r="Q577"/>
      <c r="R577"/>
    </row>
    <row r="578" spans="1:18" x14ac:dyDescent="0.25">
      <c r="A578" t="str">
        <f>IFERROR(VLOOKUP(B578&amp; "*",'SKU Maintenance'!D:H,5,0),"not found")</f>
        <v>2010020198178162</v>
      </c>
      <c r="B578">
        <v>40018574</v>
      </c>
      <c r="C578" t="s">
        <v>262</v>
      </c>
      <c r="D578"/>
      <c r="E578"/>
      <c r="F578" s="3">
        <v>44747</v>
      </c>
      <c r="G578" s="49">
        <v>1</v>
      </c>
      <c r="H578" s="23">
        <v>999.75</v>
      </c>
      <c r="I578" t="s">
        <v>6941</v>
      </c>
      <c r="J578"/>
      <c r="K578"/>
      <c r="L578"/>
      <c r="M578"/>
      <c r="N578"/>
      <c r="O578"/>
      <c r="P578"/>
      <c r="Q578"/>
      <c r="R578"/>
    </row>
    <row r="579" spans="1:18" x14ac:dyDescent="0.25">
      <c r="A579" t="str">
        <f>IFERROR(VLOOKUP(B579&amp; "*",'SKU Maintenance'!D:H,5,0),"not found")</f>
        <v>2010020198178163</v>
      </c>
      <c r="B579">
        <v>40018576</v>
      </c>
      <c r="C579" t="s">
        <v>310</v>
      </c>
      <c r="D579"/>
      <c r="E579"/>
      <c r="F579" s="3">
        <v>44761</v>
      </c>
      <c r="G579" s="49">
        <v>1</v>
      </c>
      <c r="H579" s="23">
        <v>999.75</v>
      </c>
      <c r="I579" t="s">
        <v>6941</v>
      </c>
      <c r="J579"/>
      <c r="K579"/>
      <c r="L579"/>
      <c r="M579"/>
      <c r="N579"/>
      <c r="O579"/>
      <c r="P579"/>
      <c r="Q579"/>
      <c r="R579"/>
    </row>
    <row r="580" spans="1:18" x14ac:dyDescent="0.25">
      <c r="A580" t="str">
        <f>IFERROR(VLOOKUP(B580&amp; "*",'SKU Maintenance'!D:H,5,0),"not found")</f>
        <v>2010010298160015</v>
      </c>
      <c r="B580">
        <v>40018586</v>
      </c>
      <c r="C580" t="s">
        <v>175</v>
      </c>
      <c r="D580"/>
      <c r="E580"/>
      <c r="F580" s="3">
        <v>44763</v>
      </c>
      <c r="G580" s="49">
        <v>1</v>
      </c>
      <c r="H580" s="23">
        <v>499.75</v>
      </c>
      <c r="I580" t="s">
        <v>6939</v>
      </c>
      <c r="J580"/>
      <c r="K580"/>
      <c r="L580"/>
      <c r="M580"/>
      <c r="N580"/>
      <c r="O580"/>
      <c r="P580"/>
      <c r="Q580"/>
      <c r="R580"/>
    </row>
    <row r="581" spans="1:18" x14ac:dyDescent="0.25">
      <c r="A581" t="str">
        <f>IFERROR(VLOOKUP(B581&amp; "*",'SKU Maintenance'!D:H,5,0),"not found")</f>
        <v>2010010298160015</v>
      </c>
      <c r="B581">
        <v>40018586</v>
      </c>
      <c r="C581" t="s">
        <v>175</v>
      </c>
      <c r="D581"/>
      <c r="E581"/>
      <c r="F581" s="3">
        <v>44745</v>
      </c>
      <c r="G581" s="49">
        <v>1</v>
      </c>
      <c r="H581" s="23">
        <v>449.77500000000003</v>
      </c>
      <c r="I581" t="s">
        <v>6941</v>
      </c>
      <c r="J581"/>
      <c r="K581"/>
      <c r="L581"/>
      <c r="M581"/>
      <c r="N581"/>
      <c r="O581"/>
      <c r="P581"/>
      <c r="Q581"/>
      <c r="R581"/>
    </row>
    <row r="582" spans="1:18" x14ac:dyDescent="0.25">
      <c r="A582" t="str">
        <f>IFERROR(VLOOKUP(B582&amp; "*",'SKU Maintenance'!D:H,5,0),"not found")</f>
        <v>2010020101178166</v>
      </c>
      <c r="B582">
        <v>40018589</v>
      </c>
      <c r="C582" t="s">
        <v>53</v>
      </c>
      <c r="D582"/>
      <c r="E582"/>
      <c r="F582" s="3">
        <v>44743</v>
      </c>
      <c r="G582" s="49">
        <v>1</v>
      </c>
      <c r="H582" s="23">
        <v>699.75</v>
      </c>
      <c r="I582" t="s">
        <v>6939</v>
      </c>
      <c r="J582"/>
      <c r="K582"/>
      <c r="L582"/>
      <c r="M582"/>
      <c r="N582"/>
      <c r="O582"/>
      <c r="P582"/>
      <c r="Q582"/>
      <c r="R582"/>
    </row>
    <row r="583" spans="1:18" x14ac:dyDescent="0.25">
      <c r="A583" t="str">
        <f>IFERROR(VLOOKUP(B583&amp; "*",'SKU Maintenance'!D:H,5,0),"not found")</f>
        <v>2010020101178166</v>
      </c>
      <c r="B583">
        <v>40018589</v>
      </c>
      <c r="C583" t="s">
        <v>53</v>
      </c>
      <c r="D583"/>
      <c r="E583"/>
      <c r="F583" s="3">
        <v>44769</v>
      </c>
      <c r="G583" s="49">
        <v>1</v>
      </c>
      <c r="H583" s="23">
        <v>699.75</v>
      </c>
      <c r="I583" t="s">
        <v>6941</v>
      </c>
      <c r="J583"/>
      <c r="K583"/>
      <c r="L583"/>
      <c r="M583"/>
      <c r="N583"/>
      <c r="O583"/>
      <c r="P583"/>
      <c r="Q583"/>
      <c r="R583"/>
    </row>
    <row r="584" spans="1:18" x14ac:dyDescent="0.25">
      <c r="A584" t="str">
        <f>IFERROR(VLOOKUP(B584&amp; "*",'SKU Maintenance'!D:H,5,0),"not found")</f>
        <v>2010020101178166</v>
      </c>
      <c r="B584">
        <v>40018589</v>
      </c>
      <c r="C584" t="s">
        <v>53</v>
      </c>
      <c r="D584"/>
      <c r="E584"/>
      <c r="F584" s="3">
        <v>44773</v>
      </c>
      <c r="G584" s="49">
        <v>1</v>
      </c>
      <c r="H584" s="23">
        <v>699.75</v>
      </c>
      <c r="I584" t="s">
        <v>6941</v>
      </c>
      <c r="J584"/>
      <c r="K584"/>
      <c r="L584"/>
      <c r="M584"/>
      <c r="N584"/>
      <c r="O584"/>
      <c r="P584"/>
      <c r="Q584"/>
      <c r="R584"/>
    </row>
    <row r="585" spans="1:18" x14ac:dyDescent="0.25">
      <c r="A585" t="str">
        <f>IFERROR(VLOOKUP(B585&amp; "*",'SKU Maintenance'!D:H,5,0),"not found")</f>
        <v>2010020198168162</v>
      </c>
      <c r="B585">
        <v>40018590</v>
      </c>
      <c r="C585" t="s">
        <v>274</v>
      </c>
      <c r="D585"/>
      <c r="E585"/>
      <c r="F585" s="3">
        <v>44751</v>
      </c>
      <c r="G585" s="49">
        <v>1</v>
      </c>
      <c r="H585" s="23">
        <v>999.75</v>
      </c>
      <c r="I585" t="s">
        <v>6941</v>
      </c>
      <c r="J585"/>
      <c r="K585"/>
      <c r="L585"/>
      <c r="M585"/>
      <c r="N585"/>
      <c r="O585"/>
      <c r="P585"/>
      <c r="Q585"/>
      <c r="R585"/>
    </row>
    <row r="586" spans="1:18" x14ac:dyDescent="0.25">
      <c r="A586" t="str">
        <f>IFERROR(VLOOKUP(B586&amp; "*",'SKU Maintenance'!D:H,5,0),"not found")</f>
        <v>2010020102178168</v>
      </c>
      <c r="B586">
        <v>40018592</v>
      </c>
      <c r="C586" t="s">
        <v>163</v>
      </c>
      <c r="D586"/>
      <c r="E586"/>
      <c r="F586" s="3">
        <v>44761</v>
      </c>
      <c r="G586" s="49">
        <v>2</v>
      </c>
      <c r="H586" s="23">
        <v>1999.5</v>
      </c>
      <c r="I586" t="s">
        <v>6941</v>
      </c>
      <c r="J586"/>
      <c r="K586"/>
      <c r="L586"/>
      <c r="M586"/>
      <c r="N586"/>
      <c r="O586"/>
      <c r="P586"/>
      <c r="Q586"/>
      <c r="R586"/>
    </row>
    <row r="587" spans="1:18" x14ac:dyDescent="0.25">
      <c r="A587" t="str">
        <f>IFERROR(VLOOKUP(B587&amp; "*",'SKU Maintenance'!D:H,5,0),"not found")</f>
        <v>2010020102138169</v>
      </c>
      <c r="B587">
        <v>40018593</v>
      </c>
      <c r="C587" t="s">
        <v>163</v>
      </c>
      <c r="D587"/>
      <c r="E587"/>
      <c r="F587" s="3">
        <v>44758</v>
      </c>
      <c r="G587" s="49">
        <v>1</v>
      </c>
      <c r="H587" s="23">
        <v>999.75</v>
      </c>
      <c r="I587" t="s">
        <v>6939</v>
      </c>
      <c r="J587"/>
      <c r="K587"/>
      <c r="L587"/>
      <c r="M587"/>
      <c r="N587"/>
      <c r="O587"/>
      <c r="P587"/>
      <c r="Q587"/>
      <c r="R587"/>
    </row>
    <row r="588" spans="1:18" x14ac:dyDescent="0.25">
      <c r="A588" t="str">
        <f>IFERROR(VLOOKUP(B588&amp; "*",'SKU Maintenance'!D:H,5,0),"not found")</f>
        <v>2010051098070604</v>
      </c>
      <c r="B588">
        <v>40018700</v>
      </c>
      <c r="C588" t="s">
        <v>216</v>
      </c>
      <c r="D588"/>
      <c r="E588"/>
      <c r="F588" s="3">
        <v>44771</v>
      </c>
      <c r="G588" s="49">
        <v>1</v>
      </c>
      <c r="H588" s="23">
        <v>599.75</v>
      </c>
      <c r="I588" t="s">
        <v>6939</v>
      </c>
      <c r="J588"/>
      <c r="K588"/>
      <c r="L588"/>
      <c r="M588"/>
      <c r="N588"/>
      <c r="O588"/>
      <c r="P588"/>
      <c r="Q588"/>
      <c r="R588"/>
    </row>
    <row r="589" spans="1:18" x14ac:dyDescent="0.25">
      <c r="A589" t="str">
        <f>IFERROR(VLOOKUP(B589&amp; "*",'SKU Maintenance'!D:H,5,0),"not found")</f>
        <v>2010051098020604</v>
      </c>
      <c r="B589">
        <v>40018701</v>
      </c>
      <c r="C589" t="s">
        <v>415</v>
      </c>
      <c r="D589"/>
      <c r="E589"/>
      <c r="F589" s="3">
        <v>44765</v>
      </c>
      <c r="G589" s="49">
        <v>1</v>
      </c>
      <c r="H589" s="23">
        <v>599.75</v>
      </c>
      <c r="I589" t="s">
        <v>6943</v>
      </c>
      <c r="J589"/>
      <c r="K589"/>
      <c r="L589"/>
      <c r="M589"/>
      <c r="N589"/>
      <c r="O589"/>
      <c r="P589"/>
      <c r="Q589"/>
      <c r="R589"/>
    </row>
    <row r="590" spans="1:18" x14ac:dyDescent="0.25">
      <c r="A590" t="str">
        <f>IFERROR(VLOOKUP(B590&amp; "*",'SKU Maintenance'!D:H,5,0),"not found")</f>
        <v>2010051098020604</v>
      </c>
      <c r="B590">
        <v>40018701</v>
      </c>
      <c r="C590" t="s">
        <v>415</v>
      </c>
      <c r="D590"/>
      <c r="E590"/>
      <c r="F590" s="3">
        <v>44763</v>
      </c>
      <c r="G590" s="49">
        <v>1</v>
      </c>
      <c r="H590" s="23">
        <v>599.75</v>
      </c>
      <c r="I590" t="s">
        <v>6945</v>
      </c>
      <c r="J590"/>
      <c r="K590"/>
      <c r="L590"/>
      <c r="M590"/>
      <c r="N590"/>
      <c r="O590"/>
      <c r="P590"/>
      <c r="Q590"/>
      <c r="R590"/>
    </row>
    <row r="591" spans="1:18" x14ac:dyDescent="0.25">
      <c r="A591" t="str">
        <f>IFERROR(VLOOKUP(B591&amp; "*",'SKU Maintenance'!D:H,5,0),"not found")</f>
        <v>2010051098100604</v>
      </c>
      <c r="B591">
        <v>40018702</v>
      </c>
      <c r="C591" t="s">
        <v>87</v>
      </c>
      <c r="D591"/>
      <c r="E591"/>
      <c r="F591" s="3">
        <v>44747</v>
      </c>
      <c r="G591" s="49">
        <v>1</v>
      </c>
      <c r="H591" s="23">
        <v>599.75</v>
      </c>
      <c r="I591" t="s">
        <v>6939</v>
      </c>
      <c r="J591"/>
      <c r="K591"/>
      <c r="L591"/>
      <c r="M591"/>
      <c r="N591"/>
      <c r="O591"/>
      <c r="P591"/>
      <c r="Q591"/>
      <c r="R591"/>
    </row>
    <row r="592" spans="1:18" x14ac:dyDescent="0.25">
      <c r="A592" t="str">
        <f>IFERROR(VLOOKUP(B592&amp; "*",'SKU Maintenance'!D:H,5,0),"not found")</f>
        <v>2010051098100604</v>
      </c>
      <c r="B592">
        <v>40018702</v>
      </c>
      <c r="C592" t="s">
        <v>87</v>
      </c>
      <c r="D592"/>
      <c r="E592"/>
      <c r="F592" s="3">
        <v>44762</v>
      </c>
      <c r="G592" s="49">
        <v>1</v>
      </c>
      <c r="H592" s="23">
        <v>599.75</v>
      </c>
      <c r="I592" t="s">
        <v>6941</v>
      </c>
      <c r="J592"/>
      <c r="K592"/>
      <c r="L592"/>
      <c r="M592"/>
      <c r="N592"/>
      <c r="O592"/>
      <c r="P592"/>
      <c r="Q592"/>
      <c r="R592"/>
    </row>
    <row r="593" spans="1:18" x14ac:dyDescent="0.25">
      <c r="A593" t="str">
        <f>IFERROR(VLOOKUP(B593&amp; "*",'SKU Maintenance'!D:H,5,0),"not found")</f>
        <v>2010051098100604</v>
      </c>
      <c r="B593">
        <v>40018702</v>
      </c>
      <c r="C593" t="s">
        <v>87</v>
      </c>
      <c r="D593"/>
      <c r="E593"/>
      <c r="F593" s="3">
        <v>44773</v>
      </c>
      <c r="G593" s="49">
        <v>1</v>
      </c>
      <c r="H593" s="23">
        <v>599.75</v>
      </c>
      <c r="I593" t="s">
        <v>6945</v>
      </c>
      <c r="J593"/>
      <c r="K593"/>
      <c r="L593"/>
      <c r="M593"/>
      <c r="N593"/>
      <c r="O593"/>
      <c r="P593"/>
      <c r="Q593"/>
      <c r="R593"/>
    </row>
    <row r="594" spans="1:18" x14ac:dyDescent="0.25">
      <c r="A594" t="str">
        <f>IFERROR(VLOOKUP(B594&amp; "*",'SKU Maintenance'!D:H,5,0),"not found")</f>
        <v>2010051098030605</v>
      </c>
      <c r="B594">
        <v>40018706</v>
      </c>
      <c r="C594" t="s">
        <v>88</v>
      </c>
      <c r="D594"/>
      <c r="E594"/>
      <c r="F594" s="3">
        <v>44747</v>
      </c>
      <c r="G594" s="49">
        <v>1</v>
      </c>
      <c r="H594" s="23">
        <v>599.75</v>
      </c>
      <c r="I594" t="s">
        <v>6939</v>
      </c>
      <c r="J594"/>
      <c r="K594"/>
      <c r="L594"/>
      <c r="M594"/>
      <c r="N594"/>
      <c r="O594"/>
      <c r="P594"/>
      <c r="Q594"/>
      <c r="R594"/>
    </row>
    <row r="595" spans="1:18" x14ac:dyDescent="0.25">
      <c r="A595" t="str">
        <f>IFERROR(VLOOKUP(B595&amp; "*",'SKU Maintenance'!D:H,5,0),"not found")</f>
        <v>2010051098030605</v>
      </c>
      <c r="B595">
        <v>40018706</v>
      </c>
      <c r="C595" t="s">
        <v>88</v>
      </c>
      <c r="D595"/>
      <c r="E595"/>
      <c r="F595" s="3">
        <v>44749</v>
      </c>
      <c r="G595" s="49">
        <v>1</v>
      </c>
      <c r="H595" s="23">
        <v>599.75</v>
      </c>
      <c r="I595" t="s">
        <v>6939</v>
      </c>
      <c r="J595"/>
      <c r="K595"/>
      <c r="L595"/>
      <c r="M595"/>
      <c r="N595"/>
      <c r="O595"/>
      <c r="P595"/>
      <c r="Q595"/>
      <c r="R595"/>
    </row>
    <row r="596" spans="1:18" x14ac:dyDescent="0.25">
      <c r="A596" t="str">
        <f>IFERROR(VLOOKUP(B596&amp; "*",'SKU Maintenance'!D:H,5,0),"not found")</f>
        <v>2010051098030605</v>
      </c>
      <c r="B596">
        <v>40018706</v>
      </c>
      <c r="C596" t="s">
        <v>88</v>
      </c>
      <c r="D596"/>
      <c r="E596"/>
      <c r="F596" s="3">
        <v>44768</v>
      </c>
      <c r="G596" s="49">
        <v>1</v>
      </c>
      <c r="H596" s="23">
        <v>599.75</v>
      </c>
      <c r="I596" t="s">
        <v>6939</v>
      </c>
      <c r="J596"/>
      <c r="K596"/>
      <c r="L596"/>
      <c r="M596"/>
      <c r="N596"/>
      <c r="O596"/>
      <c r="P596"/>
      <c r="Q596"/>
      <c r="R596"/>
    </row>
    <row r="597" spans="1:18" x14ac:dyDescent="0.25">
      <c r="A597" t="str">
        <f>IFERROR(VLOOKUP(B597&amp; "*",'SKU Maintenance'!D:H,5,0),"not found")</f>
        <v>2010051098030605</v>
      </c>
      <c r="B597">
        <v>40018706</v>
      </c>
      <c r="C597" t="s">
        <v>88</v>
      </c>
      <c r="D597"/>
      <c r="E597"/>
      <c r="F597" s="3">
        <v>44756</v>
      </c>
      <c r="G597" s="49">
        <v>2</v>
      </c>
      <c r="H597" s="23">
        <v>1199.5</v>
      </c>
      <c r="I597" t="s">
        <v>6945</v>
      </c>
      <c r="J597"/>
      <c r="K597"/>
      <c r="L597"/>
      <c r="M597"/>
      <c r="N597"/>
      <c r="O597"/>
      <c r="P597"/>
      <c r="Q597"/>
      <c r="R597"/>
    </row>
    <row r="598" spans="1:18" x14ac:dyDescent="0.25">
      <c r="A598" t="str">
        <f>IFERROR(VLOOKUP(B598&amp; "*",'SKU Maintenance'!D:H,5,0),"not found")</f>
        <v>2010051098030605</v>
      </c>
      <c r="B598">
        <v>40018706</v>
      </c>
      <c r="C598" t="s">
        <v>88</v>
      </c>
      <c r="D598"/>
      <c r="E598"/>
      <c r="F598" s="3">
        <v>44773</v>
      </c>
      <c r="G598" s="49">
        <v>1</v>
      </c>
      <c r="H598" s="23">
        <v>599.75</v>
      </c>
      <c r="I598" t="s">
        <v>6945</v>
      </c>
      <c r="J598"/>
      <c r="K598"/>
      <c r="L598"/>
      <c r="M598"/>
      <c r="N598"/>
      <c r="O598"/>
      <c r="P598"/>
      <c r="Q598"/>
      <c r="R598"/>
    </row>
    <row r="599" spans="1:18" x14ac:dyDescent="0.25">
      <c r="A599" t="str">
        <f>IFERROR(VLOOKUP(B599&amp; "*",'SKU Maintenance'!D:H,5,0),"not found")</f>
        <v>2010051098070605</v>
      </c>
      <c r="B599">
        <v>40018707</v>
      </c>
      <c r="C599" t="s">
        <v>89</v>
      </c>
      <c r="D599"/>
      <c r="E599"/>
      <c r="F599" s="3">
        <v>44747</v>
      </c>
      <c r="G599" s="49">
        <v>2</v>
      </c>
      <c r="H599" s="23">
        <v>1199.5</v>
      </c>
      <c r="I599" t="s">
        <v>6939</v>
      </c>
      <c r="J599"/>
      <c r="K599"/>
      <c r="L599"/>
      <c r="M599"/>
      <c r="N599"/>
      <c r="O599"/>
      <c r="P599"/>
      <c r="Q599"/>
      <c r="R599"/>
    </row>
    <row r="600" spans="1:18" x14ac:dyDescent="0.25">
      <c r="A600" t="str">
        <f>IFERROR(VLOOKUP(B600&amp; "*",'SKU Maintenance'!D:H,5,0),"not found")</f>
        <v>2010051098070605</v>
      </c>
      <c r="B600">
        <v>40018707</v>
      </c>
      <c r="C600" t="s">
        <v>89</v>
      </c>
      <c r="D600"/>
      <c r="E600"/>
      <c r="F600" s="3">
        <v>44773</v>
      </c>
      <c r="G600" s="49">
        <v>1</v>
      </c>
      <c r="H600" s="23">
        <v>599.75</v>
      </c>
      <c r="I600" t="s">
        <v>6939</v>
      </c>
      <c r="J600"/>
      <c r="K600"/>
      <c r="L600"/>
      <c r="M600"/>
      <c r="N600"/>
      <c r="O600"/>
      <c r="P600"/>
      <c r="Q600"/>
      <c r="R600"/>
    </row>
    <row r="601" spans="1:18" x14ac:dyDescent="0.25">
      <c r="A601" t="str">
        <f>IFERROR(VLOOKUP(B601&amp; "*",'SKU Maintenance'!D:H,5,0),"not found")</f>
        <v>2010051098070605</v>
      </c>
      <c r="B601">
        <v>40018707</v>
      </c>
      <c r="C601" t="s">
        <v>89</v>
      </c>
      <c r="D601"/>
      <c r="E601"/>
      <c r="F601" s="3">
        <v>44772</v>
      </c>
      <c r="G601" s="49">
        <v>1</v>
      </c>
      <c r="H601" s="23">
        <v>599.75</v>
      </c>
      <c r="I601" t="s">
        <v>6941</v>
      </c>
      <c r="J601"/>
      <c r="K601"/>
      <c r="L601"/>
      <c r="M601"/>
      <c r="N601"/>
      <c r="O601"/>
      <c r="P601"/>
      <c r="Q601"/>
      <c r="R601"/>
    </row>
    <row r="602" spans="1:18" x14ac:dyDescent="0.25">
      <c r="A602" t="str">
        <f>IFERROR(VLOOKUP(B602&amp; "*",'SKU Maintenance'!D:H,5,0),"not found")</f>
        <v>2010051098070605</v>
      </c>
      <c r="B602">
        <v>40018707</v>
      </c>
      <c r="C602" t="s">
        <v>89</v>
      </c>
      <c r="D602"/>
      <c r="E602"/>
      <c r="F602" s="3">
        <v>44744</v>
      </c>
      <c r="G602" s="49">
        <v>1</v>
      </c>
      <c r="H602" s="23">
        <v>599.75</v>
      </c>
      <c r="I602" t="s">
        <v>6945</v>
      </c>
      <c r="J602"/>
      <c r="K602"/>
      <c r="L602"/>
      <c r="M602"/>
      <c r="N602"/>
      <c r="O602"/>
      <c r="P602"/>
      <c r="Q602"/>
      <c r="R602"/>
    </row>
    <row r="603" spans="1:18" x14ac:dyDescent="0.25">
      <c r="A603" t="str">
        <f>IFERROR(VLOOKUP(B603&amp; "*",'SKU Maintenance'!D:H,5,0),"not found")</f>
        <v>2010051098070605</v>
      </c>
      <c r="B603">
        <v>40018707</v>
      </c>
      <c r="C603" t="s">
        <v>89</v>
      </c>
      <c r="D603"/>
      <c r="E603"/>
      <c r="F603" s="3">
        <v>44753</v>
      </c>
      <c r="G603" s="49">
        <v>1</v>
      </c>
      <c r="H603" s="23">
        <v>599.75</v>
      </c>
      <c r="I603" t="s">
        <v>6945</v>
      </c>
      <c r="J603"/>
      <c r="K603"/>
      <c r="L603"/>
      <c r="M603"/>
      <c r="N603"/>
      <c r="O603"/>
      <c r="P603"/>
      <c r="Q603"/>
      <c r="R603"/>
    </row>
    <row r="604" spans="1:18" x14ac:dyDescent="0.25">
      <c r="A604" t="str">
        <f>IFERROR(VLOOKUP(B604&amp; "*",'SKU Maintenance'!D:H,5,0),"not found")</f>
        <v>2010051098070605</v>
      </c>
      <c r="B604">
        <v>40018707</v>
      </c>
      <c r="C604" t="s">
        <v>89</v>
      </c>
      <c r="D604"/>
      <c r="E604"/>
      <c r="F604" s="3">
        <v>44763</v>
      </c>
      <c r="G604" s="49">
        <v>1</v>
      </c>
      <c r="H604" s="23">
        <v>599.75</v>
      </c>
      <c r="I604" t="s">
        <v>6945</v>
      </c>
      <c r="J604"/>
      <c r="K604"/>
      <c r="L604"/>
      <c r="M604"/>
      <c r="N604"/>
      <c r="O604"/>
      <c r="P604"/>
      <c r="Q604"/>
      <c r="R604"/>
    </row>
    <row r="605" spans="1:18" x14ac:dyDescent="0.25">
      <c r="A605" t="str">
        <f>IFERROR(VLOOKUP(B605&amp; "*",'SKU Maintenance'!D:H,5,0),"not found")</f>
        <v>2010051098130605</v>
      </c>
      <c r="B605">
        <v>40018708</v>
      </c>
      <c r="C605" t="s">
        <v>268</v>
      </c>
      <c r="D605"/>
      <c r="E605"/>
      <c r="F605" s="3">
        <v>44750</v>
      </c>
      <c r="G605" s="49">
        <v>1</v>
      </c>
      <c r="H605" s="23">
        <v>599.75</v>
      </c>
      <c r="I605" t="s">
        <v>6941</v>
      </c>
      <c r="J605"/>
      <c r="K605"/>
      <c r="L605"/>
      <c r="M605"/>
      <c r="N605"/>
      <c r="O605"/>
      <c r="P605"/>
      <c r="Q605"/>
      <c r="R605"/>
    </row>
    <row r="606" spans="1:18" x14ac:dyDescent="0.25">
      <c r="A606" t="str">
        <f>IFERROR(VLOOKUP(B606&amp; "*",'SKU Maintenance'!D:H,5,0),"not found")</f>
        <v>2010051098130605</v>
      </c>
      <c r="B606">
        <v>40018708</v>
      </c>
      <c r="C606" t="s">
        <v>268</v>
      </c>
      <c r="D606"/>
      <c r="E606"/>
      <c r="F606" s="3">
        <v>44755</v>
      </c>
      <c r="G606" s="49">
        <v>1</v>
      </c>
      <c r="H606" s="23">
        <v>599.75</v>
      </c>
      <c r="I606" t="s">
        <v>6941</v>
      </c>
      <c r="J606"/>
      <c r="K606"/>
      <c r="L606"/>
      <c r="M606"/>
      <c r="N606"/>
      <c r="O606"/>
      <c r="P606"/>
      <c r="Q606"/>
      <c r="R606"/>
    </row>
    <row r="607" spans="1:18" x14ac:dyDescent="0.25">
      <c r="A607" t="str">
        <f>IFERROR(VLOOKUP(B607&amp; "*",'SKU Maintenance'!D:H,5,0),"not found")</f>
        <v>2010051098130605</v>
      </c>
      <c r="B607">
        <v>40018708</v>
      </c>
      <c r="C607" t="s">
        <v>268</v>
      </c>
      <c r="D607"/>
      <c r="E607"/>
      <c r="F607" s="3">
        <v>44749</v>
      </c>
      <c r="G607" s="49">
        <v>2</v>
      </c>
      <c r="H607" s="23">
        <v>1199.5</v>
      </c>
      <c r="I607" t="s">
        <v>6945</v>
      </c>
      <c r="J607"/>
      <c r="K607"/>
      <c r="L607"/>
      <c r="M607"/>
      <c r="N607"/>
      <c r="O607"/>
      <c r="P607"/>
      <c r="Q607"/>
      <c r="R607"/>
    </row>
    <row r="608" spans="1:18" x14ac:dyDescent="0.25">
      <c r="A608" t="str">
        <f>IFERROR(VLOOKUP(B608&amp; "*",'SKU Maintenance'!D:H,5,0),"not found")</f>
        <v>2010051098130605</v>
      </c>
      <c r="B608">
        <v>40018708</v>
      </c>
      <c r="C608" t="s">
        <v>268</v>
      </c>
      <c r="D608"/>
      <c r="E608"/>
      <c r="F608" s="3">
        <v>44753</v>
      </c>
      <c r="G608" s="49">
        <v>1</v>
      </c>
      <c r="H608" s="23">
        <v>599.75</v>
      </c>
      <c r="I608" t="s">
        <v>6945</v>
      </c>
      <c r="J608"/>
      <c r="K608"/>
      <c r="L608"/>
      <c r="M608"/>
      <c r="N608"/>
      <c r="O608"/>
      <c r="P608"/>
      <c r="Q608"/>
      <c r="R608"/>
    </row>
    <row r="609" spans="1:18" x14ac:dyDescent="0.25">
      <c r="A609" t="str">
        <f>IFERROR(VLOOKUP(B609&amp; "*",'SKU Maintenance'!D:H,5,0),"not found")</f>
        <v>2010070198040097</v>
      </c>
      <c r="B609">
        <v>40018812</v>
      </c>
      <c r="C609" t="s">
        <v>225</v>
      </c>
      <c r="D609"/>
      <c r="E609"/>
      <c r="F609" s="3">
        <v>44773</v>
      </c>
      <c r="G609" s="49">
        <v>1</v>
      </c>
      <c r="H609" s="23">
        <v>199.75</v>
      </c>
      <c r="I609" t="s">
        <v>6939</v>
      </c>
      <c r="J609"/>
      <c r="K609"/>
      <c r="L609"/>
      <c r="M609"/>
      <c r="N609"/>
      <c r="O609"/>
      <c r="P609"/>
      <c r="Q609"/>
      <c r="R609"/>
    </row>
    <row r="610" spans="1:18" x14ac:dyDescent="0.25">
      <c r="A610" t="str">
        <f>IFERROR(VLOOKUP(B610&amp; "*",'SKU Maintenance'!D:H,5,0),"not found")</f>
        <v>2010070198040097</v>
      </c>
      <c r="B610">
        <v>40018812</v>
      </c>
      <c r="C610" t="s">
        <v>225</v>
      </c>
      <c r="D610"/>
      <c r="E610"/>
      <c r="F610" s="3">
        <v>44755</v>
      </c>
      <c r="G610" s="49">
        <v>1</v>
      </c>
      <c r="H610" s="23">
        <v>199.75</v>
      </c>
      <c r="I610" t="s">
        <v>6943</v>
      </c>
      <c r="J610"/>
      <c r="K610"/>
      <c r="L610"/>
      <c r="M610"/>
      <c r="N610"/>
      <c r="O610"/>
      <c r="P610"/>
      <c r="Q610"/>
      <c r="R610"/>
    </row>
    <row r="611" spans="1:18" x14ac:dyDescent="0.25">
      <c r="A611" t="str">
        <f>IFERROR(VLOOKUP(B611&amp; "*",'SKU Maintenance'!D:H,5,0),"not found")</f>
        <v>2010070198040098</v>
      </c>
      <c r="B611">
        <v>40018813</v>
      </c>
      <c r="C611" t="s">
        <v>287</v>
      </c>
      <c r="D611"/>
      <c r="E611"/>
      <c r="F611" s="3">
        <v>44756</v>
      </c>
      <c r="G611" s="49">
        <v>1</v>
      </c>
      <c r="H611" s="23">
        <v>199.75</v>
      </c>
      <c r="I611" t="s">
        <v>6941</v>
      </c>
      <c r="J611"/>
      <c r="K611"/>
      <c r="L611"/>
      <c r="M611"/>
      <c r="N611"/>
      <c r="O611"/>
      <c r="P611"/>
      <c r="Q611"/>
      <c r="R611"/>
    </row>
    <row r="612" spans="1:18" x14ac:dyDescent="0.25">
      <c r="A612" t="str">
        <f>IFERROR(VLOOKUP(B612&amp; "*",'SKU Maintenance'!D:H,5,0),"not found")</f>
        <v>2010070198040098</v>
      </c>
      <c r="B612">
        <v>40018813</v>
      </c>
      <c r="C612" t="s">
        <v>287</v>
      </c>
      <c r="D612"/>
      <c r="E612"/>
      <c r="F612" s="3">
        <v>44771</v>
      </c>
      <c r="G612" s="49">
        <v>1</v>
      </c>
      <c r="H612" s="23">
        <v>199.75</v>
      </c>
      <c r="I612" t="s">
        <v>6943</v>
      </c>
      <c r="J612"/>
      <c r="K612"/>
      <c r="L612"/>
      <c r="M612"/>
      <c r="N612"/>
      <c r="O612"/>
      <c r="P612"/>
      <c r="Q612"/>
      <c r="R612"/>
    </row>
    <row r="613" spans="1:18" x14ac:dyDescent="0.25">
      <c r="A613" t="str">
        <f>IFERROR(VLOOKUP(B613&amp; "*",'SKU Maintenance'!D:H,5,0),"not found")</f>
        <v>2010070198010099</v>
      </c>
      <c r="B613">
        <v>40018814</v>
      </c>
      <c r="C613" t="s">
        <v>201</v>
      </c>
      <c r="D613"/>
      <c r="E613"/>
      <c r="F613" s="3">
        <v>44767</v>
      </c>
      <c r="G613" s="49">
        <v>2</v>
      </c>
      <c r="H613" s="23">
        <v>599.5</v>
      </c>
      <c r="I613" t="s">
        <v>6939</v>
      </c>
      <c r="J613"/>
      <c r="K613"/>
      <c r="L613"/>
      <c r="M613"/>
      <c r="N613"/>
      <c r="O613"/>
      <c r="P613"/>
      <c r="Q613"/>
      <c r="R613"/>
    </row>
    <row r="614" spans="1:18" x14ac:dyDescent="0.25">
      <c r="A614" t="str">
        <f>IFERROR(VLOOKUP(B614&amp; "*",'SKU Maintenance'!D:H,5,0),"not found")</f>
        <v>2010070198040101</v>
      </c>
      <c r="B614">
        <v>40018816</v>
      </c>
      <c r="C614" t="s">
        <v>228</v>
      </c>
      <c r="D614"/>
      <c r="E614"/>
      <c r="F614" s="3">
        <v>44773</v>
      </c>
      <c r="G614" s="49">
        <v>1</v>
      </c>
      <c r="H614" s="23">
        <v>299.75</v>
      </c>
      <c r="I614" t="s">
        <v>6939</v>
      </c>
      <c r="J614"/>
      <c r="K614"/>
      <c r="L614"/>
      <c r="M614"/>
      <c r="N614"/>
      <c r="O614"/>
      <c r="P614"/>
      <c r="Q614"/>
      <c r="R614"/>
    </row>
    <row r="615" spans="1:18" x14ac:dyDescent="0.25">
      <c r="A615" t="str">
        <f>IFERROR(VLOOKUP(B615&amp; "*",'SKU Maintenance'!D:H,5,0),"not found")</f>
        <v>2010070198040102</v>
      </c>
      <c r="B615">
        <v>40018817</v>
      </c>
      <c r="C615" t="s">
        <v>188</v>
      </c>
      <c r="D615"/>
      <c r="E615"/>
      <c r="F615" s="3">
        <v>44765</v>
      </c>
      <c r="G615" s="49">
        <v>1</v>
      </c>
      <c r="H615" s="23">
        <v>399.75</v>
      </c>
      <c r="I615" t="s">
        <v>6939</v>
      </c>
      <c r="J615"/>
      <c r="K615"/>
      <c r="L615"/>
      <c r="M615"/>
      <c r="N615"/>
      <c r="O615"/>
      <c r="P615"/>
      <c r="Q615"/>
      <c r="R615"/>
    </row>
    <row r="616" spans="1:18" x14ac:dyDescent="0.25">
      <c r="A616" t="str">
        <f>IFERROR(VLOOKUP(B616&amp; "*",'SKU Maintenance'!D:H,5,0),"not found")</f>
        <v>2010070198040102</v>
      </c>
      <c r="B616">
        <v>40018817</v>
      </c>
      <c r="C616" t="s">
        <v>188</v>
      </c>
      <c r="D616"/>
      <c r="E616"/>
      <c r="F616" s="3">
        <v>44772</v>
      </c>
      <c r="G616" s="49">
        <v>1</v>
      </c>
      <c r="H616" s="23">
        <v>399.75</v>
      </c>
      <c r="I616" t="s">
        <v>6943</v>
      </c>
      <c r="J616"/>
      <c r="K616"/>
      <c r="L616"/>
      <c r="M616"/>
      <c r="N616"/>
      <c r="O616"/>
      <c r="P616"/>
      <c r="Q616"/>
      <c r="R616"/>
    </row>
    <row r="617" spans="1:18" x14ac:dyDescent="0.25">
      <c r="A617" t="str">
        <f>IFERROR(VLOOKUP(B617&amp; "*",'SKU Maintenance'!D:H,5,0),"not found")</f>
        <v>2010070198040102</v>
      </c>
      <c r="B617">
        <v>40018817</v>
      </c>
      <c r="C617" t="s">
        <v>188</v>
      </c>
      <c r="D617"/>
      <c r="E617"/>
      <c r="F617" s="3">
        <v>44753</v>
      </c>
      <c r="G617" s="49">
        <v>1</v>
      </c>
      <c r="H617" s="23">
        <v>399.75</v>
      </c>
      <c r="I617" t="s">
        <v>6945</v>
      </c>
      <c r="J617"/>
      <c r="K617"/>
      <c r="L617"/>
      <c r="M617"/>
      <c r="N617"/>
      <c r="O617"/>
      <c r="P617"/>
      <c r="Q617"/>
      <c r="R617"/>
    </row>
    <row r="618" spans="1:18" x14ac:dyDescent="0.25">
      <c r="A618" t="str">
        <f>IFERROR(VLOOKUP(B618&amp; "*",'SKU Maintenance'!D:H,5,0),"not found")</f>
        <v>2010070198040103</v>
      </c>
      <c r="B618">
        <v>40018818</v>
      </c>
      <c r="C618" t="s">
        <v>397</v>
      </c>
      <c r="D618"/>
      <c r="E618"/>
      <c r="F618" s="3">
        <v>44754</v>
      </c>
      <c r="G618" s="49">
        <v>1</v>
      </c>
      <c r="H618" s="23">
        <v>399.75</v>
      </c>
      <c r="I618" t="s">
        <v>6943</v>
      </c>
      <c r="J618"/>
      <c r="K618"/>
      <c r="L618"/>
      <c r="M618"/>
      <c r="N618"/>
      <c r="O618"/>
      <c r="P618"/>
      <c r="Q618"/>
      <c r="R618"/>
    </row>
    <row r="619" spans="1:18" x14ac:dyDescent="0.25">
      <c r="A619" t="str">
        <f>IFERROR(VLOOKUP(B619&amp; "*",'SKU Maintenance'!D:H,5,0),"not found")</f>
        <v>2010070198040103</v>
      </c>
      <c r="B619">
        <v>40018818</v>
      </c>
      <c r="C619" t="s">
        <v>397</v>
      </c>
      <c r="D619"/>
      <c r="E619"/>
      <c r="F619" s="3">
        <v>44769</v>
      </c>
      <c r="G619" s="49">
        <v>2</v>
      </c>
      <c r="H619" s="23">
        <v>799.5</v>
      </c>
      <c r="I619" t="s">
        <v>6943</v>
      </c>
      <c r="J619"/>
      <c r="K619"/>
      <c r="L619"/>
      <c r="M619"/>
      <c r="N619"/>
      <c r="O619"/>
      <c r="P619"/>
      <c r="Q619"/>
      <c r="R619"/>
    </row>
    <row r="620" spans="1:18" x14ac:dyDescent="0.25">
      <c r="A620" t="str">
        <f>IFERROR(VLOOKUP(B620&amp; "*",'SKU Maintenance'!D:H,5,0),"not found")</f>
        <v>2010070198040103</v>
      </c>
      <c r="B620">
        <v>40018818</v>
      </c>
      <c r="C620" t="s">
        <v>397</v>
      </c>
      <c r="D620"/>
      <c r="E620"/>
      <c r="F620" s="3">
        <v>44765</v>
      </c>
      <c r="G620" s="49">
        <v>1</v>
      </c>
      <c r="H620" s="23">
        <v>399.75</v>
      </c>
      <c r="I620" t="s">
        <v>6945</v>
      </c>
      <c r="J620"/>
      <c r="K620"/>
      <c r="L620"/>
      <c r="M620"/>
      <c r="N620"/>
      <c r="O620"/>
      <c r="P620"/>
      <c r="Q620"/>
      <c r="R620"/>
    </row>
    <row r="621" spans="1:18" x14ac:dyDescent="0.25">
      <c r="A621" t="str">
        <f>IFERROR(VLOOKUP(B621&amp; "*",'SKU Maintenance'!D:H,5,0),"not found")</f>
        <v>2010070198040104</v>
      </c>
      <c r="B621">
        <v>40018819</v>
      </c>
      <c r="C621" t="s">
        <v>427</v>
      </c>
      <c r="D621"/>
      <c r="E621"/>
      <c r="F621" s="3">
        <v>44770</v>
      </c>
      <c r="G621" s="49">
        <v>1</v>
      </c>
      <c r="H621" s="23">
        <v>399.75</v>
      </c>
      <c r="I621" t="s">
        <v>6943</v>
      </c>
      <c r="J621"/>
      <c r="K621"/>
      <c r="L621"/>
      <c r="M621"/>
      <c r="N621"/>
      <c r="O621"/>
      <c r="P621"/>
      <c r="Q621"/>
      <c r="R621"/>
    </row>
    <row r="622" spans="1:18" x14ac:dyDescent="0.25">
      <c r="A622" t="str">
        <f>IFERROR(VLOOKUP(B622&amp; "*",'SKU Maintenance'!D:H,5,0),"not found")</f>
        <v>2010070198040104</v>
      </c>
      <c r="B622">
        <v>40018819</v>
      </c>
      <c r="C622" t="s">
        <v>427</v>
      </c>
      <c r="D622"/>
      <c r="E622"/>
      <c r="F622" s="3">
        <v>44772</v>
      </c>
      <c r="G622" s="49">
        <v>1</v>
      </c>
      <c r="H622" s="23">
        <v>399.75</v>
      </c>
      <c r="I622" t="s">
        <v>6943</v>
      </c>
      <c r="J622"/>
      <c r="K622"/>
      <c r="L622"/>
      <c r="M622"/>
      <c r="N622"/>
      <c r="O622"/>
      <c r="P622"/>
      <c r="Q622"/>
      <c r="R622"/>
    </row>
    <row r="623" spans="1:18" x14ac:dyDescent="0.25">
      <c r="A623" t="str">
        <f>IFERROR(VLOOKUP(B623&amp; "*",'SKU Maintenance'!D:H,5,0),"not found")</f>
        <v>2010070198040104</v>
      </c>
      <c r="B623">
        <v>40018819</v>
      </c>
      <c r="C623" t="s">
        <v>427</v>
      </c>
      <c r="D623"/>
      <c r="E623"/>
      <c r="F623" s="3">
        <v>44743</v>
      </c>
      <c r="G623" s="49">
        <v>1</v>
      </c>
      <c r="H623" s="23">
        <v>359.78</v>
      </c>
      <c r="I623" t="s">
        <v>6945</v>
      </c>
      <c r="J623"/>
      <c r="K623"/>
      <c r="L623"/>
      <c r="M623"/>
      <c r="N623"/>
      <c r="O623"/>
      <c r="P623"/>
      <c r="Q623"/>
      <c r="R623"/>
    </row>
    <row r="624" spans="1:18" x14ac:dyDescent="0.25">
      <c r="A624" t="str">
        <f>IFERROR(VLOOKUP(B624&amp; "*",'SKU Maintenance'!D:H,5,0),"not found")</f>
        <v>2010070198040105</v>
      </c>
      <c r="B624">
        <v>40018820</v>
      </c>
      <c r="C624" t="s">
        <v>275</v>
      </c>
      <c r="D624"/>
      <c r="E624"/>
      <c r="F624" s="3">
        <v>44751</v>
      </c>
      <c r="G624" s="49">
        <v>1</v>
      </c>
      <c r="H624" s="23">
        <v>599.75</v>
      </c>
      <c r="I624" t="s">
        <v>6941</v>
      </c>
      <c r="J624"/>
      <c r="K624"/>
      <c r="L624"/>
      <c r="M624"/>
      <c r="N624"/>
      <c r="O624"/>
      <c r="P624"/>
      <c r="Q624"/>
      <c r="R624"/>
    </row>
    <row r="625" spans="1:18" x14ac:dyDescent="0.25">
      <c r="A625" t="str">
        <f>IFERROR(VLOOKUP(B625&amp; "*",'SKU Maintenance'!D:H,5,0),"not found")</f>
        <v>2010070198040105</v>
      </c>
      <c r="B625">
        <v>40018820</v>
      </c>
      <c r="C625" t="s">
        <v>275</v>
      </c>
      <c r="D625"/>
      <c r="E625"/>
      <c r="F625" s="3">
        <v>44747</v>
      </c>
      <c r="G625" s="49">
        <v>1</v>
      </c>
      <c r="H625" s="23">
        <v>599.75</v>
      </c>
      <c r="I625" t="s">
        <v>6945</v>
      </c>
      <c r="J625"/>
      <c r="K625"/>
      <c r="L625"/>
      <c r="M625"/>
      <c r="N625"/>
      <c r="O625"/>
      <c r="P625"/>
      <c r="Q625"/>
      <c r="R625"/>
    </row>
    <row r="626" spans="1:18" x14ac:dyDescent="0.25">
      <c r="A626" t="str">
        <f>IFERROR(VLOOKUP(B626&amp; "*",'SKU Maintenance'!D:H,5,0),"not found")</f>
        <v>2010070198040105</v>
      </c>
      <c r="B626">
        <v>40018820</v>
      </c>
      <c r="C626" t="s">
        <v>275</v>
      </c>
      <c r="D626"/>
      <c r="E626"/>
      <c r="F626" s="3">
        <v>44765</v>
      </c>
      <c r="G626" s="49">
        <v>1</v>
      </c>
      <c r="H626" s="23">
        <v>599.75</v>
      </c>
      <c r="I626" t="s">
        <v>6945</v>
      </c>
      <c r="J626"/>
      <c r="K626"/>
      <c r="L626"/>
      <c r="M626"/>
      <c r="N626"/>
      <c r="O626"/>
      <c r="P626"/>
      <c r="Q626"/>
      <c r="R626"/>
    </row>
    <row r="627" spans="1:18" x14ac:dyDescent="0.25">
      <c r="A627" t="str">
        <f>IFERROR(VLOOKUP(B627&amp; "*",'SKU Maintenance'!D:H,5,0),"not found")</f>
        <v>2010070198040106</v>
      </c>
      <c r="B627">
        <v>40018821</v>
      </c>
      <c r="C627" t="s">
        <v>276</v>
      </c>
      <c r="D627"/>
      <c r="E627"/>
      <c r="F627" s="3">
        <v>44751</v>
      </c>
      <c r="G627" s="49">
        <v>1</v>
      </c>
      <c r="H627" s="23">
        <v>599.75</v>
      </c>
      <c r="I627" t="s">
        <v>6941</v>
      </c>
      <c r="J627"/>
      <c r="K627"/>
      <c r="L627"/>
      <c r="M627"/>
      <c r="N627"/>
      <c r="O627"/>
      <c r="P627"/>
      <c r="Q627"/>
      <c r="R627"/>
    </row>
    <row r="628" spans="1:18" x14ac:dyDescent="0.25">
      <c r="A628" t="str">
        <f>IFERROR(VLOOKUP(B628&amp; "*",'SKU Maintenance'!D:H,5,0),"not found")</f>
        <v>2010070198040106</v>
      </c>
      <c r="B628">
        <v>40018821</v>
      </c>
      <c r="C628" t="s">
        <v>276</v>
      </c>
      <c r="D628"/>
      <c r="E628"/>
      <c r="F628" s="3">
        <v>44749</v>
      </c>
      <c r="G628" s="49">
        <v>1</v>
      </c>
      <c r="H628" s="23">
        <v>599.75</v>
      </c>
      <c r="I628" t="s">
        <v>6945</v>
      </c>
      <c r="J628"/>
      <c r="K628"/>
      <c r="L628"/>
      <c r="M628"/>
      <c r="N628"/>
      <c r="O628"/>
      <c r="P628"/>
      <c r="Q628"/>
      <c r="R628"/>
    </row>
    <row r="629" spans="1:18" x14ac:dyDescent="0.25">
      <c r="A629" t="str">
        <f>IFERROR(VLOOKUP(B629&amp; "*",'SKU Maintenance'!D:H,5,0),"not found")</f>
        <v>2010070198040106</v>
      </c>
      <c r="B629">
        <v>40018821</v>
      </c>
      <c r="C629" t="s">
        <v>276</v>
      </c>
      <c r="D629"/>
      <c r="E629"/>
      <c r="F629" s="3">
        <v>44769</v>
      </c>
      <c r="G629" s="49">
        <v>1</v>
      </c>
      <c r="H629" s="23">
        <v>599.75</v>
      </c>
      <c r="I629" t="s">
        <v>6945</v>
      </c>
      <c r="J629"/>
      <c r="K629"/>
      <c r="L629"/>
      <c r="M629"/>
      <c r="N629"/>
      <c r="O629"/>
      <c r="P629"/>
      <c r="Q629"/>
      <c r="R629"/>
    </row>
    <row r="630" spans="1:18" x14ac:dyDescent="0.25">
      <c r="A630" t="str">
        <f>IFERROR(VLOOKUP(B630&amp; "*",'SKU Maintenance'!D:H,5,0),"not found")</f>
        <v>2010070198040106</v>
      </c>
      <c r="B630">
        <v>40018821</v>
      </c>
      <c r="C630" t="s">
        <v>276</v>
      </c>
      <c r="D630"/>
      <c r="E630"/>
      <c r="F630" s="3">
        <v>44771</v>
      </c>
      <c r="G630" s="49">
        <v>1</v>
      </c>
      <c r="H630" s="23">
        <v>599.75</v>
      </c>
      <c r="I630" t="s">
        <v>6945</v>
      </c>
      <c r="J630"/>
      <c r="K630"/>
      <c r="L630"/>
      <c r="M630"/>
      <c r="N630"/>
      <c r="O630"/>
      <c r="P630"/>
      <c r="Q630"/>
      <c r="R630"/>
    </row>
    <row r="631" spans="1:18" x14ac:dyDescent="0.25">
      <c r="A631" t="str">
        <f>IFERROR(VLOOKUP(B631&amp; "*",'SKU Maintenance'!D:H,5,0),"not found")</f>
        <v>2010070198040107</v>
      </c>
      <c r="B631">
        <v>40018822</v>
      </c>
      <c r="C631" t="s">
        <v>323</v>
      </c>
      <c r="D631"/>
      <c r="E631"/>
      <c r="F631" s="3">
        <v>44765</v>
      </c>
      <c r="G631" s="49">
        <v>1</v>
      </c>
      <c r="H631" s="23">
        <v>599.75</v>
      </c>
      <c r="I631" t="s">
        <v>6941</v>
      </c>
      <c r="J631"/>
      <c r="K631"/>
      <c r="L631"/>
      <c r="M631"/>
      <c r="N631"/>
      <c r="O631"/>
      <c r="P631"/>
      <c r="Q631"/>
      <c r="R631"/>
    </row>
    <row r="632" spans="1:18" x14ac:dyDescent="0.25">
      <c r="A632" t="str">
        <f>IFERROR(VLOOKUP(B632&amp; "*",'SKU Maintenance'!D:H,5,0),"not found")</f>
        <v>2010070198040089</v>
      </c>
      <c r="B632">
        <v>40018826</v>
      </c>
      <c r="C632" t="s">
        <v>83</v>
      </c>
      <c r="D632"/>
      <c r="E632"/>
      <c r="F632" s="3">
        <v>44746</v>
      </c>
      <c r="G632" s="49">
        <v>1</v>
      </c>
      <c r="H632" s="23">
        <v>199.75</v>
      </c>
      <c r="I632" t="s">
        <v>6939</v>
      </c>
      <c r="J632"/>
      <c r="K632"/>
      <c r="L632"/>
      <c r="M632"/>
      <c r="N632"/>
      <c r="O632"/>
      <c r="P632"/>
      <c r="Q632"/>
      <c r="R632"/>
    </row>
    <row r="633" spans="1:18" x14ac:dyDescent="0.25">
      <c r="A633" t="str">
        <f>IFERROR(VLOOKUP(B633&amp; "*",'SKU Maintenance'!D:H,5,0),"not found")</f>
        <v>2010070198040089</v>
      </c>
      <c r="B633">
        <v>40018826</v>
      </c>
      <c r="C633" t="s">
        <v>83</v>
      </c>
      <c r="D633"/>
      <c r="E633"/>
      <c r="F633" s="3">
        <v>44767</v>
      </c>
      <c r="G633" s="49">
        <v>2</v>
      </c>
      <c r="H633" s="23">
        <v>399.5</v>
      </c>
      <c r="I633" t="s">
        <v>6939</v>
      </c>
      <c r="J633"/>
      <c r="K633"/>
      <c r="L633"/>
      <c r="M633"/>
      <c r="N633"/>
      <c r="O633"/>
      <c r="P633"/>
      <c r="Q633"/>
      <c r="R633"/>
    </row>
    <row r="634" spans="1:18" x14ac:dyDescent="0.25">
      <c r="A634" t="str">
        <f>IFERROR(VLOOKUP(B634&amp; "*",'SKU Maintenance'!D:H,5,0),"not found")</f>
        <v>2010070198040092</v>
      </c>
      <c r="B634">
        <v>40018827</v>
      </c>
      <c r="C634" t="s">
        <v>373</v>
      </c>
      <c r="D634"/>
      <c r="E634"/>
      <c r="F634" s="3">
        <v>44751</v>
      </c>
      <c r="G634" s="49">
        <v>1</v>
      </c>
      <c r="H634" s="23">
        <v>499.75</v>
      </c>
      <c r="I634" t="s">
        <v>6943</v>
      </c>
      <c r="J634"/>
      <c r="K634"/>
      <c r="L634"/>
      <c r="M634"/>
      <c r="N634"/>
      <c r="O634"/>
      <c r="P634"/>
      <c r="Q634"/>
      <c r="R634"/>
    </row>
    <row r="635" spans="1:18" x14ac:dyDescent="0.25">
      <c r="A635" t="str">
        <f>IFERROR(VLOOKUP(B635&amp; "*",'SKU Maintenance'!D:H,5,0),"not found")</f>
        <v>2010070198160109</v>
      </c>
      <c r="B635">
        <v>40018829</v>
      </c>
      <c r="C635" t="s">
        <v>187</v>
      </c>
      <c r="D635"/>
      <c r="E635"/>
      <c r="F635" s="3">
        <v>44765</v>
      </c>
      <c r="G635" s="49">
        <v>1</v>
      </c>
      <c r="H635" s="23">
        <v>899.75</v>
      </c>
      <c r="I635" t="s">
        <v>6939</v>
      </c>
      <c r="J635"/>
      <c r="K635"/>
      <c r="L635"/>
      <c r="M635"/>
      <c r="N635"/>
      <c r="O635"/>
      <c r="P635"/>
      <c r="Q635"/>
      <c r="R635"/>
    </row>
    <row r="636" spans="1:18" x14ac:dyDescent="0.25">
      <c r="A636" t="str">
        <f>IFERROR(VLOOKUP(B636&amp; "*",'SKU Maintenance'!D:H,5,0),"not found")</f>
        <v>2010070198040088</v>
      </c>
      <c r="B636">
        <v>40018834</v>
      </c>
      <c r="C636" t="s">
        <v>82</v>
      </c>
      <c r="D636"/>
      <c r="E636"/>
      <c r="F636" s="3">
        <v>44746</v>
      </c>
      <c r="G636" s="49">
        <v>1</v>
      </c>
      <c r="H636" s="23">
        <v>199.75</v>
      </c>
      <c r="I636" t="s">
        <v>6939</v>
      </c>
      <c r="J636"/>
      <c r="K636"/>
      <c r="L636"/>
      <c r="M636"/>
      <c r="N636"/>
      <c r="O636"/>
      <c r="P636"/>
      <c r="Q636"/>
      <c r="R636"/>
    </row>
    <row r="637" spans="1:18" x14ac:dyDescent="0.25">
      <c r="A637" t="str">
        <f>IFERROR(VLOOKUP(B637&amp; "*",'SKU Maintenance'!D:H,5,0),"not found")</f>
        <v>2010070198040088</v>
      </c>
      <c r="B637">
        <v>40018834</v>
      </c>
      <c r="C637" t="s">
        <v>82</v>
      </c>
      <c r="D637"/>
      <c r="E637"/>
      <c r="F637" s="3">
        <v>44759</v>
      </c>
      <c r="G637" s="49">
        <v>1</v>
      </c>
      <c r="H637" s="23">
        <v>199.75</v>
      </c>
      <c r="I637" t="s">
        <v>6939</v>
      </c>
      <c r="J637"/>
      <c r="K637"/>
      <c r="L637"/>
      <c r="M637"/>
      <c r="N637"/>
      <c r="O637"/>
      <c r="P637"/>
      <c r="Q637"/>
      <c r="R637"/>
    </row>
    <row r="638" spans="1:18" x14ac:dyDescent="0.25">
      <c r="A638" t="str">
        <f>IFERROR(VLOOKUP(B638&amp; "*",'SKU Maintenance'!D:H,5,0),"not found")</f>
        <v>2010070198040088</v>
      </c>
      <c r="B638">
        <v>40018834</v>
      </c>
      <c r="C638" t="s">
        <v>82</v>
      </c>
      <c r="D638"/>
      <c r="E638"/>
      <c r="F638" s="3">
        <v>44762</v>
      </c>
      <c r="G638" s="49">
        <v>2</v>
      </c>
      <c r="H638" s="23">
        <v>399.5</v>
      </c>
      <c r="I638" t="s">
        <v>6939</v>
      </c>
      <c r="J638"/>
      <c r="K638"/>
      <c r="L638"/>
      <c r="M638"/>
      <c r="N638"/>
      <c r="O638"/>
      <c r="P638"/>
      <c r="Q638"/>
      <c r="R638"/>
    </row>
    <row r="639" spans="1:18" x14ac:dyDescent="0.25">
      <c r="A639" t="str">
        <f>IFERROR(VLOOKUP(B639&amp; "*",'SKU Maintenance'!D:H,5,0),"not found")</f>
        <v>2010070198040091</v>
      </c>
      <c r="B639">
        <v>40018836</v>
      </c>
      <c r="C639" t="s">
        <v>69</v>
      </c>
      <c r="D639"/>
      <c r="E639"/>
      <c r="F639" s="3">
        <v>44744</v>
      </c>
      <c r="G639" s="49">
        <v>1</v>
      </c>
      <c r="H639" s="23">
        <v>199.75</v>
      </c>
      <c r="I639" t="s">
        <v>6939</v>
      </c>
      <c r="J639"/>
      <c r="K639"/>
      <c r="L639"/>
      <c r="M639"/>
      <c r="N639"/>
      <c r="O639"/>
      <c r="P639"/>
      <c r="Q639"/>
      <c r="R639"/>
    </row>
    <row r="640" spans="1:18" x14ac:dyDescent="0.25">
      <c r="A640" t="str">
        <f>IFERROR(VLOOKUP(B640&amp; "*",'SKU Maintenance'!D:H,5,0),"not found")</f>
        <v>2010070198040091</v>
      </c>
      <c r="B640">
        <v>40018836</v>
      </c>
      <c r="C640" t="s">
        <v>69</v>
      </c>
      <c r="D640"/>
      <c r="E640"/>
      <c r="F640" s="3">
        <v>44746</v>
      </c>
      <c r="G640" s="49">
        <v>1</v>
      </c>
      <c r="H640" s="23">
        <v>199.75</v>
      </c>
      <c r="I640" t="s">
        <v>6939</v>
      </c>
      <c r="J640"/>
      <c r="K640"/>
      <c r="L640"/>
      <c r="M640"/>
      <c r="N640"/>
      <c r="O640"/>
      <c r="P640"/>
      <c r="Q640"/>
      <c r="R640"/>
    </row>
    <row r="641" spans="1:18" x14ac:dyDescent="0.25">
      <c r="A641" t="str">
        <f>IFERROR(VLOOKUP(B641&amp; "*",'SKU Maintenance'!D:H,5,0),"not found")</f>
        <v>2010020198160005</v>
      </c>
      <c r="B641">
        <v>40019091</v>
      </c>
      <c r="C641" t="s">
        <v>439</v>
      </c>
      <c r="D641"/>
      <c r="E641"/>
      <c r="F641" s="3">
        <v>44749</v>
      </c>
      <c r="G641" s="49">
        <v>1</v>
      </c>
      <c r="H641">
        <v>1299.75</v>
      </c>
      <c r="I641" s="9" t="s">
        <v>6945</v>
      </c>
      <c r="J641"/>
      <c r="K641"/>
      <c r="L641"/>
      <c r="M641"/>
      <c r="N641"/>
      <c r="O641"/>
      <c r="P641"/>
      <c r="Q641"/>
      <c r="R641"/>
    </row>
    <row r="642" spans="1:18" x14ac:dyDescent="0.25">
      <c r="A642" t="str">
        <f>IFERROR(VLOOKUP(B642&amp; "*",'SKU Maintenance'!D:H,5,0),"not found")</f>
        <v>2010020198170006</v>
      </c>
      <c r="B642">
        <v>40019095</v>
      </c>
      <c r="C642" t="s">
        <v>84</v>
      </c>
      <c r="D642"/>
      <c r="E642"/>
      <c r="F642" s="3">
        <v>44746</v>
      </c>
      <c r="G642" s="49">
        <v>1</v>
      </c>
      <c r="H642">
        <v>699.75</v>
      </c>
      <c r="I642" s="9" t="s">
        <v>6939</v>
      </c>
      <c r="J642"/>
      <c r="K642"/>
      <c r="L642"/>
      <c r="M642"/>
      <c r="N642"/>
      <c r="O642"/>
      <c r="P642"/>
      <c r="Q642"/>
      <c r="R642"/>
    </row>
    <row r="643" spans="1:18" x14ac:dyDescent="0.25">
      <c r="A643" t="str">
        <f>IFERROR(VLOOKUP(B643&amp; "*",'SKU Maintenance'!D:H,5,0),"not found")</f>
        <v>2010020198220006</v>
      </c>
      <c r="B643">
        <v>40019096</v>
      </c>
      <c r="C643" t="s">
        <v>159</v>
      </c>
      <c r="D643"/>
      <c r="E643"/>
      <c r="F643" s="3">
        <v>44758</v>
      </c>
      <c r="G643" s="49">
        <v>1</v>
      </c>
      <c r="H643">
        <v>699.75</v>
      </c>
      <c r="I643" s="9" t="s">
        <v>6939</v>
      </c>
      <c r="J643"/>
      <c r="K643"/>
      <c r="L643"/>
      <c r="M643"/>
      <c r="N643"/>
      <c r="O643"/>
      <c r="P643"/>
      <c r="Q643"/>
      <c r="R643"/>
    </row>
    <row r="644" spans="1:18" x14ac:dyDescent="0.25">
      <c r="A644" t="str">
        <f>IFERROR(VLOOKUP(B644&amp; "*",'SKU Maintenance'!D:H,5,0),"not found")</f>
        <v>2010020198220006</v>
      </c>
      <c r="B644">
        <v>40019096</v>
      </c>
      <c r="C644" t="s">
        <v>159</v>
      </c>
      <c r="D644"/>
      <c r="E644"/>
      <c r="F644" s="3">
        <v>44743</v>
      </c>
      <c r="G644" s="49">
        <v>1</v>
      </c>
      <c r="H644">
        <v>699.75</v>
      </c>
      <c r="I644" s="9" t="s">
        <v>6945</v>
      </c>
      <c r="J644"/>
      <c r="K644"/>
      <c r="L644"/>
      <c r="M644"/>
      <c r="N644"/>
      <c r="O644"/>
      <c r="P644"/>
      <c r="Q644"/>
      <c r="R644"/>
    </row>
    <row r="645" spans="1:18" x14ac:dyDescent="0.25">
      <c r="A645" t="str">
        <f>IFERROR(VLOOKUP(B645&amp; "*",'SKU Maintenance'!D:H,5,0),"not found")</f>
        <v>2010020198160007</v>
      </c>
      <c r="B645">
        <v>40019097</v>
      </c>
      <c r="C645" t="s">
        <v>86</v>
      </c>
      <c r="D645"/>
      <c r="E645"/>
      <c r="F645" s="3">
        <v>44747</v>
      </c>
      <c r="G645" s="49">
        <v>1</v>
      </c>
      <c r="H645">
        <v>699.75</v>
      </c>
      <c r="I645" s="9" t="s">
        <v>6939</v>
      </c>
      <c r="J645"/>
      <c r="K645"/>
      <c r="L645"/>
      <c r="M645"/>
      <c r="N645"/>
      <c r="O645"/>
      <c r="P645"/>
      <c r="Q645"/>
      <c r="R645"/>
    </row>
    <row r="646" spans="1:18" x14ac:dyDescent="0.25">
      <c r="A646" t="str">
        <f>IFERROR(VLOOKUP(B646&amp; "*",'SKU Maintenance'!D:H,5,0),"not found")</f>
        <v>2010020198160007</v>
      </c>
      <c r="B646">
        <v>40019097</v>
      </c>
      <c r="C646" t="s">
        <v>86</v>
      </c>
      <c r="D646"/>
      <c r="E646"/>
      <c r="F646" s="3">
        <v>44768</v>
      </c>
      <c r="G646" s="49">
        <v>1</v>
      </c>
      <c r="H646">
        <v>699.75</v>
      </c>
      <c r="I646" s="9" t="s">
        <v>6941</v>
      </c>
      <c r="J646"/>
      <c r="K646"/>
      <c r="L646"/>
      <c r="M646"/>
      <c r="N646"/>
      <c r="O646"/>
      <c r="P646"/>
      <c r="Q646"/>
      <c r="R646"/>
    </row>
    <row r="647" spans="1:18" x14ac:dyDescent="0.25">
      <c r="A647" t="str">
        <f>IFERROR(VLOOKUP(B647&amp; "*",'SKU Maintenance'!D:H,5,0),"not found")</f>
        <v>2010020198170007</v>
      </c>
      <c r="B647">
        <v>40019098</v>
      </c>
      <c r="C647" t="s">
        <v>161</v>
      </c>
      <c r="D647"/>
      <c r="E647"/>
      <c r="F647" s="3">
        <v>44758</v>
      </c>
      <c r="G647" s="49">
        <v>1</v>
      </c>
      <c r="H647">
        <v>699.75</v>
      </c>
      <c r="I647" s="9" t="s">
        <v>6939</v>
      </c>
      <c r="J647"/>
      <c r="K647"/>
      <c r="L647"/>
      <c r="M647"/>
      <c r="N647"/>
      <c r="O647"/>
      <c r="P647"/>
      <c r="Q647"/>
      <c r="R647"/>
    </row>
    <row r="648" spans="1:18" x14ac:dyDescent="0.25">
      <c r="A648" t="str">
        <f>IFERROR(VLOOKUP(B648&amp; "*",'SKU Maintenance'!D:H,5,0),"not found")</f>
        <v>2010020198170007</v>
      </c>
      <c r="B648">
        <v>40019098</v>
      </c>
      <c r="C648" t="s">
        <v>161</v>
      </c>
      <c r="D648"/>
      <c r="E648"/>
      <c r="F648" s="3">
        <v>44763</v>
      </c>
      <c r="G648" s="49">
        <v>1</v>
      </c>
      <c r="H648">
        <v>699.75</v>
      </c>
      <c r="I648" s="9" t="s">
        <v>6941</v>
      </c>
      <c r="J648"/>
      <c r="K648"/>
      <c r="L648"/>
      <c r="M648"/>
      <c r="N648"/>
      <c r="O648"/>
      <c r="P648"/>
      <c r="Q648"/>
      <c r="R648"/>
    </row>
    <row r="649" spans="1:18" x14ac:dyDescent="0.25">
      <c r="A649" t="str">
        <f>IFERROR(VLOOKUP(B649&amp; "*",'SKU Maintenance'!D:H,5,0),"not found")</f>
        <v>2010020198220007</v>
      </c>
      <c r="B649">
        <v>40019099</v>
      </c>
      <c r="C649" t="s">
        <v>313</v>
      </c>
      <c r="D649"/>
      <c r="E649"/>
      <c r="F649" s="3">
        <v>44762</v>
      </c>
      <c r="G649" s="49">
        <v>1</v>
      </c>
      <c r="H649">
        <v>699.75</v>
      </c>
      <c r="I649" s="9" t="s">
        <v>6941</v>
      </c>
      <c r="J649"/>
      <c r="K649"/>
      <c r="L649"/>
      <c r="M649"/>
      <c r="N649"/>
      <c r="O649"/>
      <c r="P649"/>
      <c r="Q649"/>
      <c r="R649"/>
    </row>
    <row r="650" spans="1:18" x14ac:dyDescent="0.25">
      <c r="A650" t="str">
        <f>IFERROR(VLOOKUP(B650&amp; "*",'SKU Maintenance'!D:H,5,0),"not found")</f>
        <v>2010020198220007</v>
      </c>
      <c r="B650">
        <v>40019099</v>
      </c>
      <c r="C650" t="s">
        <v>313</v>
      </c>
      <c r="D650"/>
      <c r="E650"/>
      <c r="F650" s="3">
        <v>44769</v>
      </c>
      <c r="G650" s="49">
        <v>1</v>
      </c>
      <c r="H650">
        <v>699.75</v>
      </c>
      <c r="I650" s="9" t="s">
        <v>6941</v>
      </c>
      <c r="J650"/>
      <c r="K650"/>
      <c r="L650"/>
      <c r="M650"/>
      <c r="N650"/>
      <c r="O650"/>
      <c r="P650"/>
      <c r="Q650"/>
      <c r="R650"/>
    </row>
    <row r="651" spans="1:18" x14ac:dyDescent="0.25">
      <c r="A651" t="str">
        <f>IFERROR(VLOOKUP(B651&amp; "*",'SKU Maintenance'!D:H,5,0),"not found")</f>
        <v>2010020198220008</v>
      </c>
      <c r="B651">
        <v>40019100</v>
      </c>
      <c r="C651" t="s">
        <v>152</v>
      </c>
      <c r="D651"/>
      <c r="E651"/>
      <c r="F651" s="3">
        <v>44757</v>
      </c>
      <c r="G651" s="49">
        <v>2</v>
      </c>
      <c r="H651">
        <v>2999.5</v>
      </c>
      <c r="I651" s="9" t="s">
        <v>6939</v>
      </c>
      <c r="J651"/>
      <c r="K651"/>
      <c r="L651"/>
      <c r="M651"/>
      <c r="N651"/>
      <c r="O651"/>
      <c r="P651"/>
      <c r="Q651"/>
      <c r="R651"/>
    </row>
    <row r="652" spans="1:18" x14ac:dyDescent="0.25">
      <c r="A652" t="str">
        <f>IFERROR(VLOOKUP(B652&amp; "*",'SKU Maintenance'!D:H,5,0),"not found")</f>
        <v>2010020198220008</v>
      </c>
      <c r="B652">
        <v>40019100</v>
      </c>
      <c r="C652" t="s">
        <v>152</v>
      </c>
      <c r="D652"/>
      <c r="E652"/>
      <c r="F652" s="3">
        <v>44763</v>
      </c>
      <c r="G652" s="49">
        <v>1</v>
      </c>
      <c r="H652">
        <v>1499.75</v>
      </c>
      <c r="I652" s="9" t="s">
        <v>6941</v>
      </c>
      <c r="J652"/>
      <c r="K652"/>
      <c r="L652"/>
      <c r="M652"/>
      <c r="N652"/>
      <c r="O652"/>
      <c r="P652"/>
      <c r="Q652"/>
      <c r="R652"/>
    </row>
    <row r="653" spans="1:18" x14ac:dyDescent="0.25">
      <c r="A653" t="str">
        <f>IFERROR(VLOOKUP(B653&amp; "*",'SKU Maintenance'!D:H,5,0),"not found")</f>
        <v>2010020198030008</v>
      </c>
      <c r="B653">
        <v>40019101</v>
      </c>
      <c r="C653" t="s">
        <v>150</v>
      </c>
      <c r="D653"/>
      <c r="E653"/>
      <c r="F653" s="3">
        <v>44757</v>
      </c>
      <c r="G653" s="49">
        <v>2</v>
      </c>
      <c r="H653">
        <v>2999.5</v>
      </c>
      <c r="I653" s="9" t="s">
        <v>6939</v>
      </c>
      <c r="J653"/>
      <c r="K653"/>
      <c r="L653"/>
      <c r="M653"/>
      <c r="N653"/>
      <c r="O653"/>
      <c r="P653"/>
      <c r="Q653"/>
      <c r="R653"/>
    </row>
    <row r="654" spans="1:18" x14ac:dyDescent="0.25">
      <c r="A654" t="str">
        <f>IFERROR(VLOOKUP(B654&amp; "*",'SKU Maintenance'!D:H,5,0),"not found")</f>
        <v>2010020198030008</v>
      </c>
      <c r="B654">
        <v>40019101</v>
      </c>
      <c r="C654" t="s">
        <v>150</v>
      </c>
      <c r="D654"/>
      <c r="E654"/>
      <c r="F654" s="3">
        <v>44746</v>
      </c>
      <c r="G654" s="49">
        <v>2</v>
      </c>
      <c r="H654">
        <v>2999.5</v>
      </c>
      <c r="I654" s="9" t="s">
        <v>6945</v>
      </c>
      <c r="J654"/>
      <c r="K654"/>
      <c r="L654"/>
      <c r="M654"/>
      <c r="N654"/>
      <c r="O654"/>
      <c r="P654"/>
      <c r="Q654"/>
      <c r="R654"/>
    </row>
    <row r="655" spans="1:18" x14ac:dyDescent="0.25">
      <c r="A655" t="str">
        <f>IFERROR(VLOOKUP(B655&amp; "*",'SKU Maintenance'!D:H,5,0),"not found")</f>
        <v>2010020198040008</v>
      </c>
      <c r="B655">
        <v>40019102</v>
      </c>
      <c r="C655" t="s">
        <v>149</v>
      </c>
      <c r="D655"/>
      <c r="E655"/>
      <c r="F655" s="3">
        <v>44757</v>
      </c>
      <c r="G655" s="49">
        <v>2</v>
      </c>
      <c r="H655">
        <v>2999.5</v>
      </c>
      <c r="I655" s="9" t="s">
        <v>6939</v>
      </c>
      <c r="J655"/>
      <c r="K655"/>
      <c r="L655"/>
      <c r="M655"/>
      <c r="N655"/>
      <c r="O655"/>
      <c r="P655"/>
      <c r="Q655"/>
      <c r="R655"/>
    </row>
    <row r="656" spans="1:18" x14ac:dyDescent="0.25">
      <c r="A656" t="str">
        <f>IFERROR(VLOOKUP(B656&amp; "*",'SKU Maintenance'!D:H,5,0),"not found")</f>
        <v>2010020198040008</v>
      </c>
      <c r="B656">
        <v>40019102</v>
      </c>
      <c r="C656" t="s">
        <v>149</v>
      </c>
      <c r="D656"/>
      <c r="E656"/>
      <c r="F656" s="3">
        <v>44770</v>
      </c>
      <c r="G656" s="49">
        <v>1</v>
      </c>
      <c r="H656">
        <v>1499.75</v>
      </c>
      <c r="I656" s="9" t="s">
        <v>6945</v>
      </c>
      <c r="J656"/>
      <c r="K656"/>
      <c r="L656"/>
      <c r="M656"/>
      <c r="N656"/>
      <c r="O656"/>
      <c r="P656"/>
      <c r="Q656"/>
      <c r="R656"/>
    </row>
    <row r="657" spans="1:18" x14ac:dyDescent="0.25">
      <c r="A657" t="str">
        <f>IFERROR(VLOOKUP(B657&amp; "*",'SKU Maintenance'!D:H,5,0),"not found")</f>
        <v>2010020198030009</v>
      </c>
      <c r="B657">
        <v>40019104</v>
      </c>
      <c r="C657" t="s">
        <v>420</v>
      </c>
      <c r="D657"/>
      <c r="E657"/>
      <c r="F657" s="3">
        <v>44766</v>
      </c>
      <c r="G657" s="49">
        <v>1</v>
      </c>
      <c r="H657">
        <v>1299.75</v>
      </c>
      <c r="I657" s="9" t="s">
        <v>6943</v>
      </c>
      <c r="J657"/>
      <c r="K657"/>
      <c r="L657"/>
      <c r="M657"/>
      <c r="N657"/>
      <c r="O657"/>
      <c r="P657"/>
      <c r="Q657"/>
      <c r="R657"/>
    </row>
    <row r="658" spans="1:18" x14ac:dyDescent="0.25">
      <c r="A658" t="str">
        <f>IFERROR(VLOOKUP(B658&amp; "*",'SKU Maintenance'!D:H,5,0),"not found")</f>
        <v>2010020198040009</v>
      </c>
      <c r="B658">
        <v>40019105</v>
      </c>
      <c r="C658" t="s">
        <v>241</v>
      </c>
      <c r="D658"/>
      <c r="E658"/>
      <c r="F658" s="3">
        <v>44743</v>
      </c>
      <c r="G658" s="49">
        <v>2</v>
      </c>
      <c r="H658">
        <v>2599.5</v>
      </c>
      <c r="I658" s="9" t="s">
        <v>6941</v>
      </c>
      <c r="J658"/>
      <c r="K658"/>
      <c r="L658"/>
      <c r="M658"/>
      <c r="N658"/>
      <c r="O658"/>
      <c r="P658"/>
      <c r="Q658"/>
      <c r="R658"/>
    </row>
    <row r="659" spans="1:18" x14ac:dyDescent="0.25">
      <c r="A659" t="str">
        <f>IFERROR(VLOOKUP(B659&amp; "*",'SKU Maintenance'!D:H,5,0),"not found")</f>
        <v>2010030102181189</v>
      </c>
      <c r="B659">
        <v>40019106</v>
      </c>
      <c r="C659" t="s">
        <v>92</v>
      </c>
      <c r="D659"/>
      <c r="E659"/>
      <c r="F659" s="3">
        <v>44747</v>
      </c>
      <c r="G659" s="49">
        <v>1</v>
      </c>
      <c r="H659">
        <v>329.75</v>
      </c>
      <c r="I659" s="9" t="s">
        <v>6939</v>
      </c>
      <c r="J659"/>
      <c r="K659"/>
      <c r="L659"/>
      <c r="M659"/>
      <c r="N659"/>
      <c r="O659"/>
      <c r="P659"/>
      <c r="Q659"/>
      <c r="R659"/>
    </row>
    <row r="660" spans="1:18" x14ac:dyDescent="0.25">
      <c r="A660" t="str">
        <f>IFERROR(VLOOKUP(B660&amp; "*",'SKU Maintenance'!D:H,5,0),"not found")</f>
        <v>2010030102181189</v>
      </c>
      <c r="B660">
        <v>40019106</v>
      </c>
      <c r="C660" t="s">
        <v>92</v>
      </c>
      <c r="D660"/>
      <c r="E660"/>
      <c r="F660" s="3">
        <v>44761</v>
      </c>
      <c r="G660" s="49">
        <v>1</v>
      </c>
      <c r="H660">
        <v>329.75</v>
      </c>
      <c r="I660" s="9" t="s">
        <v>6941</v>
      </c>
      <c r="J660"/>
      <c r="K660"/>
      <c r="L660"/>
      <c r="M660"/>
      <c r="N660"/>
      <c r="O660"/>
      <c r="P660"/>
      <c r="Q660"/>
      <c r="R660"/>
    </row>
    <row r="661" spans="1:18" x14ac:dyDescent="0.25">
      <c r="A661" t="str">
        <f>IFERROR(VLOOKUP(B661&amp; "*",'SKU Maintenance'!D:H,5,0),"not found")</f>
        <v>2010030102161189</v>
      </c>
      <c r="B661">
        <v>40019107</v>
      </c>
      <c r="C661" t="s">
        <v>467</v>
      </c>
      <c r="D661"/>
      <c r="E661"/>
      <c r="F661" s="3">
        <v>44769</v>
      </c>
      <c r="G661" s="49">
        <v>1</v>
      </c>
      <c r="H661">
        <v>329.75</v>
      </c>
      <c r="I661" s="9" t="s">
        <v>6945</v>
      </c>
      <c r="J661"/>
      <c r="K661"/>
      <c r="L661"/>
      <c r="M661"/>
      <c r="N661"/>
      <c r="O661"/>
      <c r="P661"/>
      <c r="Q661"/>
      <c r="R661"/>
    </row>
    <row r="662" spans="1:18" x14ac:dyDescent="0.25">
      <c r="A662" t="str">
        <f>IFERROR(VLOOKUP(B662&amp; "*",'SKU Maintenance'!D:H,5,0),"not found")</f>
        <v>2010030102221189</v>
      </c>
      <c r="B662">
        <v>40019108</v>
      </c>
      <c r="C662" t="s">
        <v>344</v>
      </c>
      <c r="D662"/>
      <c r="E662"/>
      <c r="F662" s="3">
        <v>44770</v>
      </c>
      <c r="G662" s="49">
        <v>1</v>
      </c>
      <c r="H662">
        <v>329.75</v>
      </c>
      <c r="I662" s="9" t="s">
        <v>6941</v>
      </c>
      <c r="J662"/>
      <c r="K662"/>
      <c r="L662"/>
      <c r="M662"/>
      <c r="N662"/>
      <c r="O662"/>
      <c r="P662"/>
      <c r="Q662"/>
      <c r="R662"/>
    </row>
    <row r="663" spans="1:18" x14ac:dyDescent="0.25">
      <c r="A663" t="str">
        <f>IFERROR(VLOOKUP(B663&amp; "*",'SKU Maintenance'!D:H,5,0),"not found")</f>
        <v>2010030102221189</v>
      </c>
      <c r="B663">
        <v>40019108</v>
      </c>
      <c r="C663" t="s">
        <v>344</v>
      </c>
      <c r="D663"/>
      <c r="E663"/>
      <c r="F663" s="3">
        <v>44771</v>
      </c>
      <c r="G663" s="49">
        <v>1</v>
      </c>
      <c r="H663">
        <v>329.75</v>
      </c>
      <c r="I663" s="9" t="s">
        <v>6941</v>
      </c>
      <c r="J663"/>
      <c r="K663"/>
      <c r="L663"/>
      <c r="M663"/>
      <c r="N663"/>
      <c r="O663"/>
      <c r="P663"/>
      <c r="Q663"/>
      <c r="R663"/>
    </row>
    <row r="664" spans="1:18" x14ac:dyDescent="0.25">
      <c r="A664" t="str">
        <f>IFERROR(VLOOKUP(B664&amp; "*",'SKU Maintenance'!D:H,5,0),"not found")</f>
        <v>2010030102221189</v>
      </c>
      <c r="B664">
        <v>40019108</v>
      </c>
      <c r="C664" t="s">
        <v>344</v>
      </c>
      <c r="D664"/>
      <c r="E664"/>
      <c r="F664" s="3">
        <v>44772</v>
      </c>
      <c r="G664" s="49">
        <v>1</v>
      </c>
      <c r="H664">
        <v>329.75</v>
      </c>
      <c r="I664" s="9" t="s">
        <v>6941</v>
      </c>
      <c r="J664"/>
      <c r="K664"/>
      <c r="L664"/>
      <c r="M664"/>
      <c r="N664"/>
      <c r="O664"/>
      <c r="P664"/>
      <c r="Q664"/>
      <c r="R664"/>
    </row>
    <row r="665" spans="1:18" x14ac:dyDescent="0.25">
      <c r="A665" t="str">
        <f>IFERROR(VLOOKUP(B665&amp; "*",'SKU Maintenance'!D:H,5,0),"not found")</f>
        <v>2010030102181190</v>
      </c>
      <c r="B665">
        <v>40019109</v>
      </c>
      <c r="C665" t="s">
        <v>296</v>
      </c>
      <c r="D665"/>
      <c r="E665"/>
      <c r="F665" s="3">
        <v>44759</v>
      </c>
      <c r="G665" s="49">
        <v>1</v>
      </c>
      <c r="H665">
        <v>329.75</v>
      </c>
      <c r="I665" s="9" t="s">
        <v>6941</v>
      </c>
      <c r="J665"/>
      <c r="K665"/>
      <c r="L665"/>
      <c r="M665"/>
      <c r="N665"/>
      <c r="O665"/>
      <c r="P665"/>
      <c r="Q665"/>
      <c r="R665"/>
    </row>
    <row r="666" spans="1:18" x14ac:dyDescent="0.25">
      <c r="A666" t="str">
        <f>IFERROR(VLOOKUP(B666&amp; "*",'SKU Maintenance'!D:H,5,0),"not found")</f>
        <v>2010030102161190</v>
      </c>
      <c r="B666">
        <v>40019110</v>
      </c>
      <c r="C666" t="s">
        <v>444</v>
      </c>
      <c r="D666"/>
      <c r="E666"/>
      <c r="F666" s="3">
        <v>44757</v>
      </c>
      <c r="G666" s="49">
        <v>2</v>
      </c>
      <c r="H666">
        <v>659.5</v>
      </c>
      <c r="I666" s="9" t="s">
        <v>6945</v>
      </c>
      <c r="J666"/>
      <c r="K666"/>
      <c r="L666"/>
      <c r="M666"/>
      <c r="N666"/>
      <c r="O666"/>
      <c r="P666"/>
      <c r="Q666"/>
      <c r="R666"/>
    </row>
    <row r="667" spans="1:18" x14ac:dyDescent="0.25">
      <c r="A667" t="str">
        <f>IFERROR(VLOOKUP(B667&amp; "*",'SKU Maintenance'!D:H,5,0),"not found")</f>
        <v>2010030102221190</v>
      </c>
      <c r="B667">
        <v>40019111</v>
      </c>
      <c r="C667" t="s">
        <v>123</v>
      </c>
      <c r="D667"/>
      <c r="E667"/>
      <c r="F667" s="3">
        <v>44754</v>
      </c>
      <c r="G667" s="49">
        <v>1</v>
      </c>
      <c r="H667">
        <v>329.75</v>
      </c>
      <c r="I667" s="9" t="s">
        <v>6939</v>
      </c>
      <c r="J667"/>
      <c r="K667"/>
      <c r="L667"/>
      <c r="M667"/>
      <c r="N667"/>
      <c r="O667"/>
      <c r="P667"/>
      <c r="Q667"/>
      <c r="R667"/>
    </row>
    <row r="668" spans="1:18" x14ac:dyDescent="0.25">
      <c r="A668" t="str">
        <f>IFERROR(VLOOKUP(B668&amp; "*",'SKU Maintenance'!D:H,5,0),"not found")</f>
        <v>2010030102221190</v>
      </c>
      <c r="B668">
        <v>40019111</v>
      </c>
      <c r="C668" t="s">
        <v>123</v>
      </c>
      <c r="D668"/>
      <c r="E668"/>
      <c r="F668" s="3">
        <v>44763</v>
      </c>
      <c r="G668" s="49">
        <v>1</v>
      </c>
      <c r="H668">
        <v>329.75</v>
      </c>
      <c r="I668" s="9" t="s">
        <v>6941</v>
      </c>
      <c r="J668"/>
      <c r="K668"/>
      <c r="L668"/>
      <c r="M668"/>
      <c r="N668"/>
      <c r="O668"/>
      <c r="P668"/>
      <c r="Q668"/>
      <c r="R668"/>
    </row>
    <row r="669" spans="1:18" x14ac:dyDescent="0.25">
      <c r="A669" t="str">
        <f>IFERROR(VLOOKUP(B669&amp; "*",'SKU Maintenance'!D:H,5,0),"not found")</f>
        <v>2010030102221190</v>
      </c>
      <c r="B669">
        <v>40019111</v>
      </c>
      <c r="C669" t="s">
        <v>123</v>
      </c>
      <c r="D669"/>
      <c r="E669"/>
      <c r="F669" s="3">
        <v>44757</v>
      </c>
      <c r="G669" s="49">
        <v>1</v>
      </c>
      <c r="H669">
        <v>329.75</v>
      </c>
      <c r="I669" s="9" t="s">
        <v>6945</v>
      </c>
      <c r="J669"/>
      <c r="K669"/>
      <c r="L669"/>
      <c r="M669"/>
      <c r="N669"/>
      <c r="O669"/>
      <c r="P669"/>
      <c r="Q669"/>
      <c r="R669"/>
    </row>
    <row r="670" spans="1:18" x14ac:dyDescent="0.25">
      <c r="A670" t="str">
        <f>IFERROR(VLOOKUP(B670&amp; "*",'SKU Maintenance'!D:H,5,0),"not found")</f>
        <v>2010030498263402</v>
      </c>
      <c r="B670">
        <v>40019118</v>
      </c>
      <c r="C670" t="s">
        <v>412</v>
      </c>
      <c r="D670"/>
      <c r="E670"/>
      <c r="F670" s="3">
        <v>44764</v>
      </c>
      <c r="G670" s="49">
        <v>1</v>
      </c>
      <c r="H670">
        <v>599.75</v>
      </c>
      <c r="I670" s="9" t="s">
        <v>6943</v>
      </c>
      <c r="J670"/>
      <c r="K670"/>
      <c r="L670"/>
      <c r="M670"/>
      <c r="N670"/>
      <c r="O670"/>
      <c r="P670"/>
      <c r="Q670"/>
      <c r="R670"/>
    </row>
    <row r="671" spans="1:18" x14ac:dyDescent="0.25">
      <c r="A671" t="str">
        <f>IFERROR(VLOOKUP(B671&amp; "*",'SKU Maintenance'!D:H,5,0),"not found")</f>
        <v>2010030498263402</v>
      </c>
      <c r="B671">
        <v>40019118</v>
      </c>
      <c r="C671" t="s">
        <v>412</v>
      </c>
      <c r="D671"/>
      <c r="E671"/>
      <c r="F671" s="3">
        <v>44769</v>
      </c>
      <c r="G671" s="49">
        <v>1</v>
      </c>
      <c r="H671">
        <v>599.75</v>
      </c>
      <c r="I671" s="9" t="s">
        <v>6943</v>
      </c>
      <c r="J671"/>
      <c r="K671"/>
      <c r="L671"/>
      <c r="M671"/>
      <c r="N671"/>
      <c r="O671"/>
      <c r="P671"/>
      <c r="Q671"/>
      <c r="R671"/>
    </row>
    <row r="672" spans="1:18" x14ac:dyDescent="0.25">
      <c r="A672" t="str">
        <f>IFERROR(VLOOKUP(B672&amp; "*",'SKU Maintenance'!D:H,5,0),"not found")</f>
        <v>2010030403183440</v>
      </c>
      <c r="B672">
        <v>40019122</v>
      </c>
      <c r="C672" t="s">
        <v>248</v>
      </c>
      <c r="D672"/>
      <c r="E672"/>
      <c r="F672" s="3">
        <v>44745</v>
      </c>
      <c r="G672" s="49">
        <v>1</v>
      </c>
      <c r="H672">
        <v>500</v>
      </c>
      <c r="I672" s="9" t="s">
        <v>6941</v>
      </c>
      <c r="J672"/>
      <c r="K672"/>
      <c r="L672"/>
      <c r="M672"/>
      <c r="N672"/>
      <c r="O672"/>
      <c r="P672"/>
      <c r="Q672"/>
      <c r="R672"/>
    </row>
    <row r="673" spans="1:18" x14ac:dyDescent="0.25">
      <c r="A673" t="str">
        <f>IFERROR(VLOOKUP(B673&amp; "*",'SKU Maintenance'!D:H,5,0),"not found")</f>
        <v>2010030403183440</v>
      </c>
      <c r="B673">
        <v>40019122</v>
      </c>
      <c r="C673" t="s">
        <v>248</v>
      </c>
      <c r="D673"/>
      <c r="E673"/>
      <c r="F673" s="3">
        <v>44747</v>
      </c>
      <c r="G673" s="49">
        <v>1</v>
      </c>
      <c r="H673">
        <v>500</v>
      </c>
      <c r="I673" s="9" t="s">
        <v>6941</v>
      </c>
      <c r="J673"/>
      <c r="K673"/>
      <c r="L673"/>
      <c r="M673"/>
      <c r="N673"/>
      <c r="O673"/>
      <c r="P673"/>
      <c r="Q673"/>
      <c r="R673"/>
    </row>
    <row r="674" spans="1:18" x14ac:dyDescent="0.25">
      <c r="A674" t="str">
        <f>IFERROR(VLOOKUP(B674&amp; "*",'SKU Maintenance'!D:H,5,0),"not found")</f>
        <v>2010030403183440</v>
      </c>
      <c r="B674">
        <v>40019122</v>
      </c>
      <c r="C674" t="s">
        <v>248</v>
      </c>
      <c r="D674"/>
      <c r="E674"/>
      <c r="F674" s="3">
        <v>44749</v>
      </c>
      <c r="G674" s="49">
        <v>1</v>
      </c>
      <c r="H674">
        <v>500</v>
      </c>
      <c r="I674" s="9" t="s">
        <v>6941</v>
      </c>
      <c r="J674"/>
      <c r="K674"/>
      <c r="L674"/>
      <c r="M674"/>
      <c r="N674"/>
      <c r="O674"/>
      <c r="P674"/>
      <c r="Q674"/>
      <c r="R674"/>
    </row>
    <row r="675" spans="1:18" x14ac:dyDescent="0.25">
      <c r="A675" t="str">
        <f>IFERROR(VLOOKUP(B675&amp; "*",'SKU Maintenance'!D:H,5,0),"not found")</f>
        <v>2010030403183440</v>
      </c>
      <c r="B675">
        <v>40019122</v>
      </c>
      <c r="C675" t="s">
        <v>248</v>
      </c>
      <c r="D675"/>
      <c r="E675"/>
      <c r="F675" s="3">
        <v>44757</v>
      </c>
      <c r="G675" s="49">
        <v>1</v>
      </c>
      <c r="H675">
        <v>500</v>
      </c>
      <c r="I675" s="9" t="s">
        <v>6941</v>
      </c>
      <c r="J675"/>
      <c r="K675"/>
      <c r="L675"/>
      <c r="M675"/>
      <c r="N675"/>
      <c r="O675"/>
      <c r="P675"/>
      <c r="Q675"/>
      <c r="R675"/>
    </row>
    <row r="676" spans="1:18" x14ac:dyDescent="0.25">
      <c r="A676" t="str">
        <f>IFERROR(VLOOKUP(B676&amp; "*",'SKU Maintenance'!D:H,5,0),"not found")</f>
        <v>2010030402163445</v>
      </c>
      <c r="B676">
        <v>40019133</v>
      </c>
      <c r="C676" t="s">
        <v>238</v>
      </c>
      <c r="D676"/>
      <c r="E676"/>
      <c r="F676" s="3">
        <v>44743</v>
      </c>
      <c r="G676" s="49">
        <v>1</v>
      </c>
      <c r="H676">
        <v>249.75</v>
      </c>
      <c r="I676" s="9" t="s">
        <v>6941</v>
      </c>
      <c r="J676"/>
      <c r="K676"/>
      <c r="L676"/>
      <c r="M676"/>
      <c r="N676"/>
      <c r="O676"/>
      <c r="P676"/>
      <c r="Q676"/>
      <c r="R676"/>
    </row>
    <row r="677" spans="1:18" x14ac:dyDescent="0.25">
      <c r="A677" t="str">
        <f>IFERROR(VLOOKUP(B677&amp; "*",'SKU Maintenance'!D:H,5,0),"not found")</f>
        <v>2010030402263445</v>
      </c>
      <c r="B677">
        <v>40019134</v>
      </c>
      <c r="C677" t="s">
        <v>124</v>
      </c>
      <c r="D677"/>
      <c r="E677"/>
      <c r="F677" s="3">
        <v>44755</v>
      </c>
      <c r="G677" s="49">
        <v>1</v>
      </c>
      <c r="H677">
        <v>249.75</v>
      </c>
      <c r="I677" s="9" t="s">
        <v>6939</v>
      </c>
      <c r="J677"/>
      <c r="K677"/>
      <c r="L677"/>
      <c r="M677"/>
      <c r="N677"/>
      <c r="O677"/>
      <c r="P677"/>
      <c r="Q677"/>
      <c r="R677"/>
    </row>
    <row r="678" spans="1:18" x14ac:dyDescent="0.25">
      <c r="A678" t="str">
        <f>IFERROR(VLOOKUP(B678&amp; "*",'SKU Maintenance'!D:H,5,0),"not found")</f>
        <v>2010030402263445</v>
      </c>
      <c r="B678">
        <v>40019134</v>
      </c>
      <c r="C678" t="s">
        <v>124</v>
      </c>
      <c r="D678"/>
      <c r="E678"/>
      <c r="F678" s="3">
        <v>44772</v>
      </c>
      <c r="G678" s="49">
        <v>1</v>
      </c>
      <c r="H678">
        <v>249.75</v>
      </c>
      <c r="I678" s="9" t="s">
        <v>6939</v>
      </c>
      <c r="J678"/>
      <c r="K678"/>
      <c r="L678"/>
      <c r="M678"/>
      <c r="N678"/>
      <c r="O678"/>
      <c r="P678"/>
      <c r="Q678"/>
      <c r="R678"/>
    </row>
    <row r="679" spans="1:18" x14ac:dyDescent="0.25">
      <c r="A679" t="str">
        <f>IFERROR(VLOOKUP(B679&amp; "*",'SKU Maintenance'!D:H,5,0),"not found")</f>
        <v>2010030402263445</v>
      </c>
      <c r="B679">
        <v>40019134</v>
      </c>
      <c r="C679" t="s">
        <v>124</v>
      </c>
      <c r="D679"/>
      <c r="E679"/>
      <c r="F679" s="3">
        <v>44747</v>
      </c>
      <c r="G679" s="49">
        <v>1</v>
      </c>
      <c r="H679">
        <v>249.75</v>
      </c>
      <c r="I679" s="9" t="s">
        <v>6941</v>
      </c>
      <c r="J679"/>
      <c r="K679"/>
      <c r="L679"/>
      <c r="M679"/>
      <c r="N679"/>
      <c r="O679"/>
      <c r="P679"/>
      <c r="Q679"/>
      <c r="R679"/>
    </row>
    <row r="680" spans="1:18" x14ac:dyDescent="0.25">
      <c r="A680" t="str">
        <f>IFERROR(VLOOKUP(B680&amp; "*",'SKU Maintenance'!D:H,5,0),"not found")</f>
        <v>2010030402183445</v>
      </c>
      <c r="B680">
        <v>40019135</v>
      </c>
      <c r="C680" t="s">
        <v>128</v>
      </c>
      <c r="D680"/>
      <c r="E680"/>
      <c r="F680" s="3">
        <v>44755</v>
      </c>
      <c r="G680" s="49">
        <v>2</v>
      </c>
      <c r="H680">
        <v>499.5</v>
      </c>
      <c r="I680" s="9" t="s">
        <v>6939</v>
      </c>
      <c r="J680"/>
      <c r="K680"/>
      <c r="L680"/>
      <c r="M680"/>
      <c r="N680"/>
      <c r="O680"/>
      <c r="P680"/>
      <c r="Q680"/>
      <c r="R680"/>
    </row>
    <row r="681" spans="1:18" x14ac:dyDescent="0.25">
      <c r="A681" t="str">
        <f>IFERROR(VLOOKUP(B681&amp; "*",'SKU Maintenance'!D:H,5,0),"not found")</f>
        <v>2010030402183445</v>
      </c>
      <c r="B681">
        <v>40019135</v>
      </c>
      <c r="C681" t="s">
        <v>128</v>
      </c>
      <c r="D681"/>
      <c r="E681"/>
      <c r="F681" s="3">
        <v>44765</v>
      </c>
      <c r="G681" s="49">
        <v>1</v>
      </c>
      <c r="H681">
        <v>249.75</v>
      </c>
      <c r="I681" s="9" t="s">
        <v>6939</v>
      </c>
      <c r="J681"/>
      <c r="K681"/>
      <c r="L681"/>
      <c r="M681"/>
      <c r="N681"/>
      <c r="O681"/>
      <c r="P681"/>
      <c r="Q681"/>
      <c r="R681"/>
    </row>
    <row r="682" spans="1:18" x14ac:dyDescent="0.25">
      <c r="A682" t="str">
        <f>IFERROR(VLOOKUP(B682&amp; "*",'SKU Maintenance'!D:H,5,0),"not found")</f>
        <v>2010030402183445</v>
      </c>
      <c r="B682">
        <v>40019135</v>
      </c>
      <c r="C682" t="s">
        <v>128</v>
      </c>
      <c r="D682"/>
      <c r="E682"/>
      <c r="F682" s="3">
        <v>44743</v>
      </c>
      <c r="G682" s="49">
        <v>1</v>
      </c>
      <c r="H682">
        <v>249.75</v>
      </c>
      <c r="I682" s="9" t="s">
        <v>6941</v>
      </c>
      <c r="J682"/>
      <c r="K682"/>
      <c r="L682"/>
      <c r="M682"/>
      <c r="N682"/>
      <c r="O682"/>
      <c r="P682"/>
      <c r="Q682"/>
      <c r="R682"/>
    </row>
    <row r="683" spans="1:18" x14ac:dyDescent="0.25">
      <c r="A683" t="str">
        <f>IFERROR(VLOOKUP(B683&amp; "*",'SKU Maintenance'!D:H,5,0),"not found")</f>
        <v>2010030402223446</v>
      </c>
      <c r="B683">
        <v>40019136</v>
      </c>
      <c r="C683" t="s">
        <v>260</v>
      </c>
      <c r="D683"/>
      <c r="E683"/>
      <c r="F683" s="3">
        <v>44747</v>
      </c>
      <c r="G683" s="49">
        <v>1</v>
      </c>
      <c r="H683">
        <v>249.75</v>
      </c>
      <c r="I683" s="9" t="s">
        <v>6941</v>
      </c>
      <c r="J683"/>
      <c r="K683"/>
      <c r="L683"/>
      <c r="M683"/>
      <c r="N683"/>
      <c r="O683"/>
      <c r="P683"/>
      <c r="Q683"/>
      <c r="R683"/>
    </row>
    <row r="684" spans="1:18" x14ac:dyDescent="0.25">
      <c r="A684" t="str">
        <f>IFERROR(VLOOKUP(B684&amp; "*",'SKU Maintenance'!D:H,5,0),"not found")</f>
        <v>2010030402223446</v>
      </c>
      <c r="B684">
        <v>40019136</v>
      </c>
      <c r="C684" t="s">
        <v>260</v>
      </c>
      <c r="D684"/>
      <c r="E684"/>
      <c r="F684" s="3">
        <v>44748</v>
      </c>
      <c r="G684" s="49">
        <v>1</v>
      </c>
      <c r="H684">
        <v>249.75</v>
      </c>
      <c r="I684" s="9" t="s">
        <v>6941</v>
      </c>
      <c r="J684"/>
      <c r="K684"/>
      <c r="L684"/>
      <c r="M684"/>
      <c r="N684"/>
      <c r="O684"/>
      <c r="P684"/>
      <c r="Q684"/>
      <c r="R684"/>
    </row>
    <row r="685" spans="1:18" x14ac:dyDescent="0.25">
      <c r="A685" t="str">
        <f>IFERROR(VLOOKUP(B685&amp; "*",'SKU Maintenance'!D:H,5,0),"not found")</f>
        <v>2010030402223446</v>
      </c>
      <c r="B685">
        <v>40019136</v>
      </c>
      <c r="C685" t="s">
        <v>260</v>
      </c>
      <c r="D685"/>
      <c r="E685"/>
      <c r="F685" s="3">
        <v>44753</v>
      </c>
      <c r="G685" s="49">
        <v>1</v>
      </c>
      <c r="H685">
        <v>249.75</v>
      </c>
      <c r="I685" s="9" t="s">
        <v>6941</v>
      </c>
      <c r="J685"/>
      <c r="K685"/>
      <c r="L685"/>
      <c r="M685"/>
      <c r="N685"/>
      <c r="O685"/>
      <c r="P685"/>
      <c r="Q685"/>
      <c r="R685"/>
    </row>
    <row r="686" spans="1:18" x14ac:dyDescent="0.25">
      <c r="A686" t="str">
        <f>IFERROR(VLOOKUP(B686&amp; "*",'SKU Maintenance'!D:H,5,0),"not found")</f>
        <v>2010030402223446</v>
      </c>
      <c r="B686">
        <v>40019136</v>
      </c>
      <c r="C686" t="s">
        <v>260</v>
      </c>
      <c r="D686"/>
      <c r="E686"/>
      <c r="F686" s="3">
        <v>44754</v>
      </c>
      <c r="G686" s="49">
        <v>1</v>
      </c>
      <c r="H686">
        <v>249.75</v>
      </c>
      <c r="I686" s="9" t="s">
        <v>6941</v>
      </c>
      <c r="J686"/>
      <c r="K686"/>
      <c r="L686"/>
      <c r="M686"/>
      <c r="N686"/>
      <c r="O686"/>
      <c r="P686"/>
      <c r="Q686"/>
      <c r="R686"/>
    </row>
    <row r="687" spans="1:18" x14ac:dyDescent="0.25">
      <c r="A687" t="str">
        <f>IFERROR(VLOOKUP(B687&amp; "*",'SKU Maintenance'!D:H,5,0),"not found")</f>
        <v>2010030402223446</v>
      </c>
      <c r="B687">
        <v>40019136</v>
      </c>
      <c r="C687" t="s">
        <v>260</v>
      </c>
      <c r="D687"/>
      <c r="E687"/>
      <c r="F687" s="3">
        <v>44755</v>
      </c>
      <c r="G687" s="49">
        <v>2</v>
      </c>
      <c r="H687">
        <v>499.5</v>
      </c>
      <c r="I687" s="9" t="s">
        <v>6941</v>
      </c>
      <c r="J687"/>
      <c r="K687"/>
      <c r="L687"/>
      <c r="M687"/>
      <c r="N687"/>
      <c r="O687"/>
      <c r="P687"/>
      <c r="Q687"/>
      <c r="R687"/>
    </row>
    <row r="688" spans="1:18" x14ac:dyDescent="0.25">
      <c r="A688" t="str">
        <f>IFERROR(VLOOKUP(B688&amp; "*",'SKU Maintenance'!D:H,5,0),"not found")</f>
        <v>2010030402223446</v>
      </c>
      <c r="B688">
        <v>40019136</v>
      </c>
      <c r="C688" t="s">
        <v>260</v>
      </c>
      <c r="D688"/>
      <c r="E688"/>
      <c r="F688" s="3">
        <v>44764</v>
      </c>
      <c r="G688" s="49">
        <v>1</v>
      </c>
      <c r="H688">
        <v>249.75</v>
      </c>
      <c r="I688" s="9" t="s">
        <v>6941</v>
      </c>
      <c r="J688"/>
      <c r="K688"/>
      <c r="L688"/>
      <c r="M688"/>
      <c r="N688"/>
      <c r="O688"/>
      <c r="P688"/>
      <c r="Q688"/>
      <c r="R688"/>
    </row>
    <row r="689" spans="1:18" x14ac:dyDescent="0.25">
      <c r="A689" t="str">
        <f>IFERROR(VLOOKUP(B689&amp; "*",'SKU Maintenance'!D:H,5,0),"not found")</f>
        <v>2010030402173446</v>
      </c>
      <c r="B689">
        <v>40019137</v>
      </c>
      <c r="C689" t="s">
        <v>107</v>
      </c>
      <c r="D689"/>
      <c r="E689"/>
      <c r="F689" s="3">
        <v>44752</v>
      </c>
      <c r="G689" s="49">
        <v>1</v>
      </c>
      <c r="H689">
        <v>249.75</v>
      </c>
      <c r="I689" s="9" t="s">
        <v>6939</v>
      </c>
      <c r="J689"/>
      <c r="K689"/>
      <c r="L689"/>
      <c r="M689"/>
      <c r="N689"/>
      <c r="O689"/>
      <c r="P689"/>
      <c r="Q689"/>
      <c r="R689"/>
    </row>
    <row r="690" spans="1:18" x14ac:dyDescent="0.25">
      <c r="A690" t="str">
        <f>IFERROR(VLOOKUP(B690&amp; "*",'SKU Maintenance'!D:H,5,0),"not found")</f>
        <v>2010030402183446</v>
      </c>
      <c r="B690">
        <v>40019138</v>
      </c>
      <c r="C690" t="s">
        <v>162</v>
      </c>
      <c r="D690"/>
      <c r="E690"/>
      <c r="F690" s="3">
        <v>44758</v>
      </c>
      <c r="G690" s="49">
        <v>1</v>
      </c>
      <c r="H690">
        <v>249.75</v>
      </c>
      <c r="I690" s="9" t="s">
        <v>6939</v>
      </c>
      <c r="J690"/>
      <c r="K690"/>
      <c r="L690"/>
      <c r="M690"/>
      <c r="N690"/>
      <c r="O690"/>
      <c r="P690"/>
      <c r="Q690"/>
      <c r="R690"/>
    </row>
    <row r="691" spans="1:18" x14ac:dyDescent="0.25">
      <c r="A691" t="str">
        <f>IFERROR(VLOOKUP(B691&amp; "*",'SKU Maintenance'!D:H,5,0),"not found")</f>
        <v>2010030402183446</v>
      </c>
      <c r="B691">
        <v>40019138</v>
      </c>
      <c r="C691" t="s">
        <v>162</v>
      </c>
      <c r="D691"/>
      <c r="E691"/>
      <c r="F691" s="3">
        <v>44773</v>
      </c>
      <c r="G691" s="49">
        <v>1</v>
      </c>
      <c r="H691">
        <v>249.75</v>
      </c>
      <c r="I691" s="9" t="s">
        <v>6939</v>
      </c>
      <c r="J691"/>
      <c r="K691"/>
      <c r="L691"/>
      <c r="M691"/>
      <c r="N691"/>
      <c r="O691"/>
      <c r="P691"/>
      <c r="Q691"/>
      <c r="R691"/>
    </row>
    <row r="692" spans="1:18" x14ac:dyDescent="0.25">
      <c r="A692" t="str">
        <f>IFERROR(VLOOKUP(B692&amp; "*",'SKU Maintenance'!D:H,5,0),"not found")</f>
        <v>2010030403263447</v>
      </c>
      <c r="B692">
        <v>40019140</v>
      </c>
      <c r="C692" t="s">
        <v>285</v>
      </c>
      <c r="D692"/>
      <c r="E692"/>
      <c r="F692" s="3">
        <v>44756</v>
      </c>
      <c r="G692" s="49">
        <v>1</v>
      </c>
      <c r="H692">
        <v>499.75</v>
      </c>
      <c r="I692" s="9" t="s">
        <v>6941</v>
      </c>
      <c r="J692"/>
      <c r="K692"/>
      <c r="L692"/>
      <c r="M692"/>
      <c r="N692"/>
      <c r="O692"/>
      <c r="P692"/>
      <c r="Q692"/>
      <c r="R692"/>
    </row>
    <row r="693" spans="1:18" x14ac:dyDescent="0.25">
      <c r="A693" t="str">
        <f>IFERROR(VLOOKUP(B693&amp; "*",'SKU Maintenance'!D:H,5,0),"not found")</f>
        <v>2010030403263447</v>
      </c>
      <c r="B693">
        <v>40019140</v>
      </c>
      <c r="C693" t="s">
        <v>285</v>
      </c>
      <c r="D693"/>
      <c r="E693"/>
      <c r="F693" s="3">
        <v>44759</v>
      </c>
      <c r="G693" s="49">
        <v>1</v>
      </c>
      <c r="H693">
        <v>499.75</v>
      </c>
      <c r="I693" s="9" t="s">
        <v>6941</v>
      </c>
      <c r="J693"/>
      <c r="K693"/>
      <c r="L693"/>
      <c r="M693"/>
      <c r="N693"/>
      <c r="O693"/>
      <c r="P693"/>
      <c r="Q693"/>
      <c r="R693"/>
    </row>
    <row r="694" spans="1:18" x14ac:dyDescent="0.25">
      <c r="A694" t="str">
        <f>IFERROR(VLOOKUP(B694&amp; "*",'SKU Maintenance'!D:H,5,0),"not found")</f>
        <v>2010030403263447</v>
      </c>
      <c r="B694">
        <v>40019140</v>
      </c>
      <c r="C694" t="s">
        <v>285</v>
      </c>
      <c r="D694"/>
      <c r="E694"/>
      <c r="F694" s="3">
        <v>44760</v>
      </c>
      <c r="G694" s="49">
        <v>1</v>
      </c>
      <c r="H694">
        <v>499.75</v>
      </c>
      <c r="I694" s="9" t="s">
        <v>6941</v>
      </c>
      <c r="J694"/>
      <c r="K694"/>
      <c r="L694"/>
      <c r="M694"/>
      <c r="N694"/>
      <c r="O694"/>
      <c r="P694"/>
      <c r="Q694"/>
      <c r="R694"/>
    </row>
    <row r="695" spans="1:18" x14ac:dyDescent="0.25">
      <c r="A695" t="str">
        <f>IFERROR(VLOOKUP(B695&amp; "*",'SKU Maintenance'!D:H,5,0),"not found")</f>
        <v>2010030403263447</v>
      </c>
      <c r="B695">
        <v>40019140</v>
      </c>
      <c r="C695" t="s">
        <v>285</v>
      </c>
      <c r="D695"/>
      <c r="E695"/>
      <c r="F695" s="3">
        <v>44756</v>
      </c>
      <c r="G695" s="49">
        <v>1</v>
      </c>
      <c r="H695">
        <v>499.75</v>
      </c>
      <c r="I695" s="9" t="s">
        <v>6943</v>
      </c>
      <c r="J695"/>
      <c r="K695"/>
      <c r="L695"/>
      <c r="M695"/>
      <c r="N695"/>
      <c r="O695"/>
      <c r="P695"/>
      <c r="Q695"/>
      <c r="R695"/>
    </row>
    <row r="696" spans="1:18" x14ac:dyDescent="0.25">
      <c r="A696" t="str">
        <f>IFERROR(VLOOKUP(B696&amp; "*",'SKU Maintenance'!D:H,5,0),"not found")</f>
        <v>2010030403263447</v>
      </c>
      <c r="B696">
        <v>40019140</v>
      </c>
      <c r="C696" t="s">
        <v>285</v>
      </c>
      <c r="D696"/>
      <c r="E696"/>
      <c r="F696" s="3">
        <v>44766</v>
      </c>
      <c r="G696" s="49">
        <v>1</v>
      </c>
      <c r="H696">
        <v>499.75</v>
      </c>
      <c r="I696" s="9" t="s">
        <v>6943</v>
      </c>
      <c r="J696"/>
      <c r="K696"/>
      <c r="L696"/>
      <c r="M696"/>
      <c r="N696"/>
      <c r="O696"/>
      <c r="P696"/>
      <c r="Q696"/>
      <c r="R696"/>
    </row>
    <row r="697" spans="1:18" x14ac:dyDescent="0.25">
      <c r="A697" t="str">
        <f>IFERROR(VLOOKUP(B697&amp; "*",'SKU Maintenance'!D:H,5,0),"not found")</f>
        <v>2010030403263447</v>
      </c>
      <c r="B697">
        <v>40019140</v>
      </c>
      <c r="C697" t="s">
        <v>285</v>
      </c>
      <c r="D697"/>
      <c r="E697"/>
      <c r="F697" s="3">
        <v>44773</v>
      </c>
      <c r="G697" s="49">
        <v>1</v>
      </c>
      <c r="H697">
        <v>499.75</v>
      </c>
      <c r="I697" s="9" t="s">
        <v>6943</v>
      </c>
      <c r="J697"/>
      <c r="K697"/>
      <c r="L697"/>
      <c r="M697"/>
      <c r="N697"/>
      <c r="O697"/>
      <c r="P697"/>
      <c r="Q697"/>
      <c r="R697"/>
    </row>
    <row r="698" spans="1:18" x14ac:dyDescent="0.25">
      <c r="A698" t="str">
        <f>IFERROR(VLOOKUP(B698&amp; "*",'SKU Maintenance'!D:H,5,0),"not found")</f>
        <v>2010030403183448</v>
      </c>
      <c r="B698">
        <v>40019141</v>
      </c>
      <c r="C698" t="s">
        <v>272</v>
      </c>
      <c r="D698"/>
      <c r="E698"/>
      <c r="F698" s="3">
        <v>44750</v>
      </c>
      <c r="G698" s="49">
        <v>1</v>
      </c>
      <c r="H698">
        <v>499.75</v>
      </c>
      <c r="I698" s="9" t="s">
        <v>6941</v>
      </c>
      <c r="J698"/>
      <c r="K698"/>
      <c r="L698"/>
      <c r="M698"/>
      <c r="N698"/>
      <c r="O698"/>
      <c r="P698"/>
      <c r="Q698"/>
      <c r="R698"/>
    </row>
    <row r="699" spans="1:18" x14ac:dyDescent="0.25">
      <c r="A699" t="str">
        <f>IFERROR(VLOOKUP(B699&amp; "*",'SKU Maintenance'!D:H,5,0),"not found")</f>
        <v>2010030403183448</v>
      </c>
      <c r="B699">
        <v>40019141</v>
      </c>
      <c r="C699" t="s">
        <v>272</v>
      </c>
      <c r="D699"/>
      <c r="E699"/>
      <c r="F699" s="3">
        <v>44755</v>
      </c>
      <c r="G699" s="49">
        <v>1</v>
      </c>
      <c r="H699">
        <v>499.75</v>
      </c>
      <c r="I699" s="9" t="s">
        <v>6943</v>
      </c>
      <c r="J699"/>
      <c r="K699"/>
      <c r="L699"/>
      <c r="M699"/>
      <c r="N699"/>
      <c r="O699"/>
      <c r="P699"/>
      <c r="Q699"/>
      <c r="R699"/>
    </row>
    <row r="700" spans="1:18" x14ac:dyDescent="0.25">
      <c r="A700" t="str">
        <f>IFERROR(VLOOKUP(B700&amp; "*",'SKU Maintenance'!D:H,5,0),"not found")</f>
        <v>2010030403183448</v>
      </c>
      <c r="B700">
        <v>40019141</v>
      </c>
      <c r="C700" t="s">
        <v>272</v>
      </c>
      <c r="D700"/>
      <c r="E700"/>
      <c r="F700" s="3">
        <v>44756</v>
      </c>
      <c r="G700" s="49">
        <v>1</v>
      </c>
      <c r="H700">
        <v>499.75</v>
      </c>
      <c r="I700" s="9" t="s">
        <v>6943</v>
      </c>
      <c r="J700"/>
      <c r="K700"/>
      <c r="L700"/>
      <c r="M700"/>
      <c r="N700"/>
      <c r="O700"/>
      <c r="P700"/>
      <c r="Q700"/>
      <c r="R700"/>
    </row>
    <row r="701" spans="1:18" x14ac:dyDescent="0.25">
      <c r="A701" t="str">
        <f>IFERROR(VLOOKUP(B701&amp; "*",'SKU Maintenance'!D:H,5,0),"not found")</f>
        <v>2010030403183448</v>
      </c>
      <c r="B701">
        <v>40019141</v>
      </c>
      <c r="C701" t="s">
        <v>272</v>
      </c>
      <c r="D701"/>
      <c r="E701"/>
      <c r="F701" s="3">
        <v>44759</v>
      </c>
      <c r="G701" s="49">
        <v>1</v>
      </c>
      <c r="H701">
        <v>499.75</v>
      </c>
      <c r="I701" s="9" t="s">
        <v>6943</v>
      </c>
      <c r="J701"/>
      <c r="K701"/>
      <c r="L701"/>
      <c r="M701"/>
      <c r="N701"/>
      <c r="O701"/>
      <c r="P701"/>
      <c r="Q701"/>
      <c r="R701"/>
    </row>
    <row r="702" spans="1:18" x14ac:dyDescent="0.25">
      <c r="A702" t="str">
        <f>IFERROR(VLOOKUP(B702&amp; "*",'SKU Maintenance'!D:H,5,0),"not found")</f>
        <v>2010030403263448</v>
      </c>
      <c r="B702">
        <v>40019142</v>
      </c>
      <c r="C702" t="s">
        <v>284</v>
      </c>
      <c r="D702"/>
      <c r="E702"/>
      <c r="F702" s="3">
        <v>44756</v>
      </c>
      <c r="G702" s="49">
        <v>1</v>
      </c>
      <c r="H702">
        <v>499.75</v>
      </c>
      <c r="I702" s="9" t="s">
        <v>6941</v>
      </c>
      <c r="J702"/>
      <c r="K702"/>
      <c r="L702"/>
      <c r="M702"/>
      <c r="N702"/>
      <c r="O702"/>
      <c r="P702"/>
      <c r="Q702"/>
      <c r="R702"/>
    </row>
    <row r="703" spans="1:18" x14ac:dyDescent="0.25">
      <c r="A703" t="str">
        <f>IFERROR(VLOOKUP(B703&amp; "*",'SKU Maintenance'!D:H,5,0),"not found")</f>
        <v>2010030403263448</v>
      </c>
      <c r="B703">
        <v>40019142</v>
      </c>
      <c r="C703" t="s">
        <v>284</v>
      </c>
      <c r="D703"/>
      <c r="E703"/>
      <c r="F703" s="3">
        <v>44760</v>
      </c>
      <c r="G703" s="49">
        <v>1</v>
      </c>
      <c r="H703">
        <v>499.75</v>
      </c>
      <c r="I703" s="9" t="s">
        <v>6941</v>
      </c>
      <c r="J703"/>
      <c r="K703"/>
      <c r="L703"/>
      <c r="M703"/>
      <c r="N703"/>
      <c r="O703"/>
      <c r="P703"/>
      <c r="Q703"/>
      <c r="R703"/>
    </row>
    <row r="704" spans="1:18" x14ac:dyDescent="0.25">
      <c r="A704" t="str">
        <f>IFERROR(VLOOKUP(B704&amp; "*",'SKU Maintenance'!D:H,5,0),"not found")</f>
        <v>2010030403263448</v>
      </c>
      <c r="B704">
        <v>40019142</v>
      </c>
      <c r="C704" t="s">
        <v>284</v>
      </c>
      <c r="D704"/>
      <c r="E704"/>
      <c r="F704" s="3">
        <v>44761</v>
      </c>
      <c r="G704" s="49">
        <v>1</v>
      </c>
      <c r="H704">
        <v>499.75</v>
      </c>
      <c r="I704" s="9" t="s">
        <v>6941</v>
      </c>
      <c r="J704"/>
      <c r="K704"/>
      <c r="L704"/>
      <c r="M704"/>
      <c r="N704"/>
      <c r="O704"/>
      <c r="P704"/>
      <c r="Q704"/>
      <c r="R704"/>
    </row>
    <row r="705" spans="1:18" x14ac:dyDescent="0.25">
      <c r="A705" t="str">
        <f>IFERROR(VLOOKUP(B705&amp; "*",'SKU Maintenance'!D:H,5,0),"not found")</f>
        <v>2010030403263448</v>
      </c>
      <c r="B705">
        <v>40019142</v>
      </c>
      <c r="C705" t="s">
        <v>284</v>
      </c>
      <c r="D705"/>
      <c r="E705"/>
      <c r="F705" s="3">
        <v>44753</v>
      </c>
      <c r="G705" s="49">
        <v>1</v>
      </c>
      <c r="H705">
        <v>499.75</v>
      </c>
      <c r="I705" s="9" t="s">
        <v>6943</v>
      </c>
      <c r="J705"/>
      <c r="K705"/>
      <c r="L705"/>
      <c r="M705"/>
      <c r="N705"/>
      <c r="O705"/>
      <c r="P705"/>
      <c r="Q705"/>
      <c r="R705"/>
    </row>
    <row r="706" spans="1:18" x14ac:dyDescent="0.25">
      <c r="A706" t="str">
        <f>IFERROR(VLOOKUP(B706&amp; "*",'SKU Maintenance'!D:H,5,0),"not found")</f>
        <v>2010030403263448</v>
      </c>
      <c r="B706">
        <v>40019142</v>
      </c>
      <c r="C706" t="s">
        <v>284</v>
      </c>
      <c r="D706"/>
      <c r="E706"/>
      <c r="F706" s="3">
        <v>44767</v>
      </c>
      <c r="G706" s="49">
        <v>1</v>
      </c>
      <c r="H706">
        <v>499.75</v>
      </c>
      <c r="I706" s="9" t="s">
        <v>6943</v>
      </c>
      <c r="J706"/>
      <c r="K706"/>
      <c r="L706"/>
      <c r="M706"/>
      <c r="N706"/>
      <c r="O706"/>
      <c r="P706"/>
      <c r="Q706"/>
      <c r="R706"/>
    </row>
    <row r="707" spans="1:18" x14ac:dyDescent="0.25">
      <c r="A707" t="str">
        <f>IFERROR(VLOOKUP(B707&amp; "*",'SKU Maintenance'!D:H,5,0),"not found")</f>
        <v>2010030403263448</v>
      </c>
      <c r="B707">
        <v>40019142</v>
      </c>
      <c r="C707" t="s">
        <v>284</v>
      </c>
      <c r="D707"/>
      <c r="E707"/>
      <c r="F707" s="3">
        <v>44768</v>
      </c>
      <c r="G707" s="49">
        <v>1</v>
      </c>
      <c r="H707">
        <v>499.75</v>
      </c>
      <c r="I707" s="9" t="s">
        <v>6943</v>
      </c>
      <c r="J707"/>
      <c r="K707"/>
      <c r="L707"/>
      <c r="M707"/>
      <c r="N707"/>
      <c r="O707"/>
      <c r="P707"/>
      <c r="Q707"/>
      <c r="R707"/>
    </row>
    <row r="708" spans="1:18" x14ac:dyDescent="0.25">
      <c r="A708" t="str">
        <f>IFERROR(VLOOKUP(B708&amp; "*",'SKU Maintenance'!D:H,5,0),"not found")</f>
        <v>2010030403223449</v>
      </c>
      <c r="B708">
        <v>40019143</v>
      </c>
      <c r="C708" t="s">
        <v>168</v>
      </c>
      <c r="D708"/>
      <c r="E708"/>
      <c r="F708" s="3">
        <v>44760</v>
      </c>
      <c r="G708" s="49">
        <v>1</v>
      </c>
      <c r="H708">
        <v>449.75</v>
      </c>
      <c r="I708" s="9" t="s">
        <v>6939</v>
      </c>
      <c r="J708"/>
      <c r="K708"/>
      <c r="L708"/>
      <c r="M708"/>
      <c r="N708"/>
      <c r="O708"/>
      <c r="P708"/>
      <c r="Q708"/>
      <c r="R708"/>
    </row>
    <row r="709" spans="1:18" x14ac:dyDescent="0.25">
      <c r="A709" t="str">
        <f>IFERROR(VLOOKUP(B709&amp; "*",'SKU Maintenance'!D:H,5,0),"not found")</f>
        <v>2010030403223449</v>
      </c>
      <c r="B709">
        <v>40019143</v>
      </c>
      <c r="C709" t="s">
        <v>168</v>
      </c>
      <c r="D709"/>
      <c r="E709"/>
      <c r="F709" s="3">
        <v>44769</v>
      </c>
      <c r="G709" s="49">
        <v>2</v>
      </c>
      <c r="H709">
        <v>899.5</v>
      </c>
      <c r="I709" s="9" t="s">
        <v>6941</v>
      </c>
      <c r="J709"/>
      <c r="K709"/>
      <c r="L709"/>
      <c r="M709"/>
      <c r="N709"/>
      <c r="O709"/>
      <c r="P709"/>
      <c r="Q709"/>
      <c r="R709"/>
    </row>
    <row r="710" spans="1:18" x14ac:dyDescent="0.25">
      <c r="A710" t="str">
        <f>IFERROR(VLOOKUP(B710&amp; "*",'SKU Maintenance'!D:H,5,0),"not found")</f>
        <v>2010030403223449</v>
      </c>
      <c r="B710">
        <v>40019143</v>
      </c>
      <c r="C710" t="s">
        <v>168</v>
      </c>
      <c r="D710"/>
      <c r="E710"/>
      <c r="F710" s="3">
        <v>44760</v>
      </c>
      <c r="G710" s="49">
        <v>1</v>
      </c>
      <c r="H710">
        <v>449.75</v>
      </c>
      <c r="I710" s="9" t="s">
        <v>6945</v>
      </c>
      <c r="J710"/>
      <c r="K710"/>
      <c r="L710"/>
      <c r="M710"/>
      <c r="N710"/>
      <c r="O710"/>
      <c r="P710"/>
      <c r="Q710"/>
      <c r="R710"/>
    </row>
    <row r="711" spans="1:18" x14ac:dyDescent="0.25">
      <c r="A711" t="str">
        <f>IFERROR(VLOOKUP(B711&amp; "*",'SKU Maintenance'!D:H,5,0),"not found")</f>
        <v>2010030403223449</v>
      </c>
      <c r="B711">
        <v>40019143</v>
      </c>
      <c r="C711" t="s">
        <v>168</v>
      </c>
      <c r="D711"/>
      <c r="E711"/>
      <c r="F711" s="3">
        <v>44761</v>
      </c>
      <c r="G711" s="49">
        <v>1</v>
      </c>
      <c r="H711">
        <v>449.75</v>
      </c>
      <c r="I711" s="9" t="s">
        <v>6945</v>
      </c>
      <c r="J711"/>
      <c r="K711"/>
      <c r="L711"/>
      <c r="M711"/>
      <c r="N711"/>
      <c r="O711"/>
      <c r="P711"/>
      <c r="Q711"/>
      <c r="R711"/>
    </row>
    <row r="712" spans="1:18" x14ac:dyDescent="0.25">
      <c r="A712" t="str">
        <f>IFERROR(VLOOKUP(B712&amp; "*",'SKU Maintenance'!D:H,5,0),"not found")</f>
        <v>2010030403173449</v>
      </c>
      <c r="B712">
        <v>40019144</v>
      </c>
      <c r="C712" t="s">
        <v>244</v>
      </c>
      <c r="D712"/>
      <c r="E712"/>
      <c r="F712" s="3">
        <v>44744</v>
      </c>
      <c r="G712" s="49">
        <v>1</v>
      </c>
      <c r="H712">
        <v>449.75</v>
      </c>
      <c r="I712" s="9" t="s">
        <v>6941</v>
      </c>
      <c r="J712"/>
      <c r="K712"/>
      <c r="L712"/>
      <c r="M712"/>
      <c r="N712"/>
      <c r="O712"/>
      <c r="P712"/>
      <c r="Q712"/>
      <c r="R712"/>
    </row>
    <row r="713" spans="1:18" x14ac:dyDescent="0.25">
      <c r="A713" t="str">
        <f>IFERROR(VLOOKUP(B713&amp; "*",'SKU Maintenance'!D:H,5,0),"not found")</f>
        <v>2010030403173449</v>
      </c>
      <c r="B713">
        <v>40019144</v>
      </c>
      <c r="C713" t="s">
        <v>244</v>
      </c>
      <c r="D713"/>
      <c r="E713"/>
      <c r="F713" s="3">
        <v>44766</v>
      </c>
      <c r="G713" s="49">
        <v>1</v>
      </c>
      <c r="H713">
        <v>449.75</v>
      </c>
      <c r="I713" s="9" t="s">
        <v>6945</v>
      </c>
      <c r="J713"/>
      <c r="K713"/>
      <c r="L713"/>
      <c r="M713"/>
      <c r="N713"/>
      <c r="O713"/>
      <c r="P713"/>
      <c r="Q713"/>
      <c r="R713"/>
    </row>
    <row r="714" spans="1:18" x14ac:dyDescent="0.25">
      <c r="A714" t="str">
        <f>IFERROR(VLOOKUP(B714&amp; "*",'SKU Maintenance'!D:H,5,0),"not found")</f>
        <v>2010030403183449</v>
      </c>
      <c r="B714">
        <v>40019145</v>
      </c>
      <c r="C714" t="s">
        <v>462</v>
      </c>
      <c r="D714"/>
      <c r="E714"/>
      <c r="F714" s="3">
        <v>44765</v>
      </c>
      <c r="G714" s="49">
        <v>1</v>
      </c>
      <c r="H714">
        <v>449.75</v>
      </c>
      <c r="I714" s="9" t="s">
        <v>6945</v>
      </c>
      <c r="J714"/>
      <c r="K714"/>
      <c r="L714"/>
      <c r="M714"/>
      <c r="N714"/>
      <c r="O714"/>
      <c r="P714"/>
      <c r="Q714"/>
      <c r="R714"/>
    </row>
    <row r="715" spans="1:18" x14ac:dyDescent="0.25">
      <c r="A715" t="str">
        <f>IFERROR(VLOOKUP(B715&amp; "*",'SKU Maintenance'!D:H,5,0),"not found")</f>
        <v>2010030403183449</v>
      </c>
      <c r="B715">
        <v>40019145</v>
      </c>
      <c r="C715" t="s">
        <v>462</v>
      </c>
      <c r="D715"/>
      <c r="E715"/>
      <c r="F715" s="3">
        <v>44771</v>
      </c>
      <c r="G715" s="49">
        <v>1</v>
      </c>
      <c r="H715">
        <v>449.75</v>
      </c>
      <c r="I715" s="9" t="s">
        <v>6945</v>
      </c>
      <c r="J715"/>
      <c r="K715"/>
      <c r="L715"/>
      <c r="M715"/>
      <c r="N715"/>
      <c r="O715"/>
      <c r="P715"/>
      <c r="Q715"/>
      <c r="R715"/>
    </row>
    <row r="716" spans="1:18" x14ac:dyDescent="0.25">
      <c r="A716" t="str">
        <f>IFERROR(VLOOKUP(B716&amp; "*",'SKU Maintenance'!D:H,5,0),"not found")</f>
        <v>2010030403223450</v>
      </c>
      <c r="B716">
        <v>40019146</v>
      </c>
      <c r="C716" t="s">
        <v>169</v>
      </c>
      <c r="D716"/>
      <c r="E716"/>
      <c r="F716" s="3">
        <v>44760</v>
      </c>
      <c r="G716" s="49">
        <v>1</v>
      </c>
      <c r="H716">
        <v>399.75</v>
      </c>
      <c r="I716" s="9" t="s">
        <v>6939</v>
      </c>
      <c r="J716"/>
      <c r="K716"/>
      <c r="L716"/>
      <c r="M716"/>
      <c r="N716"/>
      <c r="O716"/>
      <c r="P716"/>
      <c r="Q716"/>
      <c r="R716"/>
    </row>
    <row r="717" spans="1:18" x14ac:dyDescent="0.25">
      <c r="A717" t="str">
        <f>IFERROR(VLOOKUP(B717&amp; "*",'SKU Maintenance'!D:H,5,0),"not found")</f>
        <v>2010030403223450</v>
      </c>
      <c r="B717">
        <v>40019146</v>
      </c>
      <c r="C717" t="s">
        <v>169</v>
      </c>
      <c r="D717"/>
      <c r="E717"/>
      <c r="F717" s="3">
        <v>44765</v>
      </c>
      <c r="G717" s="49">
        <v>1</v>
      </c>
      <c r="H717">
        <v>399.75</v>
      </c>
      <c r="I717" s="9" t="s">
        <v>6943</v>
      </c>
      <c r="J717"/>
      <c r="K717"/>
      <c r="L717"/>
      <c r="M717"/>
      <c r="N717"/>
      <c r="O717"/>
      <c r="P717"/>
      <c r="Q717"/>
      <c r="R717"/>
    </row>
    <row r="718" spans="1:18" x14ac:dyDescent="0.25">
      <c r="A718" t="str">
        <f>IFERROR(VLOOKUP(B718&amp; "*",'SKU Maintenance'!D:H,5,0),"not found")</f>
        <v>2010030403173450</v>
      </c>
      <c r="B718">
        <v>40019147</v>
      </c>
      <c r="C718" t="s">
        <v>441</v>
      </c>
      <c r="D718"/>
      <c r="E718"/>
      <c r="F718" s="3">
        <v>44751</v>
      </c>
      <c r="G718" s="49">
        <v>1</v>
      </c>
      <c r="H718">
        <v>399.75</v>
      </c>
      <c r="I718" s="9" t="s">
        <v>6945</v>
      </c>
      <c r="J718"/>
      <c r="K718"/>
      <c r="L718"/>
      <c r="M718"/>
      <c r="N718"/>
      <c r="O718"/>
      <c r="P718"/>
      <c r="Q718"/>
      <c r="R718"/>
    </row>
    <row r="719" spans="1:18" x14ac:dyDescent="0.25">
      <c r="A719" t="str">
        <f>IFERROR(VLOOKUP(B719&amp; "*",'SKU Maintenance'!D:H,5,0),"not found")</f>
        <v>2010030403183450</v>
      </c>
      <c r="B719">
        <v>40019148</v>
      </c>
      <c r="C719" t="s">
        <v>59</v>
      </c>
      <c r="D719"/>
      <c r="E719"/>
      <c r="F719" s="3">
        <v>44743</v>
      </c>
      <c r="G719" s="49">
        <v>1</v>
      </c>
      <c r="H719">
        <v>399.75</v>
      </c>
      <c r="I719" s="9" t="s">
        <v>6939</v>
      </c>
      <c r="J719"/>
      <c r="K719"/>
      <c r="L719"/>
      <c r="M719"/>
      <c r="N719"/>
      <c r="O719"/>
      <c r="P719"/>
      <c r="Q719"/>
      <c r="R719"/>
    </row>
    <row r="720" spans="1:18" x14ac:dyDescent="0.25">
      <c r="A720" t="str">
        <f>IFERROR(VLOOKUP(B720&amp; "*",'SKU Maintenance'!D:H,5,0),"not found")</f>
        <v>2010030403183450</v>
      </c>
      <c r="B720">
        <v>40019148</v>
      </c>
      <c r="C720" t="s">
        <v>59</v>
      </c>
      <c r="D720"/>
      <c r="E720"/>
      <c r="F720" s="3">
        <v>44757</v>
      </c>
      <c r="G720" s="49">
        <v>1</v>
      </c>
      <c r="H720">
        <v>399.75</v>
      </c>
      <c r="I720" s="9" t="s">
        <v>6939</v>
      </c>
      <c r="J720"/>
      <c r="K720"/>
      <c r="L720"/>
      <c r="M720"/>
      <c r="N720"/>
      <c r="O720"/>
      <c r="P720"/>
      <c r="Q720"/>
      <c r="R720"/>
    </row>
    <row r="721" spans="1:18" x14ac:dyDescent="0.25">
      <c r="A721" t="str">
        <f>IFERROR(VLOOKUP(B721&amp; "*",'SKU Maintenance'!D:H,5,0),"not found")</f>
        <v>2010030403183450</v>
      </c>
      <c r="B721">
        <v>40019148</v>
      </c>
      <c r="C721" t="s">
        <v>59</v>
      </c>
      <c r="D721"/>
      <c r="E721"/>
      <c r="F721" s="3">
        <v>44760</v>
      </c>
      <c r="G721" s="49">
        <v>1</v>
      </c>
      <c r="H721">
        <v>399.75</v>
      </c>
      <c r="I721" s="9" t="s">
        <v>6943</v>
      </c>
      <c r="J721"/>
      <c r="K721"/>
      <c r="L721"/>
      <c r="M721"/>
      <c r="N721"/>
      <c r="O721"/>
      <c r="P721"/>
      <c r="Q721"/>
      <c r="R721"/>
    </row>
    <row r="722" spans="1:18" x14ac:dyDescent="0.25">
      <c r="A722" t="str">
        <f>IFERROR(VLOOKUP(B722&amp; "*",'SKU Maintenance'!D:H,5,0),"not found")</f>
        <v>2010030403183450</v>
      </c>
      <c r="B722">
        <v>40019148</v>
      </c>
      <c r="C722" t="s">
        <v>59</v>
      </c>
      <c r="D722"/>
      <c r="E722"/>
      <c r="F722" s="3">
        <v>44743</v>
      </c>
      <c r="G722" s="49">
        <v>1</v>
      </c>
      <c r="H722">
        <v>399.75</v>
      </c>
      <c r="I722" s="9" t="s">
        <v>6945</v>
      </c>
      <c r="J722"/>
      <c r="K722"/>
      <c r="L722"/>
      <c r="M722"/>
      <c r="N722"/>
      <c r="O722"/>
      <c r="P722"/>
      <c r="Q722"/>
      <c r="R722"/>
    </row>
    <row r="723" spans="1:18" x14ac:dyDescent="0.25">
      <c r="A723" t="str">
        <f>IFERROR(VLOOKUP(B723&amp; "*",'SKU Maintenance'!D:H,5,0),"not found")</f>
        <v>2010030403183450</v>
      </c>
      <c r="B723">
        <v>40019148</v>
      </c>
      <c r="C723" t="s">
        <v>59</v>
      </c>
      <c r="D723"/>
      <c r="E723"/>
      <c r="F723" s="3">
        <v>44755</v>
      </c>
      <c r="G723" s="49">
        <v>1</v>
      </c>
      <c r="H723">
        <v>399.75</v>
      </c>
      <c r="I723" s="9" t="s">
        <v>6945</v>
      </c>
      <c r="J723"/>
      <c r="K723"/>
      <c r="L723"/>
      <c r="M723"/>
      <c r="N723"/>
      <c r="O723"/>
      <c r="P723"/>
      <c r="Q723"/>
      <c r="R723"/>
    </row>
    <row r="724" spans="1:18" x14ac:dyDescent="0.25">
      <c r="A724" t="str">
        <f>IFERROR(VLOOKUP(B724&amp; "*",'SKU Maintenance'!D:H,5,0),"not found")</f>
        <v>2010030403183450</v>
      </c>
      <c r="B724">
        <v>40019148</v>
      </c>
      <c r="C724" t="s">
        <v>59</v>
      </c>
      <c r="D724"/>
      <c r="E724"/>
      <c r="F724" s="3">
        <v>44771</v>
      </c>
      <c r="G724" s="49">
        <v>1</v>
      </c>
      <c r="H724">
        <v>399.75</v>
      </c>
      <c r="I724" s="9" t="s">
        <v>6945</v>
      </c>
      <c r="J724"/>
      <c r="K724"/>
      <c r="L724"/>
      <c r="M724"/>
      <c r="N724"/>
      <c r="O724"/>
      <c r="P724"/>
      <c r="Q724"/>
      <c r="R724"/>
    </row>
    <row r="725" spans="1:18" x14ac:dyDescent="0.25">
      <c r="A725" t="str">
        <f>IFERROR(VLOOKUP(B725&amp; "*",'SKU Maintenance'!D:H,5,0),"not found")</f>
        <v>2010030402223451</v>
      </c>
      <c r="B725">
        <v>40019149</v>
      </c>
      <c r="C725" t="s">
        <v>370</v>
      </c>
      <c r="D725"/>
      <c r="E725"/>
      <c r="F725" s="3">
        <v>44750</v>
      </c>
      <c r="G725" s="49">
        <v>1</v>
      </c>
      <c r="H725">
        <v>399.75</v>
      </c>
      <c r="I725" s="9" t="s">
        <v>6943</v>
      </c>
      <c r="J725"/>
      <c r="K725"/>
      <c r="L725"/>
      <c r="M725"/>
      <c r="N725"/>
      <c r="O725"/>
      <c r="P725"/>
      <c r="Q725"/>
      <c r="R725"/>
    </row>
    <row r="726" spans="1:18" x14ac:dyDescent="0.25">
      <c r="A726" t="str">
        <f>IFERROR(VLOOKUP(B726&amp; "*",'SKU Maintenance'!D:H,5,0),"not found")</f>
        <v>2010030402173451</v>
      </c>
      <c r="B726">
        <v>40019150</v>
      </c>
      <c r="C726" t="s">
        <v>139</v>
      </c>
      <c r="D726"/>
      <c r="E726"/>
      <c r="F726" s="3">
        <v>44757</v>
      </c>
      <c r="G726" s="49">
        <v>1</v>
      </c>
      <c r="H726">
        <v>399.75</v>
      </c>
      <c r="I726" s="9" t="s">
        <v>6939</v>
      </c>
      <c r="J726"/>
      <c r="K726"/>
      <c r="L726"/>
      <c r="M726"/>
      <c r="N726"/>
      <c r="O726"/>
      <c r="P726"/>
      <c r="Q726"/>
      <c r="R726"/>
    </row>
    <row r="727" spans="1:18" x14ac:dyDescent="0.25">
      <c r="A727" t="str">
        <f>IFERROR(VLOOKUP(B727&amp; "*",'SKU Maintenance'!D:H,5,0),"not found")</f>
        <v>2010030402173451</v>
      </c>
      <c r="B727">
        <v>40019150</v>
      </c>
      <c r="C727" t="s">
        <v>139</v>
      </c>
      <c r="D727"/>
      <c r="E727"/>
      <c r="F727" s="3">
        <v>44747</v>
      </c>
      <c r="G727" s="49">
        <v>1</v>
      </c>
      <c r="H727">
        <v>399.75</v>
      </c>
      <c r="I727" s="9" t="s">
        <v>6943</v>
      </c>
      <c r="J727"/>
      <c r="K727"/>
      <c r="L727"/>
      <c r="M727"/>
      <c r="N727"/>
      <c r="O727"/>
      <c r="P727"/>
      <c r="Q727"/>
      <c r="R727"/>
    </row>
    <row r="728" spans="1:18" x14ac:dyDescent="0.25">
      <c r="A728" t="str">
        <f>IFERROR(VLOOKUP(B728&amp; "*",'SKU Maintenance'!D:H,5,0),"not found")</f>
        <v>2010030402173451</v>
      </c>
      <c r="B728">
        <v>40019150</v>
      </c>
      <c r="C728" t="s">
        <v>139</v>
      </c>
      <c r="D728"/>
      <c r="E728"/>
      <c r="F728" s="3">
        <v>44758</v>
      </c>
      <c r="G728" s="49">
        <v>1</v>
      </c>
      <c r="H728">
        <v>399.75</v>
      </c>
      <c r="I728" s="9" t="s">
        <v>6943</v>
      </c>
      <c r="J728"/>
      <c r="K728"/>
      <c r="L728"/>
      <c r="M728"/>
      <c r="N728"/>
      <c r="O728"/>
      <c r="P728"/>
      <c r="Q728"/>
      <c r="R728"/>
    </row>
    <row r="729" spans="1:18" x14ac:dyDescent="0.25">
      <c r="A729" t="str">
        <f>IFERROR(VLOOKUP(B729&amp; "*",'SKU Maintenance'!D:H,5,0),"not found")</f>
        <v>2010030402173451</v>
      </c>
      <c r="B729">
        <v>40019150</v>
      </c>
      <c r="C729" t="s">
        <v>139</v>
      </c>
      <c r="D729"/>
      <c r="E729"/>
      <c r="F729" s="3">
        <v>44744</v>
      </c>
      <c r="G729" s="49">
        <v>2</v>
      </c>
      <c r="H729">
        <v>799.5</v>
      </c>
      <c r="I729" s="9" t="s">
        <v>6945</v>
      </c>
      <c r="J729"/>
      <c r="K729"/>
      <c r="L729"/>
      <c r="M729"/>
      <c r="N729"/>
      <c r="O729"/>
      <c r="P729"/>
      <c r="Q729"/>
      <c r="R729"/>
    </row>
    <row r="730" spans="1:18" x14ac:dyDescent="0.25">
      <c r="A730" t="str">
        <f>IFERROR(VLOOKUP(B730&amp; "*",'SKU Maintenance'!D:H,5,0),"not found")</f>
        <v>2010030402173451</v>
      </c>
      <c r="B730">
        <v>40019150</v>
      </c>
      <c r="C730" t="s">
        <v>139</v>
      </c>
      <c r="D730"/>
      <c r="E730"/>
      <c r="F730" s="3">
        <v>44756</v>
      </c>
      <c r="G730" s="49">
        <v>1</v>
      </c>
      <c r="H730">
        <v>399.75</v>
      </c>
      <c r="I730" s="9" t="s">
        <v>6945</v>
      </c>
      <c r="J730"/>
      <c r="K730"/>
      <c r="L730"/>
      <c r="M730"/>
      <c r="N730"/>
      <c r="O730"/>
      <c r="P730"/>
      <c r="Q730"/>
      <c r="R730"/>
    </row>
    <row r="731" spans="1:18" x14ac:dyDescent="0.25">
      <c r="A731" t="str">
        <f>IFERROR(VLOOKUP(B731&amp; "*",'SKU Maintenance'!D:H,5,0),"not found")</f>
        <v>2010030402173451</v>
      </c>
      <c r="B731">
        <v>40019150</v>
      </c>
      <c r="C731" t="s">
        <v>139</v>
      </c>
      <c r="D731"/>
      <c r="E731"/>
      <c r="F731" s="3">
        <v>44761</v>
      </c>
      <c r="G731" s="49">
        <v>1</v>
      </c>
      <c r="H731">
        <v>399.75</v>
      </c>
      <c r="I731" s="9" t="s">
        <v>6945</v>
      </c>
      <c r="J731"/>
      <c r="K731"/>
      <c r="L731"/>
      <c r="M731"/>
      <c r="N731"/>
      <c r="O731"/>
      <c r="P731"/>
      <c r="Q731"/>
      <c r="R731"/>
    </row>
    <row r="732" spans="1:18" x14ac:dyDescent="0.25">
      <c r="A732" t="str">
        <f>IFERROR(VLOOKUP(B732&amp; "*",'SKU Maintenance'!D:H,5,0),"not found")</f>
        <v>2010030402183451</v>
      </c>
      <c r="B732">
        <v>40019151</v>
      </c>
      <c r="C732" t="s">
        <v>399</v>
      </c>
      <c r="D732"/>
      <c r="E732"/>
      <c r="F732" s="3">
        <v>44755</v>
      </c>
      <c r="G732" s="49">
        <v>1</v>
      </c>
      <c r="H732">
        <v>399.75</v>
      </c>
      <c r="I732" s="9" t="s">
        <v>6943</v>
      </c>
      <c r="J732"/>
      <c r="K732"/>
      <c r="L732"/>
      <c r="M732"/>
      <c r="N732"/>
      <c r="O732"/>
      <c r="P732"/>
      <c r="Q732"/>
      <c r="R732"/>
    </row>
    <row r="733" spans="1:18" x14ac:dyDescent="0.25">
      <c r="A733" t="str">
        <f>IFERROR(VLOOKUP(B733&amp; "*",'SKU Maintenance'!D:H,5,0),"not found")</f>
        <v>2010030402183451</v>
      </c>
      <c r="B733">
        <v>40019151</v>
      </c>
      <c r="C733" t="s">
        <v>399</v>
      </c>
      <c r="D733"/>
      <c r="E733"/>
      <c r="F733" s="3">
        <v>44746</v>
      </c>
      <c r="G733" s="49">
        <v>1</v>
      </c>
      <c r="H733">
        <v>399.75</v>
      </c>
      <c r="I733" s="9" t="s">
        <v>6945</v>
      </c>
      <c r="J733"/>
      <c r="K733"/>
      <c r="L733"/>
      <c r="M733"/>
      <c r="N733"/>
      <c r="O733"/>
      <c r="P733"/>
      <c r="Q733"/>
      <c r="R733"/>
    </row>
    <row r="734" spans="1:18" x14ac:dyDescent="0.25">
      <c r="A734" t="str">
        <f>IFERROR(VLOOKUP(B734&amp; "*",'SKU Maintenance'!D:H,5,0),"not found")</f>
        <v>2010030401223452</v>
      </c>
      <c r="B734">
        <v>40019152</v>
      </c>
      <c r="C734" t="s">
        <v>184</v>
      </c>
      <c r="D734"/>
      <c r="E734"/>
      <c r="F734" s="3">
        <v>44765</v>
      </c>
      <c r="G734" s="49">
        <v>1</v>
      </c>
      <c r="H734">
        <v>199.75</v>
      </c>
      <c r="I734" s="9" t="s">
        <v>6939</v>
      </c>
      <c r="J734"/>
      <c r="K734"/>
      <c r="L734"/>
      <c r="M734"/>
      <c r="N734"/>
      <c r="O734"/>
      <c r="P734"/>
      <c r="Q734"/>
      <c r="R734"/>
    </row>
    <row r="735" spans="1:18" x14ac:dyDescent="0.25">
      <c r="A735" t="str">
        <f>IFERROR(VLOOKUP(B735&amp; "*",'SKU Maintenance'!D:H,5,0),"not found")</f>
        <v>2010030401223452</v>
      </c>
      <c r="B735">
        <v>40019152</v>
      </c>
      <c r="C735" t="s">
        <v>184</v>
      </c>
      <c r="D735"/>
      <c r="E735"/>
      <c r="F735" s="3">
        <v>44762</v>
      </c>
      <c r="G735" s="49">
        <v>1</v>
      </c>
      <c r="H735">
        <v>199.75</v>
      </c>
      <c r="I735" s="9" t="s">
        <v>6941</v>
      </c>
      <c r="J735"/>
      <c r="K735"/>
      <c r="L735"/>
      <c r="M735"/>
      <c r="N735"/>
      <c r="O735"/>
      <c r="P735"/>
      <c r="Q735"/>
      <c r="R735"/>
    </row>
    <row r="736" spans="1:18" x14ac:dyDescent="0.25">
      <c r="A736" t="str">
        <f>IFERROR(VLOOKUP(B736&amp; "*",'SKU Maintenance'!D:H,5,0),"not found")</f>
        <v>2010030401223452</v>
      </c>
      <c r="B736">
        <v>40019152</v>
      </c>
      <c r="C736" t="s">
        <v>184</v>
      </c>
      <c r="D736"/>
      <c r="E736"/>
      <c r="F736" s="3">
        <v>44762</v>
      </c>
      <c r="G736" s="49">
        <v>1</v>
      </c>
      <c r="H736">
        <v>199.75</v>
      </c>
      <c r="I736" s="9" t="s">
        <v>6945</v>
      </c>
      <c r="J736"/>
      <c r="K736"/>
      <c r="L736"/>
      <c r="M736"/>
      <c r="N736"/>
      <c r="O736"/>
      <c r="P736"/>
      <c r="Q736"/>
      <c r="R736"/>
    </row>
    <row r="737" spans="1:18" x14ac:dyDescent="0.25">
      <c r="A737" t="str">
        <f>IFERROR(VLOOKUP(B737&amp; "*",'SKU Maintenance'!D:H,5,0),"not found")</f>
        <v>2010030401163453</v>
      </c>
      <c r="B737">
        <v>40019155</v>
      </c>
      <c r="C737" t="s">
        <v>249</v>
      </c>
      <c r="D737"/>
      <c r="E737"/>
      <c r="F737" s="3">
        <v>44745</v>
      </c>
      <c r="G737" s="49">
        <v>1</v>
      </c>
      <c r="H737">
        <v>199.75</v>
      </c>
      <c r="I737" s="9" t="s">
        <v>6941</v>
      </c>
      <c r="J737"/>
      <c r="K737"/>
      <c r="L737"/>
      <c r="M737"/>
      <c r="N737"/>
      <c r="O737"/>
      <c r="P737"/>
      <c r="Q737"/>
      <c r="R737"/>
    </row>
    <row r="738" spans="1:18" x14ac:dyDescent="0.25">
      <c r="A738" t="str">
        <f>IFERROR(VLOOKUP(B738&amp; "*",'SKU Maintenance'!D:H,5,0),"not found")</f>
        <v>2010030401163453</v>
      </c>
      <c r="B738">
        <v>40019155</v>
      </c>
      <c r="C738" t="s">
        <v>249</v>
      </c>
      <c r="D738"/>
      <c r="E738"/>
      <c r="F738" s="3">
        <v>44766</v>
      </c>
      <c r="G738" s="49">
        <v>1</v>
      </c>
      <c r="H738">
        <v>199.75</v>
      </c>
      <c r="I738" s="9" t="s">
        <v>6941</v>
      </c>
      <c r="J738"/>
      <c r="K738"/>
      <c r="L738"/>
      <c r="M738"/>
      <c r="N738"/>
      <c r="O738"/>
      <c r="P738"/>
      <c r="Q738"/>
      <c r="R738"/>
    </row>
    <row r="739" spans="1:18" x14ac:dyDescent="0.25">
      <c r="A739" t="str">
        <f>IFERROR(VLOOKUP(B739&amp; "*",'SKU Maintenance'!D:H,5,0),"not found")</f>
        <v>2010030401183454</v>
      </c>
      <c r="B739">
        <v>40019156</v>
      </c>
      <c r="C739" t="s">
        <v>250</v>
      </c>
      <c r="D739"/>
      <c r="E739"/>
      <c r="F739" s="3">
        <v>44745</v>
      </c>
      <c r="G739" s="49">
        <v>1</v>
      </c>
      <c r="H739">
        <v>199.75</v>
      </c>
      <c r="I739" s="9" t="s">
        <v>6941</v>
      </c>
      <c r="J739"/>
      <c r="K739"/>
      <c r="L739"/>
      <c r="M739"/>
      <c r="N739"/>
      <c r="O739"/>
      <c r="P739"/>
      <c r="Q739"/>
      <c r="R739"/>
    </row>
    <row r="740" spans="1:18" x14ac:dyDescent="0.25">
      <c r="A740" t="str">
        <f>IFERROR(VLOOKUP(B740&amp; "*",'SKU Maintenance'!D:H,5,0),"not found")</f>
        <v>2010030401183454</v>
      </c>
      <c r="B740">
        <v>40019156</v>
      </c>
      <c r="C740" t="s">
        <v>250</v>
      </c>
      <c r="D740"/>
      <c r="E740"/>
      <c r="F740" s="3">
        <v>44771</v>
      </c>
      <c r="G740" s="49">
        <v>1</v>
      </c>
      <c r="H740">
        <v>199.75</v>
      </c>
      <c r="I740" s="9" t="s">
        <v>6941</v>
      </c>
      <c r="J740"/>
      <c r="K740"/>
      <c r="L740"/>
      <c r="M740"/>
      <c r="N740"/>
      <c r="O740"/>
      <c r="P740"/>
      <c r="Q740"/>
      <c r="R740"/>
    </row>
    <row r="741" spans="1:18" x14ac:dyDescent="0.25">
      <c r="A741" t="str">
        <f>IFERROR(VLOOKUP(B741&amp; "*",'SKU Maintenance'!D:H,5,0),"not found")</f>
        <v>2010030401223454</v>
      </c>
      <c r="B741">
        <v>40019158</v>
      </c>
      <c r="C741" t="s">
        <v>251</v>
      </c>
      <c r="D741"/>
      <c r="E741"/>
      <c r="F741" s="3">
        <v>44745</v>
      </c>
      <c r="G741" s="49">
        <v>1</v>
      </c>
      <c r="H741">
        <v>199.75</v>
      </c>
      <c r="I741" s="9" t="s">
        <v>6941</v>
      </c>
      <c r="J741"/>
      <c r="K741"/>
      <c r="L741"/>
      <c r="M741"/>
      <c r="N741"/>
      <c r="O741"/>
      <c r="P741"/>
      <c r="Q741"/>
      <c r="R741"/>
    </row>
    <row r="742" spans="1:18" x14ac:dyDescent="0.25">
      <c r="A742" t="str">
        <f>IFERROR(VLOOKUP(B742&amp; "*",'SKU Maintenance'!D:H,5,0),"not found")</f>
        <v>2010030401223454</v>
      </c>
      <c r="B742">
        <v>40019158</v>
      </c>
      <c r="C742" t="s">
        <v>251</v>
      </c>
      <c r="D742"/>
      <c r="E742"/>
      <c r="F742" s="3">
        <v>44750</v>
      </c>
      <c r="G742" s="49">
        <v>5</v>
      </c>
      <c r="H742">
        <v>998.75</v>
      </c>
      <c r="I742" s="9" t="s">
        <v>6941</v>
      </c>
      <c r="J742"/>
      <c r="K742"/>
      <c r="L742"/>
      <c r="M742"/>
      <c r="N742"/>
      <c r="O742"/>
      <c r="P742"/>
      <c r="Q742"/>
      <c r="R742"/>
    </row>
    <row r="743" spans="1:18" x14ac:dyDescent="0.25">
      <c r="A743" t="str">
        <f>IFERROR(VLOOKUP(B743&amp; "*",'SKU Maintenance'!D:H,5,0),"not found")</f>
        <v>2010030401173454</v>
      </c>
      <c r="B743">
        <v>40019159</v>
      </c>
      <c r="C743" t="s">
        <v>250</v>
      </c>
      <c r="D743"/>
      <c r="E743"/>
      <c r="F743" s="3">
        <v>44771</v>
      </c>
      <c r="G743" s="49">
        <v>1</v>
      </c>
      <c r="H743">
        <v>199.75</v>
      </c>
      <c r="I743" s="9" t="s">
        <v>6941</v>
      </c>
      <c r="J743"/>
      <c r="K743"/>
      <c r="L743"/>
      <c r="M743"/>
      <c r="N743"/>
      <c r="O743"/>
      <c r="P743"/>
      <c r="Q743"/>
      <c r="R743"/>
    </row>
    <row r="744" spans="1:18" x14ac:dyDescent="0.25">
      <c r="A744" t="str">
        <f>IFERROR(VLOOKUP(B744&amp; "*",'SKU Maintenance'!D:H,5,0),"not found")</f>
        <v>2010030402163455</v>
      </c>
      <c r="B744">
        <v>40019161</v>
      </c>
      <c r="C744" t="s">
        <v>299</v>
      </c>
      <c r="D744"/>
      <c r="E744"/>
      <c r="F744" s="3">
        <v>44759</v>
      </c>
      <c r="G744" s="49">
        <v>1</v>
      </c>
      <c r="H744">
        <v>499.75</v>
      </c>
      <c r="I744" s="9" t="s">
        <v>6941</v>
      </c>
      <c r="J744"/>
      <c r="K744"/>
      <c r="L744"/>
      <c r="M744"/>
      <c r="N744"/>
      <c r="O744"/>
      <c r="P744"/>
      <c r="Q744"/>
      <c r="R744"/>
    </row>
    <row r="745" spans="1:18" x14ac:dyDescent="0.25">
      <c r="A745" t="str">
        <f>IFERROR(VLOOKUP(B745&amp; "*",'SKU Maintenance'!D:H,5,0),"not found")</f>
        <v>2010030402163455</v>
      </c>
      <c r="B745">
        <v>40019161</v>
      </c>
      <c r="C745" t="s">
        <v>299</v>
      </c>
      <c r="D745"/>
      <c r="E745"/>
      <c r="F745" s="3">
        <v>44768</v>
      </c>
      <c r="G745" s="49">
        <v>1</v>
      </c>
      <c r="H745">
        <v>499.75</v>
      </c>
      <c r="I745" s="9" t="s">
        <v>6941</v>
      </c>
      <c r="J745"/>
      <c r="K745"/>
      <c r="L745"/>
      <c r="M745"/>
      <c r="N745"/>
      <c r="O745"/>
      <c r="P745"/>
      <c r="Q745"/>
      <c r="R745"/>
    </row>
    <row r="746" spans="1:18" x14ac:dyDescent="0.25">
      <c r="A746" t="str">
        <f>IFERROR(VLOOKUP(B746&amp; "*",'SKU Maintenance'!D:H,5,0),"X9998")</f>
        <v>X9998</v>
      </c>
      <c r="B746">
        <v>40019253</v>
      </c>
      <c r="C746" t="s">
        <v>110</v>
      </c>
      <c r="D746"/>
      <c r="E746"/>
      <c r="F746" s="3">
        <v>44752</v>
      </c>
      <c r="G746" s="49">
        <v>2</v>
      </c>
      <c r="H746">
        <v>999.5</v>
      </c>
      <c r="I746" s="9" t="s">
        <v>6939</v>
      </c>
      <c r="J746"/>
      <c r="K746"/>
      <c r="L746"/>
      <c r="M746"/>
      <c r="N746"/>
      <c r="O746"/>
      <c r="P746"/>
      <c r="Q746"/>
      <c r="R746"/>
    </row>
    <row r="747" spans="1:18" x14ac:dyDescent="0.25">
      <c r="A747" t="str">
        <f>IFERROR(VLOOKUP(B747&amp; "*",'SKU Maintenance'!D:H,5,0),"X9998")</f>
        <v>X9998</v>
      </c>
      <c r="B747">
        <v>40019258</v>
      </c>
      <c r="C747" t="s">
        <v>331</v>
      </c>
      <c r="D747"/>
      <c r="E747"/>
      <c r="F747" s="3">
        <v>44766</v>
      </c>
      <c r="G747" s="49">
        <v>1</v>
      </c>
      <c r="H747">
        <v>249.75</v>
      </c>
      <c r="I747" s="9" t="s">
        <v>6941</v>
      </c>
      <c r="J747"/>
      <c r="K747"/>
      <c r="L747"/>
      <c r="M747"/>
      <c r="N747"/>
      <c r="O747"/>
      <c r="P747"/>
      <c r="Q747"/>
      <c r="R747"/>
    </row>
    <row r="748" spans="1:18" x14ac:dyDescent="0.25">
      <c r="A748" t="str">
        <f>IFERROR(VLOOKUP(B748&amp; "*",'SKU Maintenance'!D:H,5,0),"X9998")</f>
        <v>X9998</v>
      </c>
      <c r="B748">
        <v>40019260</v>
      </c>
      <c r="C748" t="s">
        <v>394</v>
      </c>
      <c r="D748"/>
      <c r="E748"/>
      <c r="F748" s="3">
        <v>44754</v>
      </c>
      <c r="G748" s="49">
        <v>1</v>
      </c>
      <c r="H748">
        <v>349.75</v>
      </c>
      <c r="I748" s="9" t="s">
        <v>6943</v>
      </c>
      <c r="J748"/>
      <c r="K748"/>
      <c r="L748"/>
      <c r="M748"/>
      <c r="N748"/>
      <c r="O748"/>
      <c r="P748"/>
      <c r="Q748"/>
      <c r="R748"/>
    </row>
    <row r="749" spans="1:18" x14ac:dyDescent="0.25">
      <c r="A749" t="str">
        <f>IFERROR(VLOOKUP(B749&amp; "*",'SKU Maintenance'!D:H,5,0),"X9998")</f>
        <v>X9998</v>
      </c>
      <c r="B749">
        <v>40019262</v>
      </c>
      <c r="C749" t="s">
        <v>395</v>
      </c>
      <c r="D749"/>
      <c r="E749"/>
      <c r="F749" s="3">
        <v>44754</v>
      </c>
      <c r="G749" s="49">
        <v>1</v>
      </c>
      <c r="H749">
        <v>349.75</v>
      </c>
      <c r="I749" s="9" t="s">
        <v>6943</v>
      </c>
      <c r="J749"/>
      <c r="K749"/>
      <c r="L749"/>
      <c r="M749"/>
      <c r="N749"/>
      <c r="O749"/>
      <c r="P749"/>
      <c r="Q749"/>
      <c r="R749"/>
    </row>
    <row r="750" spans="1:18" x14ac:dyDescent="0.25">
      <c r="A750" t="str">
        <f>IFERROR(VLOOKUP(B750&amp; "*",'SKU Maintenance'!D:H,5,0),"X9998")</f>
        <v>X9998</v>
      </c>
      <c r="B750">
        <v>40019264</v>
      </c>
      <c r="C750" t="s">
        <v>360</v>
      </c>
      <c r="D750"/>
      <c r="E750"/>
      <c r="F750" s="3">
        <v>44748</v>
      </c>
      <c r="G750" s="49">
        <v>1</v>
      </c>
      <c r="H750">
        <v>499.75</v>
      </c>
      <c r="I750" s="9" t="s">
        <v>6943</v>
      </c>
      <c r="J750"/>
      <c r="K750"/>
      <c r="L750"/>
      <c r="M750"/>
      <c r="N750"/>
      <c r="O750"/>
      <c r="P750"/>
      <c r="Q750"/>
      <c r="R750"/>
    </row>
    <row r="751" spans="1:18" x14ac:dyDescent="0.25">
      <c r="A751" t="str">
        <f>IFERROR(VLOOKUP(B751&amp; "*",'SKU Maintenance'!D:H,5,0),"X9998")</f>
        <v>X9998</v>
      </c>
      <c r="B751">
        <v>40019264</v>
      </c>
      <c r="C751" t="s">
        <v>360</v>
      </c>
      <c r="D751"/>
      <c r="E751"/>
      <c r="F751" s="3">
        <v>44754</v>
      </c>
      <c r="G751" s="49">
        <v>1</v>
      </c>
      <c r="H751">
        <v>499.75</v>
      </c>
      <c r="I751" s="9" t="s">
        <v>6943</v>
      </c>
      <c r="J751"/>
      <c r="K751"/>
      <c r="L751"/>
      <c r="M751"/>
      <c r="N751"/>
      <c r="O751"/>
      <c r="P751"/>
      <c r="Q751"/>
      <c r="R751"/>
    </row>
    <row r="752" spans="1:18" x14ac:dyDescent="0.25">
      <c r="A752" t="str">
        <f>IFERROR(VLOOKUP(B752&amp; "*",'SKU Maintenance'!D:H,5,0),"X9998")</f>
        <v>X9998</v>
      </c>
      <c r="B752">
        <v>40019266</v>
      </c>
      <c r="C752" t="s">
        <v>393</v>
      </c>
      <c r="D752"/>
      <c r="E752"/>
      <c r="F752" s="3">
        <v>44754</v>
      </c>
      <c r="G752" s="49">
        <v>1</v>
      </c>
      <c r="H752">
        <v>499.75</v>
      </c>
      <c r="I752" s="9" t="s">
        <v>6943</v>
      </c>
      <c r="J752"/>
      <c r="K752"/>
      <c r="L752"/>
      <c r="M752"/>
      <c r="N752"/>
      <c r="O752"/>
      <c r="P752"/>
      <c r="Q752"/>
      <c r="R752"/>
    </row>
    <row r="753" spans="1:18" x14ac:dyDescent="0.25">
      <c r="A753" t="str">
        <f>IFERROR(VLOOKUP(B753&amp; "*",'SKU Maintenance'!D:H,5,0),"X9998")</f>
        <v>X9998</v>
      </c>
      <c r="B753">
        <v>40019269</v>
      </c>
      <c r="C753" t="s">
        <v>215</v>
      </c>
      <c r="D753"/>
      <c r="E753"/>
      <c r="F753" s="3">
        <v>44771</v>
      </c>
      <c r="G753" s="49">
        <v>1</v>
      </c>
      <c r="H753">
        <v>699.75</v>
      </c>
      <c r="I753" s="9" t="s">
        <v>6939</v>
      </c>
      <c r="J753"/>
      <c r="K753"/>
      <c r="L753"/>
      <c r="M753"/>
      <c r="N753"/>
      <c r="O753"/>
      <c r="P753"/>
      <c r="Q753"/>
      <c r="R753"/>
    </row>
    <row r="754" spans="1:18" x14ac:dyDescent="0.25">
      <c r="A754" t="str">
        <f>IFERROR(VLOOKUP(B754&amp; "*",'SKU Maintenance'!D:H,5,0),"not found")</f>
        <v>2010041001220231</v>
      </c>
      <c r="B754">
        <v>40019273</v>
      </c>
      <c r="C754" t="s">
        <v>379</v>
      </c>
      <c r="D754"/>
      <c r="E754"/>
      <c r="F754" s="3">
        <v>44754</v>
      </c>
      <c r="G754" s="49">
        <v>1</v>
      </c>
      <c r="H754">
        <v>649.75</v>
      </c>
      <c r="I754" s="9" t="s">
        <v>6943</v>
      </c>
      <c r="J754"/>
      <c r="K754"/>
      <c r="L754"/>
      <c r="M754"/>
      <c r="N754"/>
      <c r="O754"/>
      <c r="P754"/>
      <c r="Q754"/>
      <c r="R754"/>
    </row>
    <row r="755" spans="1:18" x14ac:dyDescent="0.25">
      <c r="A755" t="str">
        <f>IFERROR(VLOOKUP(B755&amp; "*",'SKU Maintenance'!D:H,5,0),"not found")</f>
        <v>2010020298220003</v>
      </c>
      <c r="B755">
        <v>40019274</v>
      </c>
      <c r="C755" t="s">
        <v>419</v>
      </c>
      <c r="D755"/>
      <c r="E755"/>
      <c r="F755" s="3">
        <v>44766</v>
      </c>
      <c r="G755" s="49">
        <v>1</v>
      </c>
      <c r="H755">
        <v>349.75</v>
      </c>
      <c r="I755" s="9" t="s">
        <v>6943</v>
      </c>
      <c r="J755"/>
      <c r="K755"/>
      <c r="L755"/>
      <c r="M755"/>
      <c r="N755"/>
      <c r="O755"/>
      <c r="P755"/>
      <c r="Q755"/>
      <c r="R755"/>
    </row>
    <row r="756" spans="1:18" x14ac:dyDescent="0.25">
      <c r="A756" t="str">
        <f>IFERROR(VLOOKUP(B756&amp; "*",'SKU Maintenance'!D:H,5,0),"not found")</f>
        <v>2010020298220004</v>
      </c>
      <c r="B756">
        <v>40019276</v>
      </c>
      <c r="C756" t="s">
        <v>290</v>
      </c>
      <c r="D756"/>
      <c r="E756"/>
      <c r="F756" s="3">
        <v>44757</v>
      </c>
      <c r="G756" s="49">
        <v>1</v>
      </c>
      <c r="H756">
        <v>399.75</v>
      </c>
      <c r="I756" s="9" t="s">
        <v>6941</v>
      </c>
      <c r="J756"/>
      <c r="K756"/>
      <c r="L756"/>
      <c r="M756"/>
      <c r="N756"/>
      <c r="O756"/>
      <c r="P756"/>
      <c r="Q756"/>
      <c r="R756"/>
    </row>
    <row r="757" spans="1:18" x14ac:dyDescent="0.25">
      <c r="A757" t="str">
        <f>IFERROR(VLOOKUP(B757&amp; "*",'SKU Maintenance'!D:H,5,0),"not found")</f>
        <v>2010020298220004</v>
      </c>
      <c r="B757">
        <v>40019276</v>
      </c>
      <c r="C757" t="s">
        <v>290</v>
      </c>
      <c r="D757"/>
      <c r="E757"/>
      <c r="F757" s="3">
        <v>44753</v>
      </c>
      <c r="G757" s="49">
        <v>1</v>
      </c>
      <c r="H757">
        <v>399.75</v>
      </c>
      <c r="I757" s="9" t="s">
        <v>6945</v>
      </c>
      <c r="J757"/>
      <c r="K757"/>
      <c r="L757"/>
      <c r="M757"/>
      <c r="N757"/>
      <c r="O757"/>
      <c r="P757"/>
      <c r="Q757"/>
      <c r="R757"/>
    </row>
    <row r="758" spans="1:18" x14ac:dyDescent="0.25">
      <c r="A758" t="str">
        <f>IFERROR(VLOOKUP(B758&amp; "*",'SKU Maintenance'!D:H,5,0),"not found")</f>
        <v>2010020298160004</v>
      </c>
      <c r="B758">
        <v>40019277</v>
      </c>
      <c r="C758" t="s">
        <v>270</v>
      </c>
      <c r="D758"/>
      <c r="E758"/>
      <c r="F758" s="3">
        <v>44750</v>
      </c>
      <c r="G758" s="49">
        <v>1</v>
      </c>
      <c r="H758">
        <v>399.75</v>
      </c>
      <c r="I758" s="9" t="s">
        <v>6941</v>
      </c>
      <c r="J758"/>
      <c r="K758"/>
      <c r="L758"/>
      <c r="M758"/>
      <c r="N758"/>
      <c r="O758"/>
      <c r="P758"/>
      <c r="Q758"/>
      <c r="R758"/>
    </row>
    <row r="759" spans="1:18" x14ac:dyDescent="0.25">
      <c r="A759" t="str">
        <f>IFERROR(VLOOKUP(B759&amp; "*",'SKU Maintenance'!D:H,5,0),"not found")</f>
        <v>2010020298160004</v>
      </c>
      <c r="B759">
        <v>40019277</v>
      </c>
      <c r="C759" t="s">
        <v>270</v>
      </c>
      <c r="D759"/>
      <c r="E759"/>
      <c r="F759" s="3">
        <v>44743</v>
      </c>
      <c r="G759" s="49">
        <v>1</v>
      </c>
      <c r="H759">
        <v>399.75</v>
      </c>
      <c r="I759" s="9" t="s">
        <v>6943</v>
      </c>
      <c r="J759"/>
      <c r="K759"/>
      <c r="L759"/>
      <c r="M759"/>
      <c r="N759"/>
      <c r="O759"/>
      <c r="P759"/>
      <c r="Q759"/>
      <c r="R759"/>
    </row>
    <row r="760" spans="1:18" x14ac:dyDescent="0.25">
      <c r="A760" t="str">
        <f>IFERROR(VLOOKUP(B760&amp; "*",'SKU Maintenance'!D:H,5,0),"not found")</f>
        <v>2010010102200043</v>
      </c>
      <c r="B760">
        <v>40019361</v>
      </c>
      <c r="C760" t="s">
        <v>309</v>
      </c>
      <c r="D760"/>
      <c r="E760"/>
      <c r="F760" s="3">
        <v>44761</v>
      </c>
      <c r="G760" s="49">
        <v>2</v>
      </c>
      <c r="H760">
        <v>359.5</v>
      </c>
      <c r="I760" s="9" t="s">
        <v>6941</v>
      </c>
      <c r="J760"/>
      <c r="K760"/>
      <c r="L760"/>
      <c r="M760"/>
      <c r="N760"/>
      <c r="O760"/>
      <c r="P760"/>
      <c r="Q760"/>
      <c r="R760"/>
    </row>
    <row r="761" spans="1:18" x14ac:dyDescent="0.25">
      <c r="A761" t="str">
        <f>IFERROR(VLOOKUP(B761&amp; "*",'SKU Maintenance'!D:H,5,0),"not found")</f>
        <v>2010010102200043</v>
      </c>
      <c r="B761">
        <v>40019361</v>
      </c>
      <c r="C761" t="s">
        <v>309</v>
      </c>
      <c r="D761"/>
      <c r="E761"/>
      <c r="F761" s="3">
        <v>44769</v>
      </c>
      <c r="G761" s="49">
        <v>1</v>
      </c>
      <c r="H761">
        <v>179.75</v>
      </c>
      <c r="I761" s="9" t="s">
        <v>6945</v>
      </c>
      <c r="J761"/>
      <c r="K761"/>
      <c r="L761"/>
      <c r="M761"/>
      <c r="N761"/>
      <c r="O761"/>
      <c r="P761"/>
      <c r="Q761"/>
      <c r="R761"/>
    </row>
    <row r="762" spans="1:18" x14ac:dyDescent="0.25">
      <c r="A762" t="str">
        <f>IFERROR(VLOOKUP(B762&amp; "*",'SKU Maintenance'!D:H,5,0),"not found")</f>
        <v>2010010298130023</v>
      </c>
      <c r="B762">
        <v>40019362</v>
      </c>
      <c r="C762" t="s">
        <v>361</v>
      </c>
      <c r="D762"/>
      <c r="E762"/>
      <c r="F762" s="3">
        <v>44749</v>
      </c>
      <c r="G762" s="49">
        <v>1</v>
      </c>
      <c r="H762">
        <v>599.75</v>
      </c>
      <c r="I762" s="9" t="s">
        <v>6943</v>
      </c>
      <c r="J762"/>
      <c r="K762"/>
      <c r="L762"/>
      <c r="M762"/>
      <c r="N762"/>
      <c r="O762"/>
      <c r="P762"/>
      <c r="Q762"/>
      <c r="R762"/>
    </row>
    <row r="763" spans="1:18" x14ac:dyDescent="0.25">
      <c r="A763" t="str">
        <f>IFERROR(VLOOKUP(B763&amp; "*",'SKU Maintenance'!D:H,5,0),"not found")</f>
        <v>2010010102130044</v>
      </c>
      <c r="B763">
        <v>40019363</v>
      </c>
      <c r="C763" t="s">
        <v>133</v>
      </c>
      <c r="D763"/>
      <c r="E763"/>
      <c r="F763" s="3">
        <v>44756</v>
      </c>
      <c r="G763" s="49">
        <v>1</v>
      </c>
      <c r="H763">
        <v>179.75</v>
      </c>
      <c r="I763" s="9" t="s">
        <v>6939</v>
      </c>
      <c r="J763"/>
      <c r="K763"/>
      <c r="L763"/>
      <c r="M763"/>
      <c r="N763"/>
      <c r="O763"/>
      <c r="P763"/>
      <c r="Q763"/>
      <c r="R763"/>
    </row>
    <row r="764" spans="1:18" x14ac:dyDescent="0.25">
      <c r="A764" t="str">
        <f>IFERROR(VLOOKUP(B764&amp; "*",'SKU Maintenance'!D:H,5,0),"not found")</f>
        <v>2010010102130044</v>
      </c>
      <c r="B764">
        <v>40019363</v>
      </c>
      <c r="C764" t="s">
        <v>133</v>
      </c>
      <c r="D764"/>
      <c r="E764"/>
      <c r="F764" s="3">
        <v>44757</v>
      </c>
      <c r="G764" s="49">
        <v>3</v>
      </c>
      <c r="H764">
        <v>485.32500000000005</v>
      </c>
      <c r="I764" s="9" t="s">
        <v>6945</v>
      </c>
      <c r="J764"/>
      <c r="K764"/>
      <c r="L764"/>
      <c r="M764"/>
      <c r="N764"/>
      <c r="O764"/>
      <c r="P764"/>
      <c r="Q764"/>
      <c r="R764"/>
    </row>
    <row r="765" spans="1:18" x14ac:dyDescent="0.25">
      <c r="A765" t="str">
        <f>IFERROR(VLOOKUP(B765&amp; "*",'SKU Maintenance'!D:H,5,0),"not found")</f>
        <v>2010010104130044</v>
      </c>
      <c r="B765">
        <v>40019364</v>
      </c>
      <c r="C765" t="s">
        <v>436</v>
      </c>
      <c r="D765"/>
      <c r="E765"/>
      <c r="F765" s="3">
        <v>44748</v>
      </c>
      <c r="G765" s="49">
        <v>1</v>
      </c>
      <c r="H765">
        <v>279.75</v>
      </c>
      <c r="I765" s="9" t="s">
        <v>6945</v>
      </c>
      <c r="J765"/>
      <c r="K765"/>
      <c r="L765"/>
      <c r="M765"/>
      <c r="N765"/>
      <c r="O765"/>
      <c r="P765"/>
      <c r="Q765"/>
      <c r="R765"/>
    </row>
    <row r="766" spans="1:18" x14ac:dyDescent="0.25">
      <c r="A766" t="str">
        <f>IFERROR(VLOOKUP(B766&amp; "*",'SKU Maintenance'!D:H,5,0),"not found")</f>
        <v>2010010104130044</v>
      </c>
      <c r="B766">
        <v>40019364</v>
      </c>
      <c r="C766" t="s">
        <v>436</v>
      </c>
      <c r="D766"/>
      <c r="E766"/>
      <c r="F766" s="3">
        <v>44763</v>
      </c>
      <c r="G766" s="49">
        <v>2</v>
      </c>
      <c r="H766">
        <v>559.5</v>
      </c>
      <c r="I766" s="9" t="s">
        <v>6945</v>
      </c>
      <c r="J766"/>
      <c r="K766"/>
      <c r="L766"/>
      <c r="M766"/>
      <c r="N766"/>
      <c r="O766"/>
      <c r="P766"/>
      <c r="Q766"/>
      <c r="R766"/>
    </row>
    <row r="767" spans="1:18" x14ac:dyDescent="0.25">
      <c r="A767" t="str">
        <f>IFERROR(VLOOKUP(B767&amp; "*",'SKU Maintenance'!D:H,5,0),"not found")</f>
        <v>2010010104200043</v>
      </c>
      <c r="B767">
        <v>40019367</v>
      </c>
      <c r="C767" t="s">
        <v>277</v>
      </c>
      <c r="D767"/>
      <c r="E767"/>
      <c r="F767" s="3">
        <v>44752</v>
      </c>
      <c r="G767" s="49">
        <v>1</v>
      </c>
      <c r="H767">
        <v>279.75</v>
      </c>
      <c r="I767" s="9" t="s">
        <v>6941</v>
      </c>
      <c r="J767"/>
      <c r="K767"/>
      <c r="L767"/>
      <c r="M767"/>
      <c r="N767"/>
      <c r="O767"/>
      <c r="P767"/>
      <c r="Q767"/>
      <c r="R767"/>
    </row>
    <row r="768" spans="1:18" x14ac:dyDescent="0.25">
      <c r="A768" t="str">
        <f>IFERROR(VLOOKUP(B768&amp; "*",'SKU Maintenance'!D:H,5,0),"not found")</f>
        <v>2010010104200043</v>
      </c>
      <c r="B768">
        <v>40019367</v>
      </c>
      <c r="C768" t="s">
        <v>277</v>
      </c>
      <c r="D768"/>
      <c r="E768"/>
      <c r="F768" s="3">
        <v>44748</v>
      </c>
      <c r="G768" s="49">
        <v>1</v>
      </c>
      <c r="H768">
        <v>279.75</v>
      </c>
      <c r="I768" s="9" t="s">
        <v>6945</v>
      </c>
      <c r="J768"/>
      <c r="K768"/>
      <c r="L768"/>
      <c r="M768"/>
      <c r="N768"/>
      <c r="O768"/>
      <c r="P768"/>
      <c r="Q768"/>
      <c r="R768"/>
    </row>
    <row r="769" spans="1:18" x14ac:dyDescent="0.25">
      <c r="A769" t="str">
        <f>IFERROR(VLOOKUP(B769&amp; "*",'SKU Maintenance'!D:H,5,0),"not found")</f>
        <v>2010010102220043</v>
      </c>
      <c r="B769">
        <v>40019368</v>
      </c>
      <c r="C769" t="s">
        <v>309</v>
      </c>
      <c r="D769"/>
      <c r="E769"/>
      <c r="F769" s="3">
        <v>44769</v>
      </c>
      <c r="G769" s="49">
        <v>1</v>
      </c>
      <c r="H769">
        <v>179.75</v>
      </c>
      <c r="I769" s="9" t="s">
        <v>6945</v>
      </c>
      <c r="J769"/>
      <c r="K769"/>
      <c r="L769"/>
      <c r="M769"/>
      <c r="N769"/>
      <c r="O769"/>
      <c r="P769"/>
      <c r="Q769"/>
      <c r="R769"/>
    </row>
    <row r="770" spans="1:18" x14ac:dyDescent="0.25">
      <c r="A770" t="str">
        <f>IFERROR(VLOOKUP(B770&amp; "*",'SKU Maintenance'!D:H,5,0),"not found")</f>
        <v>2010010104130042</v>
      </c>
      <c r="B770">
        <v>40019369</v>
      </c>
      <c r="C770" t="s">
        <v>193</v>
      </c>
      <c r="D770"/>
      <c r="E770"/>
      <c r="F770" s="3">
        <v>44766</v>
      </c>
      <c r="G770" s="49">
        <v>1</v>
      </c>
      <c r="H770">
        <v>299.75</v>
      </c>
      <c r="I770" s="9" t="s">
        <v>6939</v>
      </c>
      <c r="J770"/>
      <c r="K770"/>
      <c r="L770"/>
      <c r="M770"/>
      <c r="N770"/>
      <c r="O770"/>
      <c r="P770"/>
      <c r="Q770"/>
      <c r="R770"/>
    </row>
    <row r="771" spans="1:18" x14ac:dyDescent="0.25">
      <c r="A771" t="str">
        <f>IFERROR(VLOOKUP(B771&amp; "*",'SKU Maintenance'!D:H,5,0),"not found")</f>
        <v>2010020198180011</v>
      </c>
      <c r="B771">
        <v>40019372</v>
      </c>
      <c r="C771" t="s">
        <v>118</v>
      </c>
      <c r="D771"/>
      <c r="E771"/>
      <c r="F771" s="3">
        <v>44753</v>
      </c>
      <c r="G771" s="49">
        <v>1</v>
      </c>
      <c r="H771">
        <v>1299.75</v>
      </c>
      <c r="I771" s="9" t="s">
        <v>6939</v>
      </c>
      <c r="J771"/>
      <c r="K771"/>
      <c r="L771"/>
      <c r="M771"/>
      <c r="N771"/>
      <c r="O771"/>
      <c r="P771"/>
      <c r="Q771"/>
      <c r="R771"/>
    </row>
    <row r="772" spans="1:18" x14ac:dyDescent="0.25">
      <c r="A772" t="str">
        <f>IFERROR(VLOOKUP(B772&amp; "*",'SKU Maintenance'!D:H,5,0),"not found")</f>
        <v>2010020198180011</v>
      </c>
      <c r="B772">
        <v>40019372</v>
      </c>
      <c r="C772" t="s">
        <v>118</v>
      </c>
      <c r="D772"/>
      <c r="E772"/>
      <c r="F772" s="3">
        <v>44751</v>
      </c>
      <c r="G772" s="49">
        <v>1</v>
      </c>
      <c r="H772">
        <v>1299.75</v>
      </c>
      <c r="I772" s="9" t="s">
        <v>6941</v>
      </c>
      <c r="J772"/>
      <c r="K772"/>
      <c r="L772"/>
      <c r="M772"/>
      <c r="N772"/>
      <c r="O772"/>
      <c r="P772"/>
      <c r="Q772"/>
      <c r="R772"/>
    </row>
    <row r="773" spans="1:18" x14ac:dyDescent="0.25">
      <c r="A773" t="str">
        <f>IFERROR(VLOOKUP(B773&amp; "*",'SKU Maintenance'!D:H,5,0),"not found")</f>
        <v>2010020198180017</v>
      </c>
      <c r="B773">
        <v>40019380</v>
      </c>
      <c r="C773" t="s">
        <v>52</v>
      </c>
      <c r="D773"/>
      <c r="E773"/>
      <c r="F773" s="3">
        <v>44743</v>
      </c>
      <c r="G773" s="49">
        <v>1</v>
      </c>
      <c r="H773">
        <v>749.75</v>
      </c>
      <c r="I773" s="9" t="s">
        <v>6939</v>
      </c>
      <c r="J773"/>
      <c r="K773"/>
      <c r="L773"/>
      <c r="M773"/>
      <c r="N773"/>
      <c r="O773"/>
      <c r="P773"/>
      <c r="Q773"/>
      <c r="R773"/>
    </row>
    <row r="774" spans="1:18" x14ac:dyDescent="0.25">
      <c r="A774" t="str">
        <f>IFERROR(VLOOKUP(B774&amp; "*",'SKU Maintenance'!D:H,5,0),"not found")</f>
        <v>2010010104200035</v>
      </c>
      <c r="B774">
        <v>40019381</v>
      </c>
      <c r="C774" t="s">
        <v>94</v>
      </c>
      <c r="D774"/>
      <c r="E774"/>
      <c r="F774" s="3">
        <v>44748</v>
      </c>
      <c r="G774" s="49">
        <v>1</v>
      </c>
      <c r="H774">
        <v>299.75</v>
      </c>
      <c r="I774" s="9" t="s">
        <v>6939</v>
      </c>
      <c r="J774"/>
      <c r="K774"/>
      <c r="L774"/>
      <c r="M774"/>
      <c r="N774"/>
      <c r="O774"/>
      <c r="P774"/>
      <c r="Q774"/>
      <c r="R774"/>
    </row>
    <row r="775" spans="1:18" x14ac:dyDescent="0.25">
      <c r="A775" t="str">
        <f>IFERROR(VLOOKUP(B775&amp; "*",'SKU Maintenance'!D:H,5,0),"not found")</f>
        <v>2010020198220017</v>
      </c>
      <c r="B775">
        <v>40019383</v>
      </c>
      <c r="C775" t="s">
        <v>52</v>
      </c>
      <c r="D775"/>
      <c r="E775"/>
      <c r="F775" s="3">
        <v>44773</v>
      </c>
      <c r="G775" s="49">
        <v>1</v>
      </c>
      <c r="H775">
        <v>749.75</v>
      </c>
      <c r="I775" s="9" t="s">
        <v>6939</v>
      </c>
      <c r="J775"/>
      <c r="K775"/>
      <c r="L775"/>
      <c r="M775"/>
      <c r="N775"/>
      <c r="O775"/>
      <c r="P775"/>
      <c r="Q775"/>
      <c r="R775"/>
    </row>
    <row r="776" spans="1:18" x14ac:dyDescent="0.25">
      <c r="A776" t="str">
        <f>IFERROR(VLOOKUP(B776&amp; "*",'SKU Maintenance'!D:H,5,0),"not found")</f>
        <v>2010020198220017</v>
      </c>
      <c r="B776">
        <v>40019383</v>
      </c>
      <c r="C776" t="s">
        <v>52</v>
      </c>
      <c r="D776"/>
      <c r="E776"/>
      <c r="F776" s="3">
        <v>44757</v>
      </c>
      <c r="G776" s="49">
        <v>1</v>
      </c>
      <c r="H776">
        <v>749.75</v>
      </c>
      <c r="I776" s="9" t="s">
        <v>6945</v>
      </c>
      <c r="J776"/>
      <c r="K776"/>
      <c r="L776"/>
      <c r="M776"/>
      <c r="N776"/>
      <c r="O776"/>
      <c r="P776"/>
      <c r="Q776"/>
      <c r="R776"/>
    </row>
    <row r="777" spans="1:18" x14ac:dyDescent="0.25">
      <c r="A777" t="str">
        <f>IFERROR(VLOOKUP(B777&amp; "*",'SKU Maintenance'!D:H,5,0),"not found")</f>
        <v>2010020198220017</v>
      </c>
      <c r="B777">
        <v>40019383</v>
      </c>
      <c r="C777" t="s">
        <v>52</v>
      </c>
      <c r="D777"/>
      <c r="E777"/>
      <c r="F777" s="3">
        <v>44772</v>
      </c>
      <c r="G777" s="49">
        <v>1</v>
      </c>
      <c r="H777">
        <v>749.75</v>
      </c>
      <c r="I777" s="9" t="s">
        <v>6945</v>
      </c>
      <c r="J777"/>
      <c r="K777"/>
      <c r="L777"/>
      <c r="M777"/>
      <c r="N777"/>
      <c r="O777"/>
      <c r="P777"/>
      <c r="Q777"/>
      <c r="R777"/>
    </row>
    <row r="778" spans="1:18" x14ac:dyDescent="0.25">
      <c r="A778" t="str">
        <f>IFERROR(VLOOKUP(B778&amp; "*",'SKU Maintenance'!D:H,5,0),"not found")</f>
        <v>2010020198230018</v>
      </c>
      <c r="B778">
        <v>40019385</v>
      </c>
      <c r="C778" t="s">
        <v>474</v>
      </c>
      <c r="D778"/>
      <c r="E778"/>
      <c r="F778" s="3">
        <v>44772</v>
      </c>
      <c r="G778" s="49">
        <v>1</v>
      </c>
      <c r="H778">
        <v>749.75</v>
      </c>
      <c r="I778" s="9" t="s">
        <v>6945</v>
      </c>
      <c r="J778"/>
      <c r="K778"/>
      <c r="L778"/>
      <c r="M778"/>
      <c r="N778"/>
      <c r="O778"/>
      <c r="P778"/>
      <c r="Q778"/>
      <c r="R778"/>
    </row>
    <row r="779" spans="1:18" x14ac:dyDescent="0.25">
      <c r="A779" t="str">
        <f>IFERROR(VLOOKUP(B779&amp; "*",'SKU Maintenance'!D:H,5,0),"not found")</f>
        <v>2010020198220018</v>
      </c>
      <c r="B779">
        <v>40019386</v>
      </c>
      <c r="C779" t="s">
        <v>368</v>
      </c>
      <c r="D779"/>
      <c r="E779"/>
      <c r="F779" s="3">
        <v>44749</v>
      </c>
      <c r="G779" s="49">
        <v>2</v>
      </c>
      <c r="H779">
        <v>1499.5</v>
      </c>
      <c r="I779" s="9" t="s">
        <v>6943</v>
      </c>
      <c r="J779"/>
      <c r="K779"/>
      <c r="L779"/>
      <c r="M779"/>
      <c r="N779"/>
      <c r="O779"/>
      <c r="P779"/>
      <c r="Q779"/>
      <c r="R779"/>
    </row>
    <row r="780" spans="1:18" x14ac:dyDescent="0.25">
      <c r="A780" t="str">
        <f>IFERROR(VLOOKUP(B780&amp; "*",'SKU Maintenance'!D:H,5,0),"not found")</f>
        <v>2010010298160019</v>
      </c>
      <c r="B780">
        <v>40019391</v>
      </c>
      <c r="C780" t="s">
        <v>253</v>
      </c>
      <c r="D780"/>
      <c r="E780"/>
      <c r="F780" s="3">
        <v>44746</v>
      </c>
      <c r="G780" s="49">
        <v>1</v>
      </c>
      <c r="H780">
        <v>199.75</v>
      </c>
      <c r="I780" s="9" t="s">
        <v>6941</v>
      </c>
      <c r="J780"/>
      <c r="K780"/>
      <c r="L780"/>
      <c r="M780"/>
      <c r="N780"/>
      <c r="O780"/>
      <c r="P780"/>
      <c r="Q780"/>
      <c r="R780"/>
    </row>
    <row r="781" spans="1:18" x14ac:dyDescent="0.25">
      <c r="A781" t="str">
        <f>IFERROR(VLOOKUP(B781&amp; "*",'SKU Maintenance'!D:H,5,0),"not found")</f>
        <v>2010010298160020</v>
      </c>
      <c r="B781">
        <v>40019392</v>
      </c>
      <c r="C781" t="s">
        <v>156</v>
      </c>
      <c r="D781"/>
      <c r="E781"/>
      <c r="F781" s="3">
        <v>44758</v>
      </c>
      <c r="G781" s="49">
        <v>1</v>
      </c>
      <c r="H781">
        <v>269.77500000000003</v>
      </c>
      <c r="I781" s="9" t="s">
        <v>6939</v>
      </c>
      <c r="J781"/>
      <c r="K781"/>
      <c r="L781"/>
      <c r="M781"/>
      <c r="N781"/>
      <c r="O781"/>
      <c r="P781"/>
      <c r="Q781"/>
      <c r="R781"/>
    </row>
    <row r="782" spans="1:18" x14ac:dyDescent="0.25">
      <c r="A782" t="str">
        <f>IFERROR(VLOOKUP(B782&amp; "*",'SKU Maintenance'!D:H,5,0),"not found")</f>
        <v>2010010298220020</v>
      </c>
      <c r="B782">
        <v>40019395</v>
      </c>
      <c r="C782" t="s">
        <v>214</v>
      </c>
      <c r="D782"/>
      <c r="E782"/>
      <c r="F782" s="3">
        <v>44770</v>
      </c>
      <c r="G782" s="49">
        <v>1</v>
      </c>
      <c r="H782">
        <v>299.75</v>
      </c>
      <c r="I782" s="9" t="s">
        <v>6939</v>
      </c>
      <c r="J782"/>
      <c r="K782"/>
      <c r="L782"/>
      <c r="M782"/>
      <c r="N782"/>
      <c r="O782"/>
      <c r="P782"/>
      <c r="Q782"/>
      <c r="R782"/>
    </row>
    <row r="783" spans="1:18" x14ac:dyDescent="0.25">
      <c r="A783" t="str">
        <f>IFERROR(VLOOKUP(B783&amp; "*",'SKU Maintenance'!D:H,5,0),"not found")</f>
        <v>2010010298220020</v>
      </c>
      <c r="B783">
        <v>40019395</v>
      </c>
      <c r="C783" t="s">
        <v>214</v>
      </c>
      <c r="D783"/>
      <c r="E783"/>
      <c r="F783" s="3">
        <v>44765</v>
      </c>
      <c r="G783" s="49">
        <v>1</v>
      </c>
      <c r="H783">
        <v>299.75</v>
      </c>
      <c r="I783" s="9" t="s">
        <v>6941</v>
      </c>
      <c r="J783"/>
      <c r="K783"/>
      <c r="L783"/>
      <c r="M783"/>
      <c r="N783"/>
      <c r="O783"/>
      <c r="P783"/>
      <c r="Q783"/>
      <c r="R783"/>
    </row>
    <row r="784" spans="1:18" x14ac:dyDescent="0.25">
      <c r="A784" t="str">
        <f>IFERROR(VLOOKUP(B784&amp; "*",'SKU Maintenance'!D:H,5,0),"not found")</f>
        <v>2010010298220020</v>
      </c>
      <c r="B784">
        <v>40019395</v>
      </c>
      <c r="C784" t="s">
        <v>214</v>
      </c>
      <c r="D784"/>
      <c r="E784"/>
      <c r="F784" s="3">
        <v>44757</v>
      </c>
      <c r="G784" s="49">
        <v>2</v>
      </c>
      <c r="H784">
        <v>539.55000000000007</v>
      </c>
      <c r="I784" s="9" t="s">
        <v>6945</v>
      </c>
      <c r="J784"/>
      <c r="K784"/>
      <c r="L784"/>
      <c r="M784"/>
      <c r="N784"/>
      <c r="O784"/>
      <c r="P784"/>
      <c r="Q784"/>
      <c r="R784"/>
    </row>
    <row r="785" spans="1:18" x14ac:dyDescent="0.25">
      <c r="A785" t="str">
        <f>IFERROR(VLOOKUP(B785&amp; "*",'SKU Maintenance'!D:H,5,0),"not found")</f>
        <v>2010010298180019</v>
      </c>
      <c r="B785">
        <v>40019398</v>
      </c>
      <c r="C785" t="s">
        <v>253</v>
      </c>
      <c r="D785"/>
      <c r="E785"/>
      <c r="F785" s="3">
        <v>44746</v>
      </c>
      <c r="G785" s="49">
        <v>1</v>
      </c>
      <c r="H785">
        <v>199.75</v>
      </c>
      <c r="I785" s="9" t="s">
        <v>6941</v>
      </c>
      <c r="J785"/>
      <c r="K785"/>
      <c r="L785"/>
      <c r="M785"/>
      <c r="N785"/>
      <c r="O785"/>
      <c r="P785"/>
      <c r="Q785"/>
      <c r="R785"/>
    </row>
    <row r="786" spans="1:18" x14ac:dyDescent="0.25">
      <c r="A786" t="str">
        <f>IFERROR(VLOOKUP(B786&amp; "*",'SKU Maintenance'!D:H,5,0),"not found")</f>
        <v>2010010104190039</v>
      </c>
      <c r="B786">
        <v>40019404</v>
      </c>
      <c r="C786" t="s">
        <v>97</v>
      </c>
      <c r="D786"/>
      <c r="E786"/>
      <c r="F786" s="3">
        <v>44750</v>
      </c>
      <c r="G786" s="49">
        <v>1</v>
      </c>
      <c r="H786">
        <v>299.75</v>
      </c>
      <c r="I786" s="9" t="s">
        <v>6939</v>
      </c>
      <c r="J786"/>
      <c r="K786"/>
      <c r="L786"/>
      <c r="M786"/>
      <c r="N786"/>
      <c r="O786"/>
      <c r="P786"/>
      <c r="Q786"/>
      <c r="R786"/>
    </row>
    <row r="787" spans="1:18" x14ac:dyDescent="0.25">
      <c r="A787" t="str">
        <f>IFERROR(VLOOKUP(B787&amp; "*",'SKU Maintenance'!D:H,5,0),"not found")</f>
        <v>2010010104980037</v>
      </c>
      <c r="B787">
        <v>40019406</v>
      </c>
      <c r="C787" t="s">
        <v>273</v>
      </c>
      <c r="D787"/>
      <c r="E787"/>
      <c r="F787" s="3">
        <v>44751</v>
      </c>
      <c r="G787" s="49">
        <v>1</v>
      </c>
      <c r="H787">
        <v>799.75</v>
      </c>
      <c r="I787" s="9" t="s">
        <v>6941</v>
      </c>
      <c r="J787"/>
      <c r="K787"/>
      <c r="L787"/>
      <c r="M787"/>
      <c r="N787"/>
      <c r="O787"/>
      <c r="P787"/>
      <c r="Q787"/>
      <c r="R787"/>
    </row>
    <row r="788" spans="1:18" x14ac:dyDescent="0.25">
      <c r="A788" t="str">
        <f>IFERROR(VLOOKUP(B788&amp; "*",'SKU Maintenance'!D:H,5,0),"not found")</f>
        <v>2010010103980037</v>
      </c>
      <c r="B788">
        <v>40019409</v>
      </c>
      <c r="C788" t="s">
        <v>208</v>
      </c>
      <c r="D788"/>
      <c r="E788"/>
      <c r="F788" s="3">
        <v>44769</v>
      </c>
      <c r="G788" s="49">
        <v>2</v>
      </c>
      <c r="H788">
        <v>1199.5</v>
      </c>
      <c r="I788" s="9" t="s">
        <v>6939</v>
      </c>
      <c r="J788"/>
      <c r="K788"/>
      <c r="L788"/>
      <c r="M788"/>
      <c r="N788"/>
      <c r="O788"/>
      <c r="P788"/>
      <c r="Q788"/>
      <c r="R788"/>
    </row>
    <row r="789" spans="1:18" x14ac:dyDescent="0.25">
      <c r="A789" t="str">
        <f>IFERROR(VLOOKUP(B789&amp; "*",'SKU Maintenance'!D:H,5,0),"not found")</f>
        <v>2010010102980036</v>
      </c>
      <c r="B789">
        <v>40019410</v>
      </c>
      <c r="C789" t="s">
        <v>252</v>
      </c>
      <c r="D789"/>
      <c r="E789"/>
      <c r="F789" s="3">
        <v>44746</v>
      </c>
      <c r="G789" s="49">
        <v>1</v>
      </c>
      <c r="H789">
        <v>499.75</v>
      </c>
      <c r="I789" s="9" t="s">
        <v>6941</v>
      </c>
      <c r="J789"/>
      <c r="K789"/>
      <c r="L789"/>
      <c r="M789"/>
      <c r="N789"/>
      <c r="O789"/>
      <c r="P789"/>
      <c r="Q789"/>
      <c r="R789"/>
    </row>
    <row r="790" spans="1:18" x14ac:dyDescent="0.25">
      <c r="A790" t="str">
        <f>IFERROR(VLOOKUP(B790&amp; "*",'SKU Maintenance'!D:H,5,0),"not found")</f>
        <v>2010010103980036</v>
      </c>
      <c r="B790">
        <v>40019413</v>
      </c>
      <c r="C790" t="s">
        <v>190</v>
      </c>
      <c r="D790"/>
      <c r="E790"/>
      <c r="F790" s="3">
        <v>44766</v>
      </c>
      <c r="G790" s="49">
        <v>1</v>
      </c>
      <c r="H790">
        <v>599.75</v>
      </c>
      <c r="I790" s="9" t="s">
        <v>6939</v>
      </c>
      <c r="J790"/>
      <c r="K790"/>
      <c r="L790"/>
      <c r="M790"/>
      <c r="N790"/>
      <c r="O790"/>
      <c r="P790"/>
      <c r="Q790"/>
      <c r="R790"/>
    </row>
    <row r="791" spans="1:18" x14ac:dyDescent="0.25">
      <c r="A791" t="str">
        <f>IFERROR(VLOOKUP(B791&amp; "*",'SKU Maintenance'!D:H,5,0),"not found")</f>
        <v>2010010103980036</v>
      </c>
      <c r="B791">
        <v>40019413</v>
      </c>
      <c r="C791" t="s">
        <v>190</v>
      </c>
      <c r="D791"/>
      <c r="E791"/>
      <c r="F791" s="3">
        <v>44769</v>
      </c>
      <c r="G791" s="49">
        <v>2</v>
      </c>
      <c r="H791">
        <v>1199.5</v>
      </c>
      <c r="I791" s="9" t="s">
        <v>6939</v>
      </c>
      <c r="J791"/>
      <c r="K791"/>
      <c r="L791"/>
      <c r="M791"/>
      <c r="N791"/>
      <c r="O791"/>
      <c r="P791"/>
      <c r="Q791"/>
      <c r="R791"/>
    </row>
    <row r="792" spans="1:18" x14ac:dyDescent="0.25">
      <c r="A792" t="str">
        <f>IFERROR(VLOOKUP(B792&amp; "*",'SKU Maintenance'!D:H,5,0),"not found")</f>
        <v>2010010298200021</v>
      </c>
      <c r="B792">
        <v>40019428</v>
      </c>
      <c r="C792" t="s">
        <v>116</v>
      </c>
      <c r="D792"/>
      <c r="E792"/>
      <c r="F792" s="3">
        <v>44753</v>
      </c>
      <c r="G792" s="49">
        <v>1</v>
      </c>
      <c r="H792">
        <v>699.75</v>
      </c>
      <c r="I792" s="9" t="s">
        <v>6939</v>
      </c>
      <c r="J792"/>
      <c r="K792"/>
      <c r="L792"/>
      <c r="M792"/>
      <c r="N792"/>
      <c r="O792"/>
      <c r="P792"/>
      <c r="Q792"/>
      <c r="R792"/>
    </row>
    <row r="793" spans="1:18" x14ac:dyDescent="0.25">
      <c r="A793" t="str">
        <f>IFERROR(VLOOKUP(B793&amp; "*",'SKU Maintenance'!D:H,5,0),"not found")</f>
        <v>2010010103130042</v>
      </c>
      <c r="B793">
        <v>40019431</v>
      </c>
      <c r="C793" t="s">
        <v>106</v>
      </c>
      <c r="D793"/>
      <c r="E793"/>
      <c r="F793" s="3">
        <v>44752</v>
      </c>
      <c r="G793" s="49">
        <v>2</v>
      </c>
      <c r="H793">
        <v>399.5</v>
      </c>
      <c r="I793" s="9" t="s">
        <v>6939</v>
      </c>
      <c r="J793"/>
      <c r="K793"/>
      <c r="L793"/>
      <c r="M793"/>
      <c r="N793"/>
      <c r="O793"/>
      <c r="P793"/>
      <c r="Q793"/>
      <c r="R793"/>
    </row>
    <row r="794" spans="1:18" x14ac:dyDescent="0.25">
      <c r="A794" t="str">
        <f>IFERROR(VLOOKUP(B794&amp; "*",'SKU Maintenance'!D:H,5,0),"not found")</f>
        <v>2010010103130042</v>
      </c>
      <c r="B794">
        <v>40019431</v>
      </c>
      <c r="C794" t="s">
        <v>106</v>
      </c>
      <c r="D794"/>
      <c r="E794"/>
      <c r="F794" s="3">
        <v>44766</v>
      </c>
      <c r="G794" s="49">
        <v>1</v>
      </c>
      <c r="H794">
        <v>199.75</v>
      </c>
      <c r="I794" s="9" t="s">
        <v>6939</v>
      </c>
      <c r="J794"/>
      <c r="K794"/>
      <c r="L794"/>
      <c r="M794"/>
      <c r="N794"/>
      <c r="O794"/>
      <c r="P794"/>
      <c r="Q794"/>
      <c r="R794"/>
    </row>
    <row r="795" spans="1:18" x14ac:dyDescent="0.25">
      <c r="A795" t="str">
        <f>IFERROR(VLOOKUP(B795&amp; "*",'SKU Maintenance'!D:H,5,0),"not found")</f>
        <v>2010010103130042</v>
      </c>
      <c r="B795">
        <v>40019431</v>
      </c>
      <c r="C795" t="s">
        <v>106</v>
      </c>
      <c r="D795"/>
      <c r="E795"/>
      <c r="F795" s="3">
        <v>44760</v>
      </c>
      <c r="G795" s="49">
        <v>1</v>
      </c>
      <c r="H795">
        <v>199.75</v>
      </c>
      <c r="I795" s="9" t="s">
        <v>6941</v>
      </c>
      <c r="J795"/>
      <c r="K795"/>
      <c r="L795"/>
      <c r="M795"/>
      <c r="N795"/>
      <c r="O795"/>
      <c r="P795"/>
      <c r="Q795"/>
      <c r="R795"/>
    </row>
    <row r="796" spans="1:18" x14ac:dyDescent="0.25">
      <c r="A796" t="str">
        <f>IFERROR(VLOOKUP(B796&amp; "*",'SKU Maintenance'!D:H,5,0),"not found")</f>
        <v>2010010103040042</v>
      </c>
      <c r="B796">
        <v>40019432</v>
      </c>
      <c r="C796" t="s">
        <v>106</v>
      </c>
      <c r="D796"/>
      <c r="E796"/>
      <c r="F796" s="3">
        <v>44745</v>
      </c>
      <c r="G796" s="49">
        <v>1</v>
      </c>
      <c r="H796">
        <v>179.77500000000001</v>
      </c>
      <c r="I796" s="9" t="s">
        <v>6941</v>
      </c>
      <c r="J796"/>
      <c r="K796"/>
      <c r="L796"/>
      <c r="M796"/>
      <c r="N796"/>
      <c r="O796"/>
      <c r="P796"/>
      <c r="Q796"/>
      <c r="R796"/>
    </row>
    <row r="797" spans="1:18" x14ac:dyDescent="0.25">
      <c r="A797" t="str">
        <f>IFERROR(VLOOKUP(B797&amp; "*",'SKU Maintenance'!D:H,5,0),"not found")</f>
        <v>2010010103040042</v>
      </c>
      <c r="B797">
        <v>40019432</v>
      </c>
      <c r="C797" t="s">
        <v>106</v>
      </c>
      <c r="D797"/>
      <c r="E797"/>
      <c r="F797" s="3">
        <v>44757</v>
      </c>
      <c r="G797" s="49">
        <v>1</v>
      </c>
      <c r="H797">
        <v>179.77500000000001</v>
      </c>
      <c r="I797" s="9" t="s">
        <v>6941</v>
      </c>
      <c r="J797"/>
      <c r="K797"/>
      <c r="L797"/>
      <c r="M797"/>
      <c r="N797"/>
      <c r="O797"/>
      <c r="P797"/>
      <c r="Q797"/>
      <c r="R797"/>
    </row>
    <row r="798" spans="1:18" x14ac:dyDescent="0.25">
      <c r="A798" t="str">
        <f>IFERROR(VLOOKUP(B798&amp; "*",'SKU Maintenance'!D:H,5,0),"not found")</f>
        <v>2010041801240009</v>
      </c>
      <c r="B798">
        <v>40019621</v>
      </c>
      <c r="C798" t="s">
        <v>340</v>
      </c>
      <c r="D798"/>
      <c r="E798"/>
      <c r="F798" s="3">
        <v>44769</v>
      </c>
      <c r="G798" s="49">
        <v>1</v>
      </c>
      <c r="H798">
        <v>229.75</v>
      </c>
      <c r="I798" s="9" t="s">
        <v>6941</v>
      </c>
      <c r="J798"/>
      <c r="K798"/>
      <c r="L798"/>
      <c r="M798"/>
      <c r="N798"/>
      <c r="O798"/>
      <c r="P798"/>
      <c r="Q798"/>
      <c r="R798"/>
    </row>
    <row r="799" spans="1:18" x14ac:dyDescent="0.25">
      <c r="A799" t="str">
        <f>IFERROR(VLOOKUP(B799&amp; "*",'SKU Maintenance'!D:H,5,0),"X9998")</f>
        <v>X9998</v>
      </c>
      <c r="B799">
        <v>40019626</v>
      </c>
      <c r="C799" t="s">
        <v>327</v>
      </c>
      <c r="D799"/>
      <c r="E799"/>
      <c r="F799" s="3">
        <v>44766</v>
      </c>
      <c r="G799" s="49">
        <v>1</v>
      </c>
      <c r="H799">
        <v>499.75</v>
      </c>
      <c r="I799" s="9" t="s">
        <v>6941</v>
      </c>
      <c r="J799"/>
      <c r="K799"/>
      <c r="L799"/>
      <c r="M799"/>
      <c r="N799"/>
      <c r="O799"/>
      <c r="P799"/>
      <c r="Q799"/>
      <c r="R799"/>
    </row>
    <row r="800" spans="1:18" x14ac:dyDescent="0.25">
      <c r="A800" t="str">
        <f>IFERROR(VLOOKUP(B800&amp; "*",'SKU Maintenance'!D:H,5,0),"X9998")</f>
        <v>X9998</v>
      </c>
      <c r="B800">
        <v>40019627</v>
      </c>
      <c r="C800" t="s">
        <v>328</v>
      </c>
      <c r="D800"/>
      <c r="E800"/>
      <c r="F800" s="3">
        <v>44766</v>
      </c>
      <c r="G800" s="49">
        <v>1</v>
      </c>
      <c r="H800">
        <v>699.75</v>
      </c>
      <c r="I800" s="9" t="s">
        <v>6941</v>
      </c>
      <c r="J800"/>
      <c r="K800"/>
      <c r="L800"/>
      <c r="M800"/>
      <c r="N800"/>
      <c r="O800"/>
      <c r="P800"/>
      <c r="Q800"/>
      <c r="R800"/>
    </row>
    <row r="801" spans="1:18" x14ac:dyDescent="0.25">
      <c r="A801" t="str">
        <f>IFERROR(VLOOKUP(B801&amp; "*",'SKU Maintenance'!D:H,5,0),"X9998")</f>
        <v>X9998</v>
      </c>
      <c r="B801">
        <v>40019630</v>
      </c>
      <c r="C801" t="s">
        <v>329</v>
      </c>
      <c r="D801"/>
      <c r="E801"/>
      <c r="F801" s="3">
        <v>44766</v>
      </c>
      <c r="G801" s="49">
        <v>1</v>
      </c>
      <c r="H801">
        <v>1299.75</v>
      </c>
      <c r="I801" s="9" t="s">
        <v>6941</v>
      </c>
      <c r="J801"/>
      <c r="K801"/>
      <c r="L801"/>
      <c r="M801"/>
      <c r="N801"/>
      <c r="O801"/>
      <c r="P801"/>
      <c r="Q801"/>
      <c r="R801"/>
    </row>
    <row r="802" spans="1:18" x14ac:dyDescent="0.25">
      <c r="A802" t="str">
        <f>IFERROR(VLOOKUP(B802&amp; "*",'SKU Maintenance'!D:H,5,0),"not found")</f>
        <v>2010041098250234</v>
      </c>
      <c r="B802">
        <v>40020371</v>
      </c>
      <c r="C802" t="s">
        <v>115</v>
      </c>
      <c r="D802"/>
      <c r="E802"/>
      <c r="F802" s="3">
        <v>44752</v>
      </c>
      <c r="G802" s="49">
        <v>2</v>
      </c>
      <c r="H802">
        <v>799.5</v>
      </c>
      <c r="I802" s="9" t="s">
        <v>6939</v>
      </c>
      <c r="J802"/>
      <c r="K802"/>
      <c r="L802"/>
      <c r="M802"/>
      <c r="N802"/>
      <c r="O802"/>
      <c r="P802"/>
      <c r="Q802"/>
      <c r="R802"/>
    </row>
    <row r="803" spans="1:18" x14ac:dyDescent="0.25">
      <c r="A803" t="str">
        <f>IFERROR(VLOOKUP(B803&amp; "*",'SKU Maintenance'!D:H,5,0),"not found")</f>
        <v>2010041903180005</v>
      </c>
      <c r="B803">
        <v>40020388</v>
      </c>
      <c r="C803" t="s">
        <v>454</v>
      </c>
      <c r="D803"/>
      <c r="E803"/>
      <c r="F803" s="3">
        <v>44758</v>
      </c>
      <c r="G803" s="49">
        <v>1</v>
      </c>
      <c r="H803">
        <v>1299.75</v>
      </c>
      <c r="I803" s="9" t="s">
        <v>6945</v>
      </c>
      <c r="J803"/>
      <c r="K803"/>
      <c r="L803"/>
      <c r="M803"/>
      <c r="N803"/>
      <c r="O803"/>
      <c r="P803"/>
      <c r="Q803"/>
      <c r="R803"/>
    </row>
    <row r="804" spans="1:18" x14ac:dyDescent="0.25">
      <c r="A804" t="str">
        <f>IFERROR(VLOOKUP(B804&amp; "*",'SKU Maintenance'!D:H,5,0),"not found")</f>
        <v>2010041901180005</v>
      </c>
      <c r="B804">
        <v>40020389</v>
      </c>
      <c r="C804" t="s">
        <v>455</v>
      </c>
      <c r="D804"/>
      <c r="E804"/>
      <c r="F804" s="3">
        <v>44758</v>
      </c>
      <c r="G804" s="49">
        <v>1</v>
      </c>
      <c r="H804">
        <v>799.75</v>
      </c>
      <c r="I804" s="9" t="s">
        <v>6945</v>
      </c>
      <c r="J804"/>
      <c r="K804"/>
      <c r="L804"/>
      <c r="M804"/>
      <c r="N804"/>
      <c r="O804"/>
      <c r="P804"/>
      <c r="Q804"/>
      <c r="R804"/>
    </row>
    <row r="805" spans="1:18" x14ac:dyDescent="0.25">
      <c r="A805" t="str">
        <f>IFERROR(VLOOKUP(B805&amp; "*",'SKU Maintenance'!D:H,5,0),"not found")</f>
        <v>2010041903160005</v>
      </c>
      <c r="B805">
        <v>40020390</v>
      </c>
      <c r="C805" t="s">
        <v>454</v>
      </c>
      <c r="D805"/>
      <c r="E805"/>
      <c r="F805" s="3">
        <v>44758</v>
      </c>
      <c r="G805" s="49">
        <v>1</v>
      </c>
      <c r="H805">
        <v>1299.75</v>
      </c>
      <c r="I805" s="9" t="s">
        <v>6945</v>
      </c>
      <c r="J805"/>
      <c r="K805"/>
      <c r="L805"/>
      <c r="M805"/>
      <c r="N805"/>
      <c r="O805"/>
      <c r="P805"/>
      <c r="Q805"/>
      <c r="R805"/>
    </row>
    <row r="806" spans="1:18" x14ac:dyDescent="0.25">
      <c r="A806" t="str">
        <f>IFERROR(VLOOKUP(B806&amp; "*",'SKU Maintenance'!D:H,5,0),"not found")</f>
        <v>2010041901160005</v>
      </c>
      <c r="B806">
        <v>40020391</v>
      </c>
      <c r="C806" t="s">
        <v>455</v>
      </c>
      <c r="D806"/>
      <c r="E806"/>
      <c r="F806" s="3">
        <v>44758</v>
      </c>
      <c r="G806" s="49">
        <v>1</v>
      </c>
      <c r="H806">
        <v>799.75</v>
      </c>
      <c r="I806" s="9" t="s">
        <v>6945</v>
      </c>
      <c r="J806"/>
      <c r="K806"/>
      <c r="L806"/>
      <c r="M806"/>
      <c r="N806"/>
      <c r="O806"/>
      <c r="P806"/>
      <c r="Q806"/>
      <c r="R806"/>
    </row>
    <row r="807" spans="1:18" x14ac:dyDescent="0.25">
      <c r="A807" t="str">
        <f>IFERROR(VLOOKUP(B807&amp; "*",'SKU Maintenance'!D:H,5,0),"X9998")</f>
        <v>X9998</v>
      </c>
      <c r="B807">
        <v>40020434</v>
      </c>
      <c r="C807" t="s">
        <v>325</v>
      </c>
      <c r="D807"/>
      <c r="E807"/>
      <c r="F807" s="3">
        <v>44766</v>
      </c>
      <c r="G807" s="49">
        <v>1</v>
      </c>
      <c r="H807">
        <v>449.75</v>
      </c>
      <c r="I807" s="9" t="s">
        <v>6941</v>
      </c>
      <c r="J807"/>
      <c r="K807"/>
      <c r="L807"/>
      <c r="M807"/>
      <c r="N807"/>
      <c r="O807"/>
      <c r="P807"/>
      <c r="Q807"/>
      <c r="R807"/>
    </row>
    <row r="808" spans="1:18" x14ac:dyDescent="0.25">
      <c r="A808" t="str">
        <f>IFERROR(VLOOKUP(B808&amp; "*",'SKU Maintenance'!D:H,5,0),"X9998")</f>
        <v>X9998</v>
      </c>
      <c r="B808">
        <v>40020435</v>
      </c>
      <c r="C808" t="s">
        <v>319</v>
      </c>
      <c r="D808"/>
      <c r="E808"/>
      <c r="F808" s="3">
        <v>44765</v>
      </c>
      <c r="G808" s="49">
        <v>1</v>
      </c>
      <c r="H808">
        <v>599.75</v>
      </c>
      <c r="I808" s="9" t="s">
        <v>6941</v>
      </c>
      <c r="J808"/>
      <c r="K808"/>
      <c r="L808"/>
      <c r="M808"/>
      <c r="N808"/>
      <c r="O808"/>
      <c r="P808"/>
      <c r="Q808"/>
      <c r="R808"/>
    </row>
    <row r="809" spans="1:18" x14ac:dyDescent="0.25">
      <c r="A809" t="str">
        <f>IFERROR(VLOOKUP(B809&amp; "*",'SKU Maintenance'!D:H,5,0),"X9998")</f>
        <v>X9998</v>
      </c>
      <c r="B809">
        <v>40020436</v>
      </c>
      <c r="C809" t="s">
        <v>326</v>
      </c>
      <c r="D809"/>
      <c r="E809"/>
      <c r="F809" s="3">
        <v>44766</v>
      </c>
      <c r="G809" s="49">
        <v>1</v>
      </c>
      <c r="H809">
        <v>449.75</v>
      </c>
      <c r="I809" s="9" t="s">
        <v>6941</v>
      </c>
      <c r="J809"/>
      <c r="K809"/>
      <c r="L809"/>
      <c r="M809"/>
      <c r="N809"/>
      <c r="O809"/>
      <c r="P809"/>
      <c r="Q809"/>
      <c r="R809"/>
    </row>
    <row r="810" spans="1:18" x14ac:dyDescent="0.25">
      <c r="A810" t="str">
        <f>IFERROR(VLOOKUP(B810&amp; "*",'SKU Maintenance'!D:H,5,0),"X9998")</f>
        <v>X9998</v>
      </c>
      <c r="B810">
        <v>40020440</v>
      </c>
      <c r="C810" t="s">
        <v>237</v>
      </c>
      <c r="D810"/>
      <c r="E810"/>
      <c r="F810" s="3">
        <v>44743</v>
      </c>
      <c r="G810" s="49">
        <v>1</v>
      </c>
      <c r="H810">
        <v>349.75</v>
      </c>
      <c r="I810" s="9" t="s">
        <v>6941</v>
      </c>
      <c r="J810"/>
      <c r="K810"/>
      <c r="L810"/>
      <c r="M810"/>
      <c r="N810"/>
      <c r="O810"/>
      <c r="P810"/>
      <c r="Q810"/>
      <c r="R810"/>
    </row>
    <row r="811" spans="1:18" x14ac:dyDescent="0.25">
      <c r="A811" t="str">
        <f>IFERROR(VLOOKUP(B811&amp; "*",'SKU Maintenance'!D:H,5,0),"not found")</f>
        <v>2010030403133457</v>
      </c>
      <c r="B811">
        <v>40020447</v>
      </c>
      <c r="C811" t="s">
        <v>469</v>
      </c>
      <c r="D811"/>
      <c r="E811"/>
      <c r="F811" s="3">
        <v>44771</v>
      </c>
      <c r="G811" s="49">
        <v>1</v>
      </c>
      <c r="H811">
        <v>499.75</v>
      </c>
      <c r="I811" s="9" t="s">
        <v>6945</v>
      </c>
      <c r="J811"/>
      <c r="K811"/>
      <c r="L811"/>
      <c r="M811"/>
      <c r="N811"/>
      <c r="O811"/>
      <c r="P811"/>
      <c r="Q811"/>
      <c r="R811"/>
    </row>
    <row r="812" spans="1:18" x14ac:dyDescent="0.25">
      <c r="A812" t="str">
        <f>IFERROR(VLOOKUP(B812&amp; "*",'SKU Maintenance'!D:H,5,0),"not found")</f>
        <v>2010030403173457</v>
      </c>
      <c r="B812">
        <v>40020448</v>
      </c>
      <c r="C812" t="s">
        <v>62</v>
      </c>
      <c r="D812"/>
      <c r="E812"/>
      <c r="F812" s="3">
        <v>44744</v>
      </c>
      <c r="G812" s="49">
        <v>1</v>
      </c>
      <c r="H812">
        <v>499.75</v>
      </c>
      <c r="I812" s="9" t="s">
        <v>6939</v>
      </c>
      <c r="J812"/>
      <c r="K812"/>
      <c r="L812"/>
      <c r="M812"/>
      <c r="N812"/>
      <c r="O812"/>
      <c r="P812"/>
      <c r="Q812"/>
      <c r="R812"/>
    </row>
    <row r="813" spans="1:18" x14ac:dyDescent="0.25">
      <c r="A813" t="str">
        <f>IFERROR(VLOOKUP(B813&amp; "*",'SKU Maintenance'!D:H,5,0),"not found")</f>
        <v>2010030403173457</v>
      </c>
      <c r="B813">
        <v>40020448</v>
      </c>
      <c r="C813" t="s">
        <v>62</v>
      </c>
      <c r="D813"/>
      <c r="E813"/>
      <c r="F813" s="3">
        <v>44745</v>
      </c>
      <c r="G813" s="49">
        <v>1</v>
      </c>
      <c r="H813">
        <v>499.75</v>
      </c>
      <c r="I813" s="9" t="s">
        <v>6939</v>
      </c>
      <c r="J813"/>
      <c r="K813"/>
      <c r="L813"/>
      <c r="M813"/>
      <c r="N813"/>
      <c r="O813"/>
      <c r="P813"/>
      <c r="Q813"/>
      <c r="R813"/>
    </row>
    <row r="814" spans="1:18" x14ac:dyDescent="0.25">
      <c r="A814" t="str">
        <f>IFERROR(VLOOKUP(B814&amp; "*",'SKU Maintenance'!D:H,5,0),"not found")</f>
        <v>2010030403173457</v>
      </c>
      <c r="B814">
        <v>40020448</v>
      </c>
      <c r="C814" t="s">
        <v>62</v>
      </c>
      <c r="D814"/>
      <c r="E814"/>
      <c r="F814" s="3">
        <v>44766</v>
      </c>
      <c r="G814" s="49">
        <v>1</v>
      </c>
      <c r="H814">
        <v>499.75</v>
      </c>
      <c r="I814" s="9" t="s">
        <v>6939</v>
      </c>
      <c r="J814"/>
      <c r="K814"/>
      <c r="L814"/>
      <c r="M814"/>
      <c r="N814"/>
      <c r="O814"/>
      <c r="P814"/>
      <c r="Q814"/>
      <c r="R814"/>
    </row>
    <row r="815" spans="1:18" x14ac:dyDescent="0.25">
      <c r="A815" t="str">
        <f>IFERROR(VLOOKUP(B815&amp; "*",'SKU Maintenance'!D:H,5,0),"not found")</f>
        <v>2010030403173457</v>
      </c>
      <c r="B815">
        <v>40020448</v>
      </c>
      <c r="C815" t="s">
        <v>62</v>
      </c>
      <c r="D815"/>
      <c r="E815"/>
      <c r="F815" s="3">
        <v>44769</v>
      </c>
      <c r="G815" s="49">
        <v>1</v>
      </c>
      <c r="H815">
        <v>499.75</v>
      </c>
      <c r="I815" s="9" t="s">
        <v>6939</v>
      </c>
      <c r="J815"/>
      <c r="K815"/>
      <c r="L815"/>
      <c r="M815"/>
      <c r="N815"/>
      <c r="O815"/>
      <c r="P815"/>
      <c r="Q815"/>
      <c r="R815"/>
    </row>
    <row r="816" spans="1:18" x14ac:dyDescent="0.25">
      <c r="A816" t="str">
        <f>IFERROR(VLOOKUP(B816&amp; "*",'SKU Maintenance'!D:H,5,0),"not found")</f>
        <v>2010030403173457</v>
      </c>
      <c r="B816">
        <v>40020448</v>
      </c>
      <c r="C816" t="s">
        <v>62</v>
      </c>
      <c r="D816"/>
      <c r="E816"/>
      <c r="F816" s="3">
        <v>44748</v>
      </c>
      <c r="G816" s="49">
        <v>1</v>
      </c>
      <c r="H816">
        <v>499.75</v>
      </c>
      <c r="I816" s="9" t="s">
        <v>6941</v>
      </c>
      <c r="J816"/>
      <c r="K816"/>
      <c r="L816"/>
      <c r="M816"/>
      <c r="N816"/>
      <c r="O816"/>
      <c r="P816"/>
      <c r="Q816"/>
      <c r="R816"/>
    </row>
    <row r="817" spans="1:18" x14ac:dyDescent="0.25">
      <c r="A817" t="str">
        <f>IFERROR(VLOOKUP(B817&amp; "*",'SKU Maintenance'!D:H,5,0),"not found")</f>
        <v>2010030403173457</v>
      </c>
      <c r="B817">
        <v>40020448</v>
      </c>
      <c r="C817" t="s">
        <v>62</v>
      </c>
      <c r="D817"/>
      <c r="E817"/>
      <c r="F817" s="3">
        <v>44750</v>
      </c>
      <c r="G817" s="49">
        <v>1</v>
      </c>
      <c r="H817">
        <v>499.75</v>
      </c>
      <c r="I817" s="9" t="s">
        <v>6941</v>
      </c>
      <c r="J817"/>
      <c r="K817"/>
      <c r="L817"/>
      <c r="M817"/>
      <c r="N817"/>
      <c r="O817"/>
      <c r="P817"/>
      <c r="Q817"/>
      <c r="R817"/>
    </row>
    <row r="818" spans="1:18" x14ac:dyDescent="0.25">
      <c r="A818" t="str">
        <f>IFERROR(VLOOKUP(B818&amp; "*",'SKU Maintenance'!D:H,5,0),"not found")</f>
        <v>2010030403173457</v>
      </c>
      <c r="B818">
        <v>40020448</v>
      </c>
      <c r="C818" t="s">
        <v>62</v>
      </c>
      <c r="D818"/>
      <c r="E818"/>
      <c r="F818" s="3">
        <v>44760</v>
      </c>
      <c r="G818" s="49">
        <v>1</v>
      </c>
      <c r="H818">
        <v>499.75</v>
      </c>
      <c r="I818" s="9" t="s">
        <v>6941</v>
      </c>
      <c r="J818"/>
      <c r="K818"/>
      <c r="L818"/>
      <c r="M818"/>
      <c r="N818"/>
      <c r="O818"/>
      <c r="P818"/>
      <c r="Q818"/>
      <c r="R818"/>
    </row>
    <row r="819" spans="1:18" x14ac:dyDescent="0.25">
      <c r="A819" t="str">
        <f>IFERROR(VLOOKUP(B819&amp; "*",'SKU Maintenance'!D:H,5,0),"not found")</f>
        <v>2010030403133456</v>
      </c>
      <c r="B819">
        <v>40020449</v>
      </c>
      <c r="C819" t="s">
        <v>255</v>
      </c>
      <c r="D819"/>
      <c r="E819"/>
      <c r="F819" s="3">
        <v>44746</v>
      </c>
      <c r="G819" s="49">
        <v>1</v>
      </c>
      <c r="H819">
        <v>499.75</v>
      </c>
      <c r="I819" s="9" t="s">
        <v>6941</v>
      </c>
      <c r="J819"/>
      <c r="K819"/>
      <c r="L819"/>
      <c r="M819"/>
      <c r="N819"/>
      <c r="O819"/>
      <c r="P819"/>
      <c r="Q819"/>
      <c r="R819"/>
    </row>
    <row r="820" spans="1:18" x14ac:dyDescent="0.25">
      <c r="A820" t="str">
        <f>IFERROR(VLOOKUP(B820&amp; "*",'SKU Maintenance'!D:H,5,0),"not found")</f>
        <v>2010030403173456</v>
      </c>
      <c r="B820">
        <v>40020450</v>
      </c>
      <c r="C820" t="s">
        <v>240</v>
      </c>
      <c r="D820"/>
      <c r="E820"/>
      <c r="F820" s="3">
        <v>44743</v>
      </c>
      <c r="G820" s="49">
        <v>1</v>
      </c>
      <c r="H820">
        <v>499.75</v>
      </c>
      <c r="I820" s="9" t="s">
        <v>6941</v>
      </c>
      <c r="J820"/>
      <c r="K820"/>
      <c r="L820"/>
      <c r="M820"/>
      <c r="N820"/>
      <c r="O820"/>
      <c r="P820"/>
      <c r="Q820"/>
      <c r="R820"/>
    </row>
    <row r="821" spans="1:18" x14ac:dyDescent="0.25">
      <c r="A821" t="str">
        <f>IFERROR(VLOOKUP(B821&amp; "*",'SKU Maintenance'!D:H,5,0),"not found")</f>
        <v>2010030402043462</v>
      </c>
      <c r="B821">
        <v>40020451</v>
      </c>
      <c r="C821" t="s">
        <v>196</v>
      </c>
      <c r="D821"/>
      <c r="E821"/>
      <c r="F821" s="3">
        <v>44766</v>
      </c>
      <c r="G821" s="49">
        <v>1</v>
      </c>
      <c r="H821">
        <v>399.75</v>
      </c>
      <c r="I821" s="9" t="s">
        <v>6939</v>
      </c>
      <c r="J821"/>
      <c r="K821"/>
      <c r="L821"/>
      <c r="M821"/>
      <c r="N821"/>
      <c r="O821"/>
      <c r="P821"/>
      <c r="Q821"/>
      <c r="R821"/>
    </row>
    <row r="822" spans="1:18" x14ac:dyDescent="0.25">
      <c r="A822" t="str">
        <f>IFERROR(VLOOKUP(B822&amp; "*",'SKU Maintenance'!D:H,5,0),"not found")</f>
        <v>2010030402043462</v>
      </c>
      <c r="B822">
        <v>40020451</v>
      </c>
      <c r="C822" t="s">
        <v>196</v>
      </c>
      <c r="D822"/>
      <c r="E822"/>
      <c r="F822" s="3">
        <v>44763</v>
      </c>
      <c r="G822" s="49">
        <v>1</v>
      </c>
      <c r="H822">
        <v>399.75</v>
      </c>
      <c r="I822" s="9" t="s">
        <v>6941</v>
      </c>
      <c r="J822"/>
      <c r="K822"/>
      <c r="L822"/>
      <c r="M822"/>
      <c r="N822"/>
      <c r="O822"/>
      <c r="P822"/>
      <c r="Q822"/>
      <c r="R822"/>
    </row>
    <row r="823" spans="1:18" x14ac:dyDescent="0.25">
      <c r="A823" t="str">
        <f>IFERROR(VLOOKUP(B823&amp; "*",'SKU Maintenance'!D:H,5,0),"not found")</f>
        <v>2010030402043462</v>
      </c>
      <c r="B823">
        <v>40020451</v>
      </c>
      <c r="C823" t="s">
        <v>196</v>
      </c>
      <c r="D823"/>
      <c r="E823"/>
      <c r="F823" s="3">
        <v>44773</v>
      </c>
      <c r="G823" s="49">
        <v>1</v>
      </c>
      <c r="H823">
        <v>399.75</v>
      </c>
      <c r="I823" s="9" t="s">
        <v>6941</v>
      </c>
      <c r="J823"/>
      <c r="K823"/>
      <c r="L823"/>
      <c r="M823"/>
      <c r="N823"/>
      <c r="O823"/>
      <c r="P823"/>
      <c r="Q823"/>
      <c r="R823"/>
    </row>
    <row r="824" spans="1:18" x14ac:dyDescent="0.25">
      <c r="A824" t="str">
        <f>IFERROR(VLOOKUP(B824&amp; "*",'SKU Maintenance'!D:H,5,0),"not found")</f>
        <v>2010030402043462</v>
      </c>
      <c r="B824">
        <v>40020451</v>
      </c>
      <c r="C824" t="s">
        <v>196</v>
      </c>
      <c r="D824"/>
      <c r="E824"/>
      <c r="F824" s="3">
        <v>44773</v>
      </c>
      <c r="G824" s="49">
        <v>1</v>
      </c>
      <c r="H824">
        <v>399.75</v>
      </c>
      <c r="I824" s="9" t="s">
        <v>6943</v>
      </c>
      <c r="J824"/>
      <c r="K824"/>
      <c r="L824"/>
      <c r="M824"/>
      <c r="N824"/>
      <c r="O824"/>
      <c r="P824"/>
      <c r="Q824"/>
      <c r="R824"/>
    </row>
    <row r="825" spans="1:18" x14ac:dyDescent="0.25">
      <c r="A825" t="str">
        <f>IFERROR(VLOOKUP(B825&amp; "*",'SKU Maintenance'!D:H,5,0),"not found")</f>
        <v>2010030402223462</v>
      </c>
      <c r="B825">
        <v>40020452</v>
      </c>
      <c r="C825" t="s">
        <v>320</v>
      </c>
      <c r="D825"/>
      <c r="E825"/>
      <c r="F825" s="3">
        <v>44765</v>
      </c>
      <c r="G825" s="49">
        <v>1</v>
      </c>
      <c r="H825">
        <v>399.75</v>
      </c>
      <c r="I825" s="9" t="s">
        <v>6941</v>
      </c>
      <c r="J825"/>
      <c r="K825"/>
      <c r="L825"/>
      <c r="M825"/>
      <c r="N825"/>
      <c r="O825"/>
      <c r="P825"/>
      <c r="Q825"/>
      <c r="R825"/>
    </row>
    <row r="826" spans="1:18" x14ac:dyDescent="0.25">
      <c r="A826" t="str">
        <f>IFERROR(VLOOKUP(B826&amp; "*",'SKU Maintenance'!D:H,5,0),"not found")</f>
        <v>2010030402223462</v>
      </c>
      <c r="B826">
        <v>40020452</v>
      </c>
      <c r="C826" t="s">
        <v>320</v>
      </c>
      <c r="D826"/>
      <c r="E826"/>
      <c r="F826" s="3">
        <v>44752</v>
      </c>
      <c r="G826" s="49">
        <v>1</v>
      </c>
      <c r="H826">
        <v>399.75</v>
      </c>
      <c r="I826" s="9" t="s">
        <v>6945</v>
      </c>
      <c r="J826"/>
      <c r="K826"/>
      <c r="L826"/>
      <c r="M826"/>
      <c r="N826"/>
      <c r="O826"/>
      <c r="P826"/>
      <c r="Q826"/>
      <c r="R826"/>
    </row>
    <row r="827" spans="1:18" x14ac:dyDescent="0.25">
      <c r="A827" t="str">
        <f>IFERROR(VLOOKUP(B827&amp; "*",'SKU Maintenance'!D:H,5,0),"not found")</f>
        <v>2010030402223462</v>
      </c>
      <c r="B827">
        <v>40020452</v>
      </c>
      <c r="C827" t="s">
        <v>320</v>
      </c>
      <c r="D827"/>
      <c r="E827"/>
      <c r="F827" s="3">
        <v>44758</v>
      </c>
      <c r="G827" s="49">
        <v>1</v>
      </c>
      <c r="H827">
        <v>399.75</v>
      </c>
      <c r="I827" s="9" t="s">
        <v>6945</v>
      </c>
      <c r="J827"/>
      <c r="K827"/>
      <c r="L827"/>
      <c r="M827"/>
      <c r="N827"/>
      <c r="O827"/>
      <c r="P827"/>
      <c r="Q827"/>
      <c r="R827"/>
    </row>
    <row r="828" spans="1:18" x14ac:dyDescent="0.25">
      <c r="A828" t="str">
        <f>IFERROR(VLOOKUP(B828&amp; "*",'SKU Maintenance'!D:H,5,0),"not found")</f>
        <v>2010030402223462</v>
      </c>
      <c r="B828">
        <v>40020452</v>
      </c>
      <c r="C828" t="s">
        <v>320</v>
      </c>
      <c r="D828"/>
      <c r="E828"/>
      <c r="F828" s="3">
        <v>44762</v>
      </c>
      <c r="G828" s="49">
        <v>1</v>
      </c>
      <c r="H828">
        <v>399.75</v>
      </c>
      <c r="I828" s="9" t="s">
        <v>6945</v>
      </c>
      <c r="J828"/>
      <c r="K828"/>
      <c r="L828"/>
      <c r="M828"/>
      <c r="N828"/>
      <c r="O828"/>
      <c r="P828"/>
      <c r="Q828"/>
      <c r="R828"/>
    </row>
    <row r="829" spans="1:18" x14ac:dyDescent="0.25">
      <c r="A829" t="str">
        <f>IFERROR(VLOOKUP(B829&amp; "*",'SKU Maintenance'!D:H,5,0),"not found")</f>
        <v>2010030402223462</v>
      </c>
      <c r="B829">
        <v>40020452</v>
      </c>
      <c r="C829" t="s">
        <v>320</v>
      </c>
      <c r="D829"/>
      <c r="E829"/>
      <c r="F829" s="3">
        <v>44771</v>
      </c>
      <c r="G829" s="49">
        <v>1</v>
      </c>
      <c r="H829">
        <v>399.75</v>
      </c>
      <c r="I829" s="9" t="s">
        <v>6945</v>
      </c>
      <c r="J829"/>
      <c r="K829"/>
      <c r="L829"/>
      <c r="M829"/>
      <c r="N829"/>
      <c r="O829"/>
      <c r="P829"/>
      <c r="Q829"/>
      <c r="R829"/>
    </row>
    <row r="830" spans="1:18" x14ac:dyDescent="0.25">
      <c r="A830" t="str">
        <f>IFERROR(VLOOKUP(B830&amp; "*",'SKU Maintenance'!D:H,5,0),"not found")</f>
        <v>2010030402173462</v>
      </c>
      <c r="B830">
        <v>40020453</v>
      </c>
      <c r="C830" t="s">
        <v>458</v>
      </c>
      <c r="D830"/>
      <c r="E830"/>
      <c r="F830" s="3">
        <v>44760</v>
      </c>
      <c r="G830" s="49">
        <v>1</v>
      </c>
      <c r="H830">
        <v>399.75</v>
      </c>
      <c r="I830" s="9" t="s">
        <v>6945</v>
      </c>
      <c r="J830"/>
      <c r="K830"/>
      <c r="L830"/>
      <c r="M830"/>
      <c r="N830"/>
      <c r="O830"/>
      <c r="P830"/>
      <c r="Q830"/>
      <c r="R830"/>
    </row>
    <row r="831" spans="1:18" x14ac:dyDescent="0.25">
      <c r="A831" t="str">
        <f>IFERROR(VLOOKUP(B831&amp; "*",'SKU Maintenance'!D:H,5,0),"not found")</f>
        <v>2010030402153461</v>
      </c>
      <c r="B831">
        <v>40020454</v>
      </c>
      <c r="C831" t="s">
        <v>291</v>
      </c>
      <c r="D831"/>
      <c r="E831"/>
      <c r="F831" s="3">
        <v>44757</v>
      </c>
      <c r="G831" s="49">
        <v>1</v>
      </c>
      <c r="H831">
        <v>399.75</v>
      </c>
      <c r="I831" s="9" t="s">
        <v>6941</v>
      </c>
      <c r="J831"/>
      <c r="K831"/>
      <c r="L831"/>
      <c r="M831"/>
      <c r="N831"/>
      <c r="O831"/>
      <c r="P831"/>
      <c r="Q831"/>
      <c r="R831"/>
    </row>
    <row r="832" spans="1:18" x14ac:dyDescent="0.25">
      <c r="A832" t="str">
        <f>IFERROR(VLOOKUP(B832&amp; "*",'SKU Maintenance'!D:H,5,0),"not found")</f>
        <v>2010030403223464</v>
      </c>
      <c r="B832">
        <v>40020456</v>
      </c>
      <c r="C832" t="s">
        <v>199</v>
      </c>
      <c r="D832"/>
      <c r="E832"/>
      <c r="F832" s="3">
        <v>44766</v>
      </c>
      <c r="G832" s="49">
        <v>2</v>
      </c>
      <c r="H832">
        <v>899.5</v>
      </c>
      <c r="I832" s="9" t="s">
        <v>6939</v>
      </c>
      <c r="J832"/>
      <c r="K832"/>
      <c r="L832"/>
      <c r="M832"/>
      <c r="N832"/>
      <c r="O832"/>
      <c r="P832"/>
      <c r="Q832"/>
      <c r="R832"/>
    </row>
    <row r="833" spans="1:18" x14ac:dyDescent="0.25">
      <c r="A833" t="str">
        <f>IFERROR(VLOOKUP(B833&amp; "*",'SKU Maintenance'!D:H,5,0),"not found")</f>
        <v>2010030403223464</v>
      </c>
      <c r="B833">
        <v>40020456</v>
      </c>
      <c r="C833" t="s">
        <v>199</v>
      </c>
      <c r="D833"/>
      <c r="E833"/>
      <c r="F833" s="3">
        <v>44757</v>
      </c>
      <c r="G833" s="49">
        <v>1</v>
      </c>
      <c r="H833">
        <v>449.75</v>
      </c>
      <c r="I833" s="9" t="s">
        <v>6941</v>
      </c>
      <c r="J833"/>
      <c r="K833"/>
      <c r="L833"/>
      <c r="M833"/>
      <c r="N833"/>
      <c r="O833"/>
      <c r="P833"/>
      <c r="Q833"/>
      <c r="R833"/>
    </row>
    <row r="834" spans="1:18" x14ac:dyDescent="0.25">
      <c r="A834" t="str">
        <f>IFERROR(VLOOKUP(B834&amp; "*",'SKU Maintenance'!D:H,5,0),"not found")</f>
        <v>2010030403223464</v>
      </c>
      <c r="B834">
        <v>40020456</v>
      </c>
      <c r="C834" t="s">
        <v>199</v>
      </c>
      <c r="D834"/>
      <c r="E834"/>
      <c r="F834" s="3">
        <v>44771</v>
      </c>
      <c r="G834" s="49">
        <v>1</v>
      </c>
      <c r="H834">
        <v>449.75</v>
      </c>
      <c r="I834" s="9" t="s">
        <v>6941</v>
      </c>
      <c r="J834"/>
      <c r="K834"/>
      <c r="L834"/>
      <c r="M834"/>
      <c r="N834"/>
      <c r="O834"/>
      <c r="P834"/>
      <c r="Q834"/>
      <c r="R834"/>
    </row>
    <row r="835" spans="1:18" x14ac:dyDescent="0.25">
      <c r="A835" t="str">
        <f>IFERROR(VLOOKUP(B835&amp; "*",'SKU Maintenance'!D:H,5,0),"not found")</f>
        <v>2010030403223464</v>
      </c>
      <c r="B835">
        <v>40020456</v>
      </c>
      <c r="C835" t="s">
        <v>199</v>
      </c>
      <c r="D835"/>
      <c r="E835"/>
      <c r="F835" s="3">
        <v>44749</v>
      </c>
      <c r="G835" s="49">
        <v>1</v>
      </c>
      <c r="H835">
        <v>449.75</v>
      </c>
      <c r="I835" s="9" t="s">
        <v>6945</v>
      </c>
      <c r="J835"/>
      <c r="K835"/>
      <c r="L835"/>
      <c r="M835"/>
      <c r="N835"/>
      <c r="O835"/>
      <c r="P835"/>
      <c r="Q835"/>
      <c r="R835"/>
    </row>
    <row r="836" spans="1:18" x14ac:dyDescent="0.25">
      <c r="A836" t="str">
        <f>IFERROR(VLOOKUP(B836&amp; "*",'SKU Maintenance'!D:H,5,0),"not found")</f>
        <v>2010030403223464</v>
      </c>
      <c r="B836">
        <v>40020456</v>
      </c>
      <c r="C836" t="s">
        <v>199</v>
      </c>
      <c r="D836"/>
      <c r="E836"/>
      <c r="F836" s="3">
        <v>44766</v>
      </c>
      <c r="G836" s="49">
        <v>1</v>
      </c>
      <c r="H836">
        <v>449.75</v>
      </c>
      <c r="I836" s="9" t="s">
        <v>6945</v>
      </c>
      <c r="J836"/>
      <c r="K836"/>
      <c r="L836"/>
      <c r="M836"/>
      <c r="N836"/>
      <c r="O836"/>
      <c r="P836"/>
      <c r="Q836"/>
      <c r="R836"/>
    </row>
    <row r="837" spans="1:18" x14ac:dyDescent="0.25">
      <c r="A837" t="str">
        <f>IFERROR(VLOOKUP(B837&amp; "*",'SKU Maintenance'!D:H,5,0),"not found")</f>
        <v>2010030403223464</v>
      </c>
      <c r="B837">
        <v>40020456</v>
      </c>
      <c r="C837" t="s">
        <v>199</v>
      </c>
      <c r="D837"/>
      <c r="E837"/>
      <c r="F837" s="3">
        <v>44768</v>
      </c>
      <c r="G837" s="49">
        <v>1</v>
      </c>
      <c r="H837">
        <v>449.75</v>
      </c>
      <c r="I837" s="9" t="s">
        <v>6945</v>
      </c>
      <c r="J837"/>
      <c r="K837"/>
      <c r="L837"/>
      <c r="M837"/>
      <c r="N837"/>
      <c r="O837"/>
      <c r="P837"/>
      <c r="Q837"/>
      <c r="R837"/>
    </row>
    <row r="838" spans="1:18" x14ac:dyDescent="0.25">
      <c r="A838" t="str">
        <f>IFERROR(VLOOKUP(B838&amp; "*",'SKU Maintenance'!D:H,5,0),"not found")</f>
        <v>2010030403173464</v>
      </c>
      <c r="B838">
        <v>40020457</v>
      </c>
      <c r="C838" t="s">
        <v>185</v>
      </c>
      <c r="D838"/>
      <c r="E838"/>
      <c r="F838" s="3">
        <v>44765</v>
      </c>
      <c r="G838" s="49">
        <v>1</v>
      </c>
      <c r="H838">
        <v>449.75</v>
      </c>
      <c r="I838" s="9" t="s">
        <v>6939</v>
      </c>
      <c r="J838"/>
      <c r="K838"/>
      <c r="L838"/>
      <c r="M838"/>
      <c r="N838"/>
      <c r="O838"/>
      <c r="P838"/>
      <c r="Q838"/>
      <c r="R838"/>
    </row>
    <row r="839" spans="1:18" x14ac:dyDescent="0.25">
      <c r="A839" t="str">
        <f>IFERROR(VLOOKUP(B839&amp; "*",'SKU Maintenance'!D:H,5,0),"not found")</f>
        <v>2010030403173464</v>
      </c>
      <c r="B839">
        <v>40020457</v>
      </c>
      <c r="C839" t="s">
        <v>185</v>
      </c>
      <c r="D839"/>
      <c r="E839"/>
      <c r="F839" s="3">
        <v>44773</v>
      </c>
      <c r="G839" s="49">
        <v>1</v>
      </c>
      <c r="H839">
        <v>449.75</v>
      </c>
      <c r="I839" s="9" t="s">
        <v>6939</v>
      </c>
      <c r="J839"/>
      <c r="K839"/>
      <c r="L839"/>
      <c r="M839"/>
      <c r="N839"/>
      <c r="O839"/>
      <c r="P839"/>
      <c r="Q839"/>
      <c r="R839"/>
    </row>
    <row r="840" spans="1:18" x14ac:dyDescent="0.25">
      <c r="A840" t="str">
        <f>IFERROR(VLOOKUP(B840&amp; "*",'SKU Maintenance'!D:H,5,0),"not found")</f>
        <v>2010030403173464</v>
      </c>
      <c r="B840">
        <v>40020457</v>
      </c>
      <c r="C840" t="s">
        <v>185</v>
      </c>
      <c r="D840"/>
      <c r="E840"/>
      <c r="F840" s="3">
        <v>44768</v>
      </c>
      <c r="G840" s="49">
        <v>1</v>
      </c>
      <c r="H840">
        <v>449.75</v>
      </c>
      <c r="I840" s="9" t="s">
        <v>6941</v>
      </c>
      <c r="J840"/>
      <c r="K840"/>
      <c r="L840"/>
      <c r="M840"/>
      <c r="N840"/>
      <c r="O840"/>
      <c r="P840"/>
      <c r="Q840"/>
      <c r="R840"/>
    </row>
    <row r="841" spans="1:18" x14ac:dyDescent="0.25">
      <c r="A841" t="str">
        <f>IFERROR(VLOOKUP(B841&amp; "*",'SKU Maintenance'!D:H,5,0),"not found")</f>
        <v>2010030403173464</v>
      </c>
      <c r="B841">
        <v>40020457</v>
      </c>
      <c r="C841" t="s">
        <v>185</v>
      </c>
      <c r="D841"/>
      <c r="E841"/>
      <c r="F841" s="3">
        <v>44771</v>
      </c>
      <c r="G841" s="49">
        <v>1</v>
      </c>
      <c r="H841">
        <v>449.75</v>
      </c>
      <c r="I841" s="9" t="s">
        <v>6941</v>
      </c>
      <c r="J841"/>
      <c r="K841"/>
      <c r="L841"/>
      <c r="M841"/>
      <c r="N841"/>
      <c r="O841"/>
      <c r="P841"/>
      <c r="Q841"/>
      <c r="R841"/>
    </row>
    <row r="842" spans="1:18" x14ac:dyDescent="0.25">
      <c r="A842" t="str">
        <f>IFERROR(VLOOKUP(B842&amp; "*",'SKU Maintenance'!D:H,5,0),"not found")</f>
        <v>2010030403173464</v>
      </c>
      <c r="B842">
        <v>40020457</v>
      </c>
      <c r="C842" t="s">
        <v>185</v>
      </c>
      <c r="D842"/>
      <c r="E842"/>
      <c r="F842" s="3">
        <v>44745</v>
      </c>
      <c r="G842" s="49">
        <v>4</v>
      </c>
      <c r="H842">
        <v>1799</v>
      </c>
      <c r="I842" s="9" t="s">
        <v>6943</v>
      </c>
      <c r="J842"/>
      <c r="K842"/>
      <c r="L842"/>
      <c r="M842"/>
      <c r="N842"/>
      <c r="O842"/>
      <c r="P842"/>
      <c r="Q842"/>
      <c r="R842"/>
    </row>
    <row r="843" spans="1:18" x14ac:dyDescent="0.25">
      <c r="A843" t="str">
        <f>IFERROR(VLOOKUP(B843&amp; "*",'SKU Maintenance'!D:H,5,0),"not found")</f>
        <v>2010030403173464</v>
      </c>
      <c r="B843">
        <v>40020457</v>
      </c>
      <c r="C843" t="s">
        <v>185</v>
      </c>
      <c r="D843"/>
      <c r="E843"/>
      <c r="F843" s="3">
        <v>44743</v>
      </c>
      <c r="G843" s="49">
        <v>1</v>
      </c>
      <c r="H843">
        <v>404.78</v>
      </c>
      <c r="I843" s="9" t="s">
        <v>6945</v>
      </c>
      <c r="J843"/>
      <c r="K843"/>
      <c r="L843"/>
      <c r="M843"/>
      <c r="N843"/>
      <c r="O843"/>
      <c r="P843"/>
      <c r="Q843"/>
      <c r="R843"/>
    </row>
    <row r="844" spans="1:18" x14ac:dyDescent="0.25">
      <c r="A844" t="str">
        <f>IFERROR(VLOOKUP(B844&amp; "*",'SKU Maintenance'!D:H,5,0),"not found")</f>
        <v>2010030403173464</v>
      </c>
      <c r="B844">
        <v>40020457</v>
      </c>
      <c r="C844" t="s">
        <v>185</v>
      </c>
      <c r="D844"/>
      <c r="E844"/>
      <c r="F844" s="3">
        <v>44744</v>
      </c>
      <c r="G844" s="49">
        <v>1</v>
      </c>
      <c r="H844">
        <v>449.75</v>
      </c>
      <c r="I844" s="9" t="s">
        <v>6945</v>
      </c>
      <c r="J844"/>
      <c r="K844"/>
      <c r="L844"/>
      <c r="M844"/>
      <c r="N844"/>
      <c r="O844"/>
      <c r="P844"/>
      <c r="Q844"/>
      <c r="R844"/>
    </row>
    <row r="845" spans="1:18" x14ac:dyDescent="0.25">
      <c r="A845" t="str">
        <f>IFERROR(VLOOKUP(B845&amp; "*",'SKU Maintenance'!D:H,5,0),"not found")</f>
        <v>2010030403173464</v>
      </c>
      <c r="B845">
        <v>40020457</v>
      </c>
      <c r="C845" t="s">
        <v>185</v>
      </c>
      <c r="D845"/>
      <c r="E845"/>
      <c r="F845" s="3">
        <v>44769</v>
      </c>
      <c r="G845" s="49">
        <v>1</v>
      </c>
      <c r="H845">
        <v>449.75</v>
      </c>
      <c r="I845" s="9" t="s">
        <v>6945</v>
      </c>
      <c r="J845"/>
      <c r="K845"/>
      <c r="L845"/>
      <c r="M845"/>
      <c r="N845"/>
      <c r="O845"/>
      <c r="P845"/>
      <c r="Q845"/>
      <c r="R845"/>
    </row>
    <row r="846" spans="1:18" x14ac:dyDescent="0.25">
      <c r="A846" t="str">
        <f>IFERROR(VLOOKUP(B846&amp; "*",'SKU Maintenance'!D:H,5,0),"not found")</f>
        <v>2010030402043463</v>
      </c>
      <c r="B846">
        <v>40020458</v>
      </c>
      <c r="C846" t="s">
        <v>346</v>
      </c>
      <c r="D846"/>
      <c r="E846"/>
      <c r="F846" s="3">
        <v>44771</v>
      </c>
      <c r="G846" s="49">
        <v>1</v>
      </c>
      <c r="H846">
        <v>399.75</v>
      </c>
      <c r="I846" s="9" t="s">
        <v>6941</v>
      </c>
      <c r="J846"/>
      <c r="K846"/>
      <c r="L846"/>
      <c r="M846"/>
      <c r="N846"/>
      <c r="O846"/>
      <c r="P846"/>
      <c r="Q846"/>
      <c r="R846"/>
    </row>
    <row r="847" spans="1:18" x14ac:dyDescent="0.25">
      <c r="A847" t="str">
        <f>IFERROR(VLOOKUP(B847&amp; "*",'SKU Maintenance'!D:H,5,0),"not found")</f>
        <v>2010030402043463</v>
      </c>
      <c r="B847">
        <v>40020458</v>
      </c>
      <c r="C847" t="s">
        <v>346</v>
      </c>
      <c r="D847"/>
      <c r="E847"/>
      <c r="F847" s="3">
        <v>44749</v>
      </c>
      <c r="G847" s="49">
        <v>1</v>
      </c>
      <c r="H847">
        <v>399.75</v>
      </c>
      <c r="I847" s="9" t="s">
        <v>6943</v>
      </c>
      <c r="J847"/>
      <c r="K847"/>
      <c r="L847"/>
      <c r="M847"/>
      <c r="N847"/>
      <c r="O847"/>
      <c r="P847"/>
      <c r="Q847"/>
      <c r="R847"/>
    </row>
    <row r="848" spans="1:18" x14ac:dyDescent="0.25">
      <c r="A848" t="str">
        <f>IFERROR(VLOOKUP(B848&amp; "*",'SKU Maintenance'!D:H,5,0),"not found")</f>
        <v>2010030402043463</v>
      </c>
      <c r="B848">
        <v>40020458</v>
      </c>
      <c r="C848" t="s">
        <v>346</v>
      </c>
      <c r="D848"/>
      <c r="E848"/>
      <c r="F848" s="3">
        <v>44752</v>
      </c>
      <c r="G848" s="49">
        <v>1</v>
      </c>
      <c r="H848">
        <v>399.75</v>
      </c>
      <c r="I848" s="9" t="s">
        <v>6943</v>
      </c>
      <c r="J848"/>
      <c r="K848"/>
      <c r="L848"/>
      <c r="M848"/>
      <c r="N848"/>
      <c r="O848"/>
      <c r="P848"/>
      <c r="Q848"/>
      <c r="R848"/>
    </row>
    <row r="849" spans="1:18" x14ac:dyDescent="0.25">
      <c r="A849" t="str">
        <f>IFERROR(VLOOKUP(B849&amp; "*",'SKU Maintenance'!D:H,5,0),"not found")</f>
        <v>2010030402043463</v>
      </c>
      <c r="B849">
        <v>40020458</v>
      </c>
      <c r="C849" t="s">
        <v>346</v>
      </c>
      <c r="D849"/>
      <c r="E849"/>
      <c r="F849" s="3">
        <v>44757</v>
      </c>
      <c r="G849" s="49">
        <v>1</v>
      </c>
      <c r="H849">
        <v>399.75</v>
      </c>
      <c r="I849" s="9" t="s">
        <v>6943</v>
      </c>
      <c r="J849"/>
      <c r="K849"/>
      <c r="L849"/>
      <c r="M849"/>
      <c r="N849"/>
      <c r="O849"/>
      <c r="P849"/>
      <c r="Q849"/>
      <c r="R849"/>
    </row>
    <row r="850" spans="1:18" x14ac:dyDescent="0.25">
      <c r="A850" t="str">
        <f>IFERROR(VLOOKUP(B850&amp; "*",'SKU Maintenance'!D:H,5,0),"not found")</f>
        <v>2010030402043463</v>
      </c>
      <c r="B850">
        <v>40020458</v>
      </c>
      <c r="C850" t="s">
        <v>346</v>
      </c>
      <c r="D850"/>
      <c r="E850"/>
      <c r="F850" s="3">
        <v>44765</v>
      </c>
      <c r="G850" s="49">
        <v>1</v>
      </c>
      <c r="H850">
        <v>399.75</v>
      </c>
      <c r="I850" s="9" t="s">
        <v>6945</v>
      </c>
      <c r="J850"/>
      <c r="K850"/>
      <c r="L850"/>
      <c r="M850"/>
      <c r="N850"/>
      <c r="O850"/>
      <c r="P850"/>
      <c r="Q850"/>
      <c r="R850"/>
    </row>
    <row r="851" spans="1:18" x14ac:dyDescent="0.25">
      <c r="A851" t="str">
        <f>IFERROR(VLOOKUP(B851&amp; "*",'SKU Maintenance'!D:H,5,0),"not found")</f>
        <v>2010030402043463</v>
      </c>
      <c r="B851">
        <v>40020458</v>
      </c>
      <c r="C851" t="s">
        <v>346</v>
      </c>
      <c r="D851"/>
      <c r="E851"/>
      <c r="F851" s="3">
        <v>44771</v>
      </c>
      <c r="G851" s="49">
        <v>1</v>
      </c>
      <c r="H851">
        <v>399.75</v>
      </c>
      <c r="I851" s="9" t="s">
        <v>6945</v>
      </c>
      <c r="J851"/>
      <c r="K851"/>
      <c r="L851"/>
      <c r="M851"/>
      <c r="N851"/>
      <c r="O851"/>
      <c r="P851"/>
      <c r="Q851"/>
      <c r="R851"/>
    </row>
    <row r="852" spans="1:18" x14ac:dyDescent="0.25">
      <c r="A852" t="str">
        <f>IFERROR(VLOOKUP(B852&amp; "*",'SKU Maintenance'!D:H,5,0),"not found")</f>
        <v>2010030402223463</v>
      </c>
      <c r="B852">
        <v>40020459</v>
      </c>
      <c r="C852" t="s">
        <v>265</v>
      </c>
      <c r="D852"/>
      <c r="E852"/>
      <c r="F852" s="3">
        <v>44748</v>
      </c>
      <c r="G852" s="49">
        <v>1</v>
      </c>
      <c r="H852">
        <v>399.75</v>
      </c>
      <c r="I852" s="9" t="s">
        <v>6941</v>
      </c>
      <c r="J852"/>
      <c r="K852"/>
      <c r="L852"/>
      <c r="M852"/>
      <c r="N852"/>
      <c r="O852"/>
      <c r="P852"/>
      <c r="Q852"/>
      <c r="R852"/>
    </row>
    <row r="853" spans="1:18" x14ac:dyDescent="0.25">
      <c r="A853" t="str">
        <f>IFERROR(VLOOKUP(B853&amp; "*",'SKU Maintenance'!D:H,5,0),"not found")</f>
        <v>2010030402223463</v>
      </c>
      <c r="B853">
        <v>40020459</v>
      </c>
      <c r="C853" t="s">
        <v>265</v>
      </c>
      <c r="D853"/>
      <c r="E853"/>
      <c r="F853" s="3">
        <v>44743</v>
      </c>
      <c r="G853" s="49">
        <v>1</v>
      </c>
      <c r="H853">
        <v>399.75</v>
      </c>
      <c r="I853" s="9" t="s">
        <v>6943</v>
      </c>
      <c r="J853"/>
      <c r="K853"/>
      <c r="L853"/>
      <c r="M853"/>
      <c r="N853"/>
      <c r="O853"/>
      <c r="P853"/>
      <c r="Q853"/>
      <c r="R853"/>
    </row>
    <row r="854" spans="1:18" x14ac:dyDescent="0.25">
      <c r="A854" t="str">
        <f>IFERROR(VLOOKUP(B854&amp; "*",'SKU Maintenance'!D:H,5,0),"not found")</f>
        <v>2010030402223463</v>
      </c>
      <c r="B854">
        <v>40020459</v>
      </c>
      <c r="C854" t="s">
        <v>265</v>
      </c>
      <c r="D854"/>
      <c r="E854"/>
      <c r="F854" s="3">
        <v>44773</v>
      </c>
      <c r="G854" s="49">
        <v>1</v>
      </c>
      <c r="H854">
        <v>399.75</v>
      </c>
      <c r="I854" s="9" t="s">
        <v>6943</v>
      </c>
      <c r="J854"/>
      <c r="K854"/>
      <c r="L854"/>
      <c r="M854"/>
      <c r="N854"/>
      <c r="O854"/>
      <c r="P854"/>
      <c r="Q854"/>
      <c r="R854"/>
    </row>
    <row r="855" spans="1:18" x14ac:dyDescent="0.25">
      <c r="A855" t="str">
        <f>IFERROR(VLOOKUP(B855&amp; "*",'SKU Maintenance'!D:H,5,0),"not found")</f>
        <v>2010030402223463</v>
      </c>
      <c r="B855">
        <v>40020459</v>
      </c>
      <c r="C855" t="s">
        <v>265</v>
      </c>
      <c r="D855"/>
      <c r="E855"/>
      <c r="F855" s="3">
        <v>44762</v>
      </c>
      <c r="G855" s="49">
        <v>1</v>
      </c>
      <c r="H855">
        <v>399.75</v>
      </c>
      <c r="I855" s="9" t="s">
        <v>6945</v>
      </c>
      <c r="J855"/>
      <c r="K855"/>
      <c r="L855"/>
      <c r="M855"/>
      <c r="N855"/>
      <c r="O855"/>
      <c r="P855"/>
      <c r="Q855"/>
      <c r="R855"/>
    </row>
    <row r="856" spans="1:18" x14ac:dyDescent="0.25">
      <c r="A856" t="str">
        <f>IFERROR(VLOOKUP(B856&amp; "*",'SKU Maintenance'!D:H,5,0),"not found")</f>
        <v>2010030402223463</v>
      </c>
      <c r="B856">
        <v>40020459</v>
      </c>
      <c r="C856" t="s">
        <v>265</v>
      </c>
      <c r="D856"/>
      <c r="E856"/>
      <c r="F856" s="3">
        <v>44764</v>
      </c>
      <c r="G856" s="49">
        <v>1</v>
      </c>
      <c r="H856">
        <v>399.75</v>
      </c>
      <c r="I856" s="9" t="s">
        <v>6945</v>
      </c>
      <c r="J856"/>
      <c r="K856"/>
      <c r="L856"/>
      <c r="M856"/>
      <c r="N856"/>
      <c r="O856"/>
      <c r="P856"/>
      <c r="Q856"/>
      <c r="R856"/>
    </row>
    <row r="857" spans="1:18" x14ac:dyDescent="0.25">
      <c r="A857" t="str">
        <f>IFERROR(VLOOKUP(B857&amp; "*",'SKU Maintenance'!D:H,5,0),"not found")</f>
        <v>2010030402173463</v>
      </c>
      <c r="B857">
        <v>40020460</v>
      </c>
      <c r="C857" t="s">
        <v>261</v>
      </c>
      <c r="D857"/>
      <c r="E857"/>
      <c r="F857" s="3">
        <v>44747</v>
      </c>
      <c r="G857" s="49">
        <v>1</v>
      </c>
      <c r="H857">
        <v>399.75</v>
      </c>
      <c r="I857" s="9" t="s">
        <v>6941</v>
      </c>
      <c r="J857"/>
      <c r="K857"/>
      <c r="L857"/>
      <c r="M857"/>
      <c r="N857"/>
      <c r="O857"/>
      <c r="P857"/>
      <c r="Q857"/>
      <c r="R857"/>
    </row>
    <row r="858" spans="1:18" x14ac:dyDescent="0.25">
      <c r="A858" t="str">
        <f>IFERROR(VLOOKUP(B858&amp; "*",'SKU Maintenance'!D:H,5,0),"not found")</f>
        <v>2010030402173463</v>
      </c>
      <c r="B858">
        <v>40020460</v>
      </c>
      <c r="C858" t="s">
        <v>261</v>
      </c>
      <c r="D858"/>
      <c r="E858"/>
      <c r="F858" s="3">
        <v>44756</v>
      </c>
      <c r="G858" s="49">
        <v>1</v>
      </c>
      <c r="H858">
        <v>399.75</v>
      </c>
      <c r="I858" s="9" t="s">
        <v>6941</v>
      </c>
      <c r="J858"/>
      <c r="K858"/>
      <c r="L858"/>
      <c r="M858"/>
      <c r="N858"/>
      <c r="O858"/>
      <c r="P858"/>
      <c r="Q858"/>
      <c r="R858"/>
    </row>
    <row r="859" spans="1:18" x14ac:dyDescent="0.25">
      <c r="A859" t="str">
        <f>IFERROR(VLOOKUP(B859&amp; "*",'SKU Maintenance'!D:H,5,0),"not found")</f>
        <v>2010030402173463</v>
      </c>
      <c r="B859">
        <v>40020460</v>
      </c>
      <c r="C859" t="s">
        <v>261</v>
      </c>
      <c r="D859"/>
      <c r="E859"/>
      <c r="F859" s="3">
        <v>44759</v>
      </c>
      <c r="G859" s="49">
        <v>1</v>
      </c>
      <c r="H859">
        <v>399.75</v>
      </c>
      <c r="I859" s="9" t="s">
        <v>6941</v>
      </c>
      <c r="J859"/>
      <c r="K859"/>
      <c r="L859"/>
      <c r="M859"/>
      <c r="N859"/>
      <c r="O859"/>
      <c r="P859"/>
      <c r="Q859"/>
      <c r="R859"/>
    </row>
    <row r="860" spans="1:18" x14ac:dyDescent="0.25">
      <c r="A860" t="str">
        <f>IFERROR(VLOOKUP(B860&amp; "*",'SKU Maintenance'!D:H,5,0),"not found")</f>
        <v>2010030402173463</v>
      </c>
      <c r="B860">
        <v>40020460</v>
      </c>
      <c r="C860" t="s">
        <v>261</v>
      </c>
      <c r="D860"/>
      <c r="E860"/>
      <c r="F860" s="3">
        <v>44757</v>
      </c>
      <c r="G860" s="49">
        <v>1</v>
      </c>
      <c r="H860">
        <v>399.75</v>
      </c>
      <c r="I860" s="9" t="s">
        <v>6943</v>
      </c>
      <c r="J860"/>
      <c r="K860"/>
      <c r="L860"/>
      <c r="M860"/>
      <c r="N860"/>
      <c r="O860"/>
      <c r="P860"/>
      <c r="Q860"/>
      <c r="R860"/>
    </row>
    <row r="861" spans="1:18" x14ac:dyDescent="0.25">
      <c r="A861" t="str">
        <f>IFERROR(VLOOKUP(B861&amp; "*",'SKU Maintenance'!D:H,5,0),"not found")</f>
        <v>2010030402173463</v>
      </c>
      <c r="B861">
        <v>40020460</v>
      </c>
      <c r="C861" t="s">
        <v>261</v>
      </c>
      <c r="D861"/>
      <c r="E861"/>
      <c r="F861" s="3">
        <v>44769</v>
      </c>
      <c r="G861" s="49">
        <v>2</v>
      </c>
      <c r="H861">
        <v>799.5</v>
      </c>
      <c r="I861" s="9" t="s">
        <v>6945</v>
      </c>
      <c r="J861"/>
      <c r="K861"/>
      <c r="L861"/>
      <c r="M861"/>
      <c r="N861"/>
      <c r="O861"/>
      <c r="P861"/>
      <c r="Q861"/>
      <c r="R861"/>
    </row>
    <row r="862" spans="1:18" x14ac:dyDescent="0.25">
      <c r="A862" t="str">
        <f>IFERROR(VLOOKUP(B862&amp; "*",'SKU Maintenance'!D:H,5,0),"not found")</f>
        <v>2010030402173463</v>
      </c>
      <c r="B862">
        <v>40020460</v>
      </c>
      <c r="C862" t="s">
        <v>261</v>
      </c>
      <c r="D862"/>
      <c r="E862"/>
      <c r="F862" s="3">
        <v>44772</v>
      </c>
      <c r="G862" s="49">
        <v>1</v>
      </c>
      <c r="H862">
        <v>399.75</v>
      </c>
      <c r="I862" s="9" t="s">
        <v>6945</v>
      </c>
      <c r="J862"/>
      <c r="K862"/>
      <c r="L862"/>
      <c r="M862"/>
      <c r="N862"/>
      <c r="O862"/>
      <c r="P862"/>
      <c r="Q862"/>
      <c r="R862"/>
    </row>
    <row r="863" spans="1:18" x14ac:dyDescent="0.25">
      <c r="A863" t="str">
        <f>IFERROR(VLOOKUP(B863&amp; "*",'SKU Maintenance'!D:H,5,0),"not found")</f>
        <v>2010030403043464</v>
      </c>
      <c r="B863">
        <v>40020461</v>
      </c>
      <c r="C863" t="s">
        <v>76</v>
      </c>
      <c r="D863"/>
      <c r="E863"/>
      <c r="F863" s="3">
        <v>44745</v>
      </c>
      <c r="G863" s="49">
        <v>1</v>
      </c>
      <c r="H863">
        <v>449.75</v>
      </c>
      <c r="I863" s="9" t="s">
        <v>6939</v>
      </c>
      <c r="J863"/>
      <c r="K863"/>
      <c r="L863"/>
      <c r="M863"/>
      <c r="N863"/>
      <c r="O863"/>
      <c r="P863"/>
      <c r="Q863"/>
      <c r="R863"/>
    </row>
    <row r="864" spans="1:18" x14ac:dyDescent="0.25">
      <c r="A864" t="str">
        <f>IFERROR(VLOOKUP(B864&amp; "*",'SKU Maintenance'!D:H,5,0),"not found")</f>
        <v>2010030403043464</v>
      </c>
      <c r="B864">
        <v>40020461</v>
      </c>
      <c r="C864" t="s">
        <v>76</v>
      </c>
      <c r="D864"/>
      <c r="E864"/>
      <c r="F864" s="3">
        <v>44770</v>
      </c>
      <c r="G864" s="49">
        <v>1</v>
      </c>
      <c r="H864">
        <v>449.75</v>
      </c>
      <c r="I864" s="9" t="s">
        <v>6939</v>
      </c>
      <c r="J864"/>
      <c r="K864"/>
      <c r="L864"/>
      <c r="M864"/>
      <c r="N864"/>
      <c r="O864"/>
      <c r="P864"/>
      <c r="Q864"/>
      <c r="R864"/>
    </row>
    <row r="865" spans="1:18" x14ac:dyDescent="0.25">
      <c r="A865" t="str">
        <f>IFERROR(VLOOKUP(B865&amp; "*",'SKU Maintenance'!D:H,5,0),"not found")</f>
        <v>2010030403043464</v>
      </c>
      <c r="B865">
        <v>40020461</v>
      </c>
      <c r="C865" t="s">
        <v>76</v>
      </c>
      <c r="D865"/>
      <c r="E865"/>
      <c r="F865" s="3">
        <v>44750</v>
      </c>
      <c r="G865" s="49">
        <v>1</v>
      </c>
      <c r="H865">
        <v>449.75</v>
      </c>
      <c r="I865" s="9" t="s">
        <v>6941</v>
      </c>
      <c r="J865"/>
      <c r="K865"/>
      <c r="L865"/>
      <c r="M865"/>
      <c r="N865"/>
      <c r="O865"/>
      <c r="P865"/>
      <c r="Q865"/>
      <c r="R865"/>
    </row>
    <row r="866" spans="1:18" x14ac:dyDescent="0.25">
      <c r="A866" t="str">
        <f>IFERROR(VLOOKUP(B866&amp; "*",'SKU Maintenance'!D:H,5,0),"not found")</f>
        <v>2010030403043464</v>
      </c>
      <c r="B866">
        <v>40020461</v>
      </c>
      <c r="C866" t="s">
        <v>76</v>
      </c>
      <c r="D866"/>
      <c r="E866"/>
      <c r="F866" s="3">
        <v>44769</v>
      </c>
      <c r="G866" s="49">
        <v>1</v>
      </c>
      <c r="H866">
        <v>449.75</v>
      </c>
      <c r="I866" s="9" t="s">
        <v>6941</v>
      </c>
      <c r="J866"/>
      <c r="K866"/>
      <c r="L866"/>
      <c r="M866"/>
      <c r="N866"/>
      <c r="O866"/>
      <c r="P866"/>
      <c r="Q866"/>
      <c r="R866"/>
    </row>
    <row r="867" spans="1:18" x14ac:dyDescent="0.25">
      <c r="A867" t="str">
        <f>IFERROR(VLOOKUP(B867&amp; "*",'SKU Maintenance'!D:H,5,0),"not found")</f>
        <v>2010030403043464</v>
      </c>
      <c r="B867">
        <v>40020461</v>
      </c>
      <c r="C867" t="s">
        <v>76</v>
      </c>
      <c r="D867"/>
      <c r="E867"/>
      <c r="F867" s="3">
        <v>44745</v>
      </c>
      <c r="G867" s="49">
        <v>3</v>
      </c>
      <c r="H867">
        <v>1349.25</v>
      </c>
      <c r="I867" s="9" t="s">
        <v>6943</v>
      </c>
      <c r="J867"/>
      <c r="K867"/>
      <c r="L867"/>
      <c r="M867"/>
      <c r="N867"/>
      <c r="O867"/>
      <c r="P867"/>
      <c r="Q867"/>
      <c r="R867"/>
    </row>
    <row r="868" spans="1:18" x14ac:dyDescent="0.25">
      <c r="A868" t="str">
        <f>IFERROR(VLOOKUP(B868&amp; "*",'SKU Maintenance'!D:H,5,0),"not found")</f>
        <v>2010030403043464</v>
      </c>
      <c r="B868">
        <v>40020461</v>
      </c>
      <c r="C868" t="s">
        <v>76</v>
      </c>
      <c r="D868"/>
      <c r="E868"/>
      <c r="F868" s="3">
        <v>44771</v>
      </c>
      <c r="G868" s="49">
        <v>1</v>
      </c>
      <c r="H868">
        <v>449.75</v>
      </c>
      <c r="I868" s="9" t="s">
        <v>6943</v>
      </c>
      <c r="J868"/>
      <c r="K868"/>
      <c r="L868"/>
      <c r="M868"/>
      <c r="N868"/>
      <c r="O868"/>
      <c r="P868"/>
      <c r="Q868"/>
      <c r="R868"/>
    </row>
    <row r="869" spans="1:18" x14ac:dyDescent="0.25">
      <c r="A869" t="str">
        <f>IFERROR(VLOOKUP(B869&amp; "*",'SKU Maintenance'!D:H,5,0),"not found")</f>
        <v>2010030403043464</v>
      </c>
      <c r="B869">
        <v>40020461</v>
      </c>
      <c r="C869" t="s">
        <v>76</v>
      </c>
      <c r="D869"/>
      <c r="E869"/>
      <c r="F869" s="3">
        <v>44745</v>
      </c>
      <c r="G869" s="49">
        <v>1</v>
      </c>
      <c r="H869">
        <v>449.75</v>
      </c>
      <c r="I869" s="9" t="s">
        <v>6945</v>
      </c>
      <c r="J869"/>
      <c r="K869"/>
      <c r="L869"/>
      <c r="M869"/>
      <c r="N869"/>
      <c r="O869"/>
      <c r="P869"/>
      <c r="Q869"/>
      <c r="R869"/>
    </row>
    <row r="870" spans="1:18" x14ac:dyDescent="0.25">
      <c r="A870" t="str">
        <f>IFERROR(VLOOKUP(B870&amp; "*",'SKU Maintenance'!D:H,5,0),"not found")</f>
        <v>2010030403043464</v>
      </c>
      <c r="B870">
        <v>40020461</v>
      </c>
      <c r="C870" t="s">
        <v>76</v>
      </c>
      <c r="D870"/>
      <c r="E870"/>
      <c r="F870" s="3">
        <v>44746</v>
      </c>
      <c r="G870" s="49">
        <v>1</v>
      </c>
      <c r="H870">
        <v>449.75</v>
      </c>
      <c r="I870" s="9" t="s">
        <v>6945</v>
      </c>
      <c r="J870"/>
      <c r="K870"/>
      <c r="L870"/>
      <c r="M870"/>
      <c r="N870"/>
      <c r="O870"/>
      <c r="P870"/>
      <c r="Q870"/>
      <c r="R870"/>
    </row>
    <row r="871" spans="1:18" x14ac:dyDescent="0.25">
      <c r="A871" t="str">
        <f>IFERROR(VLOOKUP(B871&amp; "*",'SKU Maintenance'!D:H,5,0),"not found")</f>
        <v>2010030403043464</v>
      </c>
      <c r="B871">
        <v>40020461</v>
      </c>
      <c r="C871" t="s">
        <v>76</v>
      </c>
      <c r="D871"/>
      <c r="E871"/>
      <c r="F871" s="3">
        <v>44773</v>
      </c>
      <c r="G871" s="49">
        <v>1</v>
      </c>
      <c r="H871">
        <v>449.75</v>
      </c>
      <c r="I871" s="9" t="s">
        <v>6945</v>
      </c>
      <c r="J871"/>
      <c r="K871"/>
      <c r="L871"/>
      <c r="M871"/>
      <c r="N871"/>
      <c r="O871"/>
      <c r="P871"/>
      <c r="Q871"/>
      <c r="R871"/>
    </row>
    <row r="872" spans="1:18" x14ac:dyDescent="0.25">
      <c r="A872" t="str">
        <f>IFERROR(VLOOKUP(B872&amp; "*",'SKU Maintenance'!D:H,5,0),"not found")</f>
        <v>2010021198181282</v>
      </c>
      <c r="B872">
        <v>40020876</v>
      </c>
      <c r="C872" t="s">
        <v>220</v>
      </c>
      <c r="D872"/>
      <c r="E872"/>
      <c r="F872" s="3">
        <v>44772</v>
      </c>
      <c r="G872" s="49">
        <v>1</v>
      </c>
      <c r="H872">
        <v>799.75</v>
      </c>
      <c r="I872" s="9" t="s">
        <v>6939</v>
      </c>
      <c r="J872"/>
      <c r="K872"/>
      <c r="L872"/>
      <c r="M872"/>
      <c r="N872"/>
      <c r="O872"/>
      <c r="P872"/>
      <c r="Q872"/>
      <c r="R872"/>
    </row>
    <row r="873" spans="1:18" x14ac:dyDescent="0.25">
      <c r="A873" t="str">
        <f>IFERROR(VLOOKUP(B873&amp; "*",'SKU Maintenance'!D:H,5,0),"not found")</f>
        <v>2010060498030003</v>
      </c>
      <c r="B873">
        <v>40021264</v>
      </c>
      <c r="C873" t="s">
        <v>364</v>
      </c>
      <c r="D873"/>
      <c r="E873"/>
      <c r="F873" s="3">
        <v>44749</v>
      </c>
      <c r="G873" s="49">
        <v>1</v>
      </c>
      <c r="H873">
        <v>129.75</v>
      </c>
      <c r="I873" s="9" t="s">
        <v>6943</v>
      </c>
      <c r="J873"/>
      <c r="K873"/>
      <c r="L873"/>
      <c r="M873"/>
      <c r="N873"/>
      <c r="O873"/>
      <c r="P873"/>
      <c r="Q873"/>
      <c r="R873"/>
    </row>
    <row r="874" spans="1:18" x14ac:dyDescent="0.25">
      <c r="A874" t="str">
        <f>IFERROR(VLOOKUP(B874&amp; "*",'SKU Maintenance'!D:H,5,0),"not found")</f>
        <v>2010060498020003</v>
      </c>
      <c r="B874">
        <v>40021265</v>
      </c>
      <c r="C874" t="s">
        <v>217</v>
      </c>
      <c r="D874"/>
      <c r="E874"/>
      <c r="F874" s="3">
        <v>44771</v>
      </c>
      <c r="G874" s="49">
        <v>1</v>
      </c>
      <c r="H874">
        <v>129.75</v>
      </c>
      <c r="I874" s="9" t="s">
        <v>6939</v>
      </c>
      <c r="J874"/>
      <c r="K874"/>
      <c r="L874"/>
      <c r="M874"/>
      <c r="N874"/>
      <c r="O874"/>
      <c r="P874"/>
      <c r="Q874"/>
      <c r="R874"/>
    </row>
    <row r="875" spans="1:18" x14ac:dyDescent="0.25">
      <c r="A875" t="str">
        <f>IFERROR(VLOOKUP(B875&amp; "*",'SKU Maintenance'!D:H,5,0),"not found")</f>
        <v>2010060498020003</v>
      </c>
      <c r="B875">
        <v>40021265</v>
      </c>
      <c r="C875" t="s">
        <v>217</v>
      </c>
      <c r="D875"/>
      <c r="E875"/>
      <c r="F875" s="3">
        <v>44754</v>
      </c>
      <c r="G875" s="49">
        <v>1</v>
      </c>
      <c r="H875">
        <v>129.75</v>
      </c>
      <c r="I875" s="9" t="s">
        <v>6943</v>
      </c>
      <c r="J875"/>
      <c r="K875"/>
      <c r="L875"/>
      <c r="M875"/>
      <c r="N875"/>
      <c r="O875"/>
      <c r="P875"/>
      <c r="Q875"/>
      <c r="R875"/>
    </row>
    <row r="876" spans="1:18" x14ac:dyDescent="0.25">
      <c r="A876" t="str">
        <f>IFERROR(VLOOKUP(B876&amp; "*",'SKU Maintenance'!D:H,5,0),"not found")</f>
        <v>2010060499130003</v>
      </c>
      <c r="B876">
        <v>40021266</v>
      </c>
      <c r="C876" t="s">
        <v>70</v>
      </c>
      <c r="D876"/>
      <c r="E876"/>
      <c r="F876" s="3">
        <v>44745</v>
      </c>
      <c r="G876" s="49">
        <v>1</v>
      </c>
      <c r="H876">
        <v>129.75</v>
      </c>
      <c r="I876" s="9" t="s">
        <v>6939</v>
      </c>
      <c r="J876"/>
      <c r="K876"/>
      <c r="L876"/>
      <c r="M876"/>
      <c r="N876"/>
      <c r="O876"/>
      <c r="P876"/>
      <c r="Q876"/>
      <c r="R876"/>
    </row>
    <row r="877" spans="1:18" x14ac:dyDescent="0.25">
      <c r="A877" t="str">
        <f>IFERROR(VLOOKUP(B877&amp; "*",'SKU Maintenance'!D:H,5,0),"not found")</f>
        <v>2010060499130003</v>
      </c>
      <c r="B877">
        <v>40021266</v>
      </c>
      <c r="C877" t="s">
        <v>70</v>
      </c>
      <c r="D877"/>
      <c r="E877"/>
      <c r="F877" s="3">
        <v>44752</v>
      </c>
      <c r="G877" s="49">
        <v>1</v>
      </c>
      <c r="H877">
        <v>129.75</v>
      </c>
      <c r="I877" s="9" t="s">
        <v>6943</v>
      </c>
      <c r="J877"/>
      <c r="K877"/>
      <c r="L877"/>
      <c r="M877"/>
      <c r="N877"/>
      <c r="O877"/>
      <c r="P877"/>
      <c r="Q877"/>
      <c r="R877"/>
    </row>
    <row r="878" spans="1:18" x14ac:dyDescent="0.25">
      <c r="A878" t="str">
        <f>IFERROR(VLOOKUP(B878&amp; "*",'SKU Maintenance'!D:H,5,0),"not found")</f>
        <v>2010060499130003</v>
      </c>
      <c r="B878">
        <v>40021266</v>
      </c>
      <c r="C878" t="s">
        <v>70</v>
      </c>
      <c r="D878"/>
      <c r="E878"/>
      <c r="F878" s="3">
        <v>44754</v>
      </c>
      <c r="G878" s="49">
        <v>1</v>
      </c>
      <c r="H878">
        <v>129.75</v>
      </c>
      <c r="I878" s="9" t="s">
        <v>6943</v>
      </c>
      <c r="J878"/>
      <c r="K878"/>
      <c r="L878"/>
      <c r="M878"/>
      <c r="N878"/>
      <c r="O878"/>
      <c r="P878"/>
      <c r="Q878"/>
      <c r="R878"/>
    </row>
    <row r="879" spans="1:18" x14ac:dyDescent="0.25">
      <c r="A879" t="str">
        <f>IFERROR(VLOOKUP(B879&amp; "*",'SKU Maintenance'!D:H,5,0),"not found")</f>
        <v>2010060499040003</v>
      </c>
      <c r="B879">
        <v>40021267</v>
      </c>
      <c r="C879" t="s">
        <v>314</v>
      </c>
      <c r="D879"/>
      <c r="E879"/>
      <c r="F879" s="3">
        <v>44763</v>
      </c>
      <c r="G879" s="49">
        <v>1</v>
      </c>
      <c r="H879">
        <v>129.75</v>
      </c>
      <c r="I879" s="9" t="s">
        <v>6941</v>
      </c>
      <c r="J879"/>
      <c r="K879"/>
      <c r="L879"/>
      <c r="M879"/>
      <c r="N879"/>
      <c r="O879"/>
      <c r="P879"/>
      <c r="Q879"/>
      <c r="R879"/>
    </row>
    <row r="880" spans="1:18" x14ac:dyDescent="0.25">
      <c r="A880" t="str">
        <f>IFERROR(VLOOKUP(B880&amp; "*",'SKU Maintenance'!D:H,5,0),"not found")</f>
        <v>2010060499040003</v>
      </c>
      <c r="B880">
        <v>40021267</v>
      </c>
      <c r="C880" t="s">
        <v>314</v>
      </c>
      <c r="D880"/>
      <c r="E880"/>
      <c r="F880" s="3">
        <v>44770</v>
      </c>
      <c r="G880" s="49">
        <v>2</v>
      </c>
      <c r="H880">
        <v>259.5</v>
      </c>
      <c r="I880" s="9" t="s">
        <v>6943</v>
      </c>
      <c r="J880"/>
      <c r="K880"/>
      <c r="L880"/>
      <c r="M880"/>
      <c r="N880"/>
      <c r="O880"/>
      <c r="P880"/>
      <c r="Q880"/>
      <c r="R880"/>
    </row>
    <row r="881" spans="1:18" x14ac:dyDescent="0.25">
      <c r="A881" t="str">
        <f>IFERROR(VLOOKUP(B881&amp; "*",'SKU Maintenance'!D:H,5,0),"not found")</f>
        <v>2010060498170003</v>
      </c>
      <c r="B881">
        <v>40021268</v>
      </c>
      <c r="C881" t="s">
        <v>170</v>
      </c>
      <c r="D881"/>
      <c r="E881"/>
      <c r="F881" s="3">
        <v>44760</v>
      </c>
      <c r="G881" s="49">
        <v>1</v>
      </c>
      <c r="H881">
        <v>129.75</v>
      </c>
      <c r="I881" s="9" t="s">
        <v>6939</v>
      </c>
      <c r="J881"/>
      <c r="K881"/>
      <c r="L881"/>
      <c r="M881"/>
      <c r="N881"/>
      <c r="O881"/>
      <c r="P881"/>
      <c r="Q881"/>
      <c r="R881"/>
    </row>
    <row r="882" spans="1:18" x14ac:dyDescent="0.25">
      <c r="A882" t="str">
        <f>IFERROR(VLOOKUP(B882&amp; "*",'SKU Maintenance'!D:H,5,0),"not found")</f>
        <v>2010060498170003</v>
      </c>
      <c r="B882">
        <v>40021268</v>
      </c>
      <c r="C882" t="s">
        <v>170</v>
      </c>
      <c r="D882"/>
      <c r="E882"/>
      <c r="F882" s="3">
        <v>44758</v>
      </c>
      <c r="G882" s="49">
        <v>2</v>
      </c>
      <c r="H882">
        <v>259.5</v>
      </c>
      <c r="I882" s="9" t="s">
        <v>6943</v>
      </c>
      <c r="J882"/>
      <c r="K882"/>
      <c r="L882"/>
      <c r="M882"/>
      <c r="N882"/>
      <c r="O882"/>
      <c r="P882"/>
      <c r="Q882"/>
      <c r="R882"/>
    </row>
    <row r="883" spans="1:18" x14ac:dyDescent="0.25">
      <c r="A883" t="str">
        <f>IFERROR(VLOOKUP(B883&amp; "*",'SKU Maintenance'!D:H,5,0),"not found")</f>
        <v>2010060498170003</v>
      </c>
      <c r="B883">
        <v>40021268</v>
      </c>
      <c r="C883" t="s">
        <v>170</v>
      </c>
      <c r="D883"/>
      <c r="E883"/>
      <c r="F883" s="3">
        <v>44761</v>
      </c>
      <c r="G883" s="49">
        <v>1</v>
      </c>
      <c r="H883">
        <v>129.75</v>
      </c>
      <c r="I883" s="9" t="s">
        <v>6943</v>
      </c>
      <c r="J883"/>
      <c r="K883"/>
      <c r="L883"/>
      <c r="M883"/>
      <c r="N883"/>
      <c r="O883"/>
      <c r="P883"/>
      <c r="Q883"/>
      <c r="R883"/>
    </row>
    <row r="884" spans="1:18" x14ac:dyDescent="0.25">
      <c r="A884" t="str">
        <f>IFERROR(VLOOKUP(B884&amp; "*",'SKU Maintenance'!D:H,5,0),"not found")</f>
        <v>2010060498160003</v>
      </c>
      <c r="B884">
        <v>40021269</v>
      </c>
      <c r="C884" t="s">
        <v>311</v>
      </c>
      <c r="D884"/>
      <c r="E884"/>
      <c r="F884" s="3">
        <v>44761</v>
      </c>
      <c r="G884" s="49">
        <v>1</v>
      </c>
      <c r="H884">
        <v>129.75</v>
      </c>
      <c r="I884" s="9" t="s">
        <v>6941</v>
      </c>
      <c r="J884"/>
      <c r="K884"/>
      <c r="L884"/>
      <c r="M884"/>
      <c r="N884"/>
      <c r="O884"/>
      <c r="P884"/>
      <c r="Q884"/>
      <c r="R884"/>
    </row>
    <row r="885" spans="1:18" x14ac:dyDescent="0.25">
      <c r="A885" t="str">
        <f>IFERROR(VLOOKUP(B885&amp; "*",'SKU Maintenance'!D:H,5,0),"not found")</f>
        <v>2010060498100003</v>
      </c>
      <c r="B885">
        <v>40021271</v>
      </c>
      <c r="C885" t="s">
        <v>365</v>
      </c>
      <c r="D885"/>
      <c r="E885"/>
      <c r="F885" s="3">
        <v>44749</v>
      </c>
      <c r="G885" s="49">
        <v>1</v>
      </c>
      <c r="H885">
        <v>129.75</v>
      </c>
      <c r="I885" s="9" t="s">
        <v>6943</v>
      </c>
      <c r="J885"/>
      <c r="K885"/>
      <c r="L885"/>
      <c r="M885"/>
      <c r="N885"/>
      <c r="O885"/>
      <c r="P885"/>
      <c r="Q885"/>
      <c r="R885"/>
    </row>
    <row r="886" spans="1:18" x14ac:dyDescent="0.25">
      <c r="A886" t="str">
        <f>IFERROR(VLOOKUP(B886&amp; "*",'SKU Maintenance'!D:H,5,0),"not found")</f>
        <v>2010060498070003</v>
      </c>
      <c r="B886">
        <v>40021272</v>
      </c>
      <c r="C886" t="s">
        <v>127</v>
      </c>
      <c r="D886"/>
      <c r="E886"/>
      <c r="F886" s="3">
        <v>44755</v>
      </c>
      <c r="G886" s="49">
        <v>1</v>
      </c>
      <c r="H886">
        <v>129.75</v>
      </c>
      <c r="I886" s="9" t="s">
        <v>6939</v>
      </c>
      <c r="J886"/>
      <c r="K886"/>
      <c r="L886"/>
      <c r="M886"/>
      <c r="N886"/>
      <c r="O886"/>
      <c r="P886"/>
      <c r="Q886"/>
      <c r="R886"/>
    </row>
    <row r="887" spans="1:18" x14ac:dyDescent="0.25">
      <c r="A887" t="str">
        <f>IFERROR(VLOOKUP(B887&amp; "*",'SKU Maintenance'!D:H,5,0),"not found")</f>
        <v>2010060498040003</v>
      </c>
      <c r="B887">
        <v>40021273</v>
      </c>
      <c r="C887" t="s">
        <v>226</v>
      </c>
      <c r="D887"/>
      <c r="E887"/>
      <c r="F887" s="3">
        <v>44773</v>
      </c>
      <c r="G887" s="49">
        <v>1</v>
      </c>
      <c r="H887">
        <v>129.75</v>
      </c>
      <c r="I887" s="9" t="s">
        <v>6939</v>
      </c>
      <c r="J887"/>
      <c r="K887"/>
      <c r="L887"/>
      <c r="M887"/>
      <c r="N887"/>
      <c r="O887"/>
      <c r="P887"/>
      <c r="Q887"/>
      <c r="R887"/>
    </row>
    <row r="888" spans="1:18" x14ac:dyDescent="0.25">
      <c r="A888" t="str">
        <f>IFERROR(VLOOKUP(B888&amp; "*",'SKU Maintenance'!D:H,5,0),"not found")</f>
        <v>2010030698160006</v>
      </c>
      <c r="B888">
        <v>40021824</v>
      </c>
      <c r="C888" t="s">
        <v>324</v>
      </c>
      <c r="D888"/>
      <c r="E888"/>
      <c r="F888" s="3">
        <v>44765</v>
      </c>
      <c r="G888" s="49">
        <v>1</v>
      </c>
      <c r="H888">
        <v>599.75</v>
      </c>
      <c r="I888" s="9" t="s">
        <v>6941</v>
      </c>
      <c r="J888"/>
      <c r="K888"/>
      <c r="L888"/>
      <c r="M888"/>
      <c r="N888"/>
      <c r="O888"/>
      <c r="P888"/>
      <c r="Q888"/>
      <c r="R888"/>
    </row>
    <row r="889" spans="1:18" x14ac:dyDescent="0.25">
      <c r="A889" t="str">
        <f>IFERROR(VLOOKUP(B889&amp; "*",'SKU Maintenance'!D:H,5,0),"not found")</f>
        <v>2010050202100005</v>
      </c>
      <c r="B889">
        <v>40021959</v>
      </c>
      <c r="C889" t="s">
        <v>333</v>
      </c>
      <c r="D889"/>
      <c r="E889"/>
      <c r="F889" s="3">
        <v>44767</v>
      </c>
      <c r="G889" s="49">
        <v>1</v>
      </c>
      <c r="H889">
        <v>149.75</v>
      </c>
      <c r="I889" s="9" t="s">
        <v>6941</v>
      </c>
      <c r="J889"/>
      <c r="K889"/>
      <c r="L889"/>
      <c r="M889"/>
      <c r="N889"/>
      <c r="O889"/>
      <c r="P889"/>
      <c r="Q889"/>
      <c r="R889"/>
    </row>
    <row r="890" spans="1:18" x14ac:dyDescent="0.25">
      <c r="A890" t="str">
        <f>IFERROR(VLOOKUP(B890&amp; "*",'SKU Maintenance'!D:H,5,0),"not found")</f>
        <v>2010050204100006</v>
      </c>
      <c r="B890">
        <v>40021960</v>
      </c>
      <c r="C890" t="s">
        <v>113</v>
      </c>
      <c r="D890"/>
      <c r="E890"/>
      <c r="F890" s="3">
        <v>44752</v>
      </c>
      <c r="G890" s="49">
        <v>1</v>
      </c>
      <c r="H890">
        <v>229.75</v>
      </c>
      <c r="I890" s="9" t="s">
        <v>6939</v>
      </c>
      <c r="J890"/>
      <c r="K890"/>
      <c r="L890"/>
      <c r="M890"/>
      <c r="N890"/>
      <c r="O890"/>
      <c r="P890"/>
      <c r="Q890"/>
      <c r="R890"/>
    </row>
    <row r="891" spans="1:18" x14ac:dyDescent="0.25">
      <c r="A891" t="str">
        <f>IFERROR(VLOOKUP(B891&amp; "*",'SKU Maintenance'!D:H,5,0),"not found")</f>
        <v>2010050204100006</v>
      </c>
      <c r="B891">
        <v>40021960</v>
      </c>
      <c r="C891" t="s">
        <v>113</v>
      </c>
      <c r="D891"/>
      <c r="E891"/>
      <c r="F891" s="3">
        <v>44769</v>
      </c>
      <c r="G891" s="49">
        <v>1</v>
      </c>
      <c r="H891">
        <v>229.75</v>
      </c>
      <c r="I891" s="9" t="s">
        <v>6941</v>
      </c>
      <c r="J891"/>
      <c r="K891"/>
      <c r="L891"/>
      <c r="M891"/>
      <c r="N891"/>
      <c r="O891"/>
      <c r="P891"/>
      <c r="Q891"/>
      <c r="R891"/>
    </row>
    <row r="892" spans="1:18" x14ac:dyDescent="0.25">
      <c r="A892" t="str">
        <f>IFERROR(VLOOKUP(B892&amp; "*",'SKU Maintenance'!D:H,5,0),"not found")</f>
        <v>2010050202100006</v>
      </c>
      <c r="B892">
        <v>40021961</v>
      </c>
      <c r="C892" t="s">
        <v>104</v>
      </c>
      <c r="D892"/>
      <c r="E892"/>
      <c r="F892" s="3">
        <v>44751</v>
      </c>
      <c r="G892" s="49">
        <v>1</v>
      </c>
      <c r="H892">
        <v>149.75</v>
      </c>
      <c r="I892" s="9" t="s">
        <v>6939</v>
      </c>
      <c r="J892"/>
      <c r="K892"/>
      <c r="L892"/>
      <c r="M892"/>
      <c r="N892"/>
      <c r="O892"/>
      <c r="P892"/>
      <c r="Q892"/>
      <c r="R892"/>
    </row>
    <row r="893" spans="1:18" x14ac:dyDescent="0.25">
      <c r="A893" t="str">
        <f>IFERROR(VLOOKUP(B893&amp; "*",'SKU Maintenance'!D:H,5,0),"not found")</f>
        <v>2010050202100006</v>
      </c>
      <c r="B893">
        <v>40021961</v>
      </c>
      <c r="C893" t="s">
        <v>104</v>
      </c>
      <c r="D893"/>
      <c r="E893"/>
      <c r="F893" s="3">
        <v>44771</v>
      </c>
      <c r="G893" s="49">
        <v>1</v>
      </c>
      <c r="H893">
        <v>149.75</v>
      </c>
      <c r="I893" s="9" t="s">
        <v>6941</v>
      </c>
      <c r="J893"/>
      <c r="K893"/>
      <c r="L893"/>
      <c r="M893"/>
      <c r="N893"/>
      <c r="O893"/>
      <c r="P893"/>
      <c r="Q893"/>
      <c r="R893"/>
    </row>
    <row r="894" spans="1:18" x14ac:dyDescent="0.25">
      <c r="A894" t="str">
        <f>IFERROR(VLOOKUP(B894&amp; "*",'SKU Maintenance'!D:H,5,0),"not found")</f>
        <v>2010050201100006</v>
      </c>
      <c r="B894">
        <v>40021962</v>
      </c>
      <c r="C894" t="s">
        <v>207</v>
      </c>
      <c r="D894"/>
      <c r="E894"/>
      <c r="F894" s="3">
        <v>44768</v>
      </c>
      <c r="G894" s="49">
        <v>1</v>
      </c>
      <c r="H894">
        <v>129.75</v>
      </c>
      <c r="I894" s="9" t="s">
        <v>6939</v>
      </c>
      <c r="J894"/>
      <c r="K894"/>
      <c r="L894"/>
      <c r="M894"/>
      <c r="N894"/>
      <c r="O894"/>
      <c r="P894"/>
      <c r="Q894"/>
      <c r="R894"/>
    </row>
    <row r="895" spans="1:18" x14ac:dyDescent="0.25">
      <c r="A895" t="str">
        <f>IFERROR(VLOOKUP(B895&amp; "*",'SKU Maintenance'!D:H,5,0),"not found")</f>
        <v>2010050201100006</v>
      </c>
      <c r="B895">
        <v>40021962</v>
      </c>
      <c r="C895" t="s">
        <v>207</v>
      </c>
      <c r="D895"/>
      <c r="E895"/>
      <c r="F895" s="3">
        <v>44743</v>
      </c>
      <c r="G895" s="49">
        <v>1</v>
      </c>
      <c r="H895">
        <v>129.75</v>
      </c>
      <c r="I895" s="9" t="s">
        <v>6943</v>
      </c>
      <c r="J895"/>
      <c r="K895"/>
      <c r="L895"/>
      <c r="M895"/>
      <c r="N895"/>
      <c r="O895"/>
      <c r="P895"/>
      <c r="Q895"/>
      <c r="R895"/>
    </row>
    <row r="896" spans="1:18" x14ac:dyDescent="0.25">
      <c r="A896" t="str">
        <f>IFERROR(VLOOKUP(B896&amp; "*",'SKU Maintenance'!D:H,5,0),"not found")</f>
        <v>2010050201100006</v>
      </c>
      <c r="B896">
        <v>40021962</v>
      </c>
      <c r="C896" t="s">
        <v>207</v>
      </c>
      <c r="D896"/>
      <c r="E896"/>
      <c r="F896" s="3">
        <v>44757</v>
      </c>
      <c r="G896" s="49">
        <v>1</v>
      </c>
      <c r="H896">
        <v>129.75</v>
      </c>
      <c r="I896" s="9" t="s">
        <v>6945</v>
      </c>
      <c r="J896"/>
      <c r="K896"/>
      <c r="L896"/>
      <c r="M896"/>
      <c r="N896"/>
      <c r="O896"/>
      <c r="P896"/>
      <c r="Q896"/>
      <c r="R896"/>
    </row>
    <row r="897" spans="1:18" x14ac:dyDescent="0.25">
      <c r="A897" t="str">
        <f>IFERROR(VLOOKUP(B897&amp; "*",'SKU Maintenance'!D:H,5,0),"not found")</f>
        <v>2010050204040006</v>
      </c>
      <c r="B897">
        <v>40021963</v>
      </c>
      <c r="C897" t="s">
        <v>266</v>
      </c>
      <c r="D897"/>
      <c r="E897"/>
      <c r="F897" s="3">
        <v>44748</v>
      </c>
      <c r="G897" s="49">
        <v>1</v>
      </c>
      <c r="H897">
        <v>229.75</v>
      </c>
      <c r="I897" s="9" t="s">
        <v>6941</v>
      </c>
      <c r="J897"/>
      <c r="K897"/>
      <c r="L897"/>
      <c r="M897"/>
      <c r="N897"/>
      <c r="O897"/>
      <c r="P897"/>
      <c r="Q897"/>
      <c r="R897"/>
    </row>
    <row r="898" spans="1:18" x14ac:dyDescent="0.25">
      <c r="A898" t="str">
        <f>IFERROR(VLOOKUP(B898&amp; "*",'SKU Maintenance'!D:H,5,0),"not found")</f>
        <v>2010050204040006</v>
      </c>
      <c r="B898">
        <v>40021963</v>
      </c>
      <c r="C898" t="s">
        <v>266</v>
      </c>
      <c r="D898"/>
      <c r="E898"/>
      <c r="F898" s="3">
        <v>44760</v>
      </c>
      <c r="G898" s="49">
        <v>1</v>
      </c>
      <c r="H898">
        <v>229.75</v>
      </c>
      <c r="I898" s="9" t="s">
        <v>6941</v>
      </c>
      <c r="J898"/>
      <c r="K898"/>
      <c r="L898"/>
      <c r="M898"/>
      <c r="N898"/>
      <c r="O898"/>
      <c r="P898"/>
      <c r="Q898"/>
      <c r="R898"/>
    </row>
    <row r="899" spans="1:18" x14ac:dyDescent="0.25">
      <c r="A899" t="str">
        <f>IFERROR(VLOOKUP(B899&amp; "*",'SKU Maintenance'!D:H,5,0),"not found")</f>
        <v>2010050201040006</v>
      </c>
      <c r="B899">
        <v>40021965</v>
      </c>
      <c r="C899" t="s">
        <v>316</v>
      </c>
      <c r="D899"/>
      <c r="E899"/>
      <c r="F899" s="3">
        <v>44764</v>
      </c>
      <c r="G899" s="49">
        <v>1</v>
      </c>
      <c r="H899">
        <v>129.75</v>
      </c>
      <c r="I899" s="9" t="s">
        <v>6941</v>
      </c>
      <c r="J899"/>
      <c r="K899"/>
      <c r="L899"/>
      <c r="M899"/>
      <c r="N899"/>
      <c r="O899"/>
      <c r="P899"/>
      <c r="Q899"/>
      <c r="R899"/>
    </row>
    <row r="900" spans="1:18" x14ac:dyDescent="0.25">
      <c r="A900" t="str">
        <f>IFERROR(VLOOKUP(B900&amp; "*",'SKU Maintenance'!D:H,5,0),"not found")</f>
        <v>2010050201040006</v>
      </c>
      <c r="B900">
        <v>40021965</v>
      </c>
      <c r="C900" t="s">
        <v>316</v>
      </c>
      <c r="D900"/>
      <c r="E900"/>
      <c r="F900" s="3">
        <v>44768</v>
      </c>
      <c r="G900" s="49">
        <v>1</v>
      </c>
      <c r="H900">
        <v>129.75</v>
      </c>
      <c r="I900" s="9" t="s">
        <v>6941</v>
      </c>
      <c r="J900"/>
      <c r="K900"/>
      <c r="L900"/>
      <c r="M900"/>
      <c r="N900"/>
      <c r="O900"/>
      <c r="P900"/>
      <c r="Q900"/>
      <c r="R900"/>
    </row>
    <row r="901" spans="1:18" x14ac:dyDescent="0.25">
      <c r="A901" t="str">
        <f>IFERROR(VLOOKUP(B901&amp; "*",'SKU Maintenance'!D:H,5,0),"not found")</f>
        <v>2010050201040006</v>
      </c>
      <c r="B901">
        <v>40021965</v>
      </c>
      <c r="C901" t="s">
        <v>316</v>
      </c>
      <c r="D901"/>
      <c r="E901"/>
      <c r="F901" s="3">
        <v>44743</v>
      </c>
      <c r="G901" s="49">
        <v>1</v>
      </c>
      <c r="H901">
        <v>129.75</v>
      </c>
      <c r="I901" s="9" t="s">
        <v>6943</v>
      </c>
      <c r="J901"/>
      <c r="K901"/>
      <c r="L901"/>
      <c r="M901"/>
      <c r="N901"/>
      <c r="O901"/>
      <c r="P901"/>
      <c r="Q901"/>
      <c r="R901"/>
    </row>
    <row r="902" spans="1:18" x14ac:dyDescent="0.25">
      <c r="A902" t="str">
        <f>IFERROR(VLOOKUP(B902&amp; "*",'SKU Maintenance'!D:H,5,0),"not found")</f>
        <v>2010050201040006</v>
      </c>
      <c r="B902">
        <v>40021965</v>
      </c>
      <c r="C902" t="s">
        <v>316</v>
      </c>
      <c r="D902"/>
      <c r="E902"/>
      <c r="F902" s="3">
        <v>44751</v>
      </c>
      <c r="G902" s="49">
        <v>1</v>
      </c>
      <c r="H902">
        <v>129.75</v>
      </c>
      <c r="I902" s="9" t="s">
        <v>6945</v>
      </c>
      <c r="J902"/>
      <c r="K902"/>
      <c r="L902"/>
      <c r="M902"/>
      <c r="N902"/>
      <c r="O902"/>
      <c r="P902"/>
      <c r="Q902"/>
      <c r="R902"/>
    </row>
    <row r="903" spans="1:18" x14ac:dyDescent="0.25">
      <c r="A903" t="str">
        <f>IFERROR(VLOOKUP(B903&amp; "*",'SKU Maintenance'!D:H,5,0),"not found")</f>
        <v>2010050202020006</v>
      </c>
      <c r="B903">
        <v>40021967</v>
      </c>
      <c r="C903" t="s">
        <v>347</v>
      </c>
      <c r="D903"/>
      <c r="E903"/>
      <c r="F903" s="3">
        <v>44771</v>
      </c>
      <c r="G903" s="49">
        <v>2</v>
      </c>
      <c r="H903">
        <v>299.5</v>
      </c>
      <c r="I903" s="9" t="s">
        <v>6941</v>
      </c>
      <c r="J903"/>
      <c r="K903"/>
      <c r="L903"/>
      <c r="M903"/>
      <c r="N903"/>
      <c r="O903"/>
      <c r="P903"/>
      <c r="Q903"/>
      <c r="R903"/>
    </row>
    <row r="904" spans="1:18" x14ac:dyDescent="0.25">
      <c r="A904" t="str">
        <f>IFERROR(VLOOKUP(B904&amp; "*",'SKU Maintenance'!D:H,5,0),"not found")</f>
        <v>2010050201020006</v>
      </c>
      <c r="B904">
        <v>40021968</v>
      </c>
      <c r="C904" t="s">
        <v>339</v>
      </c>
      <c r="D904"/>
      <c r="E904"/>
      <c r="F904" s="3">
        <v>44768</v>
      </c>
      <c r="G904" s="49">
        <v>1</v>
      </c>
      <c r="H904">
        <v>129.75</v>
      </c>
      <c r="I904" s="9" t="s">
        <v>6941</v>
      </c>
      <c r="J904"/>
      <c r="K904"/>
      <c r="L904"/>
      <c r="M904"/>
      <c r="N904"/>
      <c r="O904"/>
      <c r="P904"/>
      <c r="Q904"/>
      <c r="R904"/>
    </row>
    <row r="905" spans="1:18" x14ac:dyDescent="0.25">
      <c r="A905" t="str">
        <f>IFERROR(VLOOKUP(B905&amp; "*",'SKU Maintenance'!D:H,5,0),"not found")</f>
        <v>2010050201020006</v>
      </c>
      <c r="B905">
        <v>40021968</v>
      </c>
      <c r="C905" t="s">
        <v>339</v>
      </c>
      <c r="D905"/>
      <c r="E905"/>
      <c r="F905" s="3">
        <v>44757</v>
      </c>
      <c r="G905" s="49">
        <v>1</v>
      </c>
      <c r="H905">
        <v>129.75</v>
      </c>
      <c r="I905" s="9" t="s">
        <v>6945</v>
      </c>
      <c r="J905"/>
      <c r="K905"/>
      <c r="L905"/>
      <c r="M905"/>
      <c r="N905"/>
      <c r="O905"/>
      <c r="P905"/>
      <c r="Q905"/>
      <c r="R905"/>
    </row>
    <row r="906" spans="1:18" x14ac:dyDescent="0.25">
      <c r="A906" t="str">
        <f>IFERROR(VLOOKUP(B906&amp; "*",'SKU Maintenance'!D:H,5,0),"not found")</f>
        <v>2010050204100005</v>
      </c>
      <c r="B906">
        <v>40021969</v>
      </c>
      <c r="C906" t="s">
        <v>71</v>
      </c>
      <c r="D906"/>
      <c r="E906"/>
      <c r="F906" s="3">
        <v>44745</v>
      </c>
      <c r="G906" s="49">
        <v>1</v>
      </c>
      <c r="H906">
        <v>229.75</v>
      </c>
      <c r="I906" s="9" t="s">
        <v>6939</v>
      </c>
      <c r="J906"/>
      <c r="K906"/>
      <c r="L906"/>
      <c r="M906"/>
      <c r="N906"/>
      <c r="O906"/>
      <c r="P906"/>
      <c r="Q906"/>
      <c r="R906"/>
    </row>
    <row r="907" spans="1:18" x14ac:dyDescent="0.25">
      <c r="A907" t="str">
        <f>IFERROR(VLOOKUP(B907&amp; "*",'SKU Maintenance'!D:H,5,0),"not found")</f>
        <v>2010050204100005</v>
      </c>
      <c r="B907">
        <v>40021969</v>
      </c>
      <c r="C907" t="s">
        <v>71</v>
      </c>
      <c r="D907"/>
      <c r="E907"/>
      <c r="F907" s="3">
        <v>44769</v>
      </c>
      <c r="G907" s="49">
        <v>2</v>
      </c>
      <c r="H907">
        <v>459.5</v>
      </c>
      <c r="I907" s="9" t="s">
        <v>6939</v>
      </c>
      <c r="J907"/>
      <c r="K907"/>
      <c r="L907"/>
      <c r="M907"/>
      <c r="N907"/>
      <c r="O907"/>
      <c r="P907"/>
      <c r="Q907"/>
      <c r="R907"/>
    </row>
    <row r="908" spans="1:18" x14ac:dyDescent="0.25">
      <c r="A908" t="str">
        <f>IFERROR(VLOOKUP(B908&amp; "*",'SKU Maintenance'!D:H,5,0),"not found")</f>
        <v>2010050204100005</v>
      </c>
      <c r="B908">
        <v>40021969</v>
      </c>
      <c r="C908" t="s">
        <v>71</v>
      </c>
      <c r="D908"/>
      <c r="E908"/>
      <c r="F908" s="3">
        <v>44754</v>
      </c>
      <c r="G908" s="49">
        <v>1</v>
      </c>
      <c r="H908">
        <v>229.75</v>
      </c>
      <c r="I908" s="9" t="s">
        <v>6943</v>
      </c>
      <c r="J908"/>
      <c r="K908"/>
      <c r="L908"/>
      <c r="M908"/>
      <c r="N908"/>
      <c r="O908"/>
      <c r="P908"/>
      <c r="Q908"/>
      <c r="R908"/>
    </row>
    <row r="909" spans="1:18" x14ac:dyDescent="0.25">
      <c r="A909" t="str">
        <f>IFERROR(VLOOKUP(B909&amp; "*",'SKU Maintenance'!D:H,5,0),"not found")</f>
        <v>2010050201100005</v>
      </c>
      <c r="B909">
        <v>40021970</v>
      </c>
      <c r="C909" t="s">
        <v>338</v>
      </c>
      <c r="D909"/>
      <c r="E909"/>
      <c r="F909" s="3">
        <v>44768</v>
      </c>
      <c r="G909" s="49">
        <v>1</v>
      </c>
      <c r="H909">
        <v>129.75</v>
      </c>
      <c r="I909" s="9" t="s">
        <v>6941</v>
      </c>
      <c r="J909"/>
      <c r="K909"/>
      <c r="L909"/>
      <c r="M909"/>
      <c r="N909"/>
      <c r="O909"/>
      <c r="P909"/>
      <c r="Q909"/>
      <c r="R909"/>
    </row>
    <row r="910" spans="1:18" x14ac:dyDescent="0.25">
      <c r="A910" t="str">
        <f>IFERROR(VLOOKUP(B910&amp; "*",'SKU Maintenance'!D:H,5,0),"not found")</f>
        <v>2010050201100005</v>
      </c>
      <c r="B910">
        <v>40021970</v>
      </c>
      <c r="C910" t="s">
        <v>338</v>
      </c>
      <c r="D910"/>
      <c r="E910"/>
      <c r="F910" s="3">
        <v>44773</v>
      </c>
      <c r="G910" s="49">
        <v>1</v>
      </c>
      <c r="H910">
        <v>129.75</v>
      </c>
      <c r="I910" s="9" t="s">
        <v>6941</v>
      </c>
      <c r="J910"/>
      <c r="K910"/>
      <c r="L910"/>
      <c r="M910"/>
      <c r="N910"/>
      <c r="O910"/>
      <c r="P910"/>
      <c r="Q910"/>
      <c r="R910"/>
    </row>
    <row r="911" spans="1:18" x14ac:dyDescent="0.25">
      <c r="A911" t="str">
        <f>IFERROR(VLOOKUP(B911&amp; "*",'SKU Maintenance'!D:H,5,0),"not found")</f>
        <v>2010050201100005</v>
      </c>
      <c r="B911">
        <v>40021970</v>
      </c>
      <c r="C911" t="s">
        <v>338</v>
      </c>
      <c r="D911"/>
      <c r="E911"/>
      <c r="F911" s="3">
        <v>44743</v>
      </c>
      <c r="G911" s="49">
        <v>1</v>
      </c>
      <c r="H911">
        <v>129.75</v>
      </c>
      <c r="I911" s="9" t="s">
        <v>6945</v>
      </c>
      <c r="J911"/>
      <c r="K911"/>
      <c r="L911"/>
      <c r="M911"/>
      <c r="N911"/>
      <c r="O911"/>
      <c r="P911"/>
      <c r="Q911"/>
      <c r="R911"/>
    </row>
    <row r="912" spans="1:18" x14ac:dyDescent="0.25">
      <c r="A912" t="str">
        <f>IFERROR(VLOOKUP(B912&amp; "*",'SKU Maintenance'!D:H,5,0),"not found")</f>
        <v>2010050204040005</v>
      </c>
      <c r="B912">
        <v>40021971</v>
      </c>
      <c r="C912" t="s">
        <v>79</v>
      </c>
      <c r="D912"/>
      <c r="E912"/>
      <c r="F912" s="3">
        <v>44745</v>
      </c>
      <c r="G912" s="49">
        <v>1</v>
      </c>
      <c r="H912">
        <v>229.75</v>
      </c>
      <c r="I912" s="9" t="s">
        <v>6939</v>
      </c>
      <c r="J912"/>
      <c r="K912"/>
      <c r="L912"/>
      <c r="M912"/>
      <c r="N912"/>
      <c r="O912"/>
      <c r="P912"/>
      <c r="Q912"/>
      <c r="R912"/>
    </row>
    <row r="913" spans="1:18" x14ac:dyDescent="0.25">
      <c r="A913" t="str">
        <f>IFERROR(VLOOKUP(B913&amp; "*",'SKU Maintenance'!D:H,5,0),"not found")</f>
        <v>2010050204040005</v>
      </c>
      <c r="B913">
        <v>40021971</v>
      </c>
      <c r="C913" t="s">
        <v>79</v>
      </c>
      <c r="D913"/>
      <c r="E913"/>
      <c r="F913" s="3">
        <v>44764</v>
      </c>
      <c r="G913" s="49">
        <v>1</v>
      </c>
      <c r="H913">
        <v>229.75</v>
      </c>
      <c r="I913" s="9" t="s">
        <v>6941</v>
      </c>
      <c r="J913"/>
      <c r="K913"/>
      <c r="L913"/>
      <c r="M913"/>
      <c r="N913"/>
      <c r="O913"/>
      <c r="P913"/>
      <c r="Q913"/>
      <c r="R913"/>
    </row>
    <row r="914" spans="1:18" x14ac:dyDescent="0.25">
      <c r="A914" t="str">
        <f>IFERROR(VLOOKUP(B914&amp; "*",'SKU Maintenance'!D:H,5,0),"not found")</f>
        <v>2010050202040005</v>
      </c>
      <c r="B914">
        <v>40021972</v>
      </c>
      <c r="C914" t="s">
        <v>345</v>
      </c>
      <c r="D914"/>
      <c r="E914"/>
      <c r="F914" s="3">
        <v>44771</v>
      </c>
      <c r="G914" s="49">
        <v>1</v>
      </c>
      <c r="H914">
        <v>149.75</v>
      </c>
      <c r="I914" s="9" t="s">
        <v>6941</v>
      </c>
      <c r="J914"/>
      <c r="K914"/>
      <c r="L914"/>
      <c r="M914"/>
      <c r="N914"/>
      <c r="O914"/>
      <c r="P914"/>
      <c r="Q914"/>
      <c r="R914"/>
    </row>
    <row r="915" spans="1:18" x14ac:dyDescent="0.25">
      <c r="A915" t="str">
        <f>IFERROR(VLOOKUP(B915&amp; "*",'SKU Maintenance'!D:H,5,0),"not found")</f>
        <v>2010050201040005</v>
      </c>
      <c r="B915">
        <v>40021973</v>
      </c>
      <c r="C915" t="s">
        <v>247</v>
      </c>
      <c r="D915"/>
      <c r="E915"/>
      <c r="F915" s="3">
        <v>44745</v>
      </c>
      <c r="G915" s="49">
        <v>1</v>
      </c>
      <c r="H915">
        <v>129.75</v>
      </c>
      <c r="I915" s="9" t="s">
        <v>6941</v>
      </c>
      <c r="J915"/>
      <c r="K915"/>
      <c r="L915"/>
      <c r="M915"/>
      <c r="N915"/>
      <c r="O915"/>
      <c r="P915"/>
      <c r="Q915"/>
      <c r="R915"/>
    </row>
    <row r="916" spans="1:18" x14ac:dyDescent="0.25">
      <c r="A916" t="str">
        <f>IFERROR(VLOOKUP(B916&amp; "*",'SKU Maintenance'!D:H,5,0),"not found")</f>
        <v>2010050201040005</v>
      </c>
      <c r="B916">
        <v>40021973</v>
      </c>
      <c r="C916" t="s">
        <v>247</v>
      </c>
      <c r="D916"/>
      <c r="E916"/>
      <c r="F916" s="3">
        <v>44747</v>
      </c>
      <c r="G916" s="49">
        <v>1</v>
      </c>
      <c r="H916">
        <v>129.75</v>
      </c>
      <c r="I916" s="9" t="s">
        <v>6941</v>
      </c>
      <c r="J916"/>
      <c r="K916"/>
      <c r="L916"/>
      <c r="M916"/>
      <c r="N916"/>
      <c r="O916"/>
      <c r="P916"/>
      <c r="Q916"/>
      <c r="R916"/>
    </row>
    <row r="917" spans="1:18" x14ac:dyDescent="0.25">
      <c r="A917" t="str">
        <f>IFERROR(VLOOKUP(B917&amp; "*",'SKU Maintenance'!D:H,5,0),"not found")</f>
        <v>2010050201040005</v>
      </c>
      <c r="B917">
        <v>40021973</v>
      </c>
      <c r="C917" t="s">
        <v>247</v>
      </c>
      <c r="D917"/>
      <c r="E917"/>
      <c r="F917" s="3">
        <v>44758</v>
      </c>
      <c r="G917" s="49">
        <v>1</v>
      </c>
      <c r="H917">
        <v>129.75</v>
      </c>
      <c r="I917" s="9" t="s">
        <v>6941</v>
      </c>
      <c r="J917"/>
      <c r="K917"/>
      <c r="L917"/>
      <c r="M917"/>
      <c r="N917"/>
      <c r="O917"/>
      <c r="P917"/>
      <c r="Q917"/>
      <c r="R917"/>
    </row>
    <row r="918" spans="1:18" x14ac:dyDescent="0.25">
      <c r="A918" t="str">
        <f>IFERROR(VLOOKUP(B918&amp; "*",'SKU Maintenance'!D:H,5,0),"not found")</f>
        <v>2010050201040005</v>
      </c>
      <c r="B918">
        <v>40021973</v>
      </c>
      <c r="C918" t="s">
        <v>247</v>
      </c>
      <c r="D918"/>
      <c r="E918"/>
      <c r="F918" s="3">
        <v>44768</v>
      </c>
      <c r="G918" s="49">
        <v>1</v>
      </c>
      <c r="H918">
        <v>129.75</v>
      </c>
      <c r="I918" s="9" t="s">
        <v>6941</v>
      </c>
      <c r="J918"/>
      <c r="K918"/>
      <c r="L918"/>
      <c r="M918"/>
      <c r="N918"/>
      <c r="O918"/>
      <c r="P918"/>
      <c r="Q918"/>
      <c r="R918"/>
    </row>
    <row r="919" spans="1:18" x14ac:dyDescent="0.25">
      <c r="A919" t="str">
        <f>IFERROR(VLOOKUP(B919&amp; "*",'SKU Maintenance'!D:H,5,0),"not found")</f>
        <v>2010050204020005</v>
      </c>
      <c r="B919">
        <v>40021974</v>
      </c>
      <c r="C919" t="s">
        <v>78</v>
      </c>
      <c r="D919"/>
      <c r="E919"/>
      <c r="F919" s="3">
        <v>44745</v>
      </c>
      <c r="G919" s="49">
        <v>1</v>
      </c>
      <c r="H919">
        <v>229.75</v>
      </c>
      <c r="I919" s="9" t="s">
        <v>6939</v>
      </c>
      <c r="J919"/>
      <c r="K919"/>
      <c r="L919"/>
      <c r="M919"/>
      <c r="N919"/>
      <c r="O919"/>
      <c r="P919"/>
      <c r="Q919"/>
      <c r="R919"/>
    </row>
    <row r="920" spans="1:18" x14ac:dyDescent="0.25">
      <c r="A920" t="str">
        <f>IFERROR(VLOOKUP(B920&amp; "*",'SKU Maintenance'!D:H,5,0),"not found")</f>
        <v>2010050204020005</v>
      </c>
      <c r="B920">
        <v>40021974</v>
      </c>
      <c r="C920" t="s">
        <v>78</v>
      </c>
      <c r="D920"/>
      <c r="E920"/>
      <c r="F920" s="3">
        <v>44751</v>
      </c>
      <c r="G920" s="49">
        <v>1</v>
      </c>
      <c r="H920">
        <v>229.75</v>
      </c>
      <c r="I920" s="9" t="s">
        <v>6939</v>
      </c>
      <c r="J920"/>
      <c r="K920"/>
      <c r="L920"/>
      <c r="M920"/>
      <c r="N920"/>
      <c r="O920"/>
      <c r="P920"/>
      <c r="Q920"/>
      <c r="R920"/>
    </row>
    <row r="921" spans="1:18" x14ac:dyDescent="0.25">
      <c r="A921" t="str">
        <f>IFERROR(VLOOKUP(B921&amp; "*",'SKU Maintenance'!D:H,5,0),"not found")</f>
        <v>2010050204020005</v>
      </c>
      <c r="B921">
        <v>40021974</v>
      </c>
      <c r="C921" t="s">
        <v>78</v>
      </c>
      <c r="D921"/>
      <c r="E921"/>
      <c r="F921" s="3">
        <v>44755</v>
      </c>
      <c r="G921" s="49">
        <v>1</v>
      </c>
      <c r="H921">
        <v>229.75</v>
      </c>
      <c r="I921" s="9" t="s">
        <v>6943</v>
      </c>
      <c r="J921"/>
      <c r="K921"/>
      <c r="L921"/>
      <c r="M921"/>
      <c r="N921"/>
      <c r="O921"/>
      <c r="P921"/>
      <c r="Q921"/>
      <c r="R921"/>
    </row>
    <row r="922" spans="1:18" x14ac:dyDescent="0.25">
      <c r="A922" t="str">
        <f>IFERROR(VLOOKUP(B922&amp; "*",'SKU Maintenance'!D:H,5,0),"not found")</f>
        <v>2010050204020005</v>
      </c>
      <c r="B922">
        <v>40021974</v>
      </c>
      <c r="C922" t="s">
        <v>78</v>
      </c>
      <c r="D922"/>
      <c r="E922"/>
      <c r="F922" s="3">
        <v>44751</v>
      </c>
      <c r="G922" s="49">
        <v>1</v>
      </c>
      <c r="H922">
        <v>229.75</v>
      </c>
      <c r="I922" s="9" t="s">
        <v>6945</v>
      </c>
      <c r="J922"/>
      <c r="K922"/>
      <c r="L922"/>
      <c r="M922"/>
      <c r="N922"/>
      <c r="O922"/>
      <c r="P922"/>
      <c r="Q922"/>
      <c r="R922"/>
    </row>
    <row r="923" spans="1:18" x14ac:dyDescent="0.25">
      <c r="A923" t="str">
        <f>IFERROR(VLOOKUP(B923&amp; "*",'SKU Maintenance'!D:H,5,0),"not found")</f>
        <v>2010050204020005</v>
      </c>
      <c r="B923">
        <v>40021974</v>
      </c>
      <c r="C923" t="s">
        <v>78</v>
      </c>
      <c r="D923"/>
      <c r="E923"/>
      <c r="F923" s="3">
        <v>44758</v>
      </c>
      <c r="G923" s="49">
        <v>1</v>
      </c>
      <c r="H923">
        <v>229.75</v>
      </c>
      <c r="I923" s="9" t="s">
        <v>6945</v>
      </c>
      <c r="J923"/>
      <c r="K923"/>
      <c r="L923"/>
      <c r="M923"/>
      <c r="N923"/>
      <c r="O923"/>
      <c r="P923"/>
      <c r="Q923"/>
      <c r="R923"/>
    </row>
    <row r="924" spans="1:18" x14ac:dyDescent="0.25">
      <c r="A924" t="str">
        <f>IFERROR(VLOOKUP(B924&amp; "*",'SKU Maintenance'!D:H,5,0),"not found")</f>
        <v>2010050202020005</v>
      </c>
      <c r="B924">
        <v>40021975</v>
      </c>
      <c r="C924" t="s">
        <v>259</v>
      </c>
      <c r="D924"/>
      <c r="E924"/>
      <c r="F924" s="3">
        <v>44747</v>
      </c>
      <c r="G924" s="49">
        <v>1</v>
      </c>
      <c r="H924">
        <v>149.75</v>
      </c>
      <c r="I924" s="9" t="s">
        <v>6941</v>
      </c>
      <c r="J924"/>
      <c r="K924"/>
      <c r="L924"/>
      <c r="M924"/>
      <c r="N924"/>
      <c r="O924"/>
      <c r="P924"/>
      <c r="Q924"/>
      <c r="R924"/>
    </row>
    <row r="925" spans="1:18" x14ac:dyDescent="0.25">
      <c r="A925" t="str">
        <f>IFERROR(VLOOKUP(B925&amp; "*",'SKU Maintenance'!D:H,5,0),"not found")</f>
        <v>2010050202020005</v>
      </c>
      <c r="B925">
        <v>40021975</v>
      </c>
      <c r="C925" t="s">
        <v>259</v>
      </c>
      <c r="D925"/>
      <c r="E925"/>
      <c r="F925" s="3">
        <v>44773</v>
      </c>
      <c r="G925" s="49">
        <v>2</v>
      </c>
      <c r="H925">
        <v>299.5</v>
      </c>
      <c r="I925" s="9" t="s">
        <v>6941</v>
      </c>
      <c r="J925"/>
      <c r="K925"/>
      <c r="L925"/>
      <c r="M925"/>
      <c r="N925"/>
      <c r="O925"/>
      <c r="P925"/>
      <c r="Q925"/>
      <c r="R925"/>
    </row>
    <row r="926" spans="1:18" x14ac:dyDescent="0.25">
      <c r="A926" t="str">
        <f>IFERROR(VLOOKUP(B926&amp; "*",'SKU Maintenance'!D:H,5,0),"not found")</f>
        <v>2010050201020005</v>
      </c>
      <c r="B926">
        <v>40021976</v>
      </c>
      <c r="C926" t="s">
        <v>186</v>
      </c>
      <c r="D926"/>
      <c r="E926"/>
      <c r="F926" s="3">
        <v>44765</v>
      </c>
      <c r="G926" s="49">
        <v>1</v>
      </c>
      <c r="H926">
        <v>129.75</v>
      </c>
      <c r="I926" s="9" t="s">
        <v>6939</v>
      </c>
      <c r="J926"/>
      <c r="K926"/>
      <c r="L926"/>
      <c r="M926"/>
      <c r="N926"/>
      <c r="O926"/>
      <c r="P926"/>
      <c r="Q926"/>
      <c r="R926"/>
    </row>
    <row r="927" spans="1:18" x14ac:dyDescent="0.25">
      <c r="A927" t="str">
        <f>IFERROR(VLOOKUP(B927&amp; "*",'SKU Maintenance'!D:H,5,0),"not found")</f>
        <v>2010050201020005</v>
      </c>
      <c r="B927">
        <v>40021976</v>
      </c>
      <c r="C927" t="s">
        <v>186</v>
      </c>
      <c r="D927"/>
      <c r="E927"/>
      <c r="F927" s="3">
        <v>44745</v>
      </c>
      <c r="G927" s="49">
        <v>1</v>
      </c>
      <c r="H927">
        <v>129.75</v>
      </c>
      <c r="I927" s="9" t="s">
        <v>6941</v>
      </c>
      <c r="J927"/>
      <c r="K927"/>
      <c r="L927"/>
      <c r="M927"/>
      <c r="N927"/>
      <c r="O927"/>
      <c r="P927"/>
      <c r="Q927"/>
      <c r="R927"/>
    </row>
    <row r="928" spans="1:18" x14ac:dyDescent="0.25">
      <c r="A928" t="str">
        <f>IFERROR(VLOOKUP(B928&amp; "*",'SKU Maintenance'!D:H,5,0),"not found")</f>
        <v>2010050201020005</v>
      </c>
      <c r="B928">
        <v>40021976</v>
      </c>
      <c r="C928" t="s">
        <v>186</v>
      </c>
      <c r="D928"/>
      <c r="E928"/>
      <c r="F928" s="3">
        <v>44752</v>
      </c>
      <c r="G928" s="49">
        <v>1</v>
      </c>
      <c r="H928">
        <v>129.75</v>
      </c>
      <c r="I928" s="9" t="s">
        <v>6941</v>
      </c>
      <c r="J928"/>
      <c r="K928"/>
      <c r="L928"/>
      <c r="M928"/>
      <c r="N928"/>
      <c r="O928"/>
      <c r="P928"/>
      <c r="Q928"/>
      <c r="R928"/>
    </row>
    <row r="929" spans="1:18" x14ac:dyDescent="0.25">
      <c r="A929" t="str">
        <f>IFERROR(VLOOKUP(B929&amp; "*",'SKU Maintenance'!D:H,5,0),"not found")</f>
        <v>2010050201020005</v>
      </c>
      <c r="B929">
        <v>40021976</v>
      </c>
      <c r="C929" t="s">
        <v>186</v>
      </c>
      <c r="D929"/>
      <c r="E929"/>
      <c r="F929" s="3">
        <v>44768</v>
      </c>
      <c r="G929" s="49">
        <v>1</v>
      </c>
      <c r="H929">
        <v>129.75</v>
      </c>
      <c r="I929" s="9" t="s">
        <v>6941</v>
      </c>
      <c r="J929"/>
      <c r="K929"/>
      <c r="L929"/>
      <c r="M929"/>
      <c r="N929"/>
      <c r="O929"/>
      <c r="P929"/>
      <c r="Q929"/>
      <c r="R929"/>
    </row>
    <row r="930" spans="1:18" x14ac:dyDescent="0.25">
      <c r="A930" t="str">
        <f>IFERROR(VLOOKUP(B930&amp; "*",'SKU Maintenance'!D:H,5,0),"not found")</f>
        <v>2010050201020005</v>
      </c>
      <c r="B930">
        <v>40021976</v>
      </c>
      <c r="C930" t="s">
        <v>186</v>
      </c>
      <c r="D930"/>
      <c r="E930"/>
      <c r="F930" s="3">
        <v>44771</v>
      </c>
      <c r="G930" s="49">
        <v>2</v>
      </c>
      <c r="H930">
        <v>259.5</v>
      </c>
      <c r="I930" s="9" t="s">
        <v>6943</v>
      </c>
      <c r="J930"/>
      <c r="K930"/>
      <c r="L930"/>
      <c r="M930"/>
      <c r="N930"/>
      <c r="O930"/>
      <c r="P930"/>
      <c r="Q930"/>
      <c r="R930"/>
    </row>
    <row r="931" spans="1:18" x14ac:dyDescent="0.25">
      <c r="A931" t="str">
        <f>IFERROR(VLOOKUP(B931&amp; "*",'SKU Maintenance'!D:H,5,0),"not found")</f>
        <v>2010050201020005</v>
      </c>
      <c r="B931">
        <v>40021976</v>
      </c>
      <c r="C931" t="s">
        <v>186</v>
      </c>
      <c r="D931"/>
      <c r="E931"/>
      <c r="F931" s="3">
        <v>44757</v>
      </c>
      <c r="G931" s="49">
        <v>1</v>
      </c>
      <c r="H931">
        <v>129.75</v>
      </c>
      <c r="I931" s="9" t="s">
        <v>6945</v>
      </c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 s="17"/>
    </row>
    <row r="1465" spans="1:18" x14ac:dyDescent="0.25">
      <c r="A1465" s="17"/>
    </row>
    <row r="1466" spans="1:18" x14ac:dyDescent="0.25">
      <c r="A1466" s="17"/>
    </row>
    <row r="1467" spans="1:18" x14ac:dyDescent="0.25">
      <c r="A1467" s="17"/>
    </row>
    <row r="1468" spans="1:18" x14ac:dyDescent="0.25">
      <c r="A1468" s="17"/>
    </row>
    <row r="1469" spans="1:18" x14ac:dyDescent="0.25">
      <c r="A1469" s="17"/>
    </row>
    <row r="1470" spans="1:18" x14ac:dyDescent="0.25">
      <c r="A1470" s="17"/>
    </row>
    <row r="1471" spans="1:18" x14ac:dyDescent="0.25">
      <c r="A1471" s="17"/>
    </row>
    <row r="1472" spans="1:18" x14ac:dyDescent="0.25">
      <c r="A1472" s="17"/>
    </row>
    <row r="1473" spans="1:1" x14ac:dyDescent="0.25">
      <c r="A1473" s="17"/>
    </row>
    <row r="1474" spans="1:1" x14ac:dyDescent="0.25">
      <c r="A1474" s="17"/>
    </row>
    <row r="1475" spans="1:1" x14ac:dyDescent="0.25">
      <c r="A1475" s="17"/>
    </row>
    <row r="1476" spans="1:1" x14ac:dyDescent="0.25">
      <c r="A1476" s="17"/>
    </row>
    <row r="1477" spans="1:1" x14ac:dyDescent="0.25">
      <c r="A1477" s="17"/>
    </row>
    <row r="1478" spans="1:1" x14ac:dyDescent="0.25">
      <c r="A1478" s="17"/>
    </row>
    <row r="1479" spans="1:1" x14ac:dyDescent="0.25">
      <c r="A1479" s="17"/>
    </row>
    <row r="1480" spans="1:1" x14ac:dyDescent="0.25">
      <c r="A1480" s="17"/>
    </row>
    <row r="1481" spans="1:1" x14ac:dyDescent="0.25">
      <c r="A1481" s="17"/>
    </row>
    <row r="1482" spans="1:1" x14ac:dyDescent="0.25">
      <c r="A1482" s="17"/>
    </row>
    <row r="1483" spans="1:1" x14ac:dyDescent="0.25">
      <c r="A1483" s="17"/>
    </row>
    <row r="1484" spans="1:1" x14ac:dyDescent="0.25">
      <c r="A1484" s="17"/>
    </row>
    <row r="1485" spans="1:1" x14ac:dyDescent="0.25">
      <c r="A1485" s="17"/>
    </row>
    <row r="1486" spans="1:1" x14ac:dyDescent="0.25">
      <c r="A1486" s="17"/>
    </row>
    <row r="1487" spans="1:1" x14ac:dyDescent="0.25">
      <c r="A1487" s="17"/>
    </row>
    <row r="1488" spans="1:1" x14ac:dyDescent="0.25">
      <c r="A1488" s="17"/>
    </row>
    <row r="1489" spans="1:1" x14ac:dyDescent="0.25">
      <c r="A1489" s="17"/>
    </row>
    <row r="1490" spans="1:1" x14ac:dyDescent="0.25">
      <c r="A1490" s="17"/>
    </row>
    <row r="1491" spans="1:1" x14ac:dyDescent="0.25">
      <c r="A1491" s="17"/>
    </row>
    <row r="1492" spans="1:1" x14ac:dyDescent="0.25">
      <c r="A1492" s="17"/>
    </row>
    <row r="1493" spans="1:1" x14ac:dyDescent="0.25">
      <c r="A1493" s="17"/>
    </row>
    <row r="1494" spans="1:1" x14ac:dyDescent="0.25">
      <c r="A1494" s="17"/>
    </row>
    <row r="1495" spans="1:1" x14ac:dyDescent="0.25">
      <c r="A1495" s="17"/>
    </row>
    <row r="1496" spans="1:1" x14ac:dyDescent="0.25">
      <c r="A1496" s="17"/>
    </row>
    <row r="1497" spans="1:1" x14ac:dyDescent="0.25">
      <c r="A1497" s="17"/>
    </row>
    <row r="1498" spans="1:1" x14ac:dyDescent="0.25">
      <c r="A1498" s="17"/>
    </row>
    <row r="1499" spans="1:1" x14ac:dyDescent="0.25">
      <c r="A1499" s="17"/>
    </row>
    <row r="1500" spans="1:1" x14ac:dyDescent="0.25">
      <c r="A1500" s="17"/>
    </row>
    <row r="1501" spans="1:1" x14ac:dyDescent="0.25">
      <c r="A1501" s="17"/>
    </row>
    <row r="1502" spans="1:1" x14ac:dyDescent="0.25">
      <c r="A1502" s="17"/>
    </row>
    <row r="1503" spans="1:1" x14ac:dyDescent="0.25">
      <c r="A1503" s="17"/>
    </row>
    <row r="1504" spans="1:1" x14ac:dyDescent="0.25">
      <c r="A1504" s="17"/>
    </row>
    <row r="1505" spans="1:1" x14ac:dyDescent="0.25">
      <c r="A1505" s="17"/>
    </row>
    <row r="1506" spans="1:1" x14ac:dyDescent="0.25">
      <c r="A1506" s="17"/>
    </row>
    <row r="1507" spans="1:1" x14ac:dyDescent="0.25">
      <c r="A1507" s="17"/>
    </row>
    <row r="1508" spans="1:1" x14ac:dyDescent="0.25">
      <c r="A1508" s="17"/>
    </row>
    <row r="1509" spans="1:1" x14ac:dyDescent="0.25">
      <c r="A1509" s="17"/>
    </row>
    <row r="1510" spans="1:1" x14ac:dyDescent="0.25">
      <c r="A1510" s="17"/>
    </row>
    <row r="1511" spans="1:1" x14ac:dyDescent="0.25">
      <c r="A1511" s="17"/>
    </row>
    <row r="1512" spans="1:1" x14ac:dyDescent="0.25">
      <c r="A1512" s="17"/>
    </row>
    <row r="1513" spans="1:1" x14ac:dyDescent="0.25">
      <c r="A1513" s="17"/>
    </row>
    <row r="1514" spans="1:1" x14ac:dyDescent="0.25">
      <c r="A1514" s="17"/>
    </row>
    <row r="1515" spans="1:1" x14ac:dyDescent="0.25">
      <c r="A1515" s="17"/>
    </row>
    <row r="1516" spans="1:1" x14ac:dyDescent="0.25">
      <c r="A1516" s="17"/>
    </row>
    <row r="1517" spans="1:1" x14ac:dyDescent="0.25">
      <c r="A1517" s="17"/>
    </row>
    <row r="1518" spans="1:1" x14ac:dyDescent="0.25">
      <c r="A1518" s="17"/>
    </row>
    <row r="1519" spans="1:1" x14ac:dyDescent="0.25">
      <c r="A1519" s="17"/>
    </row>
    <row r="1520" spans="1:1" x14ac:dyDescent="0.25">
      <c r="A1520" s="17"/>
    </row>
    <row r="1521" spans="1:1" x14ac:dyDescent="0.25">
      <c r="A1521" s="17"/>
    </row>
    <row r="1522" spans="1:1" x14ac:dyDescent="0.25">
      <c r="A1522" s="17"/>
    </row>
    <row r="1523" spans="1:1" x14ac:dyDescent="0.25">
      <c r="A1523" s="17"/>
    </row>
    <row r="1524" spans="1:1" x14ac:dyDescent="0.25">
      <c r="A1524" s="17"/>
    </row>
    <row r="1525" spans="1:1" x14ac:dyDescent="0.25">
      <c r="A1525" s="17"/>
    </row>
    <row r="1526" spans="1:1" x14ac:dyDescent="0.25">
      <c r="A1526" s="17"/>
    </row>
    <row r="1527" spans="1:1" x14ac:dyDescent="0.25">
      <c r="A1527" s="17"/>
    </row>
    <row r="1528" spans="1:1" x14ac:dyDescent="0.25">
      <c r="A1528" s="17"/>
    </row>
    <row r="1529" spans="1:1" x14ac:dyDescent="0.25">
      <c r="A1529" s="17"/>
    </row>
    <row r="1530" spans="1:1" x14ac:dyDescent="0.25">
      <c r="A1530" s="17"/>
    </row>
    <row r="1531" spans="1:1" x14ac:dyDescent="0.25">
      <c r="A1531" s="17"/>
    </row>
    <row r="1532" spans="1:1" x14ac:dyDescent="0.25">
      <c r="A1532" s="17"/>
    </row>
    <row r="1533" spans="1:1" x14ac:dyDescent="0.25">
      <c r="A1533" s="17"/>
    </row>
    <row r="1534" spans="1:1" x14ac:dyDescent="0.25">
      <c r="A1534" s="17"/>
    </row>
    <row r="1535" spans="1:1" x14ac:dyDescent="0.25">
      <c r="A1535" s="17"/>
    </row>
    <row r="1536" spans="1:1" x14ac:dyDescent="0.25">
      <c r="A1536" s="17"/>
    </row>
    <row r="1537" spans="1:1" x14ac:dyDescent="0.25">
      <c r="A1537" s="17"/>
    </row>
    <row r="1538" spans="1:1" x14ac:dyDescent="0.25">
      <c r="A1538" s="17"/>
    </row>
    <row r="1539" spans="1:1" x14ac:dyDescent="0.25">
      <c r="A1539" s="17"/>
    </row>
    <row r="1540" spans="1:1" x14ac:dyDescent="0.25">
      <c r="A1540" s="17"/>
    </row>
    <row r="1541" spans="1:1" x14ac:dyDescent="0.25">
      <c r="A1541" s="17"/>
    </row>
    <row r="1542" spans="1:1" x14ac:dyDescent="0.25">
      <c r="A1542" s="17"/>
    </row>
    <row r="1543" spans="1:1" x14ac:dyDescent="0.25">
      <c r="A1543" s="17"/>
    </row>
    <row r="1544" spans="1:1" x14ac:dyDescent="0.25">
      <c r="A1544" s="17"/>
    </row>
    <row r="1545" spans="1:1" x14ac:dyDescent="0.25">
      <c r="A1545" s="17"/>
    </row>
    <row r="1546" spans="1:1" x14ac:dyDescent="0.25">
      <c r="A1546" s="17"/>
    </row>
    <row r="1547" spans="1:1" x14ac:dyDescent="0.25">
      <c r="A1547" s="17"/>
    </row>
    <row r="1548" spans="1:1" x14ac:dyDescent="0.25">
      <c r="A1548" s="17"/>
    </row>
    <row r="1549" spans="1:1" x14ac:dyDescent="0.25">
      <c r="A1549" s="17"/>
    </row>
    <row r="1550" spans="1:1" x14ac:dyDescent="0.25">
      <c r="A1550" s="17"/>
    </row>
    <row r="1551" spans="1:1" x14ac:dyDescent="0.25">
      <c r="A1551" s="17"/>
    </row>
    <row r="1552" spans="1:1" x14ac:dyDescent="0.25">
      <c r="A1552" s="17"/>
    </row>
    <row r="1553" spans="1:1" x14ac:dyDescent="0.25">
      <c r="A1553" s="17"/>
    </row>
    <row r="1554" spans="1:1" x14ac:dyDescent="0.25">
      <c r="A1554" s="17"/>
    </row>
    <row r="1555" spans="1:1" x14ac:dyDescent="0.25">
      <c r="A1555" s="17"/>
    </row>
    <row r="1556" spans="1:1" x14ac:dyDescent="0.25">
      <c r="A1556" s="17"/>
    </row>
    <row r="1557" spans="1:1" x14ac:dyDescent="0.25">
      <c r="A1557" s="17"/>
    </row>
    <row r="1558" spans="1:1" x14ac:dyDescent="0.25">
      <c r="A1558" s="17"/>
    </row>
    <row r="1559" spans="1:1" x14ac:dyDescent="0.25">
      <c r="A1559" s="17"/>
    </row>
    <row r="1560" spans="1:1" x14ac:dyDescent="0.25">
      <c r="A1560" s="17"/>
    </row>
    <row r="1561" spans="1:1" x14ac:dyDescent="0.25">
      <c r="A1561" s="17"/>
    </row>
    <row r="1562" spans="1:1" x14ac:dyDescent="0.25">
      <c r="A1562" s="17"/>
    </row>
    <row r="1563" spans="1:1" x14ac:dyDescent="0.25">
      <c r="A1563" s="17"/>
    </row>
    <row r="1564" spans="1:1" x14ac:dyDescent="0.25">
      <c r="A1564" s="17"/>
    </row>
    <row r="1565" spans="1:1" x14ac:dyDescent="0.25">
      <c r="A1565" s="17"/>
    </row>
    <row r="1566" spans="1:1" x14ac:dyDescent="0.25">
      <c r="A1566" s="17"/>
    </row>
    <row r="1567" spans="1:1" x14ac:dyDescent="0.25">
      <c r="A1567" s="17"/>
    </row>
    <row r="1568" spans="1:1" x14ac:dyDescent="0.25">
      <c r="A1568" s="17"/>
    </row>
    <row r="1569" spans="1:1" x14ac:dyDescent="0.25">
      <c r="A1569" s="17"/>
    </row>
    <row r="1570" spans="1:1" x14ac:dyDescent="0.25">
      <c r="A1570" s="17"/>
    </row>
    <row r="1571" spans="1:1" x14ac:dyDescent="0.25">
      <c r="A1571" s="17"/>
    </row>
    <row r="1572" spans="1:1" x14ac:dyDescent="0.25">
      <c r="A1572" s="17"/>
    </row>
    <row r="1573" spans="1:1" x14ac:dyDescent="0.25">
      <c r="A1573" s="17"/>
    </row>
    <row r="1574" spans="1:1" x14ac:dyDescent="0.25">
      <c r="A1574" s="17"/>
    </row>
    <row r="1575" spans="1:1" x14ac:dyDescent="0.25">
      <c r="A1575" s="17"/>
    </row>
    <row r="1576" spans="1:1" x14ac:dyDescent="0.25">
      <c r="A1576" s="17"/>
    </row>
    <row r="1577" spans="1:1" x14ac:dyDescent="0.25">
      <c r="A1577" s="17"/>
    </row>
    <row r="1578" spans="1:1" x14ac:dyDescent="0.25">
      <c r="A1578" s="17"/>
    </row>
    <row r="1579" spans="1:1" x14ac:dyDescent="0.25">
      <c r="A1579" s="17"/>
    </row>
    <row r="1580" spans="1:1" x14ac:dyDescent="0.25">
      <c r="A1580" s="17"/>
    </row>
    <row r="1581" spans="1:1" x14ac:dyDescent="0.25">
      <c r="A1581" s="17"/>
    </row>
    <row r="1582" spans="1:1" x14ac:dyDescent="0.25">
      <c r="A1582" s="17"/>
    </row>
    <row r="1583" spans="1:1" x14ac:dyDescent="0.25">
      <c r="A1583" s="17"/>
    </row>
    <row r="1584" spans="1:1" x14ac:dyDescent="0.25">
      <c r="A1584" s="17"/>
    </row>
    <row r="1585" spans="1:1" x14ac:dyDescent="0.25">
      <c r="A1585" s="17"/>
    </row>
    <row r="1586" spans="1:1" x14ac:dyDescent="0.25">
      <c r="A1586" s="17"/>
    </row>
    <row r="1587" spans="1:1" x14ac:dyDescent="0.25">
      <c r="A1587" s="17"/>
    </row>
    <row r="1588" spans="1:1" x14ac:dyDescent="0.25">
      <c r="A1588" s="17"/>
    </row>
    <row r="1589" spans="1:1" x14ac:dyDescent="0.25">
      <c r="A1589" s="17"/>
    </row>
    <row r="1590" spans="1:1" x14ac:dyDescent="0.25">
      <c r="A1590" s="17"/>
    </row>
    <row r="1591" spans="1:1" x14ac:dyDescent="0.25">
      <c r="A1591" s="17"/>
    </row>
    <row r="1592" spans="1:1" x14ac:dyDescent="0.25">
      <c r="A1592" s="17"/>
    </row>
    <row r="1593" spans="1:1" x14ac:dyDescent="0.25">
      <c r="A1593" s="17"/>
    </row>
    <row r="1594" spans="1:1" x14ac:dyDescent="0.25">
      <c r="A1594" s="17"/>
    </row>
    <row r="1595" spans="1:1" x14ac:dyDescent="0.25">
      <c r="A1595" s="17"/>
    </row>
    <row r="1596" spans="1:1" x14ac:dyDescent="0.25">
      <c r="A1596" s="17"/>
    </row>
    <row r="1597" spans="1:1" x14ac:dyDescent="0.25">
      <c r="A1597" s="17"/>
    </row>
    <row r="1598" spans="1:1" x14ac:dyDescent="0.25">
      <c r="A1598" s="17"/>
    </row>
    <row r="1599" spans="1:1" x14ac:dyDescent="0.25">
      <c r="A1599" s="17"/>
    </row>
    <row r="1600" spans="1:1" x14ac:dyDescent="0.25">
      <c r="A1600" s="17"/>
    </row>
    <row r="1601" spans="1:1" x14ac:dyDescent="0.25">
      <c r="A1601" s="17"/>
    </row>
    <row r="1602" spans="1:1" x14ac:dyDescent="0.25">
      <c r="A1602" s="17"/>
    </row>
    <row r="1603" spans="1:1" x14ac:dyDescent="0.25">
      <c r="A1603" s="17"/>
    </row>
    <row r="1604" spans="1:1" x14ac:dyDescent="0.25">
      <c r="A1604" s="17"/>
    </row>
    <row r="1605" spans="1:1" x14ac:dyDescent="0.25">
      <c r="A1605" s="17"/>
    </row>
    <row r="1606" spans="1:1" x14ac:dyDescent="0.25">
      <c r="A1606" s="17"/>
    </row>
    <row r="1607" spans="1:1" x14ac:dyDescent="0.25">
      <c r="A1607" s="17"/>
    </row>
    <row r="1608" spans="1:1" x14ac:dyDescent="0.25">
      <c r="A1608" s="17"/>
    </row>
    <row r="1609" spans="1:1" x14ac:dyDescent="0.25">
      <c r="A1609" s="17"/>
    </row>
    <row r="1610" spans="1:1" x14ac:dyDescent="0.25">
      <c r="A1610" s="17"/>
    </row>
    <row r="1611" spans="1:1" x14ac:dyDescent="0.25">
      <c r="A1611" s="17"/>
    </row>
    <row r="1612" spans="1:1" x14ac:dyDescent="0.25">
      <c r="A1612" s="17"/>
    </row>
    <row r="1613" spans="1:1" x14ac:dyDescent="0.25">
      <c r="A1613" s="17"/>
    </row>
    <row r="1614" spans="1:1" x14ac:dyDescent="0.25">
      <c r="A1614" s="17"/>
    </row>
    <row r="1615" spans="1:1" x14ac:dyDescent="0.25">
      <c r="A1615" s="17"/>
    </row>
    <row r="1616" spans="1:1" x14ac:dyDescent="0.25">
      <c r="A1616" s="17"/>
    </row>
    <row r="1617" spans="1:1" x14ac:dyDescent="0.25">
      <c r="A1617" s="17"/>
    </row>
    <row r="1618" spans="1:1" x14ac:dyDescent="0.25">
      <c r="A1618" s="17"/>
    </row>
    <row r="1619" spans="1:1" x14ac:dyDescent="0.25">
      <c r="A1619" s="17"/>
    </row>
    <row r="1620" spans="1:1" x14ac:dyDescent="0.25">
      <c r="A1620" s="17"/>
    </row>
    <row r="1621" spans="1:1" x14ac:dyDescent="0.25">
      <c r="A1621" s="17"/>
    </row>
    <row r="1622" spans="1:1" x14ac:dyDescent="0.25">
      <c r="A1622" s="17"/>
    </row>
    <row r="1623" spans="1:1" x14ac:dyDescent="0.25">
      <c r="A1623" s="17"/>
    </row>
    <row r="1624" spans="1:1" x14ac:dyDescent="0.25">
      <c r="A1624" s="17"/>
    </row>
    <row r="1625" spans="1:1" x14ac:dyDescent="0.25">
      <c r="A1625" s="17"/>
    </row>
    <row r="1626" spans="1:1" x14ac:dyDescent="0.25">
      <c r="A1626" s="17"/>
    </row>
    <row r="1627" spans="1:1" x14ac:dyDescent="0.25">
      <c r="A1627" s="17"/>
    </row>
    <row r="1628" spans="1:1" x14ac:dyDescent="0.25">
      <c r="A1628" s="17"/>
    </row>
    <row r="1629" spans="1:1" x14ac:dyDescent="0.25">
      <c r="A1629" s="17"/>
    </row>
    <row r="1630" spans="1:1" x14ac:dyDescent="0.25">
      <c r="A1630" s="17"/>
    </row>
    <row r="1631" spans="1:1" x14ac:dyDescent="0.25">
      <c r="A1631" s="17"/>
    </row>
    <row r="1632" spans="1:1" x14ac:dyDescent="0.25">
      <c r="A1632" s="17"/>
    </row>
    <row r="1633" spans="1:1" x14ac:dyDescent="0.25">
      <c r="A1633" s="17"/>
    </row>
    <row r="1634" spans="1:1" x14ac:dyDescent="0.25">
      <c r="A1634" s="17"/>
    </row>
    <row r="1635" spans="1:1" x14ac:dyDescent="0.25">
      <c r="A1635" s="17"/>
    </row>
    <row r="1636" spans="1:1" x14ac:dyDescent="0.25">
      <c r="A1636" s="17"/>
    </row>
    <row r="1637" spans="1:1" x14ac:dyDescent="0.25">
      <c r="A1637" s="17"/>
    </row>
    <row r="1638" spans="1:1" x14ac:dyDescent="0.25">
      <c r="A1638" s="17"/>
    </row>
    <row r="1639" spans="1:1" x14ac:dyDescent="0.25">
      <c r="A1639" s="17"/>
    </row>
    <row r="1640" spans="1:1" x14ac:dyDescent="0.25">
      <c r="A1640" s="17"/>
    </row>
    <row r="1641" spans="1:1" x14ac:dyDescent="0.25">
      <c r="A1641" s="17"/>
    </row>
    <row r="1642" spans="1:1" x14ac:dyDescent="0.25">
      <c r="A1642" s="17"/>
    </row>
    <row r="1643" spans="1:1" x14ac:dyDescent="0.25">
      <c r="A1643" s="17"/>
    </row>
    <row r="1644" spans="1:1" x14ac:dyDescent="0.25">
      <c r="A1644" s="17"/>
    </row>
    <row r="1645" spans="1:1" x14ac:dyDescent="0.25">
      <c r="A1645" s="17"/>
    </row>
    <row r="1646" spans="1:1" x14ac:dyDescent="0.25">
      <c r="A1646" s="17"/>
    </row>
    <row r="1647" spans="1:1" x14ac:dyDescent="0.25">
      <c r="A1647" s="17"/>
    </row>
    <row r="1648" spans="1:1" x14ac:dyDescent="0.25">
      <c r="A1648" s="17"/>
    </row>
    <row r="1649" spans="1:1" x14ac:dyDescent="0.25">
      <c r="A1649" s="17"/>
    </row>
    <row r="1650" spans="1:1" x14ac:dyDescent="0.25">
      <c r="A1650" s="17"/>
    </row>
    <row r="1651" spans="1:1" x14ac:dyDescent="0.25">
      <c r="A1651" s="17"/>
    </row>
    <row r="1652" spans="1:1" x14ac:dyDescent="0.25">
      <c r="A1652" s="17"/>
    </row>
    <row r="1653" spans="1:1" x14ac:dyDescent="0.25">
      <c r="A1653" s="17"/>
    </row>
    <row r="1654" spans="1:1" x14ac:dyDescent="0.25">
      <c r="A1654" s="17"/>
    </row>
    <row r="1655" spans="1:1" x14ac:dyDescent="0.25">
      <c r="A1655" s="17"/>
    </row>
    <row r="1656" spans="1:1" x14ac:dyDescent="0.25">
      <c r="A1656" s="17"/>
    </row>
    <row r="1657" spans="1:1" x14ac:dyDescent="0.25">
      <c r="A1657" s="17"/>
    </row>
    <row r="1658" spans="1:1" x14ac:dyDescent="0.25">
      <c r="A1658" s="17"/>
    </row>
    <row r="1659" spans="1:1" x14ac:dyDescent="0.25">
      <c r="A1659" s="17"/>
    </row>
    <row r="1660" spans="1:1" x14ac:dyDescent="0.25">
      <c r="A1660" s="17"/>
    </row>
    <row r="1661" spans="1:1" x14ac:dyDescent="0.25">
      <c r="A1661" s="17"/>
    </row>
    <row r="1662" spans="1:1" x14ac:dyDescent="0.25">
      <c r="A1662" s="17"/>
    </row>
    <row r="1663" spans="1:1" x14ac:dyDescent="0.25">
      <c r="A1663" s="17"/>
    </row>
    <row r="1664" spans="1:1" x14ac:dyDescent="0.25">
      <c r="A1664" s="17"/>
    </row>
    <row r="1665" spans="1:1" x14ac:dyDescent="0.25">
      <c r="A1665" s="17"/>
    </row>
    <row r="1666" spans="1:1" x14ac:dyDescent="0.25">
      <c r="A1666" s="17"/>
    </row>
    <row r="1667" spans="1:1" x14ac:dyDescent="0.25">
      <c r="A1667" s="17"/>
    </row>
    <row r="1668" spans="1:1" x14ac:dyDescent="0.25">
      <c r="A1668" s="17"/>
    </row>
    <row r="1669" spans="1:1" x14ac:dyDescent="0.25">
      <c r="A1669" s="17"/>
    </row>
    <row r="1670" spans="1:1" x14ac:dyDescent="0.25">
      <c r="A1670" s="17"/>
    </row>
    <row r="1671" spans="1:1" x14ac:dyDescent="0.25">
      <c r="A1671" s="17"/>
    </row>
    <row r="1672" spans="1:1" x14ac:dyDescent="0.25">
      <c r="A1672" s="17"/>
    </row>
    <row r="1673" spans="1:1" x14ac:dyDescent="0.25">
      <c r="A1673" s="17"/>
    </row>
    <row r="1674" spans="1:1" x14ac:dyDescent="0.25">
      <c r="A1674" s="17"/>
    </row>
    <row r="1675" spans="1:1" x14ac:dyDescent="0.25">
      <c r="A1675" s="17"/>
    </row>
    <row r="1676" spans="1:1" x14ac:dyDescent="0.25">
      <c r="A1676" s="17"/>
    </row>
    <row r="1677" spans="1:1" x14ac:dyDescent="0.25">
      <c r="A1677" s="17"/>
    </row>
    <row r="1678" spans="1:1" x14ac:dyDescent="0.25">
      <c r="A1678" s="17"/>
    </row>
    <row r="1679" spans="1:1" x14ac:dyDescent="0.25">
      <c r="A1679" s="17"/>
    </row>
    <row r="1680" spans="1:1" x14ac:dyDescent="0.25">
      <c r="A1680" s="17"/>
    </row>
    <row r="1681" spans="1:1" x14ac:dyDescent="0.25">
      <c r="A1681" s="17"/>
    </row>
    <row r="1682" spans="1:1" x14ac:dyDescent="0.25">
      <c r="A1682" s="17"/>
    </row>
    <row r="1683" spans="1:1" x14ac:dyDescent="0.25">
      <c r="A1683" s="17"/>
    </row>
    <row r="1684" spans="1:1" x14ac:dyDescent="0.25">
      <c r="A1684" s="17"/>
    </row>
    <row r="1685" spans="1:1" x14ac:dyDescent="0.25">
      <c r="A1685" s="17"/>
    </row>
    <row r="1686" spans="1:1" x14ac:dyDescent="0.25">
      <c r="A1686" s="17"/>
    </row>
    <row r="1687" spans="1:1" x14ac:dyDescent="0.25">
      <c r="A1687" s="17"/>
    </row>
    <row r="1688" spans="1:1" x14ac:dyDescent="0.25">
      <c r="A1688" s="17"/>
    </row>
    <row r="1689" spans="1:1" x14ac:dyDescent="0.25">
      <c r="A1689" s="17"/>
    </row>
    <row r="1690" spans="1:1" x14ac:dyDescent="0.25">
      <c r="A1690" s="17"/>
    </row>
    <row r="1691" spans="1:1" x14ac:dyDescent="0.25">
      <c r="A1691" s="17"/>
    </row>
    <row r="1692" spans="1:1" x14ac:dyDescent="0.25">
      <c r="A1692" s="17"/>
    </row>
    <row r="1693" spans="1:1" x14ac:dyDescent="0.25">
      <c r="A1693" s="17"/>
    </row>
    <row r="1694" spans="1:1" x14ac:dyDescent="0.25">
      <c r="A1694" s="17"/>
    </row>
    <row r="1695" spans="1:1" x14ac:dyDescent="0.25">
      <c r="A1695" s="17"/>
    </row>
    <row r="1696" spans="1:1" x14ac:dyDescent="0.25">
      <c r="A1696" s="17"/>
    </row>
    <row r="1697" spans="1:1" x14ac:dyDescent="0.25">
      <c r="A1697" s="17"/>
    </row>
    <row r="1698" spans="1:1" x14ac:dyDescent="0.25">
      <c r="A1698" s="17"/>
    </row>
    <row r="1699" spans="1:1" x14ac:dyDescent="0.25">
      <c r="A1699" s="17"/>
    </row>
    <row r="1700" spans="1:1" x14ac:dyDescent="0.25">
      <c r="A1700" s="17"/>
    </row>
    <row r="1701" spans="1:1" x14ac:dyDescent="0.25">
      <c r="A1701" s="17"/>
    </row>
    <row r="1702" spans="1:1" x14ac:dyDescent="0.25">
      <c r="A1702" s="17"/>
    </row>
    <row r="1703" spans="1:1" x14ac:dyDescent="0.25">
      <c r="A1703" s="17"/>
    </row>
    <row r="1704" spans="1:1" x14ac:dyDescent="0.25">
      <c r="A1704" s="17"/>
    </row>
    <row r="1705" spans="1:1" x14ac:dyDescent="0.25">
      <c r="A1705" s="17"/>
    </row>
    <row r="1706" spans="1:1" x14ac:dyDescent="0.25">
      <c r="A1706" s="17"/>
    </row>
    <row r="1707" spans="1:1" x14ac:dyDescent="0.25">
      <c r="A1707" s="17"/>
    </row>
    <row r="1708" spans="1:1" x14ac:dyDescent="0.25">
      <c r="A1708" s="17"/>
    </row>
    <row r="1709" spans="1:1" x14ac:dyDescent="0.25">
      <c r="A1709" s="17"/>
    </row>
    <row r="1710" spans="1:1" x14ac:dyDescent="0.25">
      <c r="A1710" s="17"/>
    </row>
    <row r="1711" spans="1:1" x14ac:dyDescent="0.25">
      <c r="A1711" s="17"/>
    </row>
    <row r="1712" spans="1:1" x14ac:dyDescent="0.25">
      <c r="A1712" s="17"/>
    </row>
    <row r="1713" spans="1:1" x14ac:dyDescent="0.25">
      <c r="A1713" s="17"/>
    </row>
    <row r="1714" spans="1:1" x14ac:dyDescent="0.25">
      <c r="A1714" s="17"/>
    </row>
    <row r="1715" spans="1:1" x14ac:dyDescent="0.25">
      <c r="A1715" s="17"/>
    </row>
    <row r="1716" spans="1:1" x14ac:dyDescent="0.25">
      <c r="A1716" s="17"/>
    </row>
    <row r="1717" spans="1:1" x14ac:dyDescent="0.25">
      <c r="A1717" s="17"/>
    </row>
    <row r="1718" spans="1:1" x14ac:dyDescent="0.25">
      <c r="A1718" s="17"/>
    </row>
    <row r="1719" spans="1:1" x14ac:dyDescent="0.25">
      <c r="A1719" s="17"/>
    </row>
    <row r="1720" spans="1:1" x14ac:dyDescent="0.25">
      <c r="A1720" s="17"/>
    </row>
    <row r="1721" spans="1:1" x14ac:dyDescent="0.25">
      <c r="A1721" s="17"/>
    </row>
    <row r="1722" spans="1:1" x14ac:dyDescent="0.25">
      <c r="A1722" s="17"/>
    </row>
    <row r="1723" spans="1:1" x14ac:dyDescent="0.25">
      <c r="A1723" s="17"/>
    </row>
    <row r="1724" spans="1:1" x14ac:dyDescent="0.25">
      <c r="A1724" s="17"/>
    </row>
    <row r="1725" spans="1:1" x14ac:dyDescent="0.25">
      <c r="A1725" s="17"/>
    </row>
    <row r="1726" spans="1:1" x14ac:dyDescent="0.25">
      <c r="A1726" s="17"/>
    </row>
    <row r="1727" spans="1:1" x14ac:dyDescent="0.25">
      <c r="A1727" s="17"/>
    </row>
    <row r="1728" spans="1:1" x14ac:dyDescent="0.25">
      <c r="A1728" s="17"/>
    </row>
    <row r="1729" spans="1:1" x14ac:dyDescent="0.25">
      <c r="A1729" s="17"/>
    </row>
    <row r="1730" spans="1:1" x14ac:dyDescent="0.25">
      <c r="A1730" s="17"/>
    </row>
    <row r="1731" spans="1:1" x14ac:dyDescent="0.25">
      <c r="A1731" s="17"/>
    </row>
    <row r="1732" spans="1:1" x14ac:dyDescent="0.25">
      <c r="A1732" s="17"/>
    </row>
    <row r="1733" spans="1:1" x14ac:dyDescent="0.25">
      <c r="A1733" s="17"/>
    </row>
    <row r="1734" spans="1:1" x14ac:dyDescent="0.25">
      <c r="A1734" s="17"/>
    </row>
    <row r="1735" spans="1:1" x14ac:dyDescent="0.25">
      <c r="A1735" s="17"/>
    </row>
    <row r="1736" spans="1:1" x14ac:dyDescent="0.25">
      <c r="A1736" s="17"/>
    </row>
    <row r="1737" spans="1:1" x14ac:dyDescent="0.25">
      <c r="A1737" s="17"/>
    </row>
    <row r="1738" spans="1:1" x14ac:dyDescent="0.25">
      <c r="A1738" s="17"/>
    </row>
    <row r="1739" spans="1:1" x14ac:dyDescent="0.25">
      <c r="A1739" s="17"/>
    </row>
    <row r="1740" spans="1:1" x14ac:dyDescent="0.25">
      <c r="A1740" s="17"/>
    </row>
    <row r="1741" spans="1:1" x14ac:dyDescent="0.25">
      <c r="A1741" s="17"/>
    </row>
    <row r="1742" spans="1:1" x14ac:dyDescent="0.25">
      <c r="A1742" s="17"/>
    </row>
    <row r="1743" spans="1:1" x14ac:dyDescent="0.25">
      <c r="A1743" s="17"/>
    </row>
    <row r="1744" spans="1:1" x14ac:dyDescent="0.25">
      <c r="A1744" s="17"/>
    </row>
    <row r="1745" spans="1:1" x14ac:dyDescent="0.25">
      <c r="A1745" s="17"/>
    </row>
    <row r="1746" spans="1:1" x14ac:dyDescent="0.25">
      <c r="A1746" s="17"/>
    </row>
    <row r="1747" spans="1:1" x14ac:dyDescent="0.25">
      <c r="A1747" s="17"/>
    </row>
    <row r="1748" spans="1:1" x14ac:dyDescent="0.25">
      <c r="A1748" s="17"/>
    </row>
    <row r="1749" spans="1:1" x14ac:dyDescent="0.25">
      <c r="A1749" s="17"/>
    </row>
    <row r="1750" spans="1:1" x14ac:dyDescent="0.25">
      <c r="A1750" s="17"/>
    </row>
    <row r="1751" spans="1:1" x14ac:dyDescent="0.25">
      <c r="A1751" s="17"/>
    </row>
    <row r="1752" spans="1:1" x14ac:dyDescent="0.25">
      <c r="A1752" s="17"/>
    </row>
    <row r="1753" spans="1:1" x14ac:dyDescent="0.25">
      <c r="A1753" s="17"/>
    </row>
    <row r="1754" spans="1:1" x14ac:dyDescent="0.25">
      <c r="A1754" s="17"/>
    </row>
    <row r="1755" spans="1:1" x14ac:dyDescent="0.25">
      <c r="A1755" s="17"/>
    </row>
    <row r="1756" spans="1:1" x14ac:dyDescent="0.25">
      <c r="A1756" s="17"/>
    </row>
    <row r="1757" spans="1:1" x14ac:dyDescent="0.25">
      <c r="A1757" s="17"/>
    </row>
    <row r="1758" spans="1:1" x14ac:dyDescent="0.25">
      <c r="A1758" s="17"/>
    </row>
    <row r="1759" spans="1:1" x14ac:dyDescent="0.25">
      <c r="A1759" s="17"/>
    </row>
    <row r="1760" spans="1:1" x14ac:dyDescent="0.25">
      <c r="A1760" s="17"/>
    </row>
    <row r="1761" spans="1:1" x14ac:dyDescent="0.25">
      <c r="A1761" s="17"/>
    </row>
    <row r="1762" spans="1:1" x14ac:dyDescent="0.25">
      <c r="A1762" s="17"/>
    </row>
    <row r="1763" spans="1:1" x14ac:dyDescent="0.25">
      <c r="A1763" s="17"/>
    </row>
    <row r="1764" spans="1:1" x14ac:dyDescent="0.25">
      <c r="A1764" s="17"/>
    </row>
    <row r="1765" spans="1:1" x14ac:dyDescent="0.25">
      <c r="A1765" s="17"/>
    </row>
    <row r="1766" spans="1:1" x14ac:dyDescent="0.25">
      <c r="A1766" s="17"/>
    </row>
    <row r="1767" spans="1:1" x14ac:dyDescent="0.25">
      <c r="A1767" s="17"/>
    </row>
    <row r="1768" spans="1:1" x14ac:dyDescent="0.25">
      <c r="A1768" s="17"/>
    </row>
    <row r="1769" spans="1:1" x14ac:dyDescent="0.25">
      <c r="A1769" s="17"/>
    </row>
    <row r="1770" spans="1:1" x14ac:dyDescent="0.25">
      <c r="A1770" s="17"/>
    </row>
    <row r="1771" spans="1:1" x14ac:dyDescent="0.25">
      <c r="A1771" s="17"/>
    </row>
    <row r="1772" spans="1:1" x14ac:dyDescent="0.25">
      <c r="A1772" s="17"/>
    </row>
    <row r="1773" spans="1:1" x14ac:dyDescent="0.25">
      <c r="A1773" s="17"/>
    </row>
    <row r="1774" spans="1:1" x14ac:dyDescent="0.25">
      <c r="A1774" s="17"/>
    </row>
    <row r="1775" spans="1:1" x14ac:dyDescent="0.25">
      <c r="A1775" s="17"/>
    </row>
    <row r="1776" spans="1:1" x14ac:dyDescent="0.25">
      <c r="A1776" s="17"/>
    </row>
    <row r="1777" spans="1:1" x14ac:dyDescent="0.25">
      <c r="A1777" s="17"/>
    </row>
    <row r="1778" spans="1:1" x14ac:dyDescent="0.25">
      <c r="A1778" s="17"/>
    </row>
    <row r="1779" spans="1:1" x14ac:dyDescent="0.25">
      <c r="A1779" s="17"/>
    </row>
    <row r="1780" spans="1:1" x14ac:dyDescent="0.25">
      <c r="A1780" s="17"/>
    </row>
    <row r="1781" spans="1:1" x14ac:dyDescent="0.25">
      <c r="A1781" s="17"/>
    </row>
    <row r="1782" spans="1:1" x14ac:dyDescent="0.25">
      <c r="A1782" s="17"/>
    </row>
    <row r="1783" spans="1:1" x14ac:dyDescent="0.25">
      <c r="A1783" s="17"/>
    </row>
    <row r="1784" spans="1:1" x14ac:dyDescent="0.25">
      <c r="A1784" s="17"/>
    </row>
    <row r="1785" spans="1:1" x14ac:dyDescent="0.25">
      <c r="A1785" s="17"/>
    </row>
    <row r="1786" spans="1:1" x14ac:dyDescent="0.25">
      <c r="A1786" s="17"/>
    </row>
    <row r="1787" spans="1:1" x14ac:dyDescent="0.25">
      <c r="A1787" s="17"/>
    </row>
    <row r="1788" spans="1:1" x14ac:dyDescent="0.25">
      <c r="A1788" s="17"/>
    </row>
    <row r="1789" spans="1:1" x14ac:dyDescent="0.25">
      <c r="A1789" s="17"/>
    </row>
    <row r="1790" spans="1:1" x14ac:dyDescent="0.25">
      <c r="A1790" s="17"/>
    </row>
    <row r="1791" spans="1:1" x14ac:dyDescent="0.25">
      <c r="A1791" s="17"/>
    </row>
    <row r="1792" spans="1:1" x14ac:dyDescent="0.25">
      <c r="A1792" s="17"/>
    </row>
    <row r="1793" spans="1:1" x14ac:dyDescent="0.25">
      <c r="A1793" s="17"/>
    </row>
    <row r="1794" spans="1:1" x14ac:dyDescent="0.25">
      <c r="A1794" s="17"/>
    </row>
    <row r="1795" spans="1:1" x14ac:dyDescent="0.25">
      <c r="A1795" s="17"/>
    </row>
    <row r="1796" spans="1:1" x14ac:dyDescent="0.25">
      <c r="A1796" s="17"/>
    </row>
    <row r="1797" spans="1:1" x14ac:dyDescent="0.25">
      <c r="A1797" s="17"/>
    </row>
    <row r="1798" spans="1:1" x14ac:dyDescent="0.25">
      <c r="A1798" s="17"/>
    </row>
    <row r="1799" spans="1:1" x14ac:dyDescent="0.25">
      <c r="A1799" s="17"/>
    </row>
    <row r="1800" spans="1:1" x14ac:dyDescent="0.25">
      <c r="A1800" s="17"/>
    </row>
    <row r="1801" spans="1:1" x14ac:dyDescent="0.25">
      <c r="A1801" s="17"/>
    </row>
    <row r="1802" spans="1:1" x14ac:dyDescent="0.25">
      <c r="A1802" s="17"/>
    </row>
    <row r="1803" spans="1:1" x14ac:dyDescent="0.25">
      <c r="A1803" s="17"/>
    </row>
    <row r="1804" spans="1:1" x14ac:dyDescent="0.25">
      <c r="A1804" s="17"/>
    </row>
    <row r="1805" spans="1:1" x14ac:dyDescent="0.25">
      <c r="A1805" s="17"/>
    </row>
    <row r="1806" spans="1:1" x14ac:dyDescent="0.25">
      <c r="A1806" s="17"/>
    </row>
    <row r="1807" spans="1:1" x14ac:dyDescent="0.25">
      <c r="A1807" s="17"/>
    </row>
    <row r="1808" spans="1:1" x14ac:dyDescent="0.25">
      <c r="A1808" s="17"/>
    </row>
    <row r="1809" spans="1:1" x14ac:dyDescent="0.25">
      <c r="A1809" s="17"/>
    </row>
    <row r="1810" spans="1:1" x14ac:dyDescent="0.25">
      <c r="A1810" s="17"/>
    </row>
    <row r="1811" spans="1:1" x14ac:dyDescent="0.25">
      <c r="A1811" s="17"/>
    </row>
    <row r="1812" spans="1:1" x14ac:dyDescent="0.25">
      <c r="A1812" s="17"/>
    </row>
    <row r="1813" spans="1:1" x14ac:dyDescent="0.25">
      <c r="A1813" s="17"/>
    </row>
    <row r="1814" spans="1:1" x14ac:dyDescent="0.25">
      <c r="A1814" s="17"/>
    </row>
    <row r="1815" spans="1:1" x14ac:dyDescent="0.25">
      <c r="A1815" s="17"/>
    </row>
    <row r="1816" spans="1:1" x14ac:dyDescent="0.25">
      <c r="A1816" s="17"/>
    </row>
    <row r="1817" spans="1:1" x14ac:dyDescent="0.25">
      <c r="A1817" s="17"/>
    </row>
    <row r="1818" spans="1:1" x14ac:dyDescent="0.25">
      <c r="A1818" s="17"/>
    </row>
    <row r="1819" spans="1:1" x14ac:dyDescent="0.25">
      <c r="A1819" s="17"/>
    </row>
    <row r="1820" spans="1:1" x14ac:dyDescent="0.25">
      <c r="A1820" s="17"/>
    </row>
    <row r="1821" spans="1:1" x14ac:dyDescent="0.25">
      <c r="A1821" s="17"/>
    </row>
    <row r="1822" spans="1:1" x14ac:dyDescent="0.25">
      <c r="A1822" s="17"/>
    </row>
    <row r="1823" spans="1:1" x14ac:dyDescent="0.25">
      <c r="A1823" s="17"/>
    </row>
    <row r="1824" spans="1:1" x14ac:dyDescent="0.25">
      <c r="A1824" s="17"/>
    </row>
    <row r="1825" spans="1:1" x14ac:dyDescent="0.25">
      <c r="A1825" s="17"/>
    </row>
    <row r="1826" spans="1:1" x14ac:dyDescent="0.25">
      <c r="A1826" s="17"/>
    </row>
    <row r="1827" spans="1:1" x14ac:dyDescent="0.25">
      <c r="A1827" s="17"/>
    </row>
    <row r="1828" spans="1:1" x14ac:dyDescent="0.25">
      <c r="A1828" s="17"/>
    </row>
    <row r="1829" spans="1:1" x14ac:dyDescent="0.25">
      <c r="A1829" s="17"/>
    </row>
    <row r="1830" spans="1:1" x14ac:dyDescent="0.25">
      <c r="A1830" s="17"/>
    </row>
    <row r="1831" spans="1:1" x14ac:dyDescent="0.25">
      <c r="A1831" s="17"/>
    </row>
    <row r="1832" spans="1:1" x14ac:dyDescent="0.25">
      <c r="A1832" s="17"/>
    </row>
    <row r="1833" spans="1:1" x14ac:dyDescent="0.25">
      <c r="A1833" s="17"/>
    </row>
    <row r="1834" spans="1:1" x14ac:dyDescent="0.25">
      <c r="A1834" s="17"/>
    </row>
    <row r="1835" spans="1:1" x14ac:dyDescent="0.25">
      <c r="A1835" s="17"/>
    </row>
    <row r="1836" spans="1:1" x14ac:dyDescent="0.25">
      <c r="A1836" s="17"/>
    </row>
    <row r="1837" spans="1:1" x14ac:dyDescent="0.25">
      <c r="A1837" s="17"/>
    </row>
    <row r="1838" spans="1:1" x14ac:dyDescent="0.25">
      <c r="A1838" s="17"/>
    </row>
    <row r="1839" spans="1:1" x14ac:dyDescent="0.25">
      <c r="A1839" s="17"/>
    </row>
    <row r="1840" spans="1:1" x14ac:dyDescent="0.25">
      <c r="A1840" s="17"/>
    </row>
    <row r="1841" spans="1:1" x14ac:dyDescent="0.25">
      <c r="A1841" s="17"/>
    </row>
    <row r="1842" spans="1:1" x14ac:dyDescent="0.25">
      <c r="A1842" s="17"/>
    </row>
    <row r="1843" spans="1:1" x14ac:dyDescent="0.25">
      <c r="A1843" s="17"/>
    </row>
    <row r="1844" spans="1:1" x14ac:dyDescent="0.25">
      <c r="A1844" s="17"/>
    </row>
    <row r="1845" spans="1:1" x14ac:dyDescent="0.25">
      <c r="A1845" s="17"/>
    </row>
    <row r="1846" spans="1:1" x14ac:dyDescent="0.25">
      <c r="A1846" s="17"/>
    </row>
    <row r="1847" spans="1:1" x14ac:dyDescent="0.25">
      <c r="A1847" s="17"/>
    </row>
    <row r="1848" spans="1:1" x14ac:dyDescent="0.25">
      <c r="A1848" s="17"/>
    </row>
    <row r="1849" spans="1:1" x14ac:dyDescent="0.25">
      <c r="A1849" s="17"/>
    </row>
    <row r="1850" spans="1:1" x14ac:dyDescent="0.25">
      <c r="A1850" s="17"/>
    </row>
    <row r="1851" spans="1:1" x14ac:dyDescent="0.25">
      <c r="A1851" s="17"/>
    </row>
    <row r="1852" spans="1:1" x14ac:dyDescent="0.25">
      <c r="A1852" s="17"/>
    </row>
    <row r="1853" spans="1:1" x14ac:dyDescent="0.25">
      <c r="A1853" s="17"/>
    </row>
    <row r="1854" spans="1:1" x14ac:dyDescent="0.25">
      <c r="A1854" s="17"/>
    </row>
    <row r="1855" spans="1:1" x14ac:dyDescent="0.25">
      <c r="A1855" s="17"/>
    </row>
    <row r="1856" spans="1:1" x14ac:dyDescent="0.25">
      <c r="A1856" s="17"/>
    </row>
    <row r="1857" spans="1:1" x14ac:dyDescent="0.25">
      <c r="A1857" s="17"/>
    </row>
    <row r="1858" spans="1:1" x14ac:dyDescent="0.25">
      <c r="A1858" s="17"/>
    </row>
    <row r="1859" spans="1:1" x14ac:dyDescent="0.25">
      <c r="A1859" s="17"/>
    </row>
    <row r="1860" spans="1:1" x14ac:dyDescent="0.25">
      <c r="A1860" s="17"/>
    </row>
    <row r="1861" spans="1:1" x14ac:dyDescent="0.25">
      <c r="A1861" s="17"/>
    </row>
    <row r="1862" spans="1:1" x14ac:dyDescent="0.25">
      <c r="A1862" s="17"/>
    </row>
    <row r="1863" spans="1:1" x14ac:dyDescent="0.25">
      <c r="A1863" s="17"/>
    </row>
    <row r="1864" spans="1:1" x14ac:dyDescent="0.25">
      <c r="A1864" s="17"/>
    </row>
    <row r="1865" spans="1:1" x14ac:dyDescent="0.25">
      <c r="A1865" s="17"/>
    </row>
    <row r="1866" spans="1:1" x14ac:dyDescent="0.25">
      <c r="A1866" s="17"/>
    </row>
    <row r="1867" spans="1:1" x14ac:dyDescent="0.25">
      <c r="A1867" s="17"/>
    </row>
    <row r="1868" spans="1:1" x14ac:dyDescent="0.25">
      <c r="A1868" s="17"/>
    </row>
    <row r="1869" spans="1:1" x14ac:dyDescent="0.25">
      <c r="A1869" s="17"/>
    </row>
    <row r="1870" spans="1:1" x14ac:dyDescent="0.25">
      <c r="A1870" s="17"/>
    </row>
    <row r="1871" spans="1:1" x14ac:dyDescent="0.25">
      <c r="A1871" s="17"/>
    </row>
    <row r="1872" spans="1:1" x14ac:dyDescent="0.25">
      <c r="A1872" s="17"/>
    </row>
    <row r="1873" spans="1:1" x14ac:dyDescent="0.25">
      <c r="A1873" s="17"/>
    </row>
    <row r="1874" spans="1:1" x14ac:dyDescent="0.25">
      <c r="A1874" s="17"/>
    </row>
    <row r="1875" spans="1:1" x14ac:dyDescent="0.25">
      <c r="A1875" s="17"/>
    </row>
    <row r="1876" spans="1:1" x14ac:dyDescent="0.25">
      <c r="A1876" s="17"/>
    </row>
    <row r="1877" spans="1:1" x14ac:dyDescent="0.25">
      <c r="A1877" s="17"/>
    </row>
    <row r="1878" spans="1:1" x14ac:dyDescent="0.25">
      <c r="A1878" s="17"/>
    </row>
    <row r="1879" spans="1:1" x14ac:dyDescent="0.25">
      <c r="A1879" s="17"/>
    </row>
    <row r="1880" spans="1:1" x14ac:dyDescent="0.25">
      <c r="A1880" s="17"/>
    </row>
    <row r="1881" spans="1:1" x14ac:dyDescent="0.25">
      <c r="A1881" s="17"/>
    </row>
    <row r="1882" spans="1:1" x14ac:dyDescent="0.25">
      <c r="A1882" s="17"/>
    </row>
    <row r="1883" spans="1:1" x14ac:dyDescent="0.25">
      <c r="A1883" s="17"/>
    </row>
    <row r="1884" spans="1:1" x14ac:dyDescent="0.25">
      <c r="A1884" s="17"/>
    </row>
    <row r="1885" spans="1:1" x14ac:dyDescent="0.25">
      <c r="A1885" s="17"/>
    </row>
    <row r="1886" spans="1:1" x14ac:dyDescent="0.25">
      <c r="A1886" s="17"/>
    </row>
    <row r="1887" spans="1:1" x14ac:dyDescent="0.25">
      <c r="A1887" s="17"/>
    </row>
    <row r="1888" spans="1:1" x14ac:dyDescent="0.25">
      <c r="A1888" s="17"/>
    </row>
    <row r="1889" spans="1:1" x14ac:dyDescent="0.25">
      <c r="A1889" s="17"/>
    </row>
    <row r="1890" spans="1:1" x14ac:dyDescent="0.25">
      <c r="A1890" s="17"/>
    </row>
    <row r="1891" spans="1:1" x14ac:dyDescent="0.25">
      <c r="A1891" s="17"/>
    </row>
    <row r="1892" spans="1:1" x14ac:dyDescent="0.25">
      <c r="A1892" s="17"/>
    </row>
    <row r="1893" spans="1:1" x14ac:dyDescent="0.25">
      <c r="A1893" s="17"/>
    </row>
    <row r="1894" spans="1:1" x14ac:dyDescent="0.25">
      <c r="A1894" s="17"/>
    </row>
    <row r="1895" spans="1:1" x14ac:dyDescent="0.25">
      <c r="A1895" s="17"/>
    </row>
    <row r="1896" spans="1:1" x14ac:dyDescent="0.25">
      <c r="A1896" s="17"/>
    </row>
    <row r="1897" spans="1:1" x14ac:dyDescent="0.25">
      <c r="A1897" s="17"/>
    </row>
    <row r="1898" spans="1:1" x14ac:dyDescent="0.25">
      <c r="A1898" s="17"/>
    </row>
    <row r="1899" spans="1:1" x14ac:dyDescent="0.25">
      <c r="A1899" s="17"/>
    </row>
    <row r="1900" spans="1:1" x14ac:dyDescent="0.25">
      <c r="A1900" s="17"/>
    </row>
    <row r="1901" spans="1:1" x14ac:dyDescent="0.25">
      <c r="A1901" s="17"/>
    </row>
    <row r="1902" spans="1:1" x14ac:dyDescent="0.25">
      <c r="A1902" s="17"/>
    </row>
    <row r="1903" spans="1:1" x14ac:dyDescent="0.25">
      <c r="A1903" s="17"/>
    </row>
    <row r="1904" spans="1:1" x14ac:dyDescent="0.25">
      <c r="A1904" s="17"/>
    </row>
    <row r="1905" spans="1:1" x14ac:dyDescent="0.25">
      <c r="A1905" s="17"/>
    </row>
    <row r="1906" spans="1:1" x14ac:dyDescent="0.25">
      <c r="A1906" s="17"/>
    </row>
    <row r="1907" spans="1:1" x14ac:dyDescent="0.25">
      <c r="A1907" s="17"/>
    </row>
    <row r="1908" spans="1:1" x14ac:dyDescent="0.25">
      <c r="A1908" s="17"/>
    </row>
    <row r="1909" spans="1:1" x14ac:dyDescent="0.25">
      <c r="A1909" s="17"/>
    </row>
    <row r="1910" spans="1:1" x14ac:dyDescent="0.25">
      <c r="A1910" s="17"/>
    </row>
    <row r="1911" spans="1:1" x14ac:dyDescent="0.25">
      <c r="A1911" s="17"/>
    </row>
    <row r="1912" spans="1:1" x14ac:dyDescent="0.25">
      <c r="A1912" s="17"/>
    </row>
    <row r="1913" spans="1:1" x14ac:dyDescent="0.25">
      <c r="A1913" s="17"/>
    </row>
    <row r="1914" spans="1:1" x14ac:dyDescent="0.25">
      <c r="A1914" s="17"/>
    </row>
    <row r="1915" spans="1:1" x14ac:dyDescent="0.25">
      <c r="A1915" s="17"/>
    </row>
    <row r="1916" spans="1:1" x14ac:dyDescent="0.25">
      <c r="A1916" s="17"/>
    </row>
    <row r="1917" spans="1:1" x14ac:dyDescent="0.25">
      <c r="A1917" s="17"/>
    </row>
    <row r="1918" spans="1:1" x14ac:dyDescent="0.25">
      <c r="A1918" s="17"/>
    </row>
    <row r="1919" spans="1:1" x14ac:dyDescent="0.25">
      <c r="A1919" s="17"/>
    </row>
    <row r="1920" spans="1:1" x14ac:dyDescent="0.25">
      <c r="A1920" s="17"/>
    </row>
    <row r="1921" spans="1:1" x14ac:dyDescent="0.25">
      <c r="A1921" s="17"/>
    </row>
    <row r="1922" spans="1:1" x14ac:dyDescent="0.25">
      <c r="A1922" s="17"/>
    </row>
    <row r="1923" spans="1:1" x14ac:dyDescent="0.25">
      <c r="A1923" s="17"/>
    </row>
    <row r="1924" spans="1:1" x14ac:dyDescent="0.25">
      <c r="A1924" s="17"/>
    </row>
    <row r="1925" spans="1:1" x14ac:dyDescent="0.25">
      <c r="A1925" s="17"/>
    </row>
    <row r="1926" spans="1:1" x14ac:dyDescent="0.25">
      <c r="A1926" s="17"/>
    </row>
    <row r="1927" spans="1:1" x14ac:dyDescent="0.25">
      <c r="A1927" s="17"/>
    </row>
    <row r="1928" spans="1:1" x14ac:dyDescent="0.25">
      <c r="A1928" s="17"/>
    </row>
    <row r="1929" spans="1:1" x14ac:dyDescent="0.25">
      <c r="A1929" s="17"/>
    </row>
    <row r="1930" spans="1:1" x14ac:dyDescent="0.25">
      <c r="A1930" s="17"/>
    </row>
    <row r="1931" spans="1:1" x14ac:dyDescent="0.25">
      <c r="A1931" s="17"/>
    </row>
    <row r="1932" spans="1:1" x14ac:dyDescent="0.25">
      <c r="A1932" s="17"/>
    </row>
    <row r="1933" spans="1:1" x14ac:dyDescent="0.25">
      <c r="A1933" s="17"/>
    </row>
    <row r="1934" spans="1:1" x14ac:dyDescent="0.25">
      <c r="A1934" s="17"/>
    </row>
    <row r="1935" spans="1:1" x14ac:dyDescent="0.25">
      <c r="A1935" s="17"/>
    </row>
    <row r="1936" spans="1:1" x14ac:dyDescent="0.25">
      <c r="A1936" s="17"/>
    </row>
    <row r="1937" spans="1:1" x14ac:dyDescent="0.25">
      <c r="A1937" s="17"/>
    </row>
    <row r="1938" spans="1:1" x14ac:dyDescent="0.25">
      <c r="A1938" s="17"/>
    </row>
    <row r="1939" spans="1:1" x14ac:dyDescent="0.25">
      <c r="A1939" s="17"/>
    </row>
    <row r="1940" spans="1:1" x14ac:dyDescent="0.25">
      <c r="A1940" s="17"/>
    </row>
    <row r="1941" spans="1:1" x14ac:dyDescent="0.25">
      <c r="A1941" s="17"/>
    </row>
    <row r="1942" spans="1:1" x14ac:dyDescent="0.25">
      <c r="A1942" s="17"/>
    </row>
    <row r="1943" spans="1:1" x14ac:dyDescent="0.25">
      <c r="A1943" s="17"/>
    </row>
    <row r="1944" spans="1:1" x14ac:dyDescent="0.25">
      <c r="A1944" s="17"/>
    </row>
    <row r="1945" spans="1:1" x14ac:dyDescent="0.25">
      <c r="A1945" s="17"/>
    </row>
    <row r="1946" spans="1:1" x14ac:dyDescent="0.25">
      <c r="A1946" s="17"/>
    </row>
    <row r="1947" spans="1:1" x14ac:dyDescent="0.25">
      <c r="A1947" s="17"/>
    </row>
    <row r="1948" spans="1:1" x14ac:dyDescent="0.25">
      <c r="A1948" s="17"/>
    </row>
    <row r="1949" spans="1:1" x14ac:dyDescent="0.25">
      <c r="A1949" s="17"/>
    </row>
    <row r="1950" spans="1:1" x14ac:dyDescent="0.25">
      <c r="A1950" s="17"/>
    </row>
    <row r="1951" spans="1:1" x14ac:dyDescent="0.25">
      <c r="A1951" s="17"/>
    </row>
    <row r="1952" spans="1:1" x14ac:dyDescent="0.25">
      <c r="A1952" s="17"/>
    </row>
    <row r="1953" spans="1:1" x14ac:dyDescent="0.25">
      <c r="A1953" s="17"/>
    </row>
    <row r="1954" spans="1:1" x14ac:dyDescent="0.25">
      <c r="A1954" s="17"/>
    </row>
    <row r="1955" spans="1:1" x14ac:dyDescent="0.25">
      <c r="A1955" s="17"/>
    </row>
    <row r="1956" spans="1:1" x14ac:dyDescent="0.25">
      <c r="A1956" s="17"/>
    </row>
    <row r="1957" spans="1:1" x14ac:dyDescent="0.25">
      <c r="A1957" s="17"/>
    </row>
    <row r="1958" spans="1:1" x14ac:dyDescent="0.25">
      <c r="A1958" s="17"/>
    </row>
    <row r="1959" spans="1:1" x14ac:dyDescent="0.25">
      <c r="A1959" s="17"/>
    </row>
    <row r="1960" spans="1:1" x14ac:dyDescent="0.25">
      <c r="A1960" s="17"/>
    </row>
    <row r="1961" spans="1:1" x14ac:dyDescent="0.25">
      <c r="A1961" s="17"/>
    </row>
    <row r="1962" spans="1:1" x14ac:dyDescent="0.25">
      <c r="A1962" s="17"/>
    </row>
    <row r="1963" spans="1:1" x14ac:dyDescent="0.25">
      <c r="A1963" s="17"/>
    </row>
    <row r="1964" spans="1:1" x14ac:dyDescent="0.25">
      <c r="A1964" s="17"/>
    </row>
    <row r="1965" spans="1:1" x14ac:dyDescent="0.25">
      <c r="A1965" s="17"/>
    </row>
    <row r="1966" spans="1:1" x14ac:dyDescent="0.25">
      <c r="A1966" s="17"/>
    </row>
    <row r="1967" spans="1:1" x14ac:dyDescent="0.25">
      <c r="A1967" s="17"/>
    </row>
    <row r="1968" spans="1:1" x14ac:dyDescent="0.25">
      <c r="A1968" s="17"/>
    </row>
    <row r="1969" spans="1:1" x14ac:dyDescent="0.25">
      <c r="A1969" s="17"/>
    </row>
    <row r="1970" spans="1:1" x14ac:dyDescent="0.25">
      <c r="A1970" s="17"/>
    </row>
    <row r="1971" spans="1:1" x14ac:dyDescent="0.25">
      <c r="A1971" s="17"/>
    </row>
    <row r="1972" spans="1:1" x14ac:dyDescent="0.25">
      <c r="A1972" s="17"/>
    </row>
    <row r="1973" spans="1:1" x14ac:dyDescent="0.25">
      <c r="A1973" s="17"/>
    </row>
    <row r="1974" spans="1:1" x14ac:dyDescent="0.25">
      <c r="A1974" s="17"/>
    </row>
    <row r="1975" spans="1:1" x14ac:dyDescent="0.25">
      <c r="A1975" s="17"/>
    </row>
    <row r="1976" spans="1:1" x14ac:dyDescent="0.25">
      <c r="A1976" s="17"/>
    </row>
    <row r="1977" spans="1:1" x14ac:dyDescent="0.25">
      <c r="A1977" s="17"/>
    </row>
    <row r="1978" spans="1:1" x14ac:dyDescent="0.25">
      <c r="A1978" s="17"/>
    </row>
    <row r="1979" spans="1:1" x14ac:dyDescent="0.25">
      <c r="A1979" s="17"/>
    </row>
    <row r="1980" spans="1:1" x14ac:dyDescent="0.25">
      <c r="A1980" s="17"/>
    </row>
    <row r="1981" spans="1:1" x14ac:dyDescent="0.25">
      <c r="A1981" s="17"/>
    </row>
    <row r="1982" spans="1:1" x14ac:dyDescent="0.25">
      <c r="A1982" s="17"/>
    </row>
    <row r="1983" spans="1:1" x14ac:dyDescent="0.25">
      <c r="A1983" s="17"/>
    </row>
    <row r="1984" spans="1:1" x14ac:dyDescent="0.25">
      <c r="A1984" s="17"/>
    </row>
    <row r="1985" spans="1:1" x14ac:dyDescent="0.25">
      <c r="A1985" s="17"/>
    </row>
    <row r="1986" spans="1:1" x14ac:dyDescent="0.25">
      <c r="A1986" s="17"/>
    </row>
    <row r="1987" spans="1:1" x14ac:dyDescent="0.25">
      <c r="A1987" s="17"/>
    </row>
    <row r="1988" spans="1:1" x14ac:dyDescent="0.25">
      <c r="A1988" s="17"/>
    </row>
    <row r="1989" spans="1:1" x14ac:dyDescent="0.25">
      <c r="A1989" s="17"/>
    </row>
    <row r="1990" spans="1:1" x14ac:dyDescent="0.25">
      <c r="A1990" s="17"/>
    </row>
    <row r="1991" spans="1:1" x14ac:dyDescent="0.25">
      <c r="A1991" s="17"/>
    </row>
    <row r="1992" spans="1:1" x14ac:dyDescent="0.25">
      <c r="A1992" s="17"/>
    </row>
    <row r="1993" spans="1:1" x14ac:dyDescent="0.25">
      <c r="A1993" s="17"/>
    </row>
    <row r="1994" spans="1:1" x14ac:dyDescent="0.25">
      <c r="A1994" s="17"/>
    </row>
    <row r="1995" spans="1:1" x14ac:dyDescent="0.25">
      <c r="A1995" s="17"/>
    </row>
    <row r="1996" spans="1:1" x14ac:dyDescent="0.25">
      <c r="A1996" s="17"/>
    </row>
    <row r="1997" spans="1:1" x14ac:dyDescent="0.25">
      <c r="A1997" s="17"/>
    </row>
    <row r="1998" spans="1:1" x14ac:dyDescent="0.25">
      <c r="A1998" s="17"/>
    </row>
    <row r="1999" spans="1:1" x14ac:dyDescent="0.25">
      <c r="A1999" s="17"/>
    </row>
    <row r="2000" spans="1:1" x14ac:dyDescent="0.25">
      <c r="A2000" s="17"/>
    </row>
    <row r="2001" spans="1:1" x14ac:dyDescent="0.25">
      <c r="A2001" s="17"/>
    </row>
    <row r="2002" spans="1:1" x14ac:dyDescent="0.25">
      <c r="A2002" s="17"/>
    </row>
    <row r="2003" spans="1:1" x14ac:dyDescent="0.25">
      <c r="A2003" s="17"/>
    </row>
    <row r="2004" spans="1:1" x14ac:dyDescent="0.25">
      <c r="A2004" s="17"/>
    </row>
    <row r="2005" spans="1:1" x14ac:dyDescent="0.25">
      <c r="A2005" s="17"/>
    </row>
    <row r="2006" spans="1:1" x14ac:dyDescent="0.25">
      <c r="A2006" s="17"/>
    </row>
    <row r="2007" spans="1:1" x14ac:dyDescent="0.25">
      <c r="A2007" s="17"/>
    </row>
    <row r="2008" spans="1:1" x14ac:dyDescent="0.25">
      <c r="A2008" s="17"/>
    </row>
    <row r="2009" spans="1:1" x14ac:dyDescent="0.25">
      <c r="A2009" s="17"/>
    </row>
    <row r="2010" spans="1:1" x14ac:dyDescent="0.25">
      <c r="A2010" s="17"/>
    </row>
    <row r="2011" spans="1:1" x14ac:dyDescent="0.25">
      <c r="A2011" s="17"/>
    </row>
    <row r="2012" spans="1:1" x14ac:dyDescent="0.25">
      <c r="A2012" s="17"/>
    </row>
    <row r="2013" spans="1:1" x14ac:dyDescent="0.25">
      <c r="A2013" s="17"/>
    </row>
    <row r="2014" spans="1:1" x14ac:dyDescent="0.25">
      <c r="A2014" s="17"/>
    </row>
    <row r="2015" spans="1:1" x14ac:dyDescent="0.25">
      <c r="A2015" s="17"/>
    </row>
    <row r="2016" spans="1:1" x14ac:dyDescent="0.25">
      <c r="A2016" s="17"/>
    </row>
    <row r="2017" spans="1:1" x14ac:dyDescent="0.25">
      <c r="A2017" s="17"/>
    </row>
    <row r="2018" spans="1:1" x14ac:dyDescent="0.25">
      <c r="A2018" s="17"/>
    </row>
    <row r="2019" spans="1:1" x14ac:dyDescent="0.25">
      <c r="A2019" s="17"/>
    </row>
    <row r="2020" spans="1:1" x14ac:dyDescent="0.25">
      <c r="A2020" s="17"/>
    </row>
    <row r="2021" spans="1:1" x14ac:dyDescent="0.25">
      <c r="A2021" s="17"/>
    </row>
    <row r="2022" spans="1:1" x14ac:dyDescent="0.25">
      <c r="A2022" s="17"/>
    </row>
    <row r="2023" spans="1:1" x14ac:dyDescent="0.25">
      <c r="A2023" s="17"/>
    </row>
    <row r="2024" spans="1:1" x14ac:dyDescent="0.25">
      <c r="A2024" s="17"/>
    </row>
    <row r="2025" spans="1:1" x14ac:dyDescent="0.25">
      <c r="A2025" s="17"/>
    </row>
    <row r="2026" spans="1:1" x14ac:dyDescent="0.25">
      <c r="A2026" s="17"/>
    </row>
    <row r="2027" spans="1:1" x14ac:dyDescent="0.25">
      <c r="A2027" s="17"/>
    </row>
    <row r="2028" spans="1:1" x14ac:dyDescent="0.25">
      <c r="A2028" s="17"/>
    </row>
    <row r="2029" spans="1:1" x14ac:dyDescent="0.25">
      <c r="A2029" s="17"/>
    </row>
    <row r="2030" spans="1:1" x14ac:dyDescent="0.25">
      <c r="A2030" s="17"/>
    </row>
    <row r="2031" spans="1:1" x14ac:dyDescent="0.25">
      <c r="A2031" s="17"/>
    </row>
    <row r="2032" spans="1:1" x14ac:dyDescent="0.25">
      <c r="A2032" s="17"/>
    </row>
    <row r="2033" spans="1:1" x14ac:dyDescent="0.25">
      <c r="A2033" s="17"/>
    </row>
    <row r="2034" spans="1:1" x14ac:dyDescent="0.25">
      <c r="A2034" s="17"/>
    </row>
    <row r="2035" spans="1:1" x14ac:dyDescent="0.25">
      <c r="A2035" s="17"/>
    </row>
    <row r="2036" spans="1:1" x14ac:dyDescent="0.25">
      <c r="A2036" s="17"/>
    </row>
    <row r="2037" spans="1:1" x14ac:dyDescent="0.25">
      <c r="A2037" s="17"/>
    </row>
    <row r="2038" spans="1:1" x14ac:dyDescent="0.25">
      <c r="A2038" s="17"/>
    </row>
    <row r="2039" spans="1:1" x14ac:dyDescent="0.25">
      <c r="A2039" s="17"/>
    </row>
    <row r="2040" spans="1:1" x14ac:dyDescent="0.25">
      <c r="A2040" s="17"/>
    </row>
    <row r="2041" spans="1:1" x14ac:dyDescent="0.25">
      <c r="A2041" s="17"/>
    </row>
    <row r="2042" spans="1:1" x14ac:dyDescent="0.25">
      <c r="A2042" s="17"/>
    </row>
    <row r="2043" spans="1:1" x14ac:dyDescent="0.25">
      <c r="A2043" s="17"/>
    </row>
    <row r="2044" spans="1:1" x14ac:dyDescent="0.25">
      <c r="A2044" s="17"/>
    </row>
    <row r="2045" spans="1:1" x14ac:dyDescent="0.25">
      <c r="A2045" s="17"/>
    </row>
    <row r="2046" spans="1:1" x14ac:dyDescent="0.25">
      <c r="A2046" s="17"/>
    </row>
    <row r="2047" spans="1:1" x14ac:dyDescent="0.25">
      <c r="A2047" s="17"/>
    </row>
    <row r="2048" spans="1:1" x14ac:dyDescent="0.25">
      <c r="A2048" s="17"/>
    </row>
    <row r="2049" spans="1:1" x14ac:dyDescent="0.25">
      <c r="A2049" s="17"/>
    </row>
    <row r="2050" spans="1:1" x14ac:dyDescent="0.25">
      <c r="A2050" s="17"/>
    </row>
    <row r="2051" spans="1:1" x14ac:dyDescent="0.25">
      <c r="A2051" s="17"/>
    </row>
    <row r="2052" spans="1:1" x14ac:dyDescent="0.25">
      <c r="A2052" s="17"/>
    </row>
    <row r="2053" spans="1:1" x14ac:dyDescent="0.25">
      <c r="A2053" s="17"/>
    </row>
    <row r="2054" spans="1:1" x14ac:dyDescent="0.25">
      <c r="A2054" s="17"/>
    </row>
    <row r="2055" spans="1:1" x14ac:dyDescent="0.25">
      <c r="A2055" s="17"/>
    </row>
    <row r="2056" spans="1:1" x14ac:dyDescent="0.25">
      <c r="A2056" s="17"/>
    </row>
    <row r="2057" spans="1:1" x14ac:dyDescent="0.25">
      <c r="A2057" s="17"/>
    </row>
    <row r="2058" spans="1:1" x14ac:dyDescent="0.25">
      <c r="A2058" s="17"/>
    </row>
    <row r="2059" spans="1:1" x14ac:dyDescent="0.25">
      <c r="A2059" s="17"/>
    </row>
    <row r="2060" spans="1:1" x14ac:dyDescent="0.25">
      <c r="A2060" s="17"/>
    </row>
    <row r="2061" spans="1:1" x14ac:dyDescent="0.25">
      <c r="A2061" s="17"/>
    </row>
    <row r="2062" spans="1:1" x14ac:dyDescent="0.25">
      <c r="A2062" s="17"/>
    </row>
    <row r="2063" spans="1:1" x14ac:dyDescent="0.25">
      <c r="A2063" s="17"/>
    </row>
    <row r="2064" spans="1:1" x14ac:dyDescent="0.25">
      <c r="A2064" s="17"/>
    </row>
    <row r="2065" spans="1:1" x14ac:dyDescent="0.25">
      <c r="A2065" s="17"/>
    </row>
    <row r="2066" spans="1:1" x14ac:dyDescent="0.25">
      <c r="A2066" s="17"/>
    </row>
    <row r="2067" spans="1:1" x14ac:dyDescent="0.25">
      <c r="A2067" s="17"/>
    </row>
    <row r="2068" spans="1:1" x14ac:dyDescent="0.25">
      <c r="A2068" s="17"/>
    </row>
    <row r="2069" spans="1:1" x14ac:dyDescent="0.25">
      <c r="A2069" s="17"/>
    </row>
    <row r="2070" spans="1:1" x14ac:dyDescent="0.25">
      <c r="A2070" s="17"/>
    </row>
    <row r="2071" spans="1:1" x14ac:dyDescent="0.25">
      <c r="A2071" s="17"/>
    </row>
    <row r="2072" spans="1:1" x14ac:dyDescent="0.25">
      <c r="A2072" s="17"/>
    </row>
    <row r="2073" spans="1:1" x14ac:dyDescent="0.25">
      <c r="A2073" s="17"/>
    </row>
    <row r="2074" spans="1:1" x14ac:dyDescent="0.25">
      <c r="A2074" s="17"/>
    </row>
    <row r="2075" spans="1:1" x14ac:dyDescent="0.25">
      <c r="A2075" s="17"/>
    </row>
    <row r="2076" spans="1:1" x14ac:dyDescent="0.25">
      <c r="A2076" s="17"/>
    </row>
    <row r="2077" spans="1:1" x14ac:dyDescent="0.25">
      <c r="A2077" s="17"/>
    </row>
    <row r="2078" spans="1:1" x14ac:dyDescent="0.25">
      <c r="A2078" s="17"/>
    </row>
    <row r="2079" spans="1:1" x14ac:dyDescent="0.25">
      <c r="A2079" s="17"/>
    </row>
    <row r="2080" spans="1:1" x14ac:dyDescent="0.25">
      <c r="A2080" s="17"/>
    </row>
    <row r="2081" spans="1:1" x14ac:dyDescent="0.25">
      <c r="A2081" s="17"/>
    </row>
    <row r="2082" spans="1:1" x14ac:dyDescent="0.25">
      <c r="A2082" s="17"/>
    </row>
    <row r="2083" spans="1:1" x14ac:dyDescent="0.25">
      <c r="A2083" s="17"/>
    </row>
    <row r="2084" spans="1:1" x14ac:dyDescent="0.25">
      <c r="A2084" s="17"/>
    </row>
    <row r="2085" spans="1:1" x14ac:dyDescent="0.25">
      <c r="A2085" s="17"/>
    </row>
    <row r="2086" spans="1:1" x14ac:dyDescent="0.25">
      <c r="A2086" s="17"/>
    </row>
    <row r="2087" spans="1:1" x14ac:dyDescent="0.25">
      <c r="A2087" s="17"/>
    </row>
    <row r="2088" spans="1:1" x14ac:dyDescent="0.25">
      <c r="A2088" s="17"/>
    </row>
    <row r="2089" spans="1:1" x14ac:dyDescent="0.25">
      <c r="A2089" s="17"/>
    </row>
    <row r="2090" spans="1:1" x14ac:dyDescent="0.25">
      <c r="A2090" s="17"/>
    </row>
    <row r="2091" spans="1:1" x14ac:dyDescent="0.25">
      <c r="A2091" s="17"/>
    </row>
    <row r="2092" spans="1:1" x14ac:dyDescent="0.25">
      <c r="A2092" s="17"/>
    </row>
    <row r="2093" spans="1:1" x14ac:dyDescent="0.25">
      <c r="A2093" s="17"/>
    </row>
    <row r="2094" spans="1:1" x14ac:dyDescent="0.25">
      <c r="A2094" s="17"/>
    </row>
    <row r="2095" spans="1:1" x14ac:dyDescent="0.25">
      <c r="A2095" s="17"/>
    </row>
    <row r="2096" spans="1:1" x14ac:dyDescent="0.25">
      <c r="A2096" s="17"/>
    </row>
    <row r="2097" spans="1:1" x14ac:dyDescent="0.25">
      <c r="A2097" s="17"/>
    </row>
    <row r="2098" spans="1:1" x14ac:dyDescent="0.25">
      <c r="A2098" s="17"/>
    </row>
    <row r="2099" spans="1:1" x14ac:dyDescent="0.25">
      <c r="A2099" s="17"/>
    </row>
    <row r="2100" spans="1:1" x14ac:dyDescent="0.25">
      <c r="A2100" s="17"/>
    </row>
    <row r="2101" spans="1:1" x14ac:dyDescent="0.25">
      <c r="A2101" s="17"/>
    </row>
    <row r="2102" spans="1:1" x14ac:dyDescent="0.25">
      <c r="A2102" s="17"/>
    </row>
    <row r="2103" spans="1:1" x14ac:dyDescent="0.25">
      <c r="A2103" s="17"/>
    </row>
    <row r="2104" spans="1:1" x14ac:dyDescent="0.25">
      <c r="A2104" s="17"/>
    </row>
    <row r="2105" spans="1:1" x14ac:dyDescent="0.25">
      <c r="A2105" s="17"/>
    </row>
    <row r="2106" spans="1:1" x14ac:dyDescent="0.25">
      <c r="A2106" s="17"/>
    </row>
    <row r="2107" spans="1:1" x14ac:dyDescent="0.25">
      <c r="A2107" s="17"/>
    </row>
    <row r="2108" spans="1:1" x14ac:dyDescent="0.25">
      <c r="A2108" s="17"/>
    </row>
    <row r="2109" spans="1:1" x14ac:dyDescent="0.25">
      <c r="A2109" s="17"/>
    </row>
    <row r="2110" spans="1:1" x14ac:dyDescent="0.25">
      <c r="A2110" s="17"/>
    </row>
    <row r="2111" spans="1:1" x14ac:dyDescent="0.25">
      <c r="A2111" s="17"/>
    </row>
    <row r="2112" spans="1:1" x14ac:dyDescent="0.25">
      <c r="A2112" s="17"/>
    </row>
    <row r="2113" spans="1:1" x14ac:dyDescent="0.25">
      <c r="A2113" s="17"/>
    </row>
    <row r="2114" spans="1:1" x14ac:dyDescent="0.25">
      <c r="A2114" s="17"/>
    </row>
    <row r="2115" spans="1:1" x14ac:dyDescent="0.25">
      <c r="A2115" s="17"/>
    </row>
    <row r="2116" spans="1:1" x14ac:dyDescent="0.25">
      <c r="A2116" s="17"/>
    </row>
    <row r="2117" spans="1:1" x14ac:dyDescent="0.25">
      <c r="A2117" s="17"/>
    </row>
    <row r="2118" spans="1:1" x14ac:dyDescent="0.25">
      <c r="A2118" s="17"/>
    </row>
    <row r="2119" spans="1:1" x14ac:dyDescent="0.25">
      <c r="A2119" s="17"/>
    </row>
    <row r="2120" spans="1:1" x14ac:dyDescent="0.25">
      <c r="A2120" s="17"/>
    </row>
    <row r="2121" spans="1:1" x14ac:dyDescent="0.25">
      <c r="A2121" s="17"/>
    </row>
    <row r="2122" spans="1:1" x14ac:dyDescent="0.25">
      <c r="A2122" s="17"/>
    </row>
    <row r="2123" spans="1:1" x14ac:dyDescent="0.25">
      <c r="A2123" s="17"/>
    </row>
    <row r="2124" spans="1:1" x14ac:dyDescent="0.25">
      <c r="A2124" s="17"/>
    </row>
    <row r="2125" spans="1:1" x14ac:dyDescent="0.25">
      <c r="A2125" s="17"/>
    </row>
    <row r="2126" spans="1:1" x14ac:dyDescent="0.25">
      <c r="A2126" s="17"/>
    </row>
    <row r="2127" spans="1:1" x14ac:dyDescent="0.25">
      <c r="A2127" s="17"/>
    </row>
    <row r="2128" spans="1:1" x14ac:dyDescent="0.25">
      <c r="A2128" s="17"/>
    </row>
    <row r="2129" spans="1:1" x14ac:dyDescent="0.25">
      <c r="A2129" s="17"/>
    </row>
    <row r="2130" spans="1:1" x14ac:dyDescent="0.25">
      <c r="A2130" s="17"/>
    </row>
    <row r="2131" spans="1:1" x14ac:dyDescent="0.25">
      <c r="A2131" s="17"/>
    </row>
    <row r="2132" spans="1:1" x14ac:dyDescent="0.25">
      <c r="A2132" s="17"/>
    </row>
    <row r="2133" spans="1:1" x14ac:dyDescent="0.25">
      <c r="A2133" s="17"/>
    </row>
    <row r="2134" spans="1:1" x14ac:dyDescent="0.25">
      <c r="A2134" s="17"/>
    </row>
    <row r="2135" spans="1:1" x14ac:dyDescent="0.25">
      <c r="A2135" s="17"/>
    </row>
    <row r="2136" spans="1:1" x14ac:dyDescent="0.25">
      <c r="A2136" s="17"/>
    </row>
    <row r="2137" spans="1:1" x14ac:dyDescent="0.25">
      <c r="A2137" s="17"/>
    </row>
    <row r="2138" spans="1:1" x14ac:dyDescent="0.25">
      <c r="A2138" s="17"/>
    </row>
    <row r="2139" spans="1:1" x14ac:dyDescent="0.25">
      <c r="A2139" s="17"/>
    </row>
    <row r="2140" spans="1:1" x14ac:dyDescent="0.25">
      <c r="A2140" s="17"/>
    </row>
    <row r="2141" spans="1:1" x14ac:dyDescent="0.25">
      <c r="A2141" s="17"/>
    </row>
    <row r="2142" spans="1:1" x14ac:dyDescent="0.25">
      <c r="A2142" s="17"/>
    </row>
    <row r="2143" spans="1:1" x14ac:dyDescent="0.25">
      <c r="A2143" s="17"/>
    </row>
    <row r="2144" spans="1:1" x14ac:dyDescent="0.25">
      <c r="A2144" s="17"/>
    </row>
    <row r="2145" spans="1:1" x14ac:dyDescent="0.25">
      <c r="A2145" s="17"/>
    </row>
    <row r="2146" spans="1:1" x14ac:dyDescent="0.25">
      <c r="A2146" s="17"/>
    </row>
    <row r="2147" spans="1:1" x14ac:dyDescent="0.25">
      <c r="A2147" s="17"/>
    </row>
    <row r="2148" spans="1:1" x14ac:dyDescent="0.25">
      <c r="A2148" s="17"/>
    </row>
    <row r="2149" spans="1:1" x14ac:dyDescent="0.25">
      <c r="A2149" s="17"/>
    </row>
    <row r="2150" spans="1:1" x14ac:dyDescent="0.25">
      <c r="A2150" s="17"/>
    </row>
    <row r="2151" spans="1:1" x14ac:dyDescent="0.25">
      <c r="A2151" s="17"/>
    </row>
    <row r="2152" spans="1:1" x14ac:dyDescent="0.25">
      <c r="A2152" s="17"/>
    </row>
    <row r="2153" spans="1:1" x14ac:dyDescent="0.25">
      <c r="A2153" s="17"/>
    </row>
    <row r="2154" spans="1:1" x14ac:dyDescent="0.25">
      <c r="A2154" s="17"/>
    </row>
    <row r="2155" spans="1:1" x14ac:dyDescent="0.25">
      <c r="A2155" s="17"/>
    </row>
    <row r="2156" spans="1:1" x14ac:dyDescent="0.25">
      <c r="A2156" s="17"/>
    </row>
    <row r="2157" spans="1:1" x14ac:dyDescent="0.25">
      <c r="A2157" s="17"/>
    </row>
    <row r="2158" spans="1:1" x14ac:dyDescent="0.25">
      <c r="A2158" s="17"/>
    </row>
    <row r="2159" spans="1:1" x14ac:dyDescent="0.25">
      <c r="A2159" s="17"/>
    </row>
    <row r="2160" spans="1:1" x14ac:dyDescent="0.25">
      <c r="A2160" s="17"/>
    </row>
    <row r="2161" spans="1:1" x14ac:dyDescent="0.25">
      <c r="A2161" s="17"/>
    </row>
    <row r="2162" spans="1:1" x14ac:dyDescent="0.25">
      <c r="A2162" s="17"/>
    </row>
    <row r="2163" spans="1:1" x14ac:dyDescent="0.25">
      <c r="A2163" s="17"/>
    </row>
    <row r="2164" spans="1:1" x14ac:dyDescent="0.25">
      <c r="A2164" s="17"/>
    </row>
    <row r="2165" spans="1:1" x14ac:dyDescent="0.25">
      <c r="A2165" s="17"/>
    </row>
    <row r="2166" spans="1:1" x14ac:dyDescent="0.25">
      <c r="A2166" s="17"/>
    </row>
    <row r="2167" spans="1:1" x14ac:dyDescent="0.25">
      <c r="A2167" s="17"/>
    </row>
    <row r="2168" spans="1:1" x14ac:dyDescent="0.25">
      <c r="A2168" s="17"/>
    </row>
    <row r="2169" spans="1:1" x14ac:dyDescent="0.25">
      <c r="A2169" s="17"/>
    </row>
    <row r="2170" spans="1:1" x14ac:dyDescent="0.25">
      <c r="A2170" s="17"/>
    </row>
    <row r="2171" spans="1:1" x14ac:dyDescent="0.25">
      <c r="A2171" s="17"/>
    </row>
    <row r="2172" spans="1:1" x14ac:dyDescent="0.25">
      <c r="A2172" s="17"/>
    </row>
    <row r="2173" spans="1:1" x14ac:dyDescent="0.25">
      <c r="A2173" s="17"/>
    </row>
    <row r="2174" spans="1:1" x14ac:dyDescent="0.25">
      <c r="A2174" s="17"/>
    </row>
    <row r="2175" spans="1:1" x14ac:dyDescent="0.25">
      <c r="A2175" s="17"/>
    </row>
    <row r="2176" spans="1:1" x14ac:dyDescent="0.25">
      <c r="A2176" s="17"/>
    </row>
    <row r="2177" spans="1:1" x14ac:dyDescent="0.25">
      <c r="A2177" s="17"/>
    </row>
    <row r="2178" spans="1:1" x14ac:dyDescent="0.25">
      <c r="A2178" s="17"/>
    </row>
    <row r="2179" spans="1:1" x14ac:dyDescent="0.25">
      <c r="A2179" s="17"/>
    </row>
    <row r="2180" spans="1:1" x14ac:dyDescent="0.25">
      <c r="A2180" s="17"/>
    </row>
    <row r="2181" spans="1:1" x14ac:dyDescent="0.25">
      <c r="A2181" s="17"/>
    </row>
    <row r="2182" spans="1:1" x14ac:dyDescent="0.25">
      <c r="A2182" s="17"/>
    </row>
    <row r="2183" spans="1:1" x14ac:dyDescent="0.25">
      <c r="A2183" s="17"/>
    </row>
    <row r="2184" spans="1:1" x14ac:dyDescent="0.25">
      <c r="A2184" s="17"/>
    </row>
    <row r="2185" spans="1:1" x14ac:dyDescent="0.25">
      <c r="A2185" s="17"/>
    </row>
    <row r="2186" spans="1:1" x14ac:dyDescent="0.25">
      <c r="A2186" s="17"/>
    </row>
    <row r="2187" spans="1:1" x14ac:dyDescent="0.25">
      <c r="A2187" s="17"/>
    </row>
    <row r="2188" spans="1:1" x14ac:dyDescent="0.25">
      <c r="A2188" s="17"/>
    </row>
    <row r="2189" spans="1:1" x14ac:dyDescent="0.25">
      <c r="A2189" s="17"/>
    </row>
    <row r="2190" spans="1:1" x14ac:dyDescent="0.25">
      <c r="A2190" s="17"/>
    </row>
    <row r="2191" spans="1:1" x14ac:dyDescent="0.25">
      <c r="A2191" s="17"/>
    </row>
    <row r="2192" spans="1:1" x14ac:dyDescent="0.25">
      <c r="A2192" s="17"/>
    </row>
    <row r="2193" spans="1:1" x14ac:dyDescent="0.25">
      <c r="A2193" s="17"/>
    </row>
    <row r="2194" spans="1:1" x14ac:dyDescent="0.25">
      <c r="A2194" s="17"/>
    </row>
    <row r="2195" spans="1:1" x14ac:dyDescent="0.25">
      <c r="A2195" s="17"/>
    </row>
    <row r="2196" spans="1:1" x14ac:dyDescent="0.25">
      <c r="A2196" s="17"/>
    </row>
    <row r="2197" spans="1:1" x14ac:dyDescent="0.25">
      <c r="A2197" s="17"/>
    </row>
    <row r="2198" spans="1:1" x14ac:dyDescent="0.25">
      <c r="A2198" s="17"/>
    </row>
    <row r="2199" spans="1:1" x14ac:dyDescent="0.25">
      <c r="A2199" s="17"/>
    </row>
    <row r="2200" spans="1:1" x14ac:dyDescent="0.25">
      <c r="A2200" s="17"/>
    </row>
    <row r="2201" spans="1:1" x14ac:dyDescent="0.25">
      <c r="A2201" s="17"/>
    </row>
    <row r="2202" spans="1:1" x14ac:dyDescent="0.25">
      <c r="A2202" s="17"/>
    </row>
    <row r="2203" spans="1:1" x14ac:dyDescent="0.25">
      <c r="A2203" s="17"/>
    </row>
    <row r="2204" spans="1:1" x14ac:dyDescent="0.25">
      <c r="A2204" s="17"/>
    </row>
    <row r="2205" spans="1:1" x14ac:dyDescent="0.25">
      <c r="A2205" s="17"/>
    </row>
    <row r="2206" spans="1:1" x14ac:dyDescent="0.25">
      <c r="A2206" s="17"/>
    </row>
    <row r="2207" spans="1:1" x14ac:dyDescent="0.25">
      <c r="A2207" s="17"/>
    </row>
    <row r="2208" spans="1:1" x14ac:dyDescent="0.25">
      <c r="A2208" s="17"/>
    </row>
    <row r="2209" spans="1:1" x14ac:dyDescent="0.25">
      <c r="A2209" s="17"/>
    </row>
    <row r="2210" spans="1:1" x14ac:dyDescent="0.25">
      <c r="A2210" s="17"/>
    </row>
    <row r="2211" spans="1:1" x14ac:dyDescent="0.25">
      <c r="A2211" s="17"/>
    </row>
    <row r="2212" spans="1:1" x14ac:dyDescent="0.25">
      <c r="A2212" s="17"/>
    </row>
    <row r="2213" spans="1:1" x14ac:dyDescent="0.25">
      <c r="A2213" s="17"/>
    </row>
    <row r="2214" spans="1:1" x14ac:dyDescent="0.25">
      <c r="A2214" s="17"/>
    </row>
    <row r="2215" spans="1:1" x14ac:dyDescent="0.25">
      <c r="A2215" s="17"/>
    </row>
    <row r="2216" spans="1:1" x14ac:dyDescent="0.25">
      <c r="A2216" s="17"/>
    </row>
    <row r="2217" spans="1:1" x14ac:dyDescent="0.25">
      <c r="A2217" s="17"/>
    </row>
    <row r="2218" spans="1:1" x14ac:dyDescent="0.25">
      <c r="A2218" s="17"/>
    </row>
    <row r="2219" spans="1:1" x14ac:dyDescent="0.25">
      <c r="A2219" s="17"/>
    </row>
    <row r="2220" spans="1:1" x14ac:dyDescent="0.25">
      <c r="A2220" s="17"/>
    </row>
    <row r="2221" spans="1:1" x14ac:dyDescent="0.25">
      <c r="A2221" s="17"/>
    </row>
    <row r="2222" spans="1:1" x14ac:dyDescent="0.25">
      <c r="A2222" s="17"/>
    </row>
    <row r="2223" spans="1:1" x14ac:dyDescent="0.25">
      <c r="A2223" s="17"/>
    </row>
    <row r="2224" spans="1:1" x14ac:dyDescent="0.25">
      <c r="A2224" s="17"/>
    </row>
    <row r="2225" spans="1:1" x14ac:dyDescent="0.25">
      <c r="A2225" s="17"/>
    </row>
    <row r="2226" spans="1:1" x14ac:dyDescent="0.25">
      <c r="A2226" s="17"/>
    </row>
    <row r="2227" spans="1:1" x14ac:dyDescent="0.25">
      <c r="A2227" s="17"/>
    </row>
    <row r="2228" spans="1:1" x14ac:dyDescent="0.25">
      <c r="A2228" s="17"/>
    </row>
    <row r="2229" spans="1:1" x14ac:dyDescent="0.25">
      <c r="A2229" s="17"/>
    </row>
    <row r="2230" spans="1:1" x14ac:dyDescent="0.25">
      <c r="A2230" s="17"/>
    </row>
    <row r="2231" spans="1:1" x14ac:dyDescent="0.25">
      <c r="A2231" s="17"/>
    </row>
    <row r="2232" spans="1:1" x14ac:dyDescent="0.25">
      <c r="A2232" s="17"/>
    </row>
    <row r="2233" spans="1:1" x14ac:dyDescent="0.25">
      <c r="A2233" s="17"/>
    </row>
    <row r="2234" spans="1:1" x14ac:dyDescent="0.25">
      <c r="A2234" s="17"/>
    </row>
    <row r="2235" spans="1:1" x14ac:dyDescent="0.25">
      <c r="A2235" s="17"/>
    </row>
    <row r="2236" spans="1:1" x14ac:dyDescent="0.25">
      <c r="A2236" s="17"/>
    </row>
    <row r="2237" spans="1:1" x14ac:dyDescent="0.25">
      <c r="A2237" s="17"/>
    </row>
    <row r="2238" spans="1:1" x14ac:dyDescent="0.25">
      <c r="A2238" s="17"/>
    </row>
    <row r="2239" spans="1:1" x14ac:dyDescent="0.25">
      <c r="A2239" s="17"/>
    </row>
    <row r="2240" spans="1:1" x14ac:dyDescent="0.25">
      <c r="A2240" s="17"/>
    </row>
    <row r="2241" spans="1:1" x14ac:dyDescent="0.25">
      <c r="A2241" s="17"/>
    </row>
    <row r="2242" spans="1:1" x14ac:dyDescent="0.25">
      <c r="A2242" s="17"/>
    </row>
    <row r="2243" spans="1:1" x14ac:dyDescent="0.25">
      <c r="A2243" s="17"/>
    </row>
    <row r="2244" spans="1:1" x14ac:dyDescent="0.25">
      <c r="A2244" s="17"/>
    </row>
    <row r="2245" spans="1:1" x14ac:dyDescent="0.25">
      <c r="A2245" s="17"/>
    </row>
    <row r="2246" spans="1:1" x14ac:dyDescent="0.25">
      <c r="A2246" s="17"/>
    </row>
    <row r="2247" spans="1:1" x14ac:dyDescent="0.25">
      <c r="A2247" s="17"/>
    </row>
    <row r="2248" spans="1:1" x14ac:dyDescent="0.25">
      <c r="A2248" s="17"/>
    </row>
    <row r="2249" spans="1:1" x14ac:dyDescent="0.25">
      <c r="A2249" s="17"/>
    </row>
    <row r="2250" spans="1:1" x14ac:dyDescent="0.25">
      <c r="A2250" s="17"/>
    </row>
    <row r="2251" spans="1:1" x14ac:dyDescent="0.25">
      <c r="A2251" s="17"/>
    </row>
    <row r="2252" spans="1:1" x14ac:dyDescent="0.25">
      <c r="A2252" s="17"/>
    </row>
    <row r="2253" spans="1:1" x14ac:dyDescent="0.25">
      <c r="A2253" s="17"/>
    </row>
    <row r="2254" spans="1:1" x14ac:dyDescent="0.25">
      <c r="A2254" s="17"/>
    </row>
    <row r="2255" spans="1:1" x14ac:dyDescent="0.25">
      <c r="A2255" s="17"/>
    </row>
    <row r="2256" spans="1:1" x14ac:dyDescent="0.25">
      <c r="A2256" s="17"/>
    </row>
    <row r="2257" spans="1:1" x14ac:dyDescent="0.25">
      <c r="A2257" s="17"/>
    </row>
    <row r="2258" spans="1:1" x14ac:dyDescent="0.25">
      <c r="A2258" s="17"/>
    </row>
    <row r="2259" spans="1:1" x14ac:dyDescent="0.25">
      <c r="A2259" s="17"/>
    </row>
    <row r="2260" spans="1:1" x14ac:dyDescent="0.25">
      <c r="A2260" s="17"/>
    </row>
    <row r="2261" spans="1:1" x14ac:dyDescent="0.25">
      <c r="A2261" s="17"/>
    </row>
    <row r="2262" spans="1:1" x14ac:dyDescent="0.25">
      <c r="A2262" s="17"/>
    </row>
    <row r="2263" spans="1:1" x14ac:dyDescent="0.25">
      <c r="A2263" s="17"/>
    </row>
    <row r="2264" spans="1:1" x14ac:dyDescent="0.25">
      <c r="A2264" s="17"/>
    </row>
    <row r="2265" spans="1:1" x14ac:dyDescent="0.25">
      <c r="A2265" s="17"/>
    </row>
    <row r="2266" spans="1:1" x14ac:dyDescent="0.25">
      <c r="A2266" s="17"/>
    </row>
    <row r="2267" spans="1:1" x14ac:dyDescent="0.25">
      <c r="A2267" s="17"/>
    </row>
    <row r="2268" spans="1:1" x14ac:dyDescent="0.25">
      <c r="A2268" s="17"/>
    </row>
    <row r="2269" spans="1:1" x14ac:dyDescent="0.25">
      <c r="A2269" s="17"/>
    </row>
    <row r="2270" spans="1:1" x14ac:dyDescent="0.25">
      <c r="A2270" s="17"/>
    </row>
    <row r="2271" spans="1:1" x14ac:dyDescent="0.25">
      <c r="A2271" s="17"/>
    </row>
    <row r="2272" spans="1:1" x14ac:dyDescent="0.25">
      <c r="A2272" s="17"/>
    </row>
    <row r="2273" spans="1:1" x14ac:dyDescent="0.25">
      <c r="A2273" s="17"/>
    </row>
    <row r="2274" spans="1:1" x14ac:dyDescent="0.25">
      <c r="A2274" s="17"/>
    </row>
    <row r="2275" spans="1:1" x14ac:dyDescent="0.25">
      <c r="A2275" s="17"/>
    </row>
    <row r="2276" spans="1:1" x14ac:dyDescent="0.25">
      <c r="A2276" s="17"/>
    </row>
    <row r="2277" spans="1:1" x14ac:dyDescent="0.25">
      <c r="A2277" s="17"/>
    </row>
    <row r="2278" spans="1:1" x14ac:dyDescent="0.25">
      <c r="A2278" s="17"/>
    </row>
    <row r="2279" spans="1:1" x14ac:dyDescent="0.25">
      <c r="A2279" s="17"/>
    </row>
    <row r="2280" spans="1:1" x14ac:dyDescent="0.25">
      <c r="A2280" s="17"/>
    </row>
    <row r="2281" spans="1:1" x14ac:dyDescent="0.25">
      <c r="A2281" s="17"/>
    </row>
    <row r="2282" spans="1:1" x14ac:dyDescent="0.25">
      <c r="A2282" s="17"/>
    </row>
    <row r="2283" spans="1:1" x14ac:dyDescent="0.25">
      <c r="A2283" s="17"/>
    </row>
    <row r="2284" spans="1:1" x14ac:dyDescent="0.25">
      <c r="A2284" s="17"/>
    </row>
    <row r="2285" spans="1:1" x14ac:dyDescent="0.25">
      <c r="A2285" s="17"/>
    </row>
    <row r="2286" spans="1:1" x14ac:dyDescent="0.25">
      <c r="A2286" s="17"/>
    </row>
    <row r="2287" spans="1:1" x14ac:dyDescent="0.25">
      <c r="A2287" s="17"/>
    </row>
    <row r="2288" spans="1:1" x14ac:dyDescent="0.25">
      <c r="A2288" s="17"/>
    </row>
    <row r="2289" spans="1:1" x14ac:dyDescent="0.25">
      <c r="A2289" s="17"/>
    </row>
    <row r="2290" spans="1:1" x14ac:dyDescent="0.25">
      <c r="A2290" s="17"/>
    </row>
    <row r="2291" spans="1:1" x14ac:dyDescent="0.25">
      <c r="A2291" s="17"/>
    </row>
    <row r="2292" spans="1:1" x14ac:dyDescent="0.25">
      <c r="A2292" s="17"/>
    </row>
    <row r="2293" spans="1:1" x14ac:dyDescent="0.25">
      <c r="A2293" s="17"/>
    </row>
    <row r="2294" spans="1:1" x14ac:dyDescent="0.25">
      <c r="A2294" s="17"/>
    </row>
    <row r="2295" spans="1:1" x14ac:dyDescent="0.25">
      <c r="A2295" s="17"/>
    </row>
    <row r="2296" spans="1:1" x14ac:dyDescent="0.25">
      <c r="A2296" s="17"/>
    </row>
    <row r="2297" spans="1:1" x14ac:dyDescent="0.25">
      <c r="A2297" s="17"/>
    </row>
    <row r="2298" spans="1:1" x14ac:dyDescent="0.25">
      <c r="A2298" s="17"/>
    </row>
    <row r="2299" spans="1:1" x14ac:dyDescent="0.25">
      <c r="A2299" s="17"/>
    </row>
    <row r="2300" spans="1:1" x14ac:dyDescent="0.25">
      <c r="A2300" s="17"/>
    </row>
    <row r="2301" spans="1:1" x14ac:dyDescent="0.25">
      <c r="A2301" s="17"/>
    </row>
    <row r="2302" spans="1:1" x14ac:dyDescent="0.25">
      <c r="A2302" s="17"/>
    </row>
    <row r="2303" spans="1:1" x14ac:dyDescent="0.25">
      <c r="A2303" s="17"/>
    </row>
    <row r="2304" spans="1:1" x14ac:dyDescent="0.25">
      <c r="A2304" s="17"/>
    </row>
    <row r="2305" spans="1:1" x14ac:dyDescent="0.25">
      <c r="A2305" s="17"/>
    </row>
    <row r="2306" spans="1:1" x14ac:dyDescent="0.25">
      <c r="A2306" s="17"/>
    </row>
    <row r="2307" spans="1:1" x14ac:dyDescent="0.25">
      <c r="A2307" s="17"/>
    </row>
    <row r="2308" spans="1:1" x14ac:dyDescent="0.25">
      <c r="A2308" s="17"/>
    </row>
    <row r="2309" spans="1:1" x14ac:dyDescent="0.25">
      <c r="A2309" s="17"/>
    </row>
    <row r="2310" spans="1:1" x14ac:dyDescent="0.25">
      <c r="A2310" s="17"/>
    </row>
    <row r="2311" spans="1:1" x14ac:dyDescent="0.25">
      <c r="A2311" s="17"/>
    </row>
    <row r="2312" spans="1:1" x14ac:dyDescent="0.25">
      <c r="A2312" s="17"/>
    </row>
    <row r="2313" spans="1:1" x14ac:dyDescent="0.25">
      <c r="A2313" s="17"/>
    </row>
    <row r="2314" spans="1:1" x14ac:dyDescent="0.25">
      <c r="A2314" s="17"/>
    </row>
    <row r="2315" spans="1:1" x14ac:dyDescent="0.25">
      <c r="A2315" s="17"/>
    </row>
    <row r="2316" spans="1:1" x14ac:dyDescent="0.25">
      <c r="A2316" s="17"/>
    </row>
    <row r="2317" spans="1:1" x14ac:dyDescent="0.25">
      <c r="A2317" s="17"/>
    </row>
    <row r="2318" spans="1:1" x14ac:dyDescent="0.25">
      <c r="A2318" s="17"/>
    </row>
    <row r="2319" spans="1:1" x14ac:dyDescent="0.25">
      <c r="A2319" s="17"/>
    </row>
    <row r="2320" spans="1:1" x14ac:dyDescent="0.25">
      <c r="A2320" s="17"/>
    </row>
    <row r="2321" spans="1:1" x14ac:dyDescent="0.25">
      <c r="A2321" s="17"/>
    </row>
    <row r="2322" spans="1:1" x14ac:dyDescent="0.25">
      <c r="A2322" s="17"/>
    </row>
    <row r="2323" spans="1:1" x14ac:dyDescent="0.25">
      <c r="A2323" s="17"/>
    </row>
    <row r="2324" spans="1:1" x14ac:dyDescent="0.25">
      <c r="A2324" s="17"/>
    </row>
    <row r="2325" spans="1:1" x14ac:dyDescent="0.25">
      <c r="A2325" s="17"/>
    </row>
    <row r="2326" spans="1:1" x14ac:dyDescent="0.25">
      <c r="A2326" s="17"/>
    </row>
    <row r="2327" spans="1:1" x14ac:dyDescent="0.25">
      <c r="A2327" s="17"/>
    </row>
    <row r="2328" spans="1:1" x14ac:dyDescent="0.25">
      <c r="A2328" s="17"/>
    </row>
    <row r="2329" spans="1:1" x14ac:dyDescent="0.25">
      <c r="A2329" s="17"/>
    </row>
    <row r="2330" spans="1:1" x14ac:dyDescent="0.25">
      <c r="A2330" s="17"/>
    </row>
    <row r="2331" spans="1:1" x14ac:dyDescent="0.25">
      <c r="A2331" s="17"/>
    </row>
    <row r="2332" spans="1:1" x14ac:dyDescent="0.25">
      <c r="A2332" s="17"/>
    </row>
    <row r="2333" spans="1:1" x14ac:dyDescent="0.25">
      <c r="A2333" s="17"/>
    </row>
    <row r="2334" spans="1:1" x14ac:dyDescent="0.25">
      <c r="A2334" s="17"/>
    </row>
    <row r="2335" spans="1:1" x14ac:dyDescent="0.25">
      <c r="A2335" s="17"/>
    </row>
    <row r="2336" spans="1:1" x14ac:dyDescent="0.25">
      <c r="A2336" s="17"/>
    </row>
    <row r="2337" spans="1:1" x14ac:dyDescent="0.25">
      <c r="A2337" s="17"/>
    </row>
    <row r="2338" spans="1:1" x14ac:dyDescent="0.25">
      <c r="A2338" s="17"/>
    </row>
    <row r="2339" spans="1:1" x14ac:dyDescent="0.25">
      <c r="A2339" s="17"/>
    </row>
    <row r="2340" spans="1:1" x14ac:dyDescent="0.25">
      <c r="A2340" s="17"/>
    </row>
    <row r="2341" spans="1:1" x14ac:dyDescent="0.25">
      <c r="A2341" s="17"/>
    </row>
    <row r="2342" spans="1:1" x14ac:dyDescent="0.25">
      <c r="A2342" s="17"/>
    </row>
    <row r="2343" spans="1:1" x14ac:dyDescent="0.25">
      <c r="A2343" s="17"/>
    </row>
    <row r="2344" spans="1:1" x14ac:dyDescent="0.25">
      <c r="A2344" s="17"/>
    </row>
    <row r="2345" spans="1:1" x14ac:dyDescent="0.25">
      <c r="A2345" s="17"/>
    </row>
    <row r="2346" spans="1:1" x14ac:dyDescent="0.25">
      <c r="A2346" s="17"/>
    </row>
    <row r="2347" spans="1:1" x14ac:dyDescent="0.25">
      <c r="A2347" s="17"/>
    </row>
    <row r="2348" spans="1:1" x14ac:dyDescent="0.25">
      <c r="A2348" s="17"/>
    </row>
    <row r="2349" spans="1:1" x14ac:dyDescent="0.25">
      <c r="A2349" s="17"/>
    </row>
    <row r="2350" spans="1:1" x14ac:dyDescent="0.25">
      <c r="A2350" s="17"/>
    </row>
    <row r="2351" spans="1:1" x14ac:dyDescent="0.25">
      <c r="A2351" s="17"/>
    </row>
    <row r="2352" spans="1:1" x14ac:dyDescent="0.25">
      <c r="A2352" s="17"/>
    </row>
    <row r="2353" spans="1:1" x14ac:dyDescent="0.25">
      <c r="A2353" s="17"/>
    </row>
    <row r="2354" spans="1:1" x14ac:dyDescent="0.25">
      <c r="A2354" s="17"/>
    </row>
    <row r="2355" spans="1:1" x14ac:dyDescent="0.25">
      <c r="A2355" s="17"/>
    </row>
    <row r="2356" spans="1:1" x14ac:dyDescent="0.25">
      <c r="A2356" s="17"/>
    </row>
    <row r="2357" spans="1:1" x14ac:dyDescent="0.25">
      <c r="A2357" s="17"/>
    </row>
    <row r="2358" spans="1:1" x14ac:dyDescent="0.25">
      <c r="A2358" s="17"/>
    </row>
    <row r="2359" spans="1:1" x14ac:dyDescent="0.25">
      <c r="A2359" s="17"/>
    </row>
    <row r="2360" spans="1:1" x14ac:dyDescent="0.25">
      <c r="A2360" s="17"/>
    </row>
    <row r="2361" spans="1:1" x14ac:dyDescent="0.25">
      <c r="A2361" s="17"/>
    </row>
    <row r="2362" spans="1:1" x14ac:dyDescent="0.25">
      <c r="A2362" s="17"/>
    </row>
    <row r="2363" spans="1:1" x14ac:dyDescent="0.25">
      <c r="A2363" s="17"/>
    </row>
    <row r="2364" spans="1:1" x14ac:dyDescent="0.25">
      <c r="A2364" s="17"/>
    </row>
    <row r="2365" spans="1:1" x14ac:dyDescent="0.25">
      <c r="A2365" s="17"/>
    </row>
    <row r="2366" spans="1:1" x14ac:dyDescent="0.25">
      <c r="A2366" s="17"/>
    </row>
    <row r="2367" spans="1:1" x14ac:dyDescent="0.25">
      <c r="A2367" s="17"/>
    </row>
    <row r="2368" spans="1:1" x14ac:dyDescent="0.25">
      <c r="A2368" s="17"/>
    </row>
    <row r="2369" spans="1:1" x14ac:dyDescent="0.25">
      <c r="A2369" s="17"/>
    </row>
    <row r="2370" spans="1:1" x14ac:dyDescent="0.25">
      <c r="A2370" s="17"/>
    </row>
    <row r="2371" spans="1:1" x14ac:dyDescent="0.25">
      <c r="A2371" s="17"/>
    </row>
    <row r="2372" spans="1:1" x14ac:dyDescent="0.25">
      <c r="A2372" s="17"/>
    </row>
    <row r="2373" spans="1:1" x14ac:dyDescent="0.25">
      <c r="A2373" s="17"/>
    </row>
    <row r="2374" spans="1:1" x14ac:dyDescent="0.25">
      <c r="A2374" s="17"/>
    </row>
    <row r="2375" spans="1:1" x14ac:dyDescent="0.25">
      <c r="A2375" s="17"/>
    </row>
    <row r="2376" spans="1:1" x14ac:dyDescent="0.25">
      <c r="A2376" s="17"/>
    </row>
    <row r="2377" spans="1:1" x14ac:dyDescent="0.25">
      <c r="A2377" s="17"/>
    </row>
    <row r="2378" spans="1:1" x14ac:dyDescent="0.25">
      <c r="A2378" s="17"/>
    </row>
    <row r="2379" spans="1:1" x14ac:dyDescent="0.25">
      <c r="A2379" s="17"/>
    </row>
    <row r="2380" spans="1:1" x14ac:dyDescent="0.25">
      <c r="A2380" s="17"/>
    </row>
    <row r="2381" spans="1:1" x14ac:dyDescent="0.25">
      <c r="A2381" s="17"/>
    </row>
    <row r="2382" spans="1:1" x14ac:dyDescent="0.25">
      <c r="A2382" s="17"/>
    </row>
    <row r="2383" spans="1:1" x14ac:dyDescent="0.25">
      <c r="A2383" s="17"/>
    </row>
    <row r="2384" spans="1:1" x14ac:dyDescent="0.25">
      <c r="A2384" s="17"/>
    </row>
    <row r="2385" spans="1:1" x14ac:dyDescent="0.25">
      <c r="A2385" s="17"/>
    </row>
    <row r="2386" spans="1:1" x14ac:dyDescent="0.25">
      <c r="A2386" s="17"/>
    </row>
    <row r="2387" spans="1:1" x14ac:dyDescent="0.25">
      <c r="A2387" s="17"/>
    </row>
    <row r="2388" spans="1:1" x14ac:dyDescent="0.25">
      <c r="A2388" s="17"/>
    </row>
    <row r="2389" spans="1:1" x14ac:dyDescent="0.25">
      <c r="A2389" s="17"/>
    </row>
    <row r="2390" spans="1:1" x14ac:dyDescent="0.25">
      <c r="A2390" s="17"/>
    </row>
    <row r="2391" spans="1:1" x14ac:dyDescent="0.25">
      <c r="A2391" s="17"/>
    </row>
    <row r="2392" spans="1:1" x14ac:dyDescent="0.25">
      <c r="A2392" s="17"/>
    </row>
    <row r="2393" spans="1:1" x14ac:dyDescent="0.25">
      <c r="A2393" s="17"/>
    </row>
    <row r="2394" spans="1:1" x14ac:dyDescent="0.25">
      <c r="A2394" s="17"/>
    </row>
    <row r="2395" spans="1:1" x14ac:dyDescent="0.25">
      <c r="A2395" s="17"/>
    </row>
    <row r="2396" spans="1:1" x14ac:dyDescent="0.25">
      <c r="A2396" s="17"/>
    </row>
    <row r="2397" spans="1:1" x14ac:dyDescent="0.25">
      <c r="A2397" s="17"/>
    </row>
    <row r="2398" spans="1:1" x14ac:dyDescent="0.25">
      <c r="A2398" s="17"/>
    </row>
    <row r="2399" spans="1:1" x14ac:dyDescent="0.25">
      <c r="A2399" s="17"/>
    </row>
    <row r="2400" spans="1:1" x14ac:dyDescent="0.25">
      <c r="A2400" s="17"/>
    </row>
    <row r="2401" spans="1:1" x14ac:dyDescent="0.25">
      <c r="A2401" s="17"/>
    </row>
    <row r="2402" spans="1:1" x14ac:dyDescent="0.25">
      <c r="A2402" s="17"/>
    </row>
    <row r="2403" spans="1:1" x14ac:dyDescent="0.25">
      <c r="A2403" s="17"/>
    </row>
    <row r="2404" spans="1:1" x14ac:dyDescent="0.25">
      <c r="A2404" s="17"/>
    </row>
    <row r="2405" spans="1:1" x14ac:dyDescent="0.25">
      <c r="A2405" s="17"/>
    </row>
    <row r="2406" spans="1:1" x14ac:dyDescent="0.25">
      <c r="A2406" s="17"/>
    </row>
    <row r="2407" spans="1:1" x14ac:dyDescent="0.25">
      <c r="A2407" s="17"/>
    </row>
    <row r="2408" spans="1:1" x14ac:dyDescent="0.25">
      <c r="A2408" s="17"/>
    </row>
    <row r="2409" spans="1:1" x14ac:dyDescent="0.25">
      <c r="A2409" s="17"/>
    </row>
    <row r="2410" spans="1:1" x14ac:dyDescent="0.25">
      <c r="A2410" s="17"/>
    </row>
    <row r="2411" spans="1:1" x14ac:dyDescent="0.25">
      <c r="A2411" s="17"/>
    </row>
    <row r="2412" spans="1:1" x14ac:dyDescent="0.25">
      <c r="A2412" s="17"/>
    </row>
    <row r="2413" spans="1:1" x14ac:dyDescent="0.25">
      <c r="A2413" s="17"/>
    </row>
    <row r="2414" spans="1:1" x14ac:dyDescent="0.25">
      <c r="A2414" s="17"/>
    </row>
    <row r="2415" spans="1:1" x14ac:dyDescent="0.25">
      <c r="A2415" s="17"/>
    </row>
    <row r="2416" spans="1:1" x14ac:dyDescent="0.25">
      <c r="A2416" s="17"/>
    </row>
    <row r="2417" spans="1:1" x14ac:dyDescent="0.25">
      <c r="A2417" s="17"/>
    </row>
    <row r="2418" spans="1:1" x14ac:dyDescent="0.25">
      <c r="A2418" s="17"/>
    </row>
    <row r="2419" spans="1:1" x14ac:dyDescent="0.25">
      <c r="A2419" s="17"/>
    </row>
    <row r="2420" spans="1:1" x14ac:dyDescent="0.25">
      <c r="A2420" s="17"/>
    </row>
    <row r="2421" spans="1:1" x14ac:dyDescent="0.25">
      <c r="A2421" s="17"/>
    </row>
    <row r="2422" spans="1:1" x14ac:dyDescent="0.25">
      <c r="A2422" s="17"/>
    </row>
    <row r="2423" spans="1:1" x14ac:dyDescent="0.25">
      <c r="A2423" s="17"/>
    </row>
    <row r="2424" spans="1:1" x14ac:dyDescent="0.25">
      <c r="A2424" s="17"/>
    </row>
    <row r="2425" spans="1:1" x14ac:dyDescent="0.25">
      <c r="A2425" s="17"/>
    </row>
    <row r="2426" spans="1:1" x14ac:dyDescent="0.25">
      <c r="A2426" s="17"/>
    </row>
    <row r="2427" spans="1:1" x14ac:dyDescent="0.25">
      <c r="A2427" s="17"/>
    </row>
    <row r="2428" spans="1:1" x14ac:dyDescent="0.25">
      <c r="A2428" s="17"/>
    </row>
    <row r="2429" spans="1:1" x14ac:dyDescent="0.25">
      <c r="A2429" s="17"/>
    </row>
    <row r="2430" spans="1:1" x14ac:dyDescent="0.25">
      <c r="A2430" s="17"/>
    </row>
    <row r="2431" spans="1:1" x14ac:dyDescent="0.25">
      <c r="A2431" s="17"/>
    </row>
    <row r="2432" spans="1:1" x14ac:dyDescent="0.25">
      <c r="A2432" s="17"/>
    </row>
    <row r="2433" spans="1:1" x14ac:dyDescent="0.25">
      <c r="A2433" s="17"/>
    </row>
    <row r="2434" spans="1:1" x14ac:dyDescent="0.25">
      <c r="A2434" s="17"/>
    </row>
    <row r="2435" spans="1:1" x14ac:dyDescent="0.25">
      <c r="A2435" s="17"/>
    </row>
    <row r="2436" spans="1:1" x14ac:dyDescent="0.25">
      <c r="A2436" s="17"/>
    </row>
    <row r="2437" spans="1:1" x14ac:dyDescent="0.25">
      <c r="A2437" s="17"/>
    </row>
    <row r="2438" spans="1:1" x14ac:dyDescent="0.25">
      <c r="A2438" s="17"/>
    </row>
    <row r="2439" spans="1:1" x14ac:dyDescent="0.25">
      <c r="A2439" s="17"/>
    </row>
    <row r="2440" spans="1:1" x14ac:dyDescent="0.25">
      <c r="A2440" s="17"/>
    </row>
    <row r="2441" spans="1:1" x14ac:dyDescent="0.25">
      <c r="A2441" s="17"/>
    </row>
    <row r="2442" spans="1:1" x14ac:dyDescent="0.25">
      <c r="A2442" s="17"/>
    </row>
    <row r="2443" spans="1:1" x14ac:dyDescent="0.25">
      <c r="A2443" s="17"/>
    </row>
    <row r="2444" spans="1:1" x14ac:dyDescent="0.25">
      <c r="A2444" s="17"/>
    </row>
    <row r="2445" spans="1:1" x14ac:dyDescent="0.25">
      <c r="A2445" s="17"/>
    </row>
    <row r="2446" spans="1:1" x14ac:dyDescent="0.25">
      <c r="A2446" s="17"/>
    </row>
    <row r="2447" spans="1:1" x14ac:dyDescent="0.25">
      <c r="A2447" s="17"/>
    </row>
    <row r="2448" spans="1:1" x14ac:dyDescent="0.25">
      <c r="A2448" s="17"/>
    </row>
    <row r="2449" spans="1:1" x14ac:dyDescent="0.25">
      <c r="A2449" s="17"/>
    </row>
    <row r="2450" spans="1:1" x14ac:dyDescent="0.25">
      <c r="A2450" s="17"/>
    </row>
    <row r="2451" spans="1:1" x14ac:dyDescent="0.25">
      <c r="A2451" s="17"/>
    </row>
    <row r="2452" spans="1:1" x14ac:dyDescent="0.25">
      <c r="A2452" s="17"/>
    </row>
    <row r="2453" spans="1:1" x14ac:dyDescent="0.25">
      <c r="A2453" s="17"/>
    </row>
    <row r="2454" spans="1:1" x14ac:dyDescent="0.25">
      <c r="A2454" s="17"/>
    </row>
    <row r="2455" spans="1:1" x14ac:dyDescent="0.25">
      <c r="A2455" s="17"/>
    </row>
    <row r="2456" spans="1:1" x14ac:dyDescent="0.25">
      <c r="A2456" s="17"/>
    </row>
    <row r="2457" spans="1:1" x14ac:dyDescent="0.25">
      <c r="A2457" s="17"/>
    </row>
    <row r="2458" spans="1:1" x14ac:dyDescent="0.25">
      <c r="A2458" s="17"/>
    </row>
    <row r="2459" spans="1:1" x14ac:dyDescent="0.25">
      <c r="A2459" s="17"/>
    </row>
    <row r="2460" spans="1:1" x14ac:dyDescent="0.25">
      <c r="A2460" s="17"/>
    </row>
    <row r="2461" spans="1:1" x14ac:dyDescent="0.25">
      <c r="A2461" s="17"/>
    </row>
    <row r="2462" spans="1:1" x14ac:dyDescent="0.25">
      <c r="A2462" s="17"/>
    </row>
    <row r="2463" spans="1:1" x14ac:dyDescent="0.25">
      <c r="A2463" s="17"/>
    </row>
    <row r="2464" spans="1:1" x14ac:dyDescent="0.25">
      <c r="A2464" s="17"/>
    </row>
    <row r="2465" spans="1:1" x14ac:dyDescent="0.25">
      <c r="A2465" s="17"/>
    </row>
    <row r="2466" spans="1:1" x14ac:dyDescent="0.25">
      <c r="A2466" s="17"/>
    </row>
    <row r="2467" spans="1:1" x14ac:dyDescent="0.25">
      <c r="A2467" s="17"/>
    </row>
    <row r="2468" spans="1:1" x14ac:dyDescent="0.25">
      <c r="A2468" s="17"/>
    </row>
    <row r="2469" spans="1:1" x14ac:dyDescent="0.25">
      <c r="A2469" s="17"/>
    </row>
    <row r="2470" spans="1:1" x14ac:dyDescent="0.25">
      <c r="A2470" s="17"/>
    </row>
    <row r="2471" spans="1:1" x14ac:dyDescent="0.25">
      <c r="A2471" s="17"/>
    </row>
    <row r="2472" spans="1:1" x14ac:dyDescent="0.25">
      <c r="A2472" s="17"/>
    </row>
    <row r="2473" spans="1:1" x14ac:dyDescent="0.25">
      <c r="A2473" s="17"/>
    </row>
    <row r="2474" spans="1:1" x14ac:dyDescent="0.25">
      <c r="A2474" s="17"/>
    </row>
    <row r="2475" spans="1:1" x14ac:dyDescent="0.25">
      <c r="A2475" s="17"/>
    </row>
    <row r="2476" spans="1:1" x14ac:dyDescent="0.25">
      <c r="A2476" s="17"/>
    </row>
    <row r="2477" spans="1:1" x14ac:dyDescent="0.25">
      <c r="A2477" s="17"/>
    </row>
    <row r="2478" spans="1:1" x14ac:dyDescent="0.25">
      <c r="A2478" s="17"/>
    </row>
    <row r="2479" spans="1:1" x14ac:dyDescent="0.25">
      <c r="A2479" s="17"/>
    </row>
    <row r="2480" spans="1:1" x14ac:dyDescent="0.25">
      <c r="A2480" s="17"/>
    </row>
    <row r="2481" spans="1:1" x14ac:dyDescent="0.25">
      <c r="A2481" s="17"/>
    </row>
    <row r="2482" spans="1:1" x14ac:dyDescent="0.25">
      <c r="A2482" s="17"/>
    </row>
    <row r="2483" spans="1:1" x14ac:dyDescent="0.25">
      <c r="A2483" s="17"/>
    </row>
    <row r="2484" spans="1:1" x14ac:dyDescent="0.25">
      <c r="A2484" s="17"/>
    </row>
    <row r="2485" spans="1:1" x14ac:dyDescent="0.25">
      <c r="A2485" s="17"/>
    </row>
    <row r="2486" spans="1:1" x14ac:dyDescent="0.25">
      <c r="A2486" s="17"/>
    </row>
    <row r="2487" spans="1:1" x14ac:dyDescent="0.25">
      <c r="A2487" s="17"/>
    </row>
    <row r="2488" spans="1:1" x14ac:dyDescent="0.25">
      <c r="A2488" s="17"/>
    </row>
    <row r="2489" spans="1:1" x14ac:dyDescent="0.25">
      <c r="A2489" s="17"/>
    </row>
    <row r="2490" spans="1:1" x14ac:dyDescent="0.25">
      <c r="A2490" s="17"/>
    </row>
    <row r="2491" spans="1:1" x14ac:dyDescent="0.25">
      <c r="A2491" s="17"/>
    </row>
    <row r="2492" spans="1:1" x14ac:dyDescent="0.25">
      <c r="A2492" s="17"/>
    </row>
    <row r="2493" spans="1:1" x14ac:dyDescent="0.25">
      <c r="A2493" s="17"/>
    </row>
    <row r="2494" spans="1:1" x14ac:dyDescent="0.25">
      <c r="A2494" s="17"/>
    </row>
    <row r="2495" spans="1:1" x14ac:dyDescent="0.25">
      <c r="A2495" s="17"/>
    </row>
    <row r="2496" spans="1:1" x14ac:dyDescent="0.25">
      <c r="A2496" s="17"/>
    </row>
    <row r="2497" spans="1:1" x14ac:dyDescent="0.25">
      <c r="A2497" s="17"/>
    </row>
    <row r="2498" spans="1:1" x14ac:dyDescent="0.25">
      <c r="A2498" s="17"/>
    </row>
    <row r="2499" spans="1:1" x14ac:dyDescent="0.25">
      <c r="A2499" s="17"/>
    </row>
    <row r="2500" spans="1:1" x14ac:dyDescent="0.25">
      <c r="A2500" s="17"/>
    </row>
    <row r="2501" spans="1:1" x14ac:dyDescent="0.25">
      <c r="A2501" s="17"/>
    </row>
    <row r="2502" spans="1:1" x14ac:dyDescent="0.25">
      <c r="A2502" s="17"/>
    </row>
    <row r="2503" spans="1:1" x14ac:dyDescent="0.25">
      <c r="A2503" s="17"/>
    </row>
    <row r="2504" spans="1:1" x14ac:dyDescent="0.25">
      <c r="A2504" s="17"/>
    </row>
    <row r="2505" spans="1:1" x14ac:dyDescent="0.25">
      <c r="A2505" s="17"/>
    </row>
    <row r="2506" spans="1:1" x14ac:dyDescent="0.25">
      <c r="A2506" s="17"/>
    </row>
    <row r="2507" spans="1:1" x14ac:dyDescent="0.25">
      <c r="A2507" s="17"/>
    </row>
    <row r="2508" spans="1:1" x14ac:dyDescent="0.25">
      <c r="A2508" s="17"/>
    </row>
    <row r="2509" spans="1:1" x14ac:dyDescent="0.25">
      <c r="A2509" s="17"/>
    </row>
    <row r="2510" spans="1:1" x14ac:dyDescent="0.25">
      <c r="A2510" s="17"/>
    </row>
    <row r="2511" spans="1:1" x14ac:dyDescent="0.25">
      <c r="A2511" s="17"/>
    </row>
    <row r="2512" spans="1:1" x14ac:dyDescent="0.25">
      <c r="A2512" s="17"/>
    </row>
    <row r="2513" spans="1:1" x14ac:dyDescent="0.25">
      <c r="A2513" s="17"/>
    </row>
    <row r="2514" spans="1:1" x14ac:dyDescent="0.25">
      <c r="A2514" s="17"/>
    </row>
    <row r="2515" spans="1:1" x14ac:dyDescent="0.25">
      <c r="A2515" s="17"/>
    </row>
    <row r="2516" spans="1:1" x14ac:dyDescent="0.25">
      <c r="A2516" s="17"/>
    </row>
    <row r="2517" spans="1:1" x14ac:dyDescent="0.25">
      <c r="A2517" s="17"/>
    </row>
    <row r="2518" spans="1:1" x14ac:dyDescent="0.25">
      <c r="A2518" s="17"/>
    </row>
    <row r="2519" spans="1:1" x14ac:dyDescent="0.25">
      <c r="A2519" s="17"/>
    </row>
    <row r="2520" spans="1:1" x14ac:dyDescent="0.25">
      <c r="A2520" s="17"/>
    </row>
    <row r="2521" spans="1:1" x14ac:dyDescent="0.25">
      <c r="A2521" s="17"/>
    </row>
    <row r="2522" spans="1:1" x14ac:dyDescent="0.25">
      <c r="A2522" s="17"/>
    </row>
    <row r="2523" spans="1:1" x14ac:dyDescent="0.25">
      <c r="A2523" s="17"/>
    </row>
    <row r="2524" spans="1:1" x14ac:dyDescent="0.25">
      <c r="A2524" s="17"/>
    </row>
    <row r="2525" spans="1:1" x14ac:dyDescent="0.25">
      <c r="A2525" s="17"/>
    </row>
    <row r="2526" spans="1:1" x14ac:dyDescent="0.25">
      <c r="A2526" s="17"/>
    </row>
    <row r="2527" spans="1:1" x14ac:dyDescent="0.25">
      <c r="A2527" s="17"/>
    </row>
    <row r="2528" spans="1:1" x14ac:dyDescent="0.25">
      <c r="A2528" s="17"/>
    </row>
    <row r="2529" spans="1:1" x14ac:dyDescent="0.25">
      <c r="A2529" s="17"/>
    </row>
    <row r="2530" spans="1:1" x14ac:dyDescent="0.25">
      <c r="A2530" s="17"/>
    </row>
    <row r="2531" spans="1:1" x14ac:dyDescent="0.25">
      <c r="A2531" s="17"/>
    </row>
    <row r="2532" spans="1:1" x14ac:dyDescent="0.25">
      <c r="A2532" s="17"/>
    </row>
    <row r="2533" spans="1:1" x14ac:dyDescent="0.25">
      <c r="A2533" s="17"/>
    </row>
    <row r="2534" spans="1:1" x14ac:dyDescent="0.25">
      <c r="A2534" s="17"/>
    </row>
    <row r="2535" spans="1:1" x14ac:dyDescent="0.25">
      <c r="A2535" s="17"/>
    </row>
    <row r="2536" spans="1:1" x14ac:dyDescent="0.25">
      <c r="A2536" s="17"/>
    </row>
    <row r="2537" spans="1:1" x14ac:dyDescent="0.25">
      <c r="A2537" s="17"/>
    </row>
    <row r="2538" spans="1:1" x14ac:dyDescent="0.25">
      <c r="A2538" s="17"/>
    </row>
    <row r="2539" spans="1:1" x14ac:dyDescent="0.25">
      <c r="A2539" s="17"/>
    </row>
    <row r="2540" spans="1:1" x14ac:dyDescent="0.25">
      <c r="A2540" s="17"/>
    </row>
    <row r="2541" spans="1:1" x14ac:dyDescent="0.25">
      <c r="A2541" s="17"/>
    </row>
    <row r="2542" spans="1:1" x14ac:dyDescent="0.25">
      <c r="A2542" s="17"/>
    </row>
    <row r="2543" spans="1:1" x14ac:dyDescent="0.25">
      <c r="A2543" s="17"/>
    </row>
    <row r="2544" spans="1:1" x14ac:dyDescent="0.25">
      <c r="A2544" s="17"/>
    </row>
    <row r="2545" spans="1:1" x14ac:dyDescent="0.25">
      <c r="A2545" s="17"/>
    </row>
    <row r="2546" spans="1:1" x14ac:dyDescent="0.25">
      <c r="A2546" s="17"/>
    </row>
    <row r="2547" spans="1:1" x14ac:dyDescent="0.25">
      <c r="A2547" s="17"/>
    </row>
    <row r="2548" spans="1:1" x14ac:dyDescent="0.25">
      <c r="A2548" s="17"/>
    </row>
    <row r="2549" spans="1:1" x14ac:dyDescent="0.25">
      <c r="A2549" s="17"/>
    </row>
    <row r="2550" spans="1:1" x14ac:dyDescent="0.25">
      <c r="A2550" s="17"/>
    </row>
    <row r="2551" spans="1:1" x14ac:dyDescent="0.25">
      <c r="A2551" s="17"/>
    </row>
    <row r="2552" spans="1:1" x14ac:dyDescent="0.25">
      <c r="A2552" s="17"/>
    </row>
    <row r="2553" spans="1:1" x14ac:dyDescent="0.25">
      <c r="A2553" s="17"/>
    </row>
    <row r="2554" spans="1:1" x14ac:dyDescent="0.25">
      <c r="A2554" s="17"/>
    </row>
    <row r="2555" spans="1:1" x14ac:dyDescent="0.25">
      <c r="A2555" s="17"/>
    </row>
    <row r="2556" spans="1:1" x14ac:dyDescent="0.25">
      <c r="A2556" s="17"/>
    </row>
    <row r="2557" spans="1:1" x14ac:dyDescent="0.25">
      <c r="A2557" s="17"/>
    </row>
    <row r="2558" spans="1:1" x14ac:dyDescent="0.25">
      <c r="A2558" s="17"/>
    </row>
    <row r="2559" spans="1:1" x14ac:dyDescent="0.25">
      <c r="A2559" s="17"/>
    </row>
    <row r="2560" spans="1:1" x14ac:dyDescent="0.25">
      <c r="A2560" s="17"/>
    </row>
    <row r="2561" spans="1:1" x14ac:dyDescent="0.25">
      <c r="A2561" s="17"/>
    </row>
    <row r="2562" spans="1:1" x14ac:dyDescent="0.25">
      <c r="A2562" s="17"/>
    </row>
    <row r="2563" spans="1:1" x14ac:dyDescent="0.25">
      <c r="A2563" s="17"/>
    </row>
    <row r="2564" spans="1:1" x14ac:dyDescent="0.25">
      <c r="A2564" s="17"/>
    </row>
    <row r="2565" spans="1:1" x14ac:dyDescent="0.25">
      <c r="A2565" s="17"/>
    </row>
    <row r="2566" spans="1:1" x14ac:dyDescent="0.25">
      <c r="A2566" s="17"/>
    </row>
    <row r="2567" spans="1:1" x14ac:dyDescent="0.25">
      <c r="A2567" s="17"/>
    </row>
    <row r="2568" spans="1:1" x14ac:dyDescent="0.25">
      <c r="A2568" s="17"/>
    </row>
    <row r="2569" spans="1:1" x14ac:dyDescent="0.25">
      <c r="A2569" s="17"/>
    </row>
    <row r="2570" spans="1:1" x14ac:dyDescent="0.25">
      <c r="A2570" s="17"/>
    </row>
    <row r="2571" spans="1:1" x14ac:dyDescent="0.25">
      <c r="A2571" s="17"/>
    </row>
    <row r="2572" spans="1:1" x14ac:dyDescent="0.25">
      <c r="A2572" s="17"/>
    </row>
    <row r="2573" spans="1:1" x14ac:dyDescent="0.25">
      <c r="A2573" s="17"/>
    </row>
    <row r="2574" spans="1:1" x14ac:dyDescent="0.25">
      <c r="A2574" s="17"/>
    </row>
    <row r="2575" spans="1:1" x14ac:dyDescent="0.25">
      <c r="A2575" s="17"/>
    </row>
    <row r="2576" spans="1:1" x14ac:dyDescent="0.25">
      <c r="A2576" s="17"/>
    </row>
    <row r="2577" spans="1:1" x14ac:dyDescent="0.25">
      <c r="A2577" s="17"/>
    </row>
    <row r="2578" spans="1:1" x14ac:dyDescent="0.25">
      <c r="A2578" s="17"/>
    </row>
    <row r="2579" spans="1:1" x14ac:dyDescent="0.25">
      <c r="A2579" s="17"/>
    </row>
    <row r="2580" spans="1:1" x14ac:dyDescent="0.25">
      <c r="A2580" s="17"/>
    </row>
    <row r="2581" spans="1:1" x14ac:dyDescent="0.25">
      <c r="A2581" s="17"/>
    </row>
    <row r="2582" spans="1:1" x14ac:dyDescent="0.25">
      <c r="A2582" s="17"/>
    </row>
    <row r="2583" spans="1:1" x14ac:dyDescent="0.25">
      <c r="A2583" s="17"/>
    </row>
    <row r="2584" spans="1:1" x14ac:dyDescent="0.25">
      <c r="A2584" s="17"/>
    </row>
    <row r="2585" spans="1:1" x14ac:dyDescent="0.25">
      <c r="A2585" s="17"/>
    </row>
    <row r="2586" spans="1:1" x14ac:dyDescent="0.25">
      <c r="A2586" s="17"/>
    </row>
    <row r="2587" spans="1:1" x14ac:dyDescent="0.25">
      <c r="A2587" s="17"/>
    </row>
    <row r="2588" spans="1:1" x14ac:dyDescent="0.25">
      <c r="A2588" s="17"/>
    </row>
    <row r="2589" spans="1:1" x14ac:dyDescent="0.25">
      <c r="A2589" s="17"/>
    </row>
    <row r="2590" spans="1:1" x14ac:dyDescent="0.25">
      <c r="A2590" s="17"/>
    </row>
    <row r="2591" spans="1:1" x14ac:dyDescent="0.25">
      <c r="A2591" s="17"/>
    </row>
    <row r="2592" spans="1:1" x14ac:dyDescent="0.25">
      <c r="A2592" s="17"/>
    </row>
    <row r="2593" spans="1:1" x14ac:dyDescent="0.25">
      <c r="A2593" s="17"/>
    </row>
    <row r="2594" spans="1:1" x14ac:dyDescent="0.25">
      <c r="A2594" s="17"/>
    </row>
    <row r="2595" spans="1:1" x14ac:dyDescent="0.25">
      <c r="A2595" s="17"/>
    </row>
    <row r="2596" spans="1:1" x14ac:dyDescent="0.25">
      <c r="A2596" s="17"/>
    </row>
    <row r="2597" spans="1:1" x14ac:dyDescent="0.25">
      <c r="A2597" s="17"/>
    </row>
    <row r="2598" spans="1:1" x14ac:dyDescent="0.25">
      <c r="A2598" s="17"/>
    </row>
    <row r="2599" spans="1:1" x14ac:dyDescent="0.25">
      <c r="A2599" s="17"/>
    </row>
    <row r="2600" spans="1:1" x14ac:dyDescent="0.25">
      <c r="A2600" s="17"/>
    </row>
    <row r="2601" spans="1:1" x14ac:dyDescent="0.25">
      <c r="A2601" s="17"/>
    </row>
    <row r="2602" spans="1:1" x14ac:dyDescent="0.25">
      <c r="A2602" s="17"/>
    </row>
    <row r="2603" spans="1:1" x14ac:dyDescent="0.25">
      <c r="A2603" s="17"/>
    </row>
    <row r="2604" spans="1:1" x14ac:dyDescent="0.25">
      <c r="A2604" s="17"/>
    </row>
    <row r="2605" spans="1:1" x14ac:dyDescent="0.25">
      <c r="A2605" s="17"/>
    </row>
    <row r="2606" spans="1:1" x14ac:dyDescent="0.25">
      <c r="A2606" s="17"/>
    </row>
    <row r="2607" spans="1:1" x14ac:dyDescent="0.25">
      <c r="A2607" s="17"/>
    </row>
    <row r="2608" spans="1:1" x14ac:dyDescent="0.25">
      <c r="A2608" s="17"/>
    </row>
    <row r="2609" spans="1:1" x14ac:dyDescent="0.25">
      <c r="A2609" s="17"/>
    </row>
    <row r="2610" spans="1:1" x14ac:dyDescent="0.25">
      <c r="A2610" s="17"/>
    </row>
    <row r="2611" spans="1:1" x14ac:dyDescent="0.25">
      <c r="A2611" s="17"/>
    </row>
    <row r="2612" spans="1:1" x14ac:dyDescent="0.25">
      <c r="A2612" s="17"/>
    </row>
    <row r="2613" spans="1:1" x14ac:dyDescent="0.25">
      <c r="A2613" s="17"/>
    </row>
    <row r="2614" spans="1:1" x14ac:dyDescent="0.25">
      <c r="A2614" s="17"/>
    </row>
    <row r="2615" spans="1:1" x14ac:dyDescent="0.25">
      <c r="A2615" s="17"/>
    </row>
    <row r="2616" spans="1:1" x14ac:dyDescent="0.25">
      <c r="A2616" s="17"/>
    </row>
    <row r="2617" spans="1:1" x14ac:dyDescent="0.25">
      <c r="A2617" s="17"/>
    </row>
    <row r="2618" spans="1:1" x14ac:dyDescent="0.25">
      <c r="A2618" s="17"/>
    </row>
    <row r="2619" spans="1:1" x14ac:dyDescent="0.25">
      <c r="A2619" s="17"/>
    </row>
    <row r="2620" spans="1:1" x14ac:dyDescent="0.25">
      <c r="A2620" s="17"/>
    </row>
    <row r="2621" spans="1:1" x14ac:dyDescent="0.25">
      <c r="A2621" s="17"/>
    </row>
    <row r="2622" spans="1:1" x14ac:dyDescent="0.25">
      <c r="A2622" s="17"/>
    </row>
    <row r="2623" spans="1:1" x14ac:dyDescent="0.25">
      <c r="A2623" s="17"/>
    </row>
    <row r="2624" spans="1:1" x14ac:dyDescent="0.25">
      <c r="A2624" s="17"/>
    </row>
    <row r="2625" spans="1:1" x14ac:dyDescent="0.25">
      <c r="A2625" s="17"/>
    </row>
    <row r="2626" spans="1:1" x14ac:dyDescent="0.25">
      <c r="A2626" s="17"/>
    </row>
    <row r="2627" spans="1:1" x14ac:dyDescent="0.25">
      <c r="A2627" s="17"/>
    </row>
    <row r="2628" spans="1:1" x14ac:dyDescent="0.25">
      <c r="A2628" s="17"/>
    </row>
    <row r="2629" spans="1:1" x14ac:dyDescent="0.25">
      <c r="A2629" s="17"/>
    </row>
    <row r="2630" spans="1:1" x14ac:dyDescent="0.25">
      <c r="A2630" s="17"/>
    </row>
    <row r="2631" spans="1:1" x14ac:dyDescent="0.25">
      <c r="A2631" s="17"/>
    </row>
    <row r="2632" spans="1:1" x14ac:dyDescent="0.25">
      <c r="A2632" s="17"/>
    </row>
    <row r="2633" spans="1:1" x14ac:dyDescent="0.25">
      <c r="A2633" s="17"/>
    </row>
    <row r="2634" spans="1:1" x14ac:dyDescent="0.25">
      <c r="A2634" s="17"/>
    </row>
    <row r="2635" spans="1:1" x14ac:dyDescent="0.25">
      <c r="A2635" s="17"/>
    </row>
    <row r="2636" spans="1:1" x14ac:dyDescent="0.25">
      <c r="A2636" s="17"/>
    </row>
    <row r="2637" spans="1:1" x14ac:dyDescent="0.25">
      <c r="A2637" s="17"/>
    </row>
    <row r="2638" spans="1:1" x14ac:dyDescent="0.25">
      <c r="A2638" s="17"/>
    </row>
    <row r="2639" spans="1:1" x14ac:dyDescent="0.25">
      <c r="A2639" s="17"/>
    </row>
    <row r="2640" spans="1:1" x14ac:dyDescent="0.25">
      <c r="A2640" s="17"/>
    </row>
    <row r="2641" spans="1:1" x14ac:dyDescent="0.25">
      <c r="A2641" s="17"/>
    </row>
    <row r="2642" spans="1:1" x14ac:dyDescent="0.25">
      <c r="A2642" s="17"/>
    </row>
    <row r="2643" spans="1:1" x14ac:dyDescent="0.25">
      <c r="A2643" s="17"/>
    </row>
    <row r="2644" spans="1:1" x14ac:dyDescent="0.25">
      <c r="A2644" s="17"/>
    </row>
    <row r="2645" spans="1:1" x14ac:dyDescent="0.25">
      <c r="A2645" s="17"/>
    </row>
    <row r="2646" spans="1:1" x14ac:dyDescent="0.25">
      <c r="A2646" s="17"/>
    </row>
    <row r="2647" spans="1:1" x14ac:dyDescent="0.25">
      <c r="A2647" s="17"/>
    </row>
    <row r="2648" spans="1:1" x14ac:dyDescent="0.25">
      <c r="A2648" s="17"/>
    </row>
    <row r="2649" spans="1:1" x14ac:dyDescent="0.25">
      <c r="A2649" s="17"/>
    </row>
    <row r="2650" spans="1:1" x14ac:dyDescent="0.25">
      <c r="A2650" s="17"/>
    </row>
    <row r="2651" spans="1:1" x14ac:dyDescent="0.25">
      <c r="A2651" s="17"/>
    </row>
    <row r="2652" spans="1:1" x14ac:dyDescent="0.25">
      <c r="A2652" s="17"/>
    </row>
    <row r="2653" spans="1:1" x14ac:dyDescent="0.25">
      <c r="A2653" s="17"/>
    </row>
    <row r="2654" spans="1:1" x14ac:dyDescent="0.25">
      <c r="A2654" s="17"/>
    </row>
    <row r="2655" spans="1:1" x14ac:dyDescent="0.25">
      <c r="A2655" s="17"/>
    </row>
    <row r="2656" spans="1:1" x14ac:dyDescent="0.25">
      <c r="A2656" s="17"/>
    </row>
    <row r="2657" spans="1:1" x14ac:dyDescent="0.25">
      <c r="A2657" s="17"/>
    </row>
    <row r="2658" spans="1:1" x14ac:dyDescent="0.25">
      <c r="A2658" s="17"/>
    </row>
    <row r="2659" spans="1:1" x14ac:dyDescent="0.25">
      <c r="A2659" s="17"/>
    </row>
    <row r="2660" spans="1:1" x14ac:dyDescent="0.25">
      <c r="A2660" s="17"/>
    </row>
    <row r="2661" spans="1:1" x14ac:dyDescent="0.25">
      <c r="A2661" s="17"/>
    </row>
    <row r="2662" spans="1:1" x14ac:dyDescent="0.25">
      <c r="A2662" s="17"/>
    </row>
    <row r="2663" spans="1:1" x14ac:dyDescent="0.25">
      <c r="A2663" s="17"/>
    </row>
    <row r="2664" spans="1:1" x14ac:dyDescent="0.25">
      <c r="A2664" s="17"/>
    </row>
    <row r="2665" spans="1:1" x14ac:dyDescent="0.25">
      <c r="A2665" s="17"/>
    </row>
    <row r="2666" spans="1:1" x14ac:dyDescent="0.25">
      <c r="A2666" s="17"/>
    </row>
    <row r="2667" spans="1:1" x14ac:dyDescent="0.25">
      <c r="A2667" s="17"/>
    </row>
    <row r="2668" spans="1:1" x14ac:dyDescent="0.25">
      <c r="A2668" s="17"/>
    </row>
    <row r="2669" spans="1:1" x14ac:dyDescent="0.25">
      <c r="A2669" s="17"/>
    </row>
    <row r="2670" spans="1:1" x14ac:dyDescent="0.25">
      <c r="A2670" s="17"/>
    </row>
    <row r="2671" spans="1:1" x14ac:dyDescent="0.25">
      <c r="A2671" s="17"/>
    </row>
    <row r="2672" spans="1:1" x14ac:dyDescent="0.25">
      <c r="A2672" s="17"/>
    </row>
    <row r="2673" spans="1:1" x14ac:dyDescent="0.25">
      <c r="A2673" s="17"/>
    </row>
    <row r="2674" spans="1:1" x14ac:dyDescent="0.25">
      <c r="A2674" s="17"/>
    </row>
    <row r="2675" spans="1:1" x14ac:dyDescent="0.25">
      <c r="A2675" s="17"/>
    </row>
    <row r="2676" spans="1:1" x14ac:dyDescent="0.25">
      <c r="A2676" s="17"/>
    </row>
    <row r="2677" spans="1:1" x14ac:dyDescent="0.25">
      <c r="A2677" s="17"/>
    </row>
    <row r="2678" spans="1:1" x14ac:dyDescent="0.25">
      <c r="A2678" s="17"/>
    </row>
    <row r="2679" spans="1:1" x14ac:dyDescent="0.25">
      <c r="A2679" s="17"/>
    </row>
    <row r="2680" spans="1:1" x14ac:dyDescent="0.25">
      <c r="A2680" s="17"/>
    </row>
    <row r="2681" spans="1:1" x14ac:dyDescent="0.25">
      <c r="A2681" s="17"/>
    </row>
    <row r="2682" spans="1:1" x14ac:dyDescent="0.25">
      <c r="A2682" s="17"/>
    </row>
    <row r="2683" spans="1:1" x14ac:dyDescent="0.25">
      <c r="A2683" s="17"/>
    </row>
    <row r="2684" spans="1:1" x14ac:dyDescent="0.25">
      <c r="A2684" s="17"/>
    </row>
    <row r="2685" spans="1:1" x14ac:dyDescent="0.25">
      <c r="A2685" s="17"/>
    </row>
    <row r="2686" spans="1:1" x14ac:dyDescent="0.25">
      <c r="A2686" s="17"/>
    </row>
    <row r="2687" spans="1:1" x14ac:dyDescent="0.25">
      <c r="A2687" s="17"/>
    </row>
    <row r="2688" spans="1:1" x14ac:dyDescent="0.25">
      <c r="A2688" s="17"/>
    </row>
    <row r="2689" spans="1:1" x14ac:dyDescent="0.25">
      <c r="A2689" s="17"/>
    </row>
    <row r="2690" spans="1:1" x14ac:dyDescent="0.25">
      <c r="A2690" s="17"/>
    </row>
    <row r="2691" spans="1:1" x14ac:dyDescent="0.25">
      <c r="A2691" s="17"/>
    </row>
    <row r="2692" spans="1:1" x14ac:dyDescent="0.25">
      <c r="A2692" s="17"/>
    </row>
    <row r="2693" spans="1:1" x14ac:dyDescent="0.25">
      <c r="A2693" s="17"/>
    </row>
    <row r="2694" spans="1:1" x14ac:dyDescent="0.25">
      <c r="A2694" s="17"/>
    </row>
    <row r="2695" spans="1:1" x14ac:dyDescent="0.25">
      <c r="A2695" s="17"/>
    </row>
    <row r="2696" spans="1:1" x14ac:dyDescent="0.25">
      <c r="A2696" s="17"/>
    </row>
    <row r="2697" spans="1:1" x14ac:dyDescent="0.25">
      <c r="A2697" s="17"/>
    </row>
    <row r="2698" spans="1:1" x14ac:dyDescent="0.25">
      <c r="A2698" s="17"/>
    </row>
    <row r="2699" spans="1:1" x14ac:dyDescent="0.25">
      <c r="A2699" s="17"/>
    </row>
    <row r="2700" spans="1:1" x14ac:dyDescent="0.25">
      <c r="A2700" s="17"/>
    </row>
    <row r="2701" spans="1:1" x14ac:dyDescent="0.25">
      <c r="A2701" s="17"/>
    </row>
    <row r="2702" spans="1:1" x14ac:dyDescent="0.25">
      <c r="A2702" s="17"/>
    </row>
    <row r="2703" spans="1:1" x14ac:dyDescent="0.25">
      <c r="A2703" s="17"/>
    </row>
    <row r="2704" spans="1:1" x14ac:dyDescent="0.25">
      <c r="A2704" s="17"/>
    </row>
    <row r="2705" spans="1:1" x14ac:dyDescent="0.25">
      <c r="A2705" s="17"/>
    </row>
    <row r="2706" spans="1:1" x14ac:dyDescent="0.25">
      <c r="A2706" s="17"/>
    </row>
    <row r="2707" spans="1:1" x14ac:dyDescent="0.25">
      <c r="A2707" s="17"/>
    </row>
    <row r="2708" spans="1:1" x14ac:dyDescent="0.25">
      <c r="A2708" s="17"/>
    </row>
    <row r="2709" spans="1:1" x14ac:dyDescent="0.25">
      <c r="A2709" s="17"/>
    </row>
    <row r="2710" spans="1:1" x14ac:dyDescent="0.25">
      <c r="A2710" s="17"/>
    </row>
    <row r="2711" spans="1:1" x14ac:dyDescent="0.25">
      <c r="A2711" s="17"/>
    </row>
    <row r="2712" spans="1:1" x14ac:dyDescent="0.25">
      <c r="A2712" s="17"/>
    </row>
    <row r="2713" spans="1:1" x14ac:dyDescent="0.25">
      <c r="A2713" s="17"/>
    </row>
    <row r="2714" spans="1:1" x14ac:dyDescent="0.25">
      <c r="A2714" s="17"/>
    </row>
    <row r="2715" spans="1:1" x14ac:dyDescent="0.25">
      <c r="A2715" s="17"/>
    </row>
    <row r="2716" spans="1:1" x14ac:dyDescent="0.25">
      <c r="A2716" s="17"/>
    </row>
    <row r="2717" spans="1:1" x14ac:dyDescent="0.25">
      <c r="A2717" s="17"/>
    </row>
    <row r="2718" spans="1:1" x14ac:dyDescent="0.25">
      <c r="A2718" s="17"/>
    </row>
    <row r="2719" spans="1:1" x14ac:dyDescent="0.25">
      <c r="A2719" s="17"/>
    </row>
    <row r="2720" spans="1:1" x14ac:dyDescent="0.25">
      <c r="A2720" s="17"/>
    </row>
    <row r="2721" spans="1:1" x14ac:dyDescent="0.25">
      <c r="A2721" s="17"/>
    </row>
    <row r="2722" spans="1:1" x14ac:dyDescent="0.25">
      <c r="A2722" s="17"/>
    </row>
    <row r="2723" spans="1:1" x14ac:dyDescent="0.25">
      <c r="A2723" s="17"/>
    </row>
    <row r="2724" spans="1:1" x14ac:dyDescent="0.25">
      <c r="A2724" s="17"/>
    </row>
    <row r="2725" spans="1:1" x14ac:dyDescent="0.25">
      <c r="A2725" s="17"/>
    </row>
    <row r="2726" spans="1:1" x14ac:dyDescent="0.25">
      <c r="A2726" s="17"/>
    </row>
    <row r="2727" spans="1:1" x14ac:dyDescent="0.25">
      <c r="A2727" s="17"/>
    </row>
    <row r="2728" spans="1:1" x14ac:dyDescent="0.25">
      <c r="A2728" s="17"/>
    </row>
    <row r="2729" spans="1:1" x14ac:dyDescent="0.25">
      <c r="A2729" s="17"/>
    </row>
    <row r="2730" spans="1:1" x14ac:dyDescent="0.25">
      <c r="A2730" s="17"/>
    </row>
    <row r="2731" spans="1:1" x14ac:dyDescent="0.25">
      <c r="A2731" s="17"/>
    </row>
    <row r="2732" spans="1:1" x14ac:dyDescent="0.25">
      <c r="A2732" s="17"/>
    </row>
    <row r="2733" spans="1:1" x14ac:dyDescent="0.25">
      <c r="A2733" s="17"/>
    </row>
    <row r="2734" spans="1:1" x14ac:dyDescent="0.25">
      <c r="A2734" s="17"/>
    </row>
    <row r="2735" spans="1:1" x14ac:dyDescent="0.25">
      <c r="A2735" s="17"/>
    </row>
    <row r="2736" spans="1:1" x14ac:dyDescent="0.25">
      <c r="A2736" s="17"/>
    </row>
    <row r="2737" spans="1:1" x14ac:dyDescent="0.25">
      <c r="A2737" s="17"/>
    </row>
    <row r="2738" spans="1:1" x14ac:dyDescent="0.25">
      <c r="A2738" s="17"/>
    </row>
    <row r="2739" spans="1:1" x14ac:dyDescent="0.25">
      <c r="A2739" s="17"/>
    </row>
    <row r="2740" spans="1:1" x14ac:dyDescent="0.25">
      <c r="A2740" s="17"/>
    </row>
    <row r="2741" spans="1:1" x14ac:dyDescent="0.25">
      <c r="A2741" s="17"/>
    </row>
    <row r="2742" spans="1:1" x14ac:dyDescent="0.25">
      <c r="A2742" s="17"/>
    </row>
    <row r="2743" spans="1:1" x14ac:dyDescent="0.25">
      <c r="A2743" s="17"/>
    </row>
    <row r="2744" spans="1:1" x14ac:dyDescent="0.25">
      <c r="A2744" s="17"/>
    </row>
    <row r="2745" spans="1:1" x14ac:dyDescent="0.25">
      <c r="A2745" s="17"/>
    </row>
    <row r="2746" spans="1:1" x14ac:dyDescent="0.25">
      <c r="A2746" s="17"/>
    </row>
    <row r="2747" spans="1:1" x14ac:dyDescent="0.25">
      <c r="A2747" s="17"/>
    </row>
    <row r="2748" spans="1:1" x14ac:dyDescent="0.25">
      <c r="A2748" s="17"/>
    </row>
    <row r="2749" spans="1:1" x14ac:dyDescent="0.25">
      <c r="A2749" s="17"/>
    </row>
    <row r="2750" spans="1:1" x14ac:dyDescent="0.25">
      <c r="A2750" s="17"/>
    </row>
    <row r="2751" spans="1:1" x14ac:dyDescent="0.25">
      <c r="A2751" s="17"/>
    </row>
    <row r="2752" spans="1:1" x14ac:dyDescent="0.25">
      <c r="A2752" s="17"/>
    </row>
    <row r="2753" spans="1:1" x14ac:dyDescent="0.25">
      <c r="A2753" s="17"/>
    </row>
    <row r="2754" spans="1:1" x14ac:dyDescent="0.25">
      <c r="A2754" s="17"/>
    </row>
    <row r="2755" spans="1:1" x14ac:dyDescent="0.25">
      <c r="A2755" s="17"/>
    </row>
    <row r="2756" spans="1:1" x14ac:dyDescent="0.25">
      <c r="A2756" s="17"/>
    </row>
    <row r="2757" spans="1:1" x14ac:dyDescent="0.25">
      <c r="A2757" s="17"/>
    </row>
    <row r="2758" spans="1:1" x14ac:dyDescent="0.25">
      <c r="A2758" s="17"/>
    </row>
    <row r="2759" spans="1:1" x14ac:dyDescent="0.25">
      <c r="A2759" s="17"/>
    </row>
    <row r="2760" spans="1:1" x14ac:dyDescent="0.25">
      <c r="A2760" s="17"/>
    </row>
    <row r="2761" spans="1:1" x14ac:dyDescent="0.25">
      <c r="A2761" s="17"/>
    </row>
    <row r="2762" spans="1:1" x14ac:dyDescent="0.25">
      <c r="A2762" s="17"/>
    </row>
    <row r="2763" spans="1:1" x14ac:dyDescent="0.25">
      <c r="A2763" s="17"/>
    </row>
    <row r="2764" spans="1:1" x14ac:dyDescent="0.25">
      <c r="A2764" s="17"/>
    </row>
    <row r="2765" spans="1:1" x14ac:dyDescent="0.25">
      <c r="A2765" s="17"/>
    </row>
    <row r="2766" spans="1:1" x14ac:dyDescent="0.25">
      <c r="A2766" s="17"/>
    </row>
    <row r="2767" spans="1:1" x14ac:dyDescent="0.25">
      <c r="A2767" s="17"/>
    </row>
    <row r="2768" spans="1:1" x14ac:dyDescent="0.25">
      <c r="A2768" s="17"/>
    </row>
    <row r="2769" spans="1:1" x14ac:dyDescent="0.25">
      <c r="A2769" s="17"/>
    </row>
    <row r="2770" spans="1:1" x14ac:dyDescent="0.25">
      <c r="A2770" s="17"/>
    </row>
    <row r="2771" spans="1:1" x14ac:dyDescent="0.25">
      <c r="A2771" s="17"/>
    </row>
    <row r="2772" spans="1:1" x14ac:dyDescent="0.25">
      <c r="A2772" s="17"/>
    </row>
    <row r="2773" spans="1:1" x14ac:dyDescent="0.25">
      <c r="A2773" s="17"/>
    </row>
    <row r="2774" spans="1:1" x14ac:dyDescent="0.25">
      <c r="A2774" s="17"/>
    </row>
    <row r="2775" spans="1:1" x14ac:dyDescent="0.25">
      <c r="A2775" s="17"/>
    </row>
    <row r="2776" spans="1:1" x14ac:dyDescent="0.25">
      <c r="A2776" s="17"/>
    </row>
    <row r="2777" spans="1:1" x14ac:dyDescent="0.25">
      <c r="A2777" s="17"/>
    </row>
    <row r="2778" spans="1:1" x14ac:dyDescent="0.25">
      <c r="A2778" s="17"/>
    </row>
    <row r="2779" spans="1:1" x14ac:dyDescent="0.25">
      <c r="A2779" s="17"/>
    </row>
    <row r="2780" spans="1:1" x14ac:dyDescent="0.25">
      <c r="A2780" s="17"/>
    </row>
    <row r="2781" spans="1:1" x14ac:dyDescent="0.25">
      <c r="A2781" s="17"/>
    </row>
    <row r="2782" spans="1:1" x14ac:dyDescent="0.25">
      <c r="A2782" s="17"/>
    </row>
    <row r="2783" spans="1:1" x14ac:dyDescent="0.25">
      <c r="A2783" s="17"/>
    </row>
    <row r="2784" spans="1:1" x14ac:dyDescent="0.25">
      <c r="A2784" s="17"/>
    </row>
    <row r="2785" spans="1:1" x14ac:dyDescent="0.25">
      <c r="A2785" s="17"/>
    </row>
    <row r="2786" spans="1:1" x14ac:dyDescent="0.25">
      <c r="A2786" s="17"/>
    </row>
    <row r="2787" spans="1:1" x14ac:dyDescent="0.25">
      <c r="A2787" s="17"/>
    </row>
    <row r="2788" spans="1:1" x14ac:dyDescent="0.25">
      <c r="A2788" s="17"/>
    </row>
    <row r="2789" spans="1:1" x14ac:dyDescent="0.25">
      <c r="A2789" s="17"/>
    </row>
    <row r="2790" spans="1:1" x14ac:dyDescent="0.25">
      <c r="A2790" s="17"/>
    </row>
    <row r="2791" spans="1:1" x14ac:dyDescent="0.25">
      <c r="A2791" s="17"/>
    </row>
    <row r="2792" spans="1:1" x14ac:dyDescent="0.25">
      <c r="A2792" s="17"/>
    </row>
    <row r="2793" spans="1:1" x14ac:dyDescent="0.25">
      <c r="A2793" s="17"/>
    </row>
    <row r="2794" spans="1:1" x14ac:dyDescent="0.25">
      <c r="A2794" s="17"/>
    </row>
    <row r="2795" spans="1:1" x14ac:dyDescent="0.25">
      <c r="A2795" s="17"/>
    </row>
    <row r="2796" spans="1:1" x14ac:dyDescent="0.25">
      <c r="A2796" s="17"/>
    </row>
    <row r="2797" spans="1:1" x14ac:dyDescent="0.25">
      <c r="A2797" s="17"/>
    </row>
    <row r="2798" spans="1:1" x14ac:dyDescent="0.25">
      <c r="A2798" s="17"/>
    </row>
    <row r="2799" spans="1:1" x14ac:dyDescent="0.25">
      <c r="A2799" s="17"/>
    </row>
    <row r="2800" spans="1:1" x14ac:dyDescent="0.25">
      <c r="A2800" s="17"/>
    </row>
    <row r="2801" spans="1:1" x14ac:dyDescent="0.25">
      <c r="A2801" s="17"/>
    </row>
    <row r="2802" spans="1:1" x14ac:dyDescent="0.25">
      <c r="A2802" s="17"/>
    </row>
    <row r="2803" spans="1:1" x14ac:dyDescent="0.25">
      <c r="A2803" s="17"/>
    </row>
    <row r="2804" spans="1:1" x14ac:dyDescent="0.25">
      <c r="A2804" s="17"/>
    </row>
    <row r="2805" spans="1:1" x14ac:dyDescent="0.25">
      <c r="A2805" s="17"/>
    </row>
    <row r="2806" spans="1:1" x14ac:dyDescent="0.25">
      <c r="A2806" s="17"/>
    </row>
    <row r="2807" spans="1:1" x14ac:dyDescent="0.25">
      <c r="A2807" s="17"/>
    </row>
    <row r="2808" spans="1:1" x14ac:dyDescent="0.25">
      <c r="A2808" s="17"/>
    </row>
    <row r="2809" spans="1:1" x14ac:dyDescent="0.25">
      <c r="A2809" s="17"/>
    </row>
    <row r="2810" spans="1:1" x14ac:dyDescent="0.25">
      <c r="A2810" s="17"/>
    </row>
    <row r="2811" spans="1:1" x14ac:dyDescent="0.25">
      <c r="A2811" s="17"/>
    </row>
    <row r="2812" spans="1:1" x14ac:dyDescent="0.25">
      <c r="A2812" s="17"/>
    </row>
    <row r="2813" spans="1:1" x14ac:dyDescent="0.25">
      <c r="A2813" s="17"/>
    </row>
    <row r="2814" spans="1:1" x14ac:dyDescent="0.25">
      <c r="A2814" s="17"/>
    </row>
    <row r="2815" spans="1:1" x14ac:dyDescent="0.25">
      <c r="A2815" s="17"/>
    </row>
    <row r="2816" spans="1:1" x14ac:dyDescent="0.25">
      <c r="A2816" s="17"/>
    </row>
    <row r="2817" spans="1:1" x14ac:dyDescent="0.25">
      <c r="A2817" s="17"/>
    </row>
    <row r="2818" spans="1:1" x14ac:dyDescent="0.25">
      <c r="A2818" s="17"/>
    </row>
    <row r="2819" spans="1:1" x14ac:dyDescent="0.25">
      <c r="A2819" s="17"/>
    </row>
    <row r="2820" spans="1:1" x14ac:dyDescent="0.25">
      <c r="A2820" s="17"/>
    </row>
    <row r="2821" spans="1:1" x14ac:dyDescent="0.25">
      <c r="A2821" s="17"/>
    </row>
    <row r="2822" spans="1:1" x14ac:dyDescent="0.25">
      <c r="A2822" s="17"/>
    </row>
    <row r="2823" spans="1:1" x14ac:dyDescent="0.25">
      <c r="A2823" s="17"/>
    </row>
    <row r="2824" spans="1:1" x14ac:dyDescent="0.25">
      <c r="A2824" s="17"/>
    </row>
    <row r="2825" spans="1:1" x14ac:dyDescent="0.25">
      <c r="A2825" s="17"/>
    </row>
    <row r="2826" spans="1:1" x14ac:dyDescent="0.25">
      <c r="A2826" s="17"/>
    </row>
    <row r="2827" spans="1:1" x14ac:dyDescent="0.25">
      <c r="A2827" s="17"/>
    </row>
    <row r="2828" spans="1:1" x14ac:dyDescent="0.25">
      <c r="A2828" s="17"/>
    </row>
    <row r="2829" spans="1:1" x14ac:dyDescent="0.25">
      <c r="A2829" s="17"/>
    </row>
    <row r="2830" spans="1:1" x14ac:dyDescent="0.25">
      <c r="A2830" s="17"/>
    </row>
    <row r="2831" spans="1:1" x14ac:dyDescent="0.25">
      <c r="A2831" s="17"/>
    </row>
    <row r="2832" spans="1:1" x14ac:dyDescent="0.25">
      <c r="A2832" s="17"/>
    </row>
    <row r="2833" spans="1:1" x14ac:dyDescent="0.25">
      <c r="A2833" s="17"/>
    </row>
    <row r="2834" spans="1:1" x14ac:dyDescent="0.25">
      <c r="A2834" s="17"/>
    </row>
    <row r="2835" spans="1:1" x14ac:dyDescent="0.25">
      <c r="A2835" s="17"/>
    </row>
    <row r="2836" spans="1:1" x14ac:dyDescent="0.25">
      <c r="A2836" s="17"/>
    </row>
    <row r="2837" spans="1:1" x14ac:dyDescent="0.25">
      <c r="A2837" s="17"/>
    </row>
    <row r="2838" spans="1:1" x14ac:dyDescent="0.25">
      <c r="A2838" s="17"/>
    </row>
    <row r="2839" spans="1:1" x14ac:dyDescent="0.25">
      <c r="A2839" s="17"/>
    </row>
    <row r="2840" spans="1:1" x14ac:dyDescent="0.25">
      <c r="A2840" s="17"/>
    </row>
    <row r="2841" spans="1:1" x14ac:dyDescent="0.25">
      <c r="A2841" s="17"/>
    </row>
    <row r="2842" spans="1:1" x14ac:dyDescent="0.25">
      <c r="A2842" s="17"/>
    </row>
    <row r="2843" spans="1:1" x14ac:dyDescent="0.25">
      <c r="A2843" s="17"/>
    </row>
    <row r="2844" spans="1:1" x14ac:dyDescent="0.25">
      <c r="A2844" s="17"/>
    </row>
    <row r="2845" spans="1:1" x14ac:dyDescent="0.25">
      <c r="A2845" s="17"/>
    </row>
    <row r="2846" spans="1:1" x14ac:dyDescent="0.25">
      <c r="A2846" s="17"/>
    </row>
    <row r="2847" spans="1:1" x14ac:dyDescent="0.25">
      <c r="A2847" s="17"/>
    </row>
    <row r="2848" spans="1:1" x14ac:dyDescent="0.25">
      <c r="A2848" s="17"/>
    </row>
    <row r="2849" spans="1:1" x14ac:dyDescent="0.25">
      <c r="A2849" s="17"/>
    </row>
    <row r="2850" spans="1:1" x14ac:dyDescent="0.25">
      <c r="A2850" s="17"/>
    </row>
    <row r="2851" spans="1:1" x14ac:dyDescent="0.25">
      <c r="A2851" s="17"/>
    </row>
    <row r="2852" spans="1:1" x14ac:dyDescent="0.25">
      <c r="A2852" s="17"/>
    </row>
    <row r="2853" spans="1:1" x14ac:dyDescent="0.25">
      <c r="A2853" s="17"/>
    </row>
    <row r="2854" spans="1:1" x14ac:dyDescent="0.25">
      <c r="A2854" s="17"/>
    </row>
    <row r="2855" spans="1:1" x14ac:dyDescent="0.25">
      <c r="A2855" s="17"/>
    </row>
    <row r="2856" spans="1:1" x14ac:dyDescent="0.25">
      <c r="A2856" s="17"/>
    </row>
    <row r="2857" spans="1:1" x14ac:dyDescent="0.25">
      <c r="A2857" s="17"/>
    </row>
    <row r="2858" spans="1:1" x14ac:dyDescent="0.25">
      <c r="A2858" s="17"/>
    </row>
    <row r="2859" spans="1:1" x14ac:dyDescent="0.25">
      <c r="A2859" s="17"/>
    </row>
    <row r="2860" spans="1:1" x14ac:dyDescent="0.25">
      <c r="A2860" s="17"/>
    </row>
    <row r="2861" spans="1:1" x14ac:dyDescent="0.25">
      <c r="A2861" s="17"/>
    </row>
    <row r="2862" spans="1:1" x14ac:dyDescent="0.25">
      <c r="A2862" s="17"/>
    </row>
    <row r="2863" spans="1:1" x14ac:dyDescent="0.25">
      <c r="A2863" s="17"/>
    </row>
    <row r="2864" spans="1:1" x14ac:dyDescent="0.25">
      <c r="A2864" s="17"/>
    </row>
    <row r="2865" spans="1:1" x14ac:dyDescent="0.25">
      <c r="A2865" s="17"/>
    </row>
    <row r="2866" spans="1:1" x14ac:dyDescent="0.25">
      <c r="A2866" s="17"/>
    </row>
    <row r="2867" spans="1:1" x14ac:dyDescent="0.25">
      <c r="A2867" s="17"/>
    </row>
    <row r="2868" spans="1:1" x14ac:dyDescent="0.25">
      <c r="A2868" s="17"/>
    </row>
    <row r="2869" spans="1:1" x14ac:dyDescent="0.25">
      <c r="A2869" s="17"/>
    </row>
    <row r="2870" spans="1:1" x14ac:dyDescent="0.25">
      <c r="A2870" s="17"/>
    </row>
    <row r="2871" spans="1:1" x14ac:dyDescent="0.25">
      <c r="A2871" s="17"/>
    </row>
    <row r="2872" spans="1:1" x14ac:dyDescent="0.25">
      <c r="A2872" s="17"/>
    </row>
    <row r="2873" spans="1:1" x14ac:dyDescent="0.25">
      <c r="A2873" s="17"/>
    </row>
    <row r="2874" spans="1:1" x14ac:dyDescent="0.25">
      <c r="A2874" s="17"/>
    </row>
    <row r="2875" spans="1:1" x14ac:dyDescent="0.25">
      <c r="A2875" s="17"/>
    </row>
    <row r="2876" spans="1:1" x14ac:dyDescent="0.25">
      <c r="A2876" s="17"/>
    </row>
    <row r="2877" spans="1:1" x14ac:dyDescent="0.25">
      <c r="A2877" s="17"/>
    </row>
    <row r="2878" spans="1:1" x14ac:dyDescent="0.25">
      <c r="A2878" s="17"/>
    </row>
    <row r="2879" spans="1:1" x14ac:dyDescent="0.25">
      <c r="A2879" s="17"/>
    </row>
    <row r="2880" spans="1:1" x14ac:dyDescent="0.25">
      <c r="A2880" s="17"/>
    </row>
    <row r="2881" spans="1:1" x14ac:dyDescent="0.25">
      <c r="A2881" s="17"/>
    </row>
    <row r="2882" spans="1:1" x14ac:dyDescent="0.25">
      <c r="A2882" s="17"/>
    </row>
    <row r="2883" spans="1:1" x14ac:dyDescent="0.25">
      <c r="A2883" s="17"/>
    </row>
    <row r="2884" spans="1:1" x14ac:dyDescent="0.25">
      <c r="A2884" s="17"/>
    </row>
    <row r="2885" spans="1:1" x14ac:dyDescent="0.25">
      <c r="A2885" s="17"/>
    </row>
    <row r="2886" spans="1:1" x14ac:dyDescent="0.25">
      <c r="A2886" s="17"/>
    </row>
    <row r="2887" spans="1:1" x14ac:dyDescent="0.25">
      <c r="A2887" s="17"/>
    </row>
    <row r="2888" spans="1:1" x14ac:dyDescent="0.25">
      <c r="A2888" s="17"/>
    </row>
    <row r="2889" spans="1:1" x14ac:dyDescent="0.25">
      <c r="A2889" s="17"/>
    </row>
    <row r="2890" spans="1:1" x14ac:dyDescent="0.25">
      <c r="A2890" s="17"/>
    </row>
    <row r="2891" spans="1:1" x14ac:dyDescent="0.25">
      <c r="A2891" s="17"/>
    </row>
    <row r="2892" spans="1:1" x14ac:dyDescent="0.25">
      <c r="A2892" s="17"/>
    </row>
    <row r="2893" spans="1:1" x14ac:dyDescent="0.25">
      <c r="A2893" s="17"/>
    </row>
    <row r="2894" spans="1:1" x14ac:dyDescent="0.25">
      <c r="A2894" s="17"/>
    </row>
    <row r="2895" spans="1:1" x14ac:dyDescent="0.25">
      <c r="A2895" s="17"/>
    </row>
    <row r="2896" spans="1:1" x14ac:dyDescent="0.25">
      <c r="A2896" s="17"/>
    </row>
    <row r="2897" spans="1:1" x14ac:dyDescent="0.25">
      <c r="A2897" s="17"/>
    </row>
    <row r="2898" spans="1:1" x14ac:dyDescent="0.25">
      <c r="A2898" s="17"/>
    </row>
    <row r="2899" spans="1:1" x14ac:dyDescent="0.25">
      <c r="A2899" s="17"/>
    </row>
    <row r="2900" spans="1:1" x14ac:dyDescent="0.25">
      <c r="A2900" s="17"/>
    </row>
    <row r="2901" spans="1:1" x14ac:dyDescent="0.25">
      <c r="A2901" s="17"/>
    </row>
    <row r="2902" spans="1:1" x14ac:dyDescent="0.25">
      <c r="A2902" s="17"/>
    </row>
    <row r="2903" spans="1:1" x14ac:dyDescent="0.25">
      <c r="A2903" s="17"/>
    </row>
    <row r="2904" spans="1:1" x14ac:dyDescent="0.25">
      <c r="A2904" s="17"/>
    </row>
    <row r="2905" spans="1:1" x14ac:dyDescent="0.25">
      <c r="A2905" s="17"/>
    </row>
    <row r="2906" spans="1:1" x14ac:dyDescent="0.25">
      <c r="A2906" s="17"/>
    </row>
    <row r="2907" spans="1:1" x14ac:dyDescent="0.25">
      <c r="A2907" s="17"/>
    </row>
    <row r="2908" spans="1:1" x14ac:dyDescent="0.25">
      <c r="A2908" s="17"/>
    </row>
    <row r="2909" spans="1:1" x14ac:dyDescent="0.25">
      <c r="A2909" s="17"/>
    </row>
    <row r="2910" spans="1:1" x14ac:dyDescent="0.25">
      <c r="A2910" s="17"/>
    </row>
    <row r="2911" spans="1:1" x14ac:dyDescent="0.25">
      <c r="A2911" s="17"/>
    </row>
    <row r="2912" spans="1:1" x14ac:dyDescent="0.25">
      <c r="A2912" s="17"/>
    </row>
    <row r="2913" spans="1:1" x14ac:dyDescent="0.25">
      <c r="A2913" s="17"/>
    </row>
    <row r="2914" spans="1:1" x14ac:dyDescent="0.25">
      <c r="A2914" s="17"/>
    </row>
    <row r="2915" spans="1:1" x14ac:dyDescent="0.25">
      <c r="A2915" s="17"/>
    </row>
    <row r="2916" spans="1:1" x14ac:dyDescent="0.25">
      <c r="A2916" s="17"/>
    </row>
    <row r="2917" spans="1:1" x14ac:dyDescent="0.25">
      <c r="A2917" s="17"/>
    </row>
    <row r="2918" spans="1:1" x14ac:dyDescent="0.25">
      <c r="A2918" s="17"/>
    </row>
    <row r="2919" spans="1:1" x14ac:dyDescent="0.25">
      <c r="A2919" s="17"/>
    </row>
    <row r="2920" spans="1:1" x14ac:dyDescent="0.25">
      <c r="A2920" s="17"/>
    </row>
    <row r="2921" spans="1:1" x14ac:dyDescent="0.25">
      <c r="A2921" s="17"/>
    </row>
    <row r="2922" spans="1:1" x14ac:dyDescent="0.25">
      <c r="A2922" s="17"/>
    </row>
    <row r="2923" spans="1:1" x14ac:dyDescent="0.25">
      <c r="A2923" s="17"/>
    </row>
    <row r="2924" spans="1:1" x14ac:dyDescent="0.25">
      <c r="A2924" s="17"/>
    </row>
    <row r="2925" spans="1:1" x14ac:dyDescent="0.25">
      <c r="A2925" s="17"/>
    </row>
    <row r="2926" spans="1:1" x14ac:dyDescent="0.25">
      <c r="A2926" s="17"/>
    </row>
    <row r="2927" spans="1:1" x14ac:dyDescent="0.25">
      <c r="A2927" s="17"/>
    </row>
    <row r="2928" spans="1:1" x14ac:dyDescent="0.25">
      <c r="A2928" s="17"/>
    </row>
    <row r="2929" spans="1:1" x14ac:dyDescent="0.25">
      <c r="A2929" s="17"/>
    </row>
    <row r="2930" spans="1:1" x14ac:dyDescent="0.25">
      <c r="A2930" s="17"/>
    </row>
    <row r="2931" spans="1:1" x14ac:dyDescent="0.25">
      <c r="A2931" s="17"/>
    </row>
    <row r="2932" spans="1:1" x14ac:dyDescent="0.25">
      <c r="A2932" s="17"/>
    </row>
    <row r="2933" spans="1:1" x14ac:dyDescent="0.25">
      <c r="A2933" s="17"/>
    </row>
    <row r="2934" spans="1:1" x14ac:dyDescent="0.25">
      <c r="A2934" s="17"/>
    </row>
    <row r="2935" spans="1:1" x14ac:dyDescent="0.25">
      <c r="A2935" s="17"/>
    </row>
    <row r="2936" spans="1:1" x14ac:dyDescent="0.25">
      <c r="A2936" s="17"/>
    </row>
    <row r="2937" spans="1:1" x14ac:dyDescent="0.25">
      <c r="A2937" s="17"/>
    </row>
    <row r="2938" spans="1:1" x14ac:dyDescent="0.25">
      <c r="A2938" s="17"/>
    </row>
    <row r="2939" spans="1:1" x14ac:dyDescent="0.25">
      <c r="A2939" s="17"/>
    </row>
    <row r="2940" spans="1:1" x14ac:dyDescent="0.25">
      <c r="A2940" s="17"/>
    </row>
    <row r="2941" spans="1:1" x14ac:dyDescent="0.25">
      <c r="A2941" s="17"/>
    </row>
    <row r="2942" spans="1:1" x14ac:dyDescent="0.25">
      <c r="A2942" s="17"/>
    </row>
    <row r="2943" spans="1:1" x14ac:dyDescent="0.25">
      <c r="A2943" s="17"/>
    </row>
    <row r="2944" spans="1:1" x14ac:dyDescent="0.25">
      <c r="A2944" s="17"/>
    </row>
    <row r="2945" spans="1:1" x14ac:dyDescent="0.25">
      <c r="A2945" s="17"/>
    </row>
    <row r="2946" spans="1:1" x14ac:dyDescent="0.25">
      <c r="A2946" s="17"/>
    </row>
    <row r="2947" spans="1:1" x14ac:dyDescent="0.25">
      <c r="A2947" s="17"/>
    </row>
    <row r="2948" spans="1:1" x14ac:dyDescent="0.25">
      <c r="A2948" s="17"/>
    </row>
    <row r="2949" spans="1:1" x14ac:dyDescent="0.25">
      <c r="A2949" s="17"/>
    </row>
    <row r="2950" spans="1:1" x14ac:dyDescent="0.25">
      <c r="A2950" s="17"/>
    </row>
    <row r="2951" spans="1:1" x14ac:dyDescent="0.25">
      <c r="A2951" s="17"/>
    </row>
    <row r="2952" spans="1:1" x14ac:dyDescent="0.25">
      <c r="A2952" s="17"/>
    </row>
    <row r="2953" spans="1:1" x14ac:dyDescent="0.25">
      <c r="A2953" s="17"/>
    </row>
    <row r="2954" spans="1:1" x14ac:dyDescent="0.25">
      <c r="A2954" s="17"/>
    </row>
    <row r="2955" spans="1:1" x14ac:dyDescent="0.25">
      <c r="A2955" s="17"/>
    </row>
    <row r="2956" spans="1:1" x14ac:dyDescent="0.25">
      <c r="A2956" s="17"/>
    </row>
    <row r="2957" spans="1:1" x14ac:dyDescent="0.25">
      <c r="A2957" s="17"/>
    </row>
    <row r="2958" spans="1:1" x14ac:dyDescent="0.25">
      <c r="A2958" s="17"/>
    </row>
    <row r="2959" spans="1:1" x14ac:dyDescent="0.25">
      <c r="A2959" s="17"/>
    </row>
    <row r="2960" spans="1:1" x14ac:dyDescent="0.25">
      <c r="A2960" s="17"/>
    </row>
    <row r="2961" spans="1:1" x14ac:dyDescent="0.25">
      <c r="A2961" s="17"/>
    </row>
    <row r="2962" spans="1:1" x14ac:dyDescent="0.25">
      <c r="A2962" s="17"/>
    </row>
    <row r="2963" spans="1:1" x14ac:dyDescent="0.25">
      <c r="A2963" s="17"/>
    </row>
    <row r="2964" spans="1:1" x14ac:dyDescent="0.25">
      <c r="A2964" s="17"/>
    </row>
    <row r="2965" spans="1:1" x14ac:dyDescent="0.25">
      <c r="A2965" s="17"/>
    </row>
    <row r="2966" spans="1:1" x14ac:dyDescent="0.25">
      <c r="A2966" s="17"/>
    </row>
    <row r="2967" spans="1:1" x14ac:dyDescent="0.25">
      <c r="A2967" s="17"/>
    </row>
    <row r="2968" spans="1:1" x14ac:dyDescent="0.25">
      <c r="A2968" s="17"/>
    </row>
    <row r="2969" spans="1:1" x14ac:dyDescent="0.25">
      <c r="A2969" s="17"/>
    </row>
    <row r="2970" spans="1:1" x14ac:dyDescent="0.25">
      <c r="A2970" s="17"/>
    </row>
    <row r="2971" spans="1:1" x14ac:dyDescent="0.25">
      <c r="A2971" s="17"/>
    </row>
    <row r="2972" spans="1:1" x14ac:dyDescent="0.25">
      <c r="A2972" s="17"/>
    </row>
    <row r="2973" spans="1:1" x14ac:dyDescent="0.25">
      <c r="A2973" s="17"/>
    </row>
    <row r="2974" spans="1:1" x14ac:dyDescent="0.25">
      <c r="A2974" s="17"/>
    </row>
    <row r="2975" spans="1:1" x14ac:dyDescent="0.25">
      <c r="A2975" s="17"/>
    </row>
    <row r="2976" spans="1:1" x14ac:dyDescent="0.25">
      <c r="A2976" s="17"/>
    </row>
    <row r="2977" spans="1:1" x14ac:dyDescent="0.25">
      <c r="A2977" s="17"/>
    </row>
    <row r="2978" spans="1:1" x14ac:dyDescent="0.25">
      <c r="A2978" s="17"/>
    </row>
    <row r="2979" spans="1:1" x14ac:dyDescent="0.25">
      <c r="A2979" s="17"/>
    </row>
    <row r="2980" spans="1:1" x14ac:dyDescent="0.25">
      <c r="A2980" s="17"/>
    </row>
    <row r="2981" spans="1:1" x14ac:dyDescent="0.25">
      <c r="A2981" s="17"/>
    </row>
    <row r="2982" spans="1:1" x14ac:dyDescent="0.25">
      <c r="A2982" s="17"/>
    </row>
    <row r="2983" spans="1:1" x14ac:dyDescent="0.25">
      <c r="A2983" s="17"/>
    </row>
    <row r="2984" spans="1:1" x14ac:dyDescent="0.25">
      <c r="A2984" s="17"/>
    </row>
    <row r="2985" spans="1:1" x14ac:dyDescent="0.25">
      <c r="A2985" s="17"/>
    </row>
    <row r="2986" spans="1:1" x14ac:dyDescent="0.25">
      <c r="A2986" s="17"/>
    </row>
    <row r="2987" spans="1:1" x14ac:dyDescent="0.25">
      <c r="A2987" s="17"/>
    </row>
    <row r="2988" spans="1:1" x14ac:dyDescent="0.25">
      <c r="A2988" s="17"/>
    </row>
    <row r="2989" spans="1:1" x14ac:dyDescent="0.25">
      <c r="A2989" s="17"/>
    </row>
    <row r="2990" spans="1:1" x14ac:dyDescent="0.25">
      <c r="A2990" s="17"/>
    </row>
    <row r="2991" spans="1:1" x14ac:dyDescent="0.25">
      <c r="A2991" s="17"/>
    </row>
    <row r="2992" spans="1:1" x14ac:dyDescent="0.25">
      <c r="A2992" s="17"/>
    </row>
    <row r="2993" spans="1:1" x14ac:dyDescent="0.25">
      <c r="A2993" s="17"/>
    </row>
    <row r="2994" spans="1:1" x14ac:dyDescent="0.25">
      <c r="A2994" s="17"/>
    </row>
    <row r="2995" spans="1:1" x14ac:dyDescent="0.25">
      <c r="A2995" s="17"/>
    </row>
    <row r="2996" spans="1:1" x14ac:dyDescent="0.25">
      <c r="A2996" s="17"/>
    </row>
    <row r="2997" spans="1:1" x14ac:dyDescent="0.25">
      <c r="A2997" s="17"/>
    </row>
    <row r="2998" spans="1:1" x14ac:dyDescent="0.25">
      <c r="A2998" s="17"/>
    </row>
    <row r="2999" spans="1:1" x14ac:dyDescent="0.25">
      <c r="A2999" s="17"/>
    </row>
    <row r="3000" spans="1:1" x14ac:dyDescent="0.25">
      <c r="A3000" s="17"/>
    </row>
    <row r="3001" spans="1:1" x14ac:dyDescent="0.25">
      <c r="A3001" s="17"/>
    </row>
    <row r="3002" spans="1:1" x14ac:dyDescent="0.25">
      <c r="A3002" s="17"/>
    </row>
    <row r="3003" spans="1:1" x14ac:dyDescent="0.25">
      <c r="A3003" s="17"/>
    </row>
    <row r="3004" spans="1:1" x14ac:dyDescent="0.25">
      <c r="A3004" s="17"/>
    </row>
    <row r="3005" spans="1:1" x14ac:dyDescent="0.25">
      <c r="A3005" s="17"/>
    </row>
    <row r="3006" spans="1:1" x14ac:dyDescent="0.25">
      <c r="A3006" s="17"/>
    </row>
    <row r="3007" spans="1:1" x14ac:dyDescent="0.25">
      <c r="A3007" s="17"/>
    </row>
    <row r="3008" spans="1:1" x14ac:dyDescent="0.25">
      <c r="A3008" s="17"/>
    </row>
    <row r="3009" spans="1:1" x14ac:dyDescent="0.25">
      <c r="A3009" s="17"/>
    </row>
    <row r="3010" spans="1:1" x14ac:dyDescent="0.25">
      <c r="A3010" s="17"/>
    </row>
    <row r="3011" spans="1:1" x14ac:dyDescent="0.25">
      <c r="A3011" s="17"/>
    </row>
    <row r="3012" spans="1:1" x14ac:dyDescent="0.25">
      <c r="A3012" s="17"/>
    </row>
    <row r="3013" spans="1:1" x14ac:dyDescent="0.25">
      <c r="A3013" s="17"/>
    </row>
    <row r="3014" spans="1:1" x14ac:dyDescent="0.25">
      <c r="A3014" s="17"/>
    </row>
    <row r="3015" spans="1:1" x14ac:dyDescent="0.25">
      <c r="A3015" s="17"/>
    </row>
    <row r="3016" spans="1:1" x14ac:dyDescent="0.25">
      <c r="A3016" s="17"/>
    </row>
    <row r="3017" spans="1:1" x14ac:dyDescent="0.25">
      <c r="A3017" s="17"/>
    </row>
    <row r="3018" spans="1:1" x14ac:dyDescent="0.25">
      <c r="A3018" s="17"/>
    </row>
    <row r="3019" spans="1:1" x14ac:dyDescent="0.25">
      <c r="A3019" s="17"/>
    </row>
    <row r="3020" spans="1:1" x14ac:dyDescent="0.25">
      <c r="A3020" s="17"/>
    </row>
    <row r="3021" spans="1:1" x14ac:dyDescent="0.25">
      <c r="A3021" s="17"/>
    </row>
    <row r="3022" spans="1:1" x14ac:dyDescent="0.25">
      <c r="A3022" s="17"/>
    </row>
    <row r="3023" spans="1:1" x14ac:dyDescent="0.25">
      <c r="A3023" s="17"/>
    </row>
    <row r="3024" spans="1:1" x14ac:dyDescent="0.25">
      <c r="A3024" s="17"/>
    </row>
    <row r="3025" spans="1:1" x14ac:dyDescent="0.25">
      <c r="A3025" s="17"/>
    </row>
    <row r="3026" spans="1:1" x14ac:dyDescent="0.25">
      <c r="A3026" s="17"/>
    </row>
    <row r="3027" spans="1:1" x14ac:dyDescent="0.25">
      <c r="A3027" s="17"/>
    </row>
    <row r="3028" spans="1:1" x14ac:dyDescent="0.25">
      <c r="A3028" s="17"/>
    </row>
    <row r="3029" spans="1:1" x14ac:dyDescent="0.25">
      <c r="A3029" s="17"/>
    </row>
    <row r="3030" spans="1:1" x14ac:dyDescent="0.25">
      <c r="A3030" s="17"/>
    </row>
    <row r="3031" spans="1:1" x14ac:dyDescent="0.25">
      <c r="A3031" s="17"/>
    </row>
    <row r="3032" spans="1:1" x14ac:dyDescent="0.25">
      <c r="A3032" s="17"/>
    </row>
    <row r="3033" spans="1:1" x14ac:dyDescent="0.25">
      <c r="A3033" s="17"/>
    </row>
    <row r="3034" spans="1:1" x14ac:dyDescent="0.25">
      <c r="A3034" s="17"/>
    </row>
    <row r="3035" spans="1:1" x14ac:dyDescent="0.25">
      <c r="A3035" s="17"/>
    </row>
    <row r="3036" spans="1:1" x14ac:dyDescent="0.25">
      <c r="A3036" s="17"/>
    </row>
    <row r="3037" spans="1:1" x14ac:dyDescent="0.25">
      <c r="A3037" s="17"/>
    </row>
    <row r="3038" spans="1:1" x14ac:dyDescent="0.25">
      <c r="A3038" s="17"/>
    </row>
    <row r="3039" spans="1:1" x14ac:dyDescent="0.25">
      <c r="A3039" s="17"/>
    </row>
    <row r="3040" spans="1:1" x14ac:dyDescent="0.25">
      <c r="A3040" s="17"/>
    </row>
    <row r="3041" spans="1:1" x14ac:dyDescent="0.25">
      <c r="A3041" s="17"/>
    </row>
    <row r="3042" spans="1:1" x14ac:dyDescent="0.25">
      <c r="A3042" s="17"/>
    </row>
    <row r="3043" spans="1:1" x14ac:dyDescent="0.25">
      <c r="A3043" s="17"/>
    </row>
    <row r="3044" spans="1:1" x14ac:dyDescent="0.25">
      <c r="A3044" s="17"/>
    </row>
    <row r="3045" spans="1:1" x14ac:dyDescent="0.25">
      <c r="A3045" s="17"/>
    </row>
    <row r="3046" spans="1:1" x14ac:dyDescent="0.25">
      <c r="A3046" s="17"/>
    </row>
    <row r="3047" spans="1:1" x14ac:dyDescent="0.25">
      <c r="A3047" s="17"/>
    </row>
    <row r="3048" spans="1:1" x14ac:dyDescent="0.25">
      <c r="A3048" s="17"/>
    </row>
    <row r="3049" spans="1:1" x14ac:dyDescent="0.25">
      <c r="A3049" s="17"/>
    </row>
    <row r="3050" spans="1:1" x14ac:dyDescent="0.25">
      <c r="A3050" s="17"/>
    </row>
    <row r="3051" spans="1:1" x14ac:dyDescent="0.25">
      <c r="A3051" s="17"/>
    </row>
    <row r="3052" spans="1:1" x14ac:dyDescent="0.25">
      <c r="A3052" s="17"/>
    </row>
    <row r="3053" spans="1:1" x14ac:dyDescent="0.25">
      <c r="A3053" s="17"/>
    </row>
    <row r="3054" spans="1:1" x14ac:dyDescent="0.25">
      <c r="A3054" s="17"/>
    </row>
    <row r="3055" spans="1:1" x14ac:dyDescent="0.25">
      <c r="A3055" s="17"/>
    </row>
    <row r="3056" spans="1:1" x14ac:dyDescent="0.25">
      <c r="A3056" s="17"/>
    </row>
    <row r="3057" spans="1:1" x14ac:dyDescent="0.25">
      <c r="A3057" s="17"/>
    </row>
    <row r="3058" spans="1:1" x14ac:dyDescent="0.25">
      <c r="A3058" s="17"/>
    </row>
    <row r="3059" spans="1:1" x14ac:dyDescent="0.25">
      <c r="A3059" s="17"/>
    </row>
    <row r="3060" spans="1:1" x14ac:dyDescent="0.25">
      <c r="A3060" s="17"/>
    </row>
    <row r="3061" spans="1:1" x14ac:dyDescent="0.25">
      <c r="A3061" s="17"/>
    </row>
    <row r="3062" spans="1:1" x14ac:dyDescent="0.25">
      <c r="A3062" s="17"/>
    </row>
    <row r="3063" spans="1:1" x14ac:dyDescent="0.25">
      <c r="A3063" s="17"/>
    </row>
    <row r="3064" spans="1:1" x14ac:dyDescent="0.25">
      <c r="A3064" s="17"/>
    </row>
    <row r="3065" spans="1:1" x14ac:dyDescent="0.25">
      <c r="A3065" s="17"/>
    </row>
    <row r="3066" spans="1:1" x14ac:dyDescent="0.25">
      <c r="A3066" s="17"/>
    </row>
    <row r="3067" spans="1:1" x14ac:dyDescent="0.25">
      <c r="A3067" s="17"/>
    </row>
    <row r="3068" spans="1:1" x14ac:dyDescent="0.25">
      <c r="A3068" s="17"/>
    </row>
    <row r="3069" spans="1:1" x14ac:dyDescent="0.25">
      <c r="A3069" s="17"/>
    </row>
    <row r="3070" spans="1:1" x14ac:dyDescent="0.25">
      <c r="A3070" s="17"/>
    </row>
    <row r="3071" spans="1:1" x14ac:dyDescent="0.25">
      <c r="A3071" s="17"/>
    </row>
    <row r="3072" spans="1:1" x14ac:dyDescent="0.25">
      <c r="A3072" s="17"/>
    </row>
    <row r="3073" spans="1:1" x14ac:dyDescent="0.25">
      <c r="A3073" s="17"/>
    </row>
    <row r="3074" spans="1:1" x14ac:dyDescent="0.25">
      <c r="A3074" s="17"/>
    </row>
    <row r="3075" spans="1:1" x14ac:dyDescent="0.25">
      <c r="A3075" s="17"/>
    </row>
    <row r="3076" spans="1:1" x14ac:dyDescent="0.25">
      <c r="A3076" s="17"/>
    </row>
    <row r="3077" spans="1:1" x14ac:dyDescent="0.25">
      <c r="A3077" s="17"/>
    </row>
    <row r="3078" spans="1:1" x14ac:dyDescent="0.25">
      <c r="A3078" s="17"/>
    </row>
    <row r="3079" spans="1:1" x14ac:dyDescent="0.25">
      <c r="A3079" s="17"/>
    </row>
    <row r="3080" spans="1:1" x14ac:dyDescent="0.25">
      <c r="A3080" s="17"/>
    </row>
    <row r="3081" spans="1:1" x14ac:dyDescent="0.25">
      <c r="A3081" s="17"/>
    </row>
    <row r="3082" spans="1:1" x14ac:dyDescent="0.25">
      <c r="A3082" s="17"/>
    </row>
    <row r="3083" spans="1:1" x14ac:dyDescent="0.25">
      <c r="A3083" s="17"/>
    </row>
    <row r="3084" spans="1:1" x14ac:dyDescent="0.25">
      <c r="A3084" s="17"/>
    </row>
    <row r="3085" spans="1:1" x14ac:dyDescent="0.25">
      <c r="A3085" s="17"/>
    </row>
    <row r="3086" spans="1:1" x14ac:dyDescent="0.25">
      <c r="A3086" s="17"/>
    </row>
    <row r="3087" spans="1:1" x14ac:dyDescent="0.25">
      <c r="A3087" s="17"/>
    </row>
    <row r="3088" spans="1:1" x14ac:dyDescent="0.25">
      <c r="A3088" s="17"/>
    </row>
    <row r="3089" spans="1:1" x14ac:dyDescent="0.25">
      <c r="A3089" s="17"/>
    </row>
    <row r="3090" spans="1:1" x14ac:dyDescent="0.25">
      <c r="A3090" s="17"/>
    </row>
    <row r="3091" spans="1:1" x14ac:dyDescent="0.25">
      <c r="A3091" s="17"/>
    </row>
    <row r="3092" spans="1:1" x14ac:dyDescent="0.25">
      <c r="A3092" s="17"/>
    </row>
    <row r="3093" spans="1:1" x14ac:dyDescent="0.25">
      <c r="A3093" s="17"/>
    </row>
    <row r="3094" spans="1:1" x14ac:dyDescent="0.25">
      <c r="A3094" s="17"/>
    </row>
    <row r="3095" spans="1:1" x14ac:dyDescent="0.25">
      <c r="A3095" s="17"/>
    </row>
    <row r="3096" spans="1:1" x14ac:dyDescent="0.25">
      <c r="A3096" s="17"/>
    </row>
    <row r="3097" spans="1:1" x14ac:dyDescent="0.25">
      <c r="A3097" s="17"/>
    </row>
    <row r="3098" spans="1:1" x14ac:dyDescent="0.25">
      <c r="A3098" s="17"/>
    </row>
    <row r="3099" spans="1:1" x14ac:dyDescent="0.25">
      <c r="A3099" s="17"/>
    </row>
    <row r="3100" spans="1:1" x14ac:dyDescent="0.25">
      <c r="A3100" s="17"/>
    </row>
    <row r="3101" spans="1:1" x14ac:dyDescent="0.25">
      <c r="A3101" s="17"/>
    </row>
    <row r="3102" spans="1:1" x14ac:dyDescent="0.25">
      <c r="A3102" s="17"/>
    </row>
    <row r="3103" spans="1:1" x14ac:dyDescent="0.25">
      <c r="A3103" s="17"/>
    </row>
    <row r="3104" spans="1:1" x14ac:dyDescent="0.25">
      <c r="A3104" s="17"/>
    </row>
    <row r="3105" spans="1:1" x14ac:dyDescent="0.25">
      <c r="A3105" s="17"/>
    </row>
    <row r="3106" spans="1:1" x14ac:dyDescent="0.25">
      <c r="A3106" s="17"/>
    </row>
    <row r="3107" spans="1:1" x14ac:dyDescent="0.25">
      <c r="A3107" s="17"/>
    </row>
    <row r="3108" spans="1:1" x14ac:dyDescent="0.25">
      <c r="A3108" s="17"/>
    </row>
    <row r="3109" spans="1:1" x14ac:dyDescent="0.25">
      <c r="A3109" s="17"/>
    </row>
    <row r="3110" spans="1:1" x14ac:dyDescent="0.25">
      <c r="A3110" s="17"/>
    </row>
    <row r="3111" spans="1:1" x14ac:dyDescent="0.25">
      <c r="A3111" s="17"/>
    </row>
    <row r="3112" spans="1:1" x14ac:dyDescent="0.25">
      <c r="A3112" s="17"/>
    </row>
    <row r="3113" spans="1:1" x14ac:dyDescent="0.25">
      <c r="A3113" s="17"/>
    </row>
    <row r="3114" spans="1:1" x14ac:dyDescent="0.25">
      <c r="A3114" s="17"/>
    </row>
    <row r="3115" spans="1:1" x14ac:dyDescent="0.25">
      <c r="A3115" s="17"/>
    </row>
    <row r="3116" spans="1:1" x14ac:dyDescent="0.25">
      <c r="A3116" s="17"/>
    </row>
    <row r="3117" spans="1:1" x14ac:dyDescent="0.25">
      <c r="A3117" s="17"/>
    </row>
    <row r="3118" spans="1:1" x14ac:dyDescent="0.25">
      <c r="A3118" s="17"/>
    </row>
    <row r="3119" spans="1:1" x14ac:dyDescent="0.25">
      <c r="A3119" s="17"/>
    </row>
    <row r="3120" spans="1:1" x14ac:dyDescent="0.25">
      <c r="A3120" s="17"/>
    </row>
    <row r="3121" spans="1:1" x14ac:dyDescent="0.25">
      <c r="A3121" s="17"/>
    </row>
    <row r="3122" spans="1:1" x14ac:dyDescent="0.25">
      <c r="A3122" s="17"/>
    </row>
    <row r="3123" spans="1:1" x14ac:dyDescent="0.25">
      <c r="A3123" s="17"/>
    </row>
    <row r="3124" spans="1:1" x14ac:dyDescent="0.25">
      <c r="A3124" s="17"/>
    </row>
    <row r="3125" spans="1:1" x14ac:dyDescent="0.25">
      <c r="A3125" s="17"/>
    </row>
    <row r="3126" spans="1:1" x14ac:dyDescent="0.25">
      <c r="A3126" s="17"/>
    </row>
    <row r="3127" spans="1:1" x14ac:dyDescent="0.25">
      <c r="A3127" s="17"/>
    </row>
    <row r="3128" spans="1:1" x14ac:dyDescent="0.25">
      <c r="A3128" s="17"/>
    </row>
    <row r="3129" spans="1:1" x14ac:dyDescent="0.25">
      <c r="A3129" s="17"/>
    </row>
    <row r="3130" spans="1:1" x14ac:dyDescent="0.25">
      <c r="A3130" s="17"/>
    </row>
    <row r="3131" spans="1:1" x14ac:dyDescent="0.25">
      <c r="A3131" s="17"/>
    </row>
    <row r="3132" spans="1:1" x14ac:dyDescent="0.25">
      <c r="A3132" s="17"/>
    </row>
    <row r="3133" spans="1:1" x14ac:dyDescent="0.25">
      <c r="A3133" s="17"/>
    </row>
    <row r="3134" spans="1:1" x14ac:dyDescent="0.25">
      <c r="A3134" s="17"/>
    </row>
    <row r="3135" spans="1:1" x14ac:dyDescent="0.25">
      <c r="A3135" s="17"/>
    </row>
    <row r="3136" spans="1:1" x14ac:dyDescent="0.25">
      <c r="A3136" s="17"/>
    </row>
    <row r="3137" spans="1:1" x14ac:dyDescent="0.25">
      <c r="A3137" s="17"/>
    </row>
    <row r="3138" spans="1:1" x14ac:dyDescent="0.25">
      <c r="A3138" s="17"/>
    </row>
    <row r="3139" spans="1:1" x14ac:dyDescent="0.25">
      <c r="A3139" s="17"/>
    </row>
    <row r="3140" spans="1:1" x14ac:dyDescent="0.25">
      <c r="A3140" s="17"/>
    </row>
    <row r="3141" spans="1:1" x14ac:dyDescent="0.25">
      <c r="A3141" s="17"/>
    </row>
    <row r="3142" spans="1:1" x14ac:dyDescent="0.25">
      <c r="A3142" s="17"/>
    </row>
    <row r="3143" spans="1:1" x14ac:dyDescent="0.25">
      <c r="A3143" s="17"/>
    </row>
    <row r="3144" spans="1:1" x14ac:dyDescent="0.25">
      <c r="A3144" s="17"/>
    </row>
    <row r="3145" spans="1:1" x14ac:dyDescent="0.25">
      <c r="A3145" s="17"/>
    </row>
    <row r="3146" spans="1:1" x14ac:dyDescent="0.25">
      <c r="A3146" s="17"/>
    </row>
    <row r="3147" spans="1:1" x14ac:dyDescent="0.25">
      <c r="A3147" s="17"/>
    </row>
    <row r="3148" spans="1:1" x14ac:dyDescent="0.25">
      <c r="A3148" s="17"/>
    </row>
    <row r="3149" spans="1:1" x14ac:dyDescent="0.25">
      <c r="A3149" s="17"/>
    </row>
    <row r="3150" spans="1:1" x14ac:dyDescent="0.25">
      <c r="A3150" s="17"/>
    </row>
    <row r="3151" spans="1:1" x14ac:dyDescent="0.25">
      <c r="A3151" s="17"/>
    </row>
    <row r="3152" spans="1:1" x14ac:dyDescent="0.25">
      <c r="A3152" s="17"/>
    </row>
    <row r="3153" spans="1:1" x14ac:dyDescent="0.25">
      <c r="A3153" s="17"/>
    </row>
    <row r="3154" spans="1:1" x14ac:dyDescent="0.25">
      <c r="A3154" s="17"/>
    </row>
    <row r="3155" spans="1:1" x14ac:dyDescent="0.25">
      <c r="A3155" s="17"/>
    </row>
    <row r="3156" spans="1:1" x14ac:dyDescent="0.25">
      <c r="A3156" s="17"/>
    </row>
    <row r="3157" spans="1:1" x14ac:dyDescent="0.25">
      <c r="A3157" s="17"/>
    </row>
    <row r="3158" spans="1:1" x14ac:dyDescent="0.25">
      <c r="A3158" s="17"/>
    </row>
    <row r="3159" spans="1:1" x14ac:dyDescent="0.25">
      <c r="A3159" s="17"/>
    </row>
    <row r="3160" spans="1:1" x14ac:dyDescent="0.25">
      <c r="A3160" s="17"/>
    </row>
    <row r="3161" spans="1:1" x14ac:dyDescent="0.25">
      <c r="A3161" s="17"/>
    </row>
    <row r="3162" spans="1:1" x14ac:dyDescent="0.25">
      <c r="A3162" s="17"/>
    </row>
    <row r="3163" spans="1:1" x14ac:dyDescent="0.25">
      <c r="A3163" s="17"/>
    </row>
    <row r="3164" spans="1:1" x14ac:dyDescent="0.25">
      <c r="A3164" s="17"/>
    </row>
    <row r="3165" spans="1:1" x14ac:dyDescent="0.25">
      <c r="A3165" s="17"/>
    </row>
    <row r="3166" spans="1:1" x14ac:dyDescent="0.25">
      <c r="A3166" s="17"/>
    </row>
    <row r="3167" spans="1:1" x14ac:dyDescent="0.25">
      <c r="A3167" s="17"/>
    </row>
    <row r="3168" spans="1:1" x14ac:dyDescent="0.25">
      <c r="A3168" s="17"/>
    </row>
    <row r="3169" spans="1:1" x14ac:dyDescent="0.25">
      <c r="A3169" s="17"/>
    </row>
    <row r="3170" spans="1:1" x14ac:dyDescent="0.25">
      <c r="A3170" s="17"/>
    </row>
    <row r="3171" spans="1:1" x14ac:dyDescent="0.25">
      <c r="A3171" s="17"/>
    </row>
    <row r="3172" spans="1:1" x14ac:dyDescent="0.25">
      <c r="A3172" s="17"/>
    </row>
    <row r="3173" spans="1:1" x14ac:dyDescent="0.25">
      <c r="A3173" s="17"/>
    </row>
    <row r="3174" spans="1:1" x14ac:dyDescent="0.25">
      <c r="A3174" s="17"/>
    </row>
    <row r="3175" spans="1:1" x14ac:dyDescent="0.25">
      <c r="A3175" s="17"/>
    </row>
    <row r="3176" spans="1:1" x14ac:dyDescent="0.25">
      <c r="A3176" s="17"/>
    </row>
    <row r="3177" spans="1:1" x14ac:dyDescent="0.25">
      <c r="A3177" s="17"/>
    </row>
    <row r="3178" spans="1:1" x14ac:dyDescent="0.25">
      <c r="A3178" s="17"/>
    </row>
    <row r="3179" spans="1:1" x14ac:dyDescent="0.25">
      <c r="A3179" s="17"/>
    </row>
    <row r="3180" spans="1:1" x14ac:dyDescent="0.25">
      <c r="A3180" s="17"/>
    </row>
    <row r="3181" spans="1:1" x14ac:dyDescent="0.25">
      <c r="A3181" s="17"/>
    </row>
    <row r="3182" spans="1:1" x14ac:dyDescent="0.25">
      <c r="A3182" s="17"/>
    </row>
    <row r="3183" spans="1:1" x14ac:dyDescent="0.25">
      <c r="A3183" s="17"/>
    </row>
    <row r="3184" spans="1:1" x14ac:dyDescent="0.25">
      <c r="A3184" s="17"/>
    </row>
    <row r="3185" spans="1:1" x14ac:dyDescent="0.25">
      <c r="A3185" s="17"/>
    </row>
    <row r="3186" spans="1:1" x14ac:dyDescent="0.25">
      <c r="A3186" s="17"/>
    </row>
    <row r="3187" spans="1:1" x14ac:dyDescent="0.25">
      <c r="A3187" s="17"/>
    </row>
    <row r="3188" spans="1:1" x14ac:dyDescent="0.25">
      <c r="A3188" s="17"/>
    </row>
    <row r="3189" spans="1:1" x14ac:dyDescent="0.25">
      <c r="A3189" s="17"/>
    </row>
    <row r="3190" spans="1:1" x14ac:dyDescent="0.25">
      <c r="A3190" s="17"/>
    </row>
    <row r="3191" spans="1:1" x14ac:dyDescent="0.25">
      <c r="A3191" s="17"/>
    </row>
    <row r="3192" spans="1:1" x14ac:dyDescent="0.25">
      <c r="A3192" s="17"/>
    </row>
    <row r="3193" spans="1:1" x14ac:dyDescent="0.25">
      <c r="A3193" s="17"/>
    </row>
    <row r="3194" spans="1:1" x14ac:dyDescent="0.25">
      <c r="A3194" s="17"/>
    </row>
    <row r="3195" spans="1:1" x14ac:dyDescent="0.25">
      <c r="A3195" s="17"/>
    </row>
    <row r="3196" spans="1:1" x14ac:dyDescent="0.25">
      <c r="A3196" s="17"/>
    </row>
    <row r="3197" spans="1:1" x14ac:dyDescent="0.25">
      <c r="A3197" s="17"/>
    </row>
    <row r="3198" spans="1:1" x14ac:dyDescent="0.25">
      <c r="A3198" s="17"/>
    </row>
    <row r="3199" spans="1:1" x14ac:dyDescent="0.25">
      <c r="A3199" s="17"/>
    </row>
    <row r="3200" spans="1:1" x14ac:dyDescent="0.25">
      <c r="A3200" s="17"/>
    </row>
    <row r="3201" spans="1:1" x14ac:dyDescent="0.25">
      <c r="A3201" s="17"/>
    </row>
    <row r="3202" spans="1:1" x14ac:dyDescent="0.25">
      <c r="A3202" s="17"/>
    </row>
    <row r="3203" spans="1:1" x14ac:dyDescent="0.25">
      <c r="A3203" s="17"/>
    </row>
    <row r="3204" spans="1:1" x14ac:dyDescent="0.25">
      <c r="A3204" s="17"/>
    </row>
    <row r="3205" spans="1:1" x14ac:dyDescent="0.25">
      <c r="A3205" s="17"/>
    </row>
    <row r="3206" spans="1:1" x14ac:dyDescent="0.25">
      <c r="A3206" s="17"/>
    </row>
    <row r="3207" spans="1:1" x14ac:dyDescent="0.25">
      <c r="A3207" s="17"/>
    </row>
    <row r="3208" spans="1:1" x14ac:dyDescent="0.25">
      <c r="A3208" s="17"/>
    </row>
    <row r="3209" spans="1:1" x14ac:dyDescent="0.25">
      <c r="A3209" s="17"/>
    </row>
    <row r="3210" spans="1:1" x14ac:dyDescent="0.25">
      <c r="A3210" s="17"/>
    </row>
    <row r="3211" spans="1:1" x14ac:dyDescent="0.25">
      <c r="A3211" s="17"/>
    </row>
    <row r="3212" spans="1:1" x14ac:dyDescent="0.25">
      <c r="A3212" s="17"/>
    </row>
    <row r="3213" spans="1:1" x14ac:dyDescent="0.25">
      <c r="A3213" s="17"/>
    </row>
    <row r="3214" spans="1:1" x14ac:dyDescent="0.25">
      <c r="A3214" s="17"/>
    </row>
    <row r="3215" spans="1:1" x14ac:dyDescent="0.25">
      <c r="A3215" s="17"/>
    </row>
    <row r="3216" spans="1:1" x14ac:dyDescent="0.25">
      <c r="A3216" s="17"/>
    </row>
    <row r="3217" spans="1:1" x14ac:dyDescent="0.25">
      <c r="A3217" s="17"/>
    </row>
    <row r="3218" spans="1:1" x14ac:dyDescent="0.25">
      <c r="A3218" s="17"/>
    </row>
    <row r="3219" spans="1:1" x14ac:dyDescent="0.25">
      <c r="A3219" s="17"/>
    </row>
    <row r="3220" spans="1:1" x14ac:dyDescent="0.25">
      <c r="A3220" s="17"/>
    </row>
    <row r="3221" spans="1:1" x14ac:dyDescent="0.25">
      <c r="A3221" s="17"/>
    </row>
    <row r="3222" spans="1:1" x14ac:dyDescent="0.25">
      <c r="A3222" s="17"/>
    </row>
    <row r="3223" spans="1:1" x14ac:dyDescent="0.25">
      <c r="A3223" s="17"/>
    </row>
    <row r="3224" spans="1:1" x14ac:dyDescent="0.25">
      <c r="A3224" s="17"/>
    </row>
    <row r="3225" spans="1:1" x14ac:dyDescent="0.25">
      <c r="A3225" s="17"/>
    </row>
    <row r="3226" spans="1:1" x14ac:dyDescent="0.25">
      <c r="A3226" s="17"/>
    </row>
    <row r="3227" spans="1:1" x14ac:dyDescent="0.25">
      <c r="A3227" s="17"/>
    </row>
    <row r="3228" spans="1:1" x14ac:dyDescent="0.25">
      <c r="A3228" s="17"/>
    </row>
    <row r="3229" spans="1:1" x14ac:dyDescent="0.25">
      <c r="A3229" s="17"/>
    </row>
    <row r="3230" spans="1:1" x14ac:dyDescent="0.25">
      <c r="A3230" s="17"/>
    </row>
    <row r="3231" spans="1:1" x14ac:dyDescent="0.25">
      <c r="A3231" s="17"/>
    </row>
    <row r="3232" spans="1:1" x14ac:dyDescent="0.25">
      <c r="A3232" s="17"/>
    </row>
    <row r="3233" spans="1:1" x14ac:dyDescent="0.25">
      <c r="A3233" s="17"/>
    </row>
    <row r="3234" spans="1:1" x14ac:dyDescent="0.25">
      <c r="A3234" s="17"/>
    </row>
    <row r="3235" spans="1:1" x14ac:dyDescent="0.25">
      <c r="A3235" s="17"/>
    </row>
    <row r="3236" spans="1:1" x14ac:dyDescent="0.25">
      <c r="A3236" s="17"/>
    </row>
    <row r="3237" spans="1:1" x14ac:dyDescent="0.25">
      <c r="A3237" s="17"/>
    </row>
    <row r="3238" spans="1:1" x14ac:dyDescent="0.25">
      <c r="A3238" s="17"/>
    </row>
    <row r="3239" spans="1:1" x14ac:dyDescent="0.25">
      <c r="A3239" s="17"/>
    </row>
    <row r="3240" spans="1:1" x14ac:dyDescent="0.25">
      <c r="A3240" s="17"/>
    </row>
    <row r="3241" spans="1:1" x14ac:dyDescent="0.25">
      <c r="A3241" s="17"/>
    </row>
    <row r="3242" spans="1:1" x14ac:dyDescent="0.25">
      <c r="A3242" s="17"/>
    </row>
    <row r="3243" spans="1:1" x14ac:dyDescent="0.25">
      <c r="A3243" s="17"/>
    </row>
    <row r="3244" spans="1:1" x14ac:dyDescent="0.25">
      <c r="A3244" s="17"/>
    </row>
    <row r="3245" spans="1:1" x14ac:dyDescent="0.25">
      <c r="A3245" s="17"/>
    </row>
    <row r="3246" spans="1:1" x14ac:dyDescent="0.25">
      <c r="A3246" s="17"/>
    </row>
    <row r="3247" spans="1:1" x14ac:dyDescent="0.25">
      <c r="A3247" s="17"/>
    </row>
    <row r="3248" spans="1:1" x14ac:dyDescent="0.25">
      <c r="A3248" s="17"/>
    </row>
    <row r="3249" spans="1:1" x14ac:dyDescent="0.25">
      <c r="A3249" s="17"/>
    </row>
    <row r="3250" spans="1:1" x14ac:dyDescent="0.25">
      <c r="A3250" s="17"/>
    </row>
    <row r="3251" spans="1:1" x14ac:dyDescent="0.25">
      <c r="A3251" s="17"/>
    </row>
    <row r="3252" spans="1:1" x14ac:dyDescent="0.25">
      <c r="A3252" s="17"/>
    </row>
    <row r="3253" spans="1:1" x14ac:dyDescent="0.25">
      <c r="A3253" s="17"/>
    </row>
    <row r="3254" spans="1:1" x14ac:dyDescent="0.25">
      <c r="A3254" s="17"/>
    </row>
    <row r="3255" spans="1:1" x14ac:dyDescent="0.25">
      <c r="A3255" s="17"/>
    </row>
    <row r="3256" spans="1:1" x14ac:dyDescent="0.25">
      <c r="A3256" s="17"/>
    </row>
    <row r="3257" spans="1:1" x14ac:dyDescent="0.25">
      <c r="A3257" s="17"/>
    </row>
    <row r="3258" spans="1:1" x14ac:dyDescent="0.25">
      <c r="A3258" s="17"/>
    </row>
    <row r="3259" spans="1:1" x14ac:dyDescent="0.25">
      <c r="A3259" s="17"/>
    </row>
    <row r="3260" spans="1:1" x14ac:dyDescent="0.25">
      <c r="A3260" s="17"/>
    </row>
    <row r="3261" spans="1:1" x14ac:dyDescent="0.25">
      <c r="A3261" s="17"/>
    </row>
    <row r="3262" spans="1:1" x14ac:dyDescent="0.25">
      <c r="A3262" s="17"/>
    </row>
    <row r="3263" spans="1:1" x14ac:dyDescent="0.25">
      <c r="A3263" s="17"/>
    </row>
    <row r="3264" spans="1:1" x14ac:dyDescent="0.25">
      <c r="A3264" s="17"/>
    </row>
    <row r="3265" spans="1:1" x14ac:dyDescent="0.25">
      <c r="A3265" s="17"/>
    </row>
    <row r="3266" spans="1:1" x14ac:dyDescent="0.25">
      <c r="A3266" s="17"/>
    </row>
    <row r="3267" spans="1:1" x14ac:dyDescent="0.25">
      <c r="A3267" s="17"/>
    </row>
    <row r="3268" spans="1:1" x14ac:dyDescent="0.25">
      <c r="A3268" s="17"/>
    </row>
    <row r="3269" spans="1:1" x14ac:dyDescent="0.25">
      <c r="A3269" s="17"/>
    </row>
    <row r="3270" spans="1:1" x14ac:dyDescent="0.25">
      <c r="A3270" s="17"/>
    </row>
    <row r="3271" spans="1:1" x14ac:dyDescent="0.25">
      <c r="A3271" s="17"/>
    </row>
    <row r="3272" spans="1:1" x14ac:dyDescent="0.25">
      <c r="A3272" s="17"/>
    </row>
    <row r="3273" spans="1:1" x14ac:dyDescent="0.25">
      <c r="A3273" s="17"/>
    </row>
    <row r="3274" spans="1:1" x14ac:dyDescent="0.25">
      <c r="A3274" s="17"/>
    </row>
    <row r="3275" spans="1:1" x14ac:dyDescent="0.25">
      <c r="A3275" s="17"/>
    </row>
    <row r="3276" spans="1:1" x14ac:dyDescent="0.25">
      <c r="A3276" s="17"/>
    </row>
    <row r="3277" spans="1:1" x14ac:dyDescent="0.25">
      <c r="A3277" s="17"/>
    </row>
    <row r="3278" spans="1:1" x14ac:dyDescent="0.25">
      <c r="A3278" s="17"/>
    </row>
    <row r="3279" spans="1:1" x14ac:dyDescent="0.25">
      <c r="A3279" s="17"/>
    </row>
    <row r="3280" spans="1:1" x14ac:dyDescent="0.25">
      <c r="A3280" s="17"/>
    </row>
    <row r="3281" spans="1:1" x14ac:dyDescent="0.25">
      <c r="A3281" s="17"/>
    </row>
    <row r="3282" spans="1:1" x14ac:dyDescent="0.25">
      <c r="A3282" s="17"/>
    </row>
    <row r="3283" spans="1:1" x14ac:dyDescent="0.25">
      <c r="A3283" s="17"/>
    </row>
    <row r="3284" spans="1:1" x14ac:dyDescent="0.25">
      <c r="A3284" s="17"/>
    </row>
    <row r="3285" spans="1:1" x14ac:dyDescent="0.25">
      <c r="A3285" s="17"/>
    </row>
    <row r="3286" spans="1:1" x14ac:dyDescent="0.25">
      <c r="A3286" s="17"/>
    </row>
    <row r="3287" spans="1:1" x14ac:dyDescent="0.25">
      <c r="A3287" s="17"/>
    </row>
    <row r="3288" spans="1:1" x14ac:dyDescent="0.25">
      <c r="A3288" s="17"/>
    </row>
    <row r="3289" spans="1:1" x14ac:dyDescent="0.25">
      <c r="A3289" s="17"/>
    </row>
    <row r="3290" spans="1:1" x14ac:dyDescent="0.25">
      <c r="A3290" s="17"/>
    </row>
    <row r="3291" spans="1:1" x14ac:dyDescent="0.25">
      <c r="A3291" s="17"/>
    </row>
    <row r="3292" spans="1:1" x14ac:dyDescent="0.25">
      <c r="A3292" s="17"/>
    </row>
    <row r="3293" spans="1:1" x14ac:dyDescent="0.25">
      <c r="A3293" s="17"/>
    </row>
    <row r="3294" spans="1:1" x14ac:dyDescent="0.25">
      <c r="A3294" s="17"/>
    </row>
    <row r="3295" spans="1:1" x14ac:dyDescent="0.25">
      <c r="A3295" s="17"/>
    </row>
    <row r="3296" spans="1:1" x14ac:dyDescent="0.25">
      <c r="A3296" s="17"/>
    </row>
    <row r="3297" spans="1:1" x14ac:dyDescent="0.25">
      <c r="A3297" s="17"/>
    </row>
    <row r="3298" spans="1:1" x14ac:dyDescent="0.25">
      <c r="A3298" s="17"/>
    </row>
    <row r="3299" spans="1:1" x14ac:dyDescent="0.25">
      <c r="A3299" s="17"/>
    </row>
    <row r="3300" spans="1:1" x14ac:dyDescent="0.25">
      <c r="A3300" s="17"/>
    </row>
    <row r="3301" spans="1:1" x14ac:dyDescent="0.25">
      <c r="A3301" s="17"/>
    </row>
    <row r="3302" spans="1:1" x14ac:dyDescent="0.25">
      <c r="A3302" s="17"/>
    </row>
    <row r="3303" spans="1:1" x14ac:dyDescent="0.25">
      <c r="A3303" s="17"/>
    </row>
    <row r="3304" spans="1:1" x14ac:dyDescent="0.25">
      <c r="A3304" s="17"/>
    </row>
    <row r="3305" spans="1:1" x14ac:dyDescent="0.25">
      <c r="A3305" s="17"/>
    </row>
    <row r="3306" spans="1:1" x14ac:dyDescent="0.25">
      <c r="A3306" s="17"/>
    </row>
    <row r="3307" spans="1:1" x14ac:dyDescent="0.25">
      <c r="A3307" s="17"/>
    </row>
    <row r="3308" spans="1:1" x14ac:dyDescent="0.25">
      <c r="A3308" s="17"/>
    </row>
    <row r="3309" spans="1:1" x14ac:dyDescent="0.25">
      <c r="A3309" s="17"/>
    </row>
    <row r="3310" spans="1:1" x14ac:dyDescent="0.25">
      <c r="A3310" s="17"/>
    </row>
    <row r="3311" spans="1:1" x14ac:dyDescent="0.25">
      <c r="A3311" s="17"/>
    </row>
    <row r="3312" spans="1:1" x14ac:dyDescent="0.25">
      <c r="A3312" s="17"/>
    </row>
    <row r="3313" spans="1:1" x14ac:dyDescent="0.25">
      <c r="A3313" s="17"/>
    </row>
    <row r="3314" spans="1:1" x14ac:dyDescent="0.25">
      <c r="A3314" s="17"/>
    </row>
    <row r="3315" spans="1:1" x14ac:dyDescent="0.25">
      <c r="A3315" s="17"/>
    </row>
    <row r="3316" spans="1:1" x14ac:dyDescent="0.25">
      <c r="A3316" s="17"/>
    </row>
    <row r="3317" spans="1:1" x14ac:dyDescent="0.25">
      <c r="A3317" s="17"/>
    </row>
    <row r="3318" spans="1:1" x14ac:dyDescent="0.25">
      <c r="A3318" s="17"/>
    </row>
    <row r="3319" spans="1:1" x14ac:dyDescent="0.25">
      <c r="A3319" s="17"/>
    </row>
    <row r="3320" spans="1:1" x14ac:dyDescent="0.25">
      <c r="A3320" s="17"/>
    </row>
    <row r="3321" spans="1:1" x14ac:dyDescent="0.25">
      <c r="A3321" s="17"/>
    </row>
    <row r="3322" spans="1:1" x14ac:dyDescent="0.25">
      <c r="A3322" s="17"/>
    </row>
    <row r="3323" spans="1:1" x14ac:dyDescent="0.25">
      <c r="A3323" s="17"/>
    </row>
    <row r="3324" spans="1:1" x14ac:dyDescent="0.25">
      <c r="A3324" s="17"/>
    </row>
    <row r="3325" spans="1:1" x14ac:dyDescent="0.25">
      <c r="A3325" s="17"/>
    </row>
    <row r="3326" spans="1:1" x14ac:dyDescent="0.25">
      <c r="A3326" s="17"/>
    </row>
    <row r="3327" spans="1:1" x14ac:dyDescent="0.25">
      <c r="A3327" s="17"/>
    </row>
    <row r="3328" spans="1:1" x14ac:dyDescent="0.25">
      <c r="A3328" s="17"/>
    </row>
    <row r="3329" spans="1:1" x14ac:dyDescent="0.25">
      <c r="A3329" s="17"/>
    </row>
    <row r="3330" spans="1:1" x14ac:dyDescent="0.25">
      <c r="A3330" s="17"/>
    </row>
    <row r="3331" spans="1:1" x14ac:dyDescent="0.25">
      <c r="A3331" s="17"/>
    </row>
    <row r="3332" spans="1:1" x14ac:dyDescent="0.25">
      <c r="A3332" s="17"/>
    </row>
    <row r="3333" spans="1:1" x14ac:dyDescent="0.25">
      <c r="A3333" s="17"/>
    </row>
    <row r="3334" spans="1:1" x14ac:dyDescent="0.25">
      <c r="A3334" s="17"/>
    </row>
    <row r="3335" spans="1:1" x14ac:dyDescent="0.25">
      <c r="A3335" s="17"/>
    </row>
    <row r="3336" spans="1:1" x14ac:dyDescent="0.25">
      <c r="A3336" s="17"/>
    </row>
    <row r="3337" spans="1:1" x14ac:dyDescent="0.25">
      <c r="A3337" s="17"/>
    </row>
    <row r="3338" spans="1:1" x14ac:dyDescent="0.25">
      <c r="A3338" s="17"/>
    </row>
    <row r="3339" spans="1:1" x14ac:dyDescent="0.25">
      <c r="A3339" s="17"/>
    </row>
    <row r="3340" spans="1:1" x14ac:dyDescent="0.25">
      <c r="A3340" s="17"/>
    </row>
    <row r="3341" spans="1:1" x14ac:dyDescent="0.25">
      <c r="A3341" s="17"/>
    </row>
    <row r="3342" spans="1:1" x14ac:dyDescent="0.25">
      <c r="A3342" s="17"/>
    </row>
    <row r="3343" spans="1:1" x14ac:dyDescent="0.25">
      <c r="A3343" s="17"/>
    </row>
    <row r="3344" spans="1:1" x14ac:dyDescent="0.25">
      <c r="A3344" s="17"/>
    </row>
    <row r="3345" spans="1:1" x14ac:dyDescent="0.25">
      <c r="A3345" s="17"/>
    </row>
    <row r="3346" spans="1:1" x14ac:dyDescent="0.25">
      <c r="A3346" s="17"/>
    </row>
    <row r="3347" spans="1:1" x14ac:dyDescent="0.25">
      <c r="A3347" s="17"/>
    </row>
    <row r="3348" spans="1:1" x14ac:dyDescent="0.25">
      <c r="A3348" s="17"/>
    </row>
    <row r="3349" spans="1:1" x14ac:dyDescent="0.25">
      <c r="A3349" s="17"/>
    </row>
    <row r="3350" spans="1:1" x14ac:dyDescent="0.25">
      <c r="A3350" s="17"/>
    </row>
    <row r="3351" spans="1:1" x14ac:dyDescent="0.25">
      <c r="A3351" s="17"/>
    </row>
    <row r="3352" spans="1:1" x14ac:dyDescent="0.25">
      <c r="A3352" s="17"/>
    </row>
    <row r="3353" spans="1:1" x14ac:dyDescent="0.25">
      <c r="A3353" s="17"/>
    </row>
    <row r="3354" spans="1:1" x14ac:dyDescent="0.25">
      <c r="A3354" s="17"/>
    </row>
    <row r="3355" spans="1:1" x14ac:dyDescent="0.25">
      <c r="A3355" s="17"/>
    </row>
    <row r="3356" spans="1:1" x14ac:dyDescent="0.25">
      <c r="A3356" s="17"/>
    </row>
    <row r="3357" spans="1:1" x14ac:dyDescent="0.25">
      <c r="A3357" s="17"/>
    </row>
    <row r="3358" spans="1:1" x14ac:dyDescent="0.25">
      <c r="A3358" s="17"/>
    </row>
    <row r="3359" spans="1:1" x14ac:dyDescent="0.25">
      <c r="A3359" s="17"/>
    </row>
    <row r="3360" spans="1:1" x14ac:dyDescent="0.25">
      <c r="A3360" s="17"/>
    </row>
    <row r="3361" spans="1:1" x14ac:dyDescent="0.25">
      <c r="A3361" s="17"/>
    </row>
    <row r="3362" spans="1:1" x14ac:dyDescent="0.25">
      <c r="A3362" s="17"/>
    </row>
    <row r="3363" spans="1:1" x14ac:dyDescent="0.25">
      <c r="A3363" s="17"/>
    </row>
    <row r="3364" spans="1:1" x14ac:dyDescent="0.25">
      <c r="A3364" s="17"/>
    </row>
    <row r="3365" spans="1:1" x14ac:dyDescent="0.25">
      <c r="A3365" s="17"/>
    </row>
    <row r="3366" spans="1:1" x14ac:dyDescent="0.25">
      <c r="A3366" s="17"/>
    </row>
    <row r="3367" spans="1:1" x14ac:dyDescent="0.25">
      <c r="A3367" s="17"/>
    </row>
    <row r="3368" spans="1:1" x14ac:dyDescent="0.25">
      <c r="A3368" s="17"/>
    </row>
    <row r="3369" spans="1:1" x14ac:dyDescent="0.25">
      <c r="A3369" s="17"/>
    </row>
    <row r="3370" spans="1:1" x14ac:dyDescent="0.25">
      <c r="A3370" s="17"/>
    </row>
    <row r="3371" spans="1:1" x14ac:dyDescent="0.25">
      <c r="A3371" s="17"/>
    </row>
    <row r="3372" spans="1:1" x14ac:dyDescent="0.25">
      <c r="A3372" s="17"/>
    </row>
    <row r="3373" spans="1:1" x14ac:dyDescent="0.25">
      <c r="A3373" s="17"/>
    </row>
    <row r="3374" spans="1:1" x14ac:dyDescent="0.25">
      <c r="A3374" s="17"/>
    </row>
    <row r="3375" spans="1:1" x14ac:dyDescent="0.25">
      <c r="A3375" s="17"/>
    </row>
    <row r="3376" spans="1:1" x14ac:dyDescent="0.25">
      <c r="A3376" s="17"/>
    </row>
    <row r="3377" spans="1:1" x14ac:dyDescent="0.25">
      <c r="A3377" s="17"/>
    </row>
    <row r="3378" spans="1:1" x14ac:dyDescent="0.25">
      <c r="A3378" s="17"/>
    </row>
    <row r="3379" spans="1:1" x14ac:dyDescent="0.25">
      <c r="A3379" s="17"/>
    </row>
    <row r="3380" spans="1:1" x14ac:dyDescent="0.25">
      <c r="A3380" s="17"/>
    </row>
    <row r="3381" spans="1:1" x14ac:dyDescent="0.25">
      <c r="A3381" s="17"/>
    </row>
    <row r="3382" spans="1:1" x14ac:dyDescent="0.25">
      <c r="A3382" s="17"/>
    </row>
    <row r="3383" spans="1:1" x14ac:dyDescent="0.25">
      <c r="A3383" s="17"/>
    </row>
    <row r="3384" spans="1:1" x14ac:dyDescent="0.25">
      <c r="A3384" s="17"/>
    </row>
    <row r="3385" spans="1:1" x14ac:dyDescent="0.25">
      <c r="A3385" s="17"/>
    </row>
    <row r="3386" spans="1:1" x14ac:dyDescent="0.25">
      <c r="A3386" s="17"/>
    </row>
    <row r="3387" spans="1:1" x14ac:dyDescent="0.25">
      <c r="A3387" s="17"/>
    </row>
    <row r="3388" spans="1:1" x14ac:dyDescent="0.25">
      <c r="A3388" s="17"/>
    </row>
    <row r="3389" spans="1:1" x14ac:dyDescent="0.25">
      <c r="A3389" s="17"/>
    </row>
    <row r="3390" spans="1:1" x14ac:dyDescent="0.25">
      <c r="A3390" s="17"/>
    </row>
    <row r="3391" spans="1:1" x14ac:dyDescent="0.25">
      <c r="A3391" s="17"/>
    </row>
    <row r="3392" spans="1:1" x14ac:dyDescent="0.25">
      <c r="A3392" s="17"/>
    </row>
    <row r="3393" spans="1:1" x14ac:dyDescent="0.25">
      <c r="A3393" s="17"/>
    </row>
    <row r="3394" spans="1:1" x14ac:dyDescent="0.25">
      <c r="A3394" s="17"/>
    </row>
    <row r="3395" spans="1:1" x14ac:dyDescent="0.25">
      <c r="A3395" s="17"/>
    </row>
    <row r="3396" spans="1:1" x14ac:dyDescent="0.25">
      <c r="A3396" s="17"/>
    </row>
    <row r="3397" spans="1:1" x14ac:dyDescent="0.25">
      <c r="A3397" s="17"/>
    </row>
    <row r="3398" spans="1:1" x14ac:dyDescent="0.25">
      <c r="A3398" s="17"/>
    </row>
    <row r="3399" spans="1:1" x14ac:dyDescent="0.25">
      <c r="A3399" s="17"/>
    </row>
    <row r="3400" spans="1:1" x14ac:dyDescent="0.25">
      <c r="A3400" s="17"/>
    </row>
    <row r="3401" spans="1:1" x14ac:dyDescent="0.25">
      <c r="A3401" s="17"/>
    </row>
    <row r="3402" spans="1:1" x14ac:dyDescent="0.25">
      <c r="A3402" s="17"/>
    </row>
    <row r="3403" spans="1:1" x14ac:dyDescent="0.25">
      <c r="A3403" s="17"/>
    </row>
    <row r="3404" spans="1:1" x14ac:dyDescent="0.25">
      <c r="A3404" s="17"/>
    </row>
    <row r="3405" spans="1:1" x14ac:dyDescent="0.25">
      <c r="A3405" s="17"/>
    </row>
    <row r="3406" spans="1:1" x14ac:dyDescent="0.25">
      <c r="A3406" s="17"/>
    </row>
    <row r="3407" spans="1:1" x14ac:dyDescent="0.25">
      <c r="A3407" s="17"/>
    </row>
    <row r="3408" spans="1:1" x14ac:dyDescent="0.25">
      <c r="A3408" s="17"/>
    </row>
    <row r="3409" spans="1:1" x14ac:dyDescent="0.25">
      <c r="A3409" s="17"/>
    </row>
    <row r="3410" spans="1:1" x14ac:dyDescent="0.25">
      <c r="A3410" s="17"/>
    </row>
    <row r="3411" spans="1:1" x14ac:dyDescent="0.25">
      <c r="A3411" s="17"/>
    </row>
    <row r="3412" spans="1:1" x14ac:dyDescent="0.25">
      <c r="A3412" s="17"/>
    </row>
    <row r="3413" spans="1:1" x14ac:dyDescent="0.25">
      <c r="A3413" s="17"/>
    </row>
    <row r="3414" spans="1:1" x14ac:dyDescent="0.25">
      <c r="A3414" s="17"/>
    </row>
    <row r="3415" spans="1:1" x14ac:dyDescent="0.25">
      <c r="A3415" s="17"/>
    </row>
    <row r="3416" spans="1:1" x14ac:dyDescent="0.25">
      <c r="A3416" s="17"/>
    </row>
    <row r="3417" spans="1:1" x14ac:dyDescent="0.25">
      <c r="A3417" s="17"/>
    </row>
    <row r="3418" spans="1:1" x14ac:dyDescent="0.25">
      <c r="A3418" s="17"/>
    </row>
    <row r="3419" spans="1:1" x14ac:dyDescent="0.25">
      <c r="A3419" s="17"/>
    </row>
    <row r="3420" spans="1:1" x14ac:dyDescent="0.25">
      <c r="A3420" s="17"/>
    </row>
    <row r="3421" spans="1:1" x14ac:dyDescent="0.25">
      <c r="A3421" s="17"/>
    </row>
    <row r="3422" spans="1:1" x14ac:dyDescent="0.25">
      <c r="A3422" s="17"/>
    </row>
    <row r="3423" spans="1:1" x14ac:dyDescent="0.25">
      <c r="A3423" s="17"/>
    </row>
    <row r="3424" spans="1:1" x14ac:dyDescent="0.25">
      <c r="A3424" s="17"/>
    </row>
    <row r="3425" spans="1:1" x14ac:dyDescent="0.25">
      <c r="A3425" s="17"/>
    </row>
    <row r="3426" spans="1:1" x14ac:dyDescent="0.25">
      <c r="A3426" s="17"/>
    </row>
    <row r="3427" spans="1:1" x14ac:dyDescent="0.25">
      <c r="A3427" s="17"/>
    </row>
    <row r="3428" spans="1:1" x14ac:dyDescent="0.25">
      <c r="A3428" s="17"/>
    </row>
    <row r="3429" spans="1:1" x14ac:dyDescent="0.25">
      <c r="A3429" s="17"/>
    </row>
    <row r="3430" spans="1:1" x14ac:dyDescent="0.25">
      <c r="A3430" s="17"/>
    </row>
    <row r="3431" spans="1:1" x14ac:dyDescent="0.25">
      <c r="A3431" s="17"/>
    </row>
    <row r="3432" spans="1:1" x14ac:dyDescent="0.25">
      <c r="A3432" s="17"/>
    </row>
    <row r="3433" spans="1:1" x14ac:dyDescent="0.25">
      <c r="A3433" s="17"/>
    </row>
    <row r="3434" spans="1:1" x14ac:dyDescent="0.25">
      <c r="A3434" s="17"/>
    </row>
    <row r="3435" spans="1:1" x14ac:dyDescent="0.25">
      <c r="A3435" s="17"/>
    </row>
    <row r="3436" spans="1:1" x14ac:dyDescent="0.25">
      <c r="A3436" s="17"/>
    </row>
    <row r="3437" spans="1:1" x14ac:dyDescent="0.25">
      <c r="A3437" s="17"/>
    </row>
    <row r="3438" spans="1:1" x14ac:dyDescent="0.25">
      <c r="A3438" s="17"/>
    </row>
    <row r="3439" spans="1:1" x14ac:dyDescent="0.25">
      <c r="A3439" s="17"/>
    </row>
    <row r="3440" spans="1:1" x14ac:dyDescent="0.25">
      <c r="A3440" s="17"/>
    </row>
    <row r="3441" spans="1:1" x14ac:dyDescent="0.25">
      <c r="A3441" s="17"/>
    </row>
    <row r="3442" spans="1:1" x14ac:dyDescent="0.25">
      <c r="A3442" s="17"/>
    </row>
    <row r="3443" spans="1:1" x14ac:dyDescent="0.25">
      <c r="A3443" s="17"/>
    </row>
    <row r="3444" spans="1:1" x14ac:dyDescent="0.25">
      <c r="A3444" s="17"/>
    </row>
    <row r="3445" spans="1:1" x14ac:dyDescent="0.25">
      <c r="A3445" s="17"/>
    </row>
    <row r="3446" spans="1:1" x14ac:dyDescent="0.25">
      <c r="A3446" s="17"/>
    </row>
    <row r="3447" spans="1:1" x14ac:dyDescent="0.25">
      <c r="A3447" s="17"/>
    </row>
    <row r="3448" spans="1:1" x14ac:dyDescent="0.25">
      <c r="A3448" s="17"/>
    </row>
    <row r="3449" spans="1:1" x14ac:dyDescent="0.25">
      <c r="A3449" s="17"/>
    </row>
    <row r="3450" spans="1:1" x14ac:dyDescent="0.25">
      <c r="A3450" s="17"/>
    </row>
    <row r="3451" spans="1:1" x14ac:dyDescent="0.25">
      <c r="A3451" s="17"/>
    </row>
    <row r="3452" spans="1:1" x14ac:dyDescent="0.25">
      <c r="A3452" s="17"/>
    </row>
    <row r="3453" spans="1:1" x14ac:dyDescent="0.25">
      <c r="A3453" s="17"/>
    </row>
    <row r="3454" spans="1:1" x14ac:dyDescent="0.25">
      <c r="A3454" s="17"/>
    </row>
    <row r="3455" spans="1:1" x14ac:dyDescent="0.25">
      <c r="A3455" s="17"/>
    </row>
    <row r="3456" spans="1:1" x14ac:dyDescent="0.25">
      <c r="A3456" s="17"/>
    </row>
    <row r="3457" spans="1:1" x14ac:dyDescent="0.25">
      <c r="A3457" s="17"/>
    </row>
    <row r="3458" spans="1:1" x14ac:dyDescent="0.25">
      <c r="A3458" s="17"/>
    </row>
    <row r="3459" spans="1:1" x14ac:dyDescent="0.25">
      <c r="A3459" s="17"/>
    </row>
    <row r="3460" spans="1:1" x14ac:dyDescent="0.25">
      <c r="A3460" s="17"/>
    </row>
    <row r="3461" spans="1:1" x14ac:dyDescent="0.25">
      <c r="A3461" s="17"/>
    </row>
    <row r="3462" spans="1:1" x14ac:dyDescent="0.25">
      <c r="A3462" s="17"/>
    </row>
    <row r="3463" spans="1:1" x14ac:dyDescent="0.25">
      <c r="A3463" s="17"/>
    </row>
    <row r="3464" spans="1:1" x14ac:dyDescent="0.25">
      <c r="A3464" s="17"/>
    </row>
    <row r="3465" spans="1:1" x14ac:dyDescent="0.25">
      <c r="A3465" s="17"/>
    </row>
    <row r="3466" spans="1:1" x14ac:dyDescent="0.25">
      <c r="A3466" s="17"/>
    </row>
    <row r="3467" spans="1:1" x14ac:dyDescent="0.25">
      <c r="A3467" s="17"/>
    </row>
    <row r="3468" spans="1:1" x14ac:dyDescent="0.25">
      <c r="A3468" s="17"/>
    </row>
    <row r="3469" spans="1:1" x14ac:dyDescent="0.25">
      <c r="A3469" s="17"/>
    </row>
    <row r="3470" spans="1:1" x14ac:dyDescent="0.25">
      <c r="A3470" s="17"/>
    </row>
    <row r="3471" spans="1:1" x14ac:dyDescent="0.25">
      <c r="A3471" s="17"/>
    </row>
    <row r="3472" spans="1:1" x14ac:dyDescent="0.25">
      <c r="A3472" s="17"/>
    </row>
    <row r="3473" spans="1:1" x14ac:dyDescent="0.25">
      <c r="A3473" s="17"/>
    </row>
    <row r="3474" spans="1:1" x14ac:dyDescent="0.25">
      <c r="A3474" s="17"/>
    </row>
    <row r="3475" spans="1:1" x14ac:dyDescent="0.25">
      <c r="A3475" s="17"/>
    </row>
    <row r="3476" spans="1:1" x14ac:dyDescent="0.25">
      <c r="A3476" s="17"/>
    </row>
    <row r="3477" spans="1:1" x14ac:dyDescent="0.25">
      <c r="A3477" s="17"/>
    </row>
    <row r="3478" spans="1:1" x14ac:dyDescent="0.25">
      <c r="A3478" s="17"/>
    </row>
    <row r="3479" spans="1:1" x14ac:dyDescent="0.25">
      <c r="A3479" s="17"/>
    </row>
    <row r="3480" spans="1:1" x14ac:dyDescent="0.25">
      <c r="A3480" s="17"/>
    </row>
    <row r="3481" spans="1:1" x14ac:dyDescent="0.25">
      <c r="A3481" s="17"/>
    </row>
    <row r="3482" spans="1:1" x14ac:dyDescent="0.25">
      <c r="A3482" s="17"/>
    </row>
    <row r="3483" spans="1:1" x14ac:dyDescent="0.25">
      <c r="A3483" s="17"/>
    </row>
    <row r="3484" spans="1:1" x14ac:dyDescent="0.25">
      <c r="A3484" s="17"/>
    </row>
    <row r="3485" spans="1:1" x14ac:dyDescent="0.25">
      <c r="A3485" s="17"/>
    </row>
    <row r="3486" spans="1:1" x14ac:dyDescent="0.25">
      <c r="A3486" s="17"/>
    </row>
    <row r="3487" spans="1:1" x14ac:dyDescent="0.25">
      <c r="A3487" s="17"/>
    </row>
    <row r="3488" spans="1:1" x14ac:dyDescent="0.25">
      <c r="A3488" s="17"/>
    </row>
    <row r="3489" spans="1:1" x14ac:dyDescent="0.25">
      <c r="A3489" s="17"/>
    </row>
    <row r="3490" spans="1:1" x14ac:dyDescent="0.25">
      <c r="A3490" s="17"/>
    </row>
    <row r="3491" spans="1:1" x14ac:dyDescent="0.25">
      <c r="A3491" s="17"/>
    </row>
    <row r="3492" spans="1:1" x14ac:dyDescent="0.25">
      <c r="A3492" s="17"/>
    </row>
    <row r="3493" spans="1:1" x14ac:dyDescent="0.25">
      <c r="A3493" s="17"/>
    </row>
    <row r="3494" spans="1:1" x14ac:dyDescent="0.25">
      <c r="A3494" s="17"/>
    </row>
    <row r="3495" spans="1:1" x14ac:dyDescent="0.25">
      <c r="A3495" s="17"/>
    </row>
    <row r="3496" spans="1:1" x14ac:dyDescent="0.25">
      <c r="A3496" s="17"/>
    </row>
    <row r="3497" spans="1:1" x14ac:dyDescent="0.25">
      <c r="A3497" s="17"/>
    </row>
    <row r="3498" spans="1:1" x14ac:dyDescent="0.25">
      <c r="A3498" s="17"/>
    </row>
    <row r="3499" spans="1:1" x14ac:dyDescent="0.25">
      <c r="A3499" s="17"/>
    </row>
    <row r="3500" spans="1:1" x14ac:dyDescent="0.25">
      <c r="A3500" s="17"/>
    </row>
    <row r="3501" spans="1:1" x14ac:dyDescent="0.25">
      <c r="A3501" s="17"/>
    </row>
    <row r="3502" spans="1:1" x14ac:dyDescent="0.25">
      <c r="A3502" s="17"/>
    </row>
    <row r="3503" spans="1:1" x14ac:dyDescent="0.25">
      <c r="A3503" s="17"/>
    </row>
    <row r="3504" spans="1:1" x14ac:dyDescent="0.25">
      <c r="A3504" s="17"/>
    </row>
    <row r="3505" spans="1:1" x14ac:dyDescent="0.25">
      <c r="A3505" s="17"/>
    </row>
    <row r="3506" spans="1:1" x14ac:dyDescent="0.25">
      <c r="A3506" s="17"/>
    </row>
    <row r="3507" spans="1:1" x14ac:dyDescent="0.25">
      <c r="A3507" s="17"/>
    </row>
    <row r="3508" spans="1:1" x14ac:dyDescent="0.25">
      <c r="A3508" s="17"/>
    </row>
    <row r="3509" spans="1:1" x14ac:dyDescent="0.25">
      <c r="A3509" s="17"/>
    </row>
    <row r="3510" spans="1:1" x14ac:dyDescent="0.25">
      <c r="A3510" s="17"/>
    </row>
    <row r="3511" spans="1:1" x14ac:dyDescent="0.25">
      <c r="A3511" s="17"/>
    </row>
    <row r="3512" spans="1:1" x14ac:dyDescent="0.25">
      <c r="A3512" s="17"/>
    </row>
    <row r="3513" spans="1:1" x14ac:dyDescent="0.25">
      <c r="A3513" s="17"/>
    </row>
    <row r="3514" spans="1:1" x14ac:dyDescent="0.25">
      <c r="A3514" s="17"/>
    </row>
    <row r="3515" spans="1:1" x14ac:dyDescent="0.25">
      <c r="A3515" s="17"/>
    </row>
    <row r="3516" spans="1:1" x14ac:dyDescent="0.25">
      <c r="A3516" s="17"/>
    </row>
    <row r="3517" spans="1:1" x14ac:dyDescent="0.25">
      <c r="A3517" s="17"/>
    </row>
    <row r="3518" spans="1:1" x14ac:dyDescent="0.25">
      <c r="A3518" s="17"/>
    </row>
    <row r="3519" spans="1:1" x14ac:dyDescent="0.25">
      <c r="A3519" s="17"/>
    </row>
    <row r="3520" spans="1:1" x14ac:dyDescent="0.25">
      <c r="A3520" s="17"/>
    </row>
    <row r="3521" spans="1:1" x14ac:dyDescent="0.25">
      <c r="A3521" s="17"/>
    </row>
    <row r="3522" spans="1:1" x14ac:dyDescent="0.25">
      <c r="A3522" s="17"/>
    </row>
    <row r="3523" spans="1:1" x14ac:dyDescent="0.25">
      <c r="A3523" s="17"/>
    </row>
    <row r="3524" spans="1:1" x14ac:dyDescent="0.25">
      <c r="A3524" s="17"/>
    </row>
    <row r="3525" spans="1:1" x14ac:dyDescent="0.25">
      <c r="A3525" s="17"/>
    </row>
    <row r="3526" spans="1:1" x14ac:dyDescent="0.25">
      <c r="A3526" s="17"/>
    </row>
    <row r="3527" spans="1:1" x14ac:dyDescent="0.25">
      <c r="A3527" s="17"/>
    </row>
    <row r="3528" spans="1:1" x14ac:dyDescent="0.25">
      <c r="A3528" s="17"/>
    </row>
    <row r="3529" spans="1:1" x14ac:dyDescent="0.25">
      <c r="A3529" s="17"/>
    </row>
    <row r="3530" spans="1:1" x14ac:dyDescent="0.25">
      <c r="A3530" s="17"/>
    </row>
    <row r="3531" spans="1:1" x14ac:dyDescent="0.25">
      <c r="A3531" s="17"/>
    </row>
    <row r="3532" spans="1:1" x14ac:dyDescent="0.25">
      <c r="A3532" s="17"/>
    </row>
    <row r="3533" spans="1:1" x14ac:dyDescent="0.25">
      <c r="A3533" s="17"/>
    </row>
    <row r="3534" spans="1:1" x14ac:dyDescent="0.25">
      <c r="A3534" s="17"/>
    </row>
    <row r="3535" spans="1:1" x14ac:dyDescent="0.25">
      <c r="A3535" s="17"/>
    </row>
    <row r="3536" spans="1:1" x14ac:dyDescent="0.25">
      <c r="A3536" s="17"/>
    </row>
    <row r="3537" spans="1:1" x14ac:dyDescent="0.25">
      <c r="A3537" s="17"/>
    </row>
    <row r="3538" spans="1:1" x14ac:dyDescent="0.25">
      <c r="A3538" s="17"/>
    </row>
    <row r="3539" spans="1:1" x14ac:dyDescent="0.25">
      <c r="A3539" s="17"/>
    </row>
    <row r="3540" spans="1:1" x14ac:dyDescent="0.25">
      <c r="A3540" s="17"/>
    </row>
    <row r="3541" spans="1:1" x14ac:dyDescent="0.25">
      <c r="A3541" s="17"/>
    </row>
    <row r="3542" spans="1:1" x14ac:dyDescent="0.25">
      <c r="A3542" s="17"/>
    </row>
    <row r="3543" spans="1:1" x14ac:dyDescent="0.25">
      <c r="A3543" s="17"/>
    </row>
    <row r="3544" spans="1:1" x14ac:dyDescent="0.25">
      <c r="A3544" s="17"/>
    </row>
    <row r="3545" spans="1:1" x14ac:dyDescent="0.25">
      <c r="A3545" s="17"/>
    </row>
    <row r="3546" spans="1:1" x14ac:dyDescent="0.25">
      <c r="A3546" s="17"/>
    </row>
    <row r="3547" spans="1:1" x14ac:dyDescent="0.25">
      <c r="A3547" s="17"/>
    </row>
    <row r="3548" spans="1:1" x14ac:dyDescent="0.25">
      <c r="A3548" s="17"/>
    </row>
    <row r="3549" spans="1:1" x14ac:dyDescent="0.25">
      <c r="A3549" s="17"/>
    </row>
    <row r="3550" spans="1:1" x14ac:dyDescent="0.25">
      <c r="A3550" s="17"/>
    </row>
    <row r="3551" spans="1:1" x14ac:dyDescent="0.25">
      <c r="A3551" s="17"/>
    </row>
    <row r="3552" spans="1:1" x14ac:dyDescent="0.25">
      <c r="A3552" s="17"/>
    </row>
    <row r="3553" spans="1:1" x14ac:dyDescent="0.25">
      <c r="A3553" s="17"/>
    </row>
    <row r="3554" spans="1:1" x14ac:dyDescent="0.25">
      <c r="A3554" s="17"/>
    </row>
    <row r="3555" spans="1:1" x14ac:dyDescent="0.25">
      <c r="A3555" s="17"/>
    </row>
    <row r="3556" spans="1:1" x14ac:dyDescent="0.25">
      <c r="A3556" s="17"/>
    </row>
    <row r="3557" spans="1:1" x14ac:dyDescent="0.25">
      <c r="A3557" s="17"/>
    </row>
    <row r="3558" spans="1:1" x14ac:dyDescent="0.25">
      <c r="A3558" s="17"/>
    </row>
    <row r="3559" spans="1:1" x14ac:dyDescent="0.25">
      <c r="A3559" s="17"/>
    </row>
    <row r="3560" spans="1:1" x14ac:dyDescent="0.25">
      <c r="A3560" s="17"/>
    </row>
    <row r="3561" spans="1:1" x14ac:dyDescent="0.25">
      <c r="A3561" s="17"/>
    </row>
    <row r="3562" spans="1:1" x14ac:dyDescent="0.25">
      <c r="A3562" s="17"/>
    </row>
    <row r="3563" spans="1:1" x14ac:dyDescent="0.25">
      <c r="A3563" s="17"/>
    </row>
    <row r="3564" spans="1:1" x14ac:dyDescent="0.25">
      <c r="A3564" s="17"/>
    </row>
    <row r="3565" spans="1:1" x14ac:dyDescent="0.25">
      <c r="A3565" s="17"/>
    </row>
    <row r="3566" spans="1:1" x14ac:dyDescent="0.25">
      <c r="A3566" s="17"/>
    </row>
    <row r="3567" spans="1:1" x14ac:dyDescent="0.25">
      <c r="A3567" s="17"/>
    </row>
    <row r="3568" spans="1:1" x14ac:dyDescent="0.25">
      <c r="A3568" s="17"/>
    </row>
    <row r="3569" spans="1:1" x14ac:dyDescent="0.25">
      <c r="A3569" s="17"/>
    </row>
    <row r="3570" spans="1:1" x14ac:dyDescent="0.25">
      <c r="A3570" s="17"/>
    </row>
    <row r="3571" spans="1:1" x14ac:dyDescent="0.25">
      <c r="A3571" s="17"/>
    </row>
    <row r="3572" spans="1:1" x14ac:dyDescent="0.25">
      <c r="A3572" s="17"/>
    </row>
    <row r="3573" spans="1:1" x14ac:dyDescent="0.25">
      <c r="A3573" s="17"/>
    </row>
    <row r="3574" spans="1:1" x14ac:dyDescent="0.25">
      <c r="A3574" s="17"/>
    </row>
    <row r="3575" spans="1:1" x14ac:dyDescent="0.25">
      <c r="A3575" s="17"/>
    </row>
    <row r="3576" spans="1:1" x14ac:dyDescent="0.25">
      <c r="A3576" s="17"/>
    </row>
    <row r="3577" spans="1:1" x14ac:dyDescent="0.25">
      <c r="A3577" s="17"/>
    </row>
    <row r="3578" spans="1:1" x14ac:dyDescent="0.25">
      <c r="A3578" s="17"/>
    </row>
    <row r="3579" spans="1:1" x14ac:dyDescent="0.25">
      <c r="A3579" s="17"/>
    </row>
    <row r="3580" spans="1:1" x14ac:dyDescent="0.25">
      <c r="A3580" s="17"/>
    </row>
    <row r="3581" spans="1:1" x14ac:dyDescent="0.25">
      <c r="A3581" s="17"/>
    </row>
    <row r="3582" spans="1:1" x14ac:dyDescent="0.25">
      <c r="A3582" s="17"/>
    </row>
    <row r="3583" spans="1:1" x14ac:dyDescent="0.25">
      <c r="A3583" s="17"/>
    </row>
    <row r="3584" spans="1:1" x14ac:dyDescent="0.25">
      <c r="A3584" s="17"/>
    </row>
    <row r="3585" spans="1:1" x14ac:dyDescent="0.25">
      <c r="A3585" s="17"/>
    </row>
    <row r="3586" spans="1:1" x14ac:dyDescent="0.25">
      <c r="A3586" s="17"/>
    </row>
    <row r="3587" spans="1:1" x14ac:dyDescent="0.25">
      <c r="A3587" s="17"/>
    </row>
    <row r="3588" spans="1:1" x14ac:dyDescent="0.25">
      <c r="A3588" s="17"/>
    </row>
    <row r="3589" spans="1:1" x14ac:dyDescent="0.25">
      <c r="A3589" s="17"/>
    </row>
    <row r="3590" spans="1:1" x14ac:dyDescent="0.25">
      <c r="A3590" s="17"/>
    </row>
    <row r="3591" spans="1:1" x14ac:dyDescent="0.25">
      <c r="A3591" s="17"/>
    </row>
    <row r="3592" spans="1:1" x14ac:dyDescent="0.25">
      <c r="A3592" s="17"/>
    </row>
    <row r="3593" spans="1:1" x14ac:dyDescent="0.25">
      <c r="A3593" s="17"/>
    </row>
    <row r="3594" spans="1:1" x14ac:dyDescent="0.25">
      <c r="A3594" s="17"/>
    </row>
    <row r="3595" spans="1:1" x14ac:dyDescent="0.25">
      <c r="A3595" s="17"/>
    </row>
    <row r="3596" spans="1:1" x14ac:dyDescent="0.25">
      <c r="A3596" s="17"/>
    </row>
    <row r="3597" spans="1:1" x14ac:dyDescent="0.25">
      <c r="A3597" s="17"/>
    </row>
    <row r="3598" spans="1:1" x14ac:dyDescent="0.25">
      <c r="A3598" s="17"/>
    </row>
    <row r="3599" spans="1:1" x14ac:dyDescent="0.25">
      <c r="A3599" s="17"/>
    </row>
    <row r="3600" spans="1:1" x14ac:dyDescent="0.25">
      <c r="A3600" s="17"/>
    </row>
    <row r="3601" spans="1:1" x14ac:dyDescent="0.25">
      <c r="A3601" s="17"/>
    </row>
    <row r="3602" spans="1:1" x14ac:dyDescent="0.25">
      <c r="A3602" s="17"/>
    </row>
    <row r="3603" spans="1:1" x14ac:dyDescent="0.25">
      <c r="A3603" s="17"/>
    </row>
    <row r="3604" spans="1:1" x14ac:dyDescent="0.25">
      <c r="A3604" s="17"/>
    </row>
    <row r="3605" spans="1:1" x14ac:dyDescent="0.25">
      <c r="A3605" s="17"/>
    </row>
    <row r="3606" spans="1:1" x14ac:dyDescent="0.25">
      <c r="A3606" s="17"/>
    </row>
    <row r="3607" spans="1:1" x14ac:dyDescent="0.25">
      <c r="A3607" s="17"/>
    </row>
    <row r="3608" spans="1:1" x14ac:dyDescent="0.25">
      <c r="A3608" s="17"/>
    </row>
    <row r="3609" spans="1:1" x14ac:dyDescent="0.25">
      <c r="A3609" s="17"/>
    </row>
    <row r="3610" spans="1:1" x14ac:dyDescent="0.25">
      <c r="A3610" s="17"/>
    </row>
    <row r="3611" spans="1:1" x14ac:dyDescent="0.25">
      <c r="A3611" s="17"/>
    </row>
    <row r="3612" spans="1:1" x14ac:dyDescent="0.25">
      <c r="A3612" s="17"/>
    </row>
    <row r="3613" spans="1:1" x14ac:dyDescent="0.25">
      <c r="A3613" s="17"/>
    </row>
    <row r="3614" spans="1:1" x14ac:dyDescent="0.25">
      <c r="A3614" s="17"/>
    </row>
    <row r="3615" spans="1:1" x14ac:dyDescent="0.25">
      <c r="A3615" s="17"/>
    </row>
    <row r="3616" spans="1:1" x14ac:dyDescent="0.25">
      <c r="A3616" s="17"/>
    </row>
    <row r="3617" spans="1:1" x14ac:dyDescent="0.25">
      <c r="A3617" s="17"/>
    </row>
    <row r="3618" spans="1:1" x14ac:dyDescent="0.25">
      <c r="A3618" s="17"/>
    </row>
    <row r="3619" spans="1:1" x14ac:dyDescent="0.25">
      <c r="A3619" s="17"/>
    </row>
    <row r="3620" spans="1:1" x14ac:dyDescent="0.25">
      <c r="A3620" s="17"/>
    </row>
    <row r="3621" spans="1:1" x14ac:dyDescent="0.25">
      <c r="A3621" s="17"/>
    </row>
    <row r="3622" spans="1:1" x14ac:dyDescent="0.25">
      <c r="A3622" s="17"/>
    </row>
    <row r="3623" spans="1:1" x14ac:dyDescent="0.25">
      <c r="A3623" s="17"/>
    </row>
    <row r="3624" spans="1:1" x14ac:dyDescent="0.25">
      <c r="A3624" s="17"/>
    </row>
    <row r="3625" spans="1:1" x14ac:dyDescent="0.25">
      <c r="A3625" s="17"/>
    </row>
    <row r="3626" spans="1:1" x14ac:dyDescent="0.25">
      <c r="A3626" s="17"/>
    </row>
    <row r="3627" spans="1:1" x14ac:dyDescent="0.25">
      <c r="A3627" s="17"/>
    </row>
    <row r="3628" spans="1:1" x14ac:dyDescent="0.25">
      <c r="A3628" s="17"/>
    </row>
    <row r="3629" spans="1:1" x14ac:dyDescent="0.25">
      <c r="A3629" s="17"/>
    </row>
    <row r="3630" spans="1:1" x14ac:dyDescent="0.25">
      <c r="A3630" s="17"/>
    </row>
    <row r="3631" spans="1:1" x14ac:dyDescent="0.25">
      <c r="A3631" s="17"/>
    </row>
    <row r="3632" spans="1:1" x14ac:dyDescent="0.25">
      <c r="A3632" s="17"/>
    </row>
    <row r="3633" spans="1:1" x14ac:dyDescent="0.25">
      <c r="A3633" s="17"/>
    </row>
    <row r="3634" spans="1:1" x14ac:dyDescent="0.25">
      <c r="A3634" s="17"/>
    </row>
    <row r="3635" spans="1:1" x14ac:dyDescent="0.25">
      <c r="A3635" s="17"/>
    </row>
    <row r="3636" spans="1:1" x14ac:dyDescent="0.25">
      <c r="A3636" s="17"/>
    </row>
    <row r="3637" spans="1:1" x14ac:dyDescent="0.25">
      <c r="A3637" s="17"/>
    </row>
    <row r="3638" spans="1:1" x14ac:dyDescent="0.25">
      <c r="A3638" s="17"/>
    </row>
    <row r="3639" spans="1:1" x14ac:dyDescent="0.25">
      <c r="A3639" s="17"/>
    </row>
    <row r="3640" spans="1:1" x14ac:dyDescent="0.25">
      <c r="A3640" s="17"/>
    </row>
    <row r="3641" spans="1:1" x14ac:dyDescent="0.25">
      <c r="A3641" s="17"/>
    </row>
    <row r="3642" spans="1:1" x14ac:dyDescent="0.25">
      <c r="A3642" s="17"/>
    </row>
    <row r="3643" spans="1:1" x14ac:dyDescent="0.25">
      <c r="A3643" s="17"/>
    </row>
    <row r="3644" spans="1:1" x14ac:dyDescent="0.25">
      <c r="A3644" s="17"/>
    </row>
    <row r="3645" spans="1:1" x14ac:dyDescent="0.25">
      <c r="A3645" s="17"/>
    </row>
    <row r="3646" spans="1:1" x14ac:dyDescent="0.25">
      <c r="A3646" s="17"/>
    </row>
    <row r="3647" spans="1:1" x14ac:dyDescent="0.25">
      <c r="A3647" s="17"/>
    </row>
    <row r="3648" spans="1:1" x14ac:dyDescent="0.25">
      <c r="A3648" s="17"/>
    </row>
    <row r="3649" spans="1:1" x14ac:dyDescent="0.25">
      <c r="A3649" s="17"/>
    </row>
    <row r="3650" spans="1:1" x14ac:dyDescent="0.25">
      <c r="A3650" s="17"/>
    </row>
    <row r="3651" spans="1:1" x14ac:dyDescent="0.25">
      <c r="A3651" s="17"/>
    </row>
    <row r="3652" spans="1:1" x14ac:dyDescent="0.25">
      <c r="A3652" s="17"/>
    </row>
    <row r="3653" spans="1:1" x14ac:dyDescent="0.25">
      <c r="A3653" s="17"/>
    </row>
    <row r="3654" spans="1:1" x14ac:dyDescent="0.25">
      <c r="A3654" s="17"/>
    </row>
    <row r="3655" spans="1:1" x14ac:dyDescent="0.25">
      <c r="A3655" s="17"/>
    </row>
    <row r="3656" spans="1:1" x14ac:dyDescent="0.25">
      <c r="A3656" s="17"/>
    </row>
    <row r="3657" spans="1:1" x14ac:dyDescent="0.25">
      <c r="A3657" s="17"/>
    </row>
    <row r="3658" spans="1:1" x14ac:dyDescent="0.25">
      <c r="A3658" s="17"/>
    </row>
    <row r="3659" spans="1:1" x14ac:dyDescent="0.25">
      <c r="A3659" s="17"/>
    </row>
    <row r="3660" spans="1:1" x14ac:dyDescent="0.25">
      <c r="A3660" s="17"/>
    </row>
    <row r="3661" spans="1:1" x14ac:dyDescent="0.25">
      <c r="A3661" s="17"/>
    </row>
    <row r="3662" spans="1:1" x14ac:dyDescent="0.25">
      <c r="A3662" s="17"/>
    </row>
    <row r="3663" spans="1:1" x14ac:dyDescent="0.25">
      <c r="A3663" s="17"/>
    </row>
    <row r="3664" spans="1:1" x14ac:dyDescent="0.25">
      <c r="A3664" s="17"/>
    </row>
    <row r="3665" spans="1:1" x14ac:dyDescent="0.25">
      <c r="A3665" s="17"/>
    </row>
    <row r="3666" spans="1:1" x14ac:dyDescent="0.25">
      <c r="A3666" s="17"/>
    </row>
    <row r="3667" spans="1:1" x14ac:dyDescent="0.25">
      <c r="A3667" s="17"/>
    </row>
    <row r="3668" spans="1:1" x14ac:dyDescent="0.25">
      <c r="A3668" s="17"/>
    </row>
    <row r="3669" spans="1:1" x14ac:dyDescent="0.25">
      <c r="A3669" s="17"/>
    </row>
    <row r="3670" spans="1:1" x14ac:dyDescent="0.25">
      <c r="A3670" s="17"/>
    </row>
    <row r="3671" spans="1:1" x14ac:dyDescent="0.25">
      <c r="A3671" s="17"/>
    </row>
    <row r="3672" spans="1:1" x14ac:dyDescent="0.25">
      <c r="A3672" s="17"/>
    </row>
    <row r="3673" spans="1:1" x14ac:dyDescent="0.25">
      <c r="A3673" s="17"/>
    </row>
    <row r="3674" spans="1:1" x14ac:dyDescent="0.25">
      <c r="A3674" s="17"/>
    </row>
    <row r="3675" spans="1:1" x14ac:dyDescent="0.25">
      <c r="A3675" s="17"/>
    </row>
    <row r="3676" spans="1:1" x14ac:dyDescent="0.25">
      <c r="A3676" s="17"/>
    </row>
    <row r="3677" spans="1:1" x14ac:dyDescent="0.25">
      <c r="A3677" s="17"/>
    </row>
    <row r="3678" spans="1:1" x14ac:dyDescent="0.25">
      <c r="A3678" s="17"/>
    </row>
    <row r="3679" spans="1:1" x14ac:dyDescent="0.25">
      <c r="A3679" s="17"/>
    </row>
    <row r="3680" spans="1:1" x14ac:dyDescent="0.25">
      <c r="A3680" s="17"/>
    </row>
    <row r="3681" spans="1:1" x14ac:dyDescent="0.25">
      <c r="A3681" s="17"/>
    </row>
    <row r="3682" spans="1:1" x14ac:dyDescent="0.25">
      <c r="A3682" s="17"/>
    </row>
    <row r="3683" spans="1:1" x14ac:dyDescent="0.25">
      <c r="A3683" s="17"/>
    </row>
    <row r="3684" spans="1:1" x14ac:dyDescent="0.25">
      <c r="A3684" s="17"/>
    </row>
    <row r="3685" spans="1:1" x14ac:dyDescent="0.25">
      <c r="A3685" s="17"/>
    </row>
    <row r="3686" spans="1:1" x14ac:dyDescent="0.25">
      <c r="A3686" s="17"/>
    </row>
    <row r="3687" spans="1:1" x14ac:dyDescent="0.25">
      <c r="A3687" s="17"/>
    </row>
    <row r="3688" spans="1:1" x14ac:dyDescent="0.25">
      <c r="A3688" s="17"/>
    </row>
    <row r="3689" spans="1:1" x14ac:dyDescent="0.25">
      <c r="A3689" s="17"/>
    </row>
    <row r="3690" spans="1:1" x14ac:dyDescent="0.25">
      <c r="A3690" s="17"/>
    </row>
    <row r="3691" spans="1:1" x14ac:dyDescent="0.25">
      <c r="A3691" s="17"/>
    </row>
    <row r="3692" spans="1:1" x14ac:dyDescent="0.25">
      <c r="A3692" s="17"/>
    </row>
    <row r="3693" spans="1:1" x14ac:dyDescent="0.25">
      <c r="A3693" s="17"/>
    </row>
    <row r="3694" spans="1:1" x14ac:dyDescent="0.25">
      <c r="A3694" s="17"/>
    </row>
    <row r="3695" spans="1:1" x14ac:dyDescent="0.25">
      <c r="A3695" s="17"/>
    </row>
    <row r="3696" spans="1:1" x14ac:dyDescent="0.25">
      <c r="A3696" s="17"/>
    </row>
    <row r="3697" spans="1:1" x14ac:dyDescent="0.25">
      <c r="A3697" s="17"/>
    </row>
    <row r="3698" spans="1:1" x14ac:dyDescent="0.25">
      <c r="A3698" s="17"/>
    </row>
    <row r="3699" spans="1:1" x14ac:dyDescent="0.25">
      <c r="A3699" s="17"/>
    </row>
    <row r="3700" spans="1:1" x14ac:dyDescent="0.25">
      <c r="A3700" s="17"/>
    </row>
    <row r="3701" spans="1:1" x14ac:dyDescent="0.25">
      <c r="A3701" s="17"/>
    </row>
    <row r="3702" spans="1:1" x14ac:dyDescent="0.25">
      <c r="A3702" s="17"/>
    </row>
    <row r="3703" spans="1:1" x14ac:dyDescent="0.25">
      <c r="A3703" s="17"/>
    </row>
    <row r="3704" spans="1:1" x14ac:dyDescent="0.25">
      <c r="A3704" s="17"/>
    </row>
    <row r="3705" spans="1:1" x14ac:dyDescent="0.25">
      <c r="A3705" s="17"/>
    </row>
    <row r="3706" spans="1:1" x14ac:dyDescent="0.25">
      <c r="A3706" s="17"/>
    </row>
    <row r="3707" spans="1:1" x14ac:dyDescent="0.25">
      <c r="A3707" s="17"/>
    </row>
    <row r="3708" spans="1:1" x14ac:dyDescent="0.25">
      <c r="A3708" s="17"/>
    </row>
    <row r="3709" spans="1:1" x14ac:dyDescent="0.25">
      <c r="A3709" s="17"/>
    </row>
    <row r="3710" spans="1:1" x14ac:dyDescent="0.25">
      <c r="A3710" s="17"/>
    </row>
    <row r="3711" spans="1:1" x14ac:dyDescent="0.25">
      <c r="A3711" s="17"/>
    </row>
    <row r="3712" spans="1:1" x14ac:dyDescent="0.25">
      <c r="A3712" s="17"/>
    </row>
    <row r="3713" spans="1:1" x14ac:dyDescent="0.25">
      <c r="A3713" s="17"/>
    </row>
    <row r="3714" spans="1:1" x14ac:dyDescent="0.25">
      <c r="A3714" s="17"/>
    </row>
    <row r="3715" spans="1:1" x14ac:dyDescent="0.25">
      <c r="A3715" s="17"/>
    </row>
    <row r="3716" spans="1:1" x14ac:dyDescent="0.25">
      <c r="A3716" s="17"/>
    </row>
    <row r="3717" spans="1:1" x14ac:dyDescent="0.25">
      <c r="A3717" s="17"/>
    </row>
    <row r="3718" spans="1:1" x14ac:dyDescent="0.25">
      <c r="A3718" s="17"/>
    </row>
    <row r="3719" spans="1:1" x14ac:dyDescent="0.25">
      <c r="A3719" s="17"/>
    </row>
    <row r="3720" spans="1:1" x14ac:dyDescent="0.25">
      <c r="A3720" s="17"/>
    </row>
    <row r="3721" spans="1:1" x14ac:dyDescent="0.25">
      <c r="A3721" s="17"/>
    </row>
    <row r="3722" spans="1:1" x14ac:dyDescent="0.25">
      <c r="A3722" s="17"/>
    </row>
    <row r="3723" spans="1:1" x14ac:dyDescent="0.25">
      <c r="A3723" s="17"/>
    </row>
    <row r="3724" spans="1:1" x14ac:dyDescent="0.25">
      <c r="A3724" s="17"/>
    </row>
    <row r="3725" spans="1:1" x14ac:dyDescent="0.25">
      <c r="A3725" s="17"/>
    </row>
    <row r="3726" spans="1:1" x14ac:dyDescent="0.25">
      <c r="A3726" s="17"/>
    </row>
    <row r="3727" spans="1:1" x14ac:dyDescent="0.25">
      <c r="A3727" s="17"/>
    </row>
    <row r="3728" spans="1:1" x14ac:dyDescent="0.25">
      <c r="A3728" s="17"/>
    </row>
    <row r="3729" spans="1:1" x14ac:dyDescent="0.25">
      <c r="A3729" s="17"/>
    </row>
    <row r="3730" spans="1:1" x14ac:dyDescent="0.25">
      <c r="A3730" s="17"/>
    </row>
    <row r="3731" spans="1:1" x14ac:dyDescent="0.25">
      <c r="A3731" s="17"/>
    </row>
    <row r="3732" spans="1:1" x14ac:dyDescent="0.25">
      <c r="A3732" s="17"/>
    </row>
    <row r="3733" spans="1:1" x14ac:dyDescent="0.25">
      <c r="A3733" s="17"/>
    </row>
    <row r="3734" spans="1:1" x14ac:dyDescent="0.25">
      <c r="A3734" s="17"/>
    </row>
    <row r="3735" spans="1:1" x14ac:dyDescent="0.25">
      <c r="A3735" s="17"/>
    </row>
    <row r="3736" spans="1:1" x14ac:dyDescent="0.25">
      <c r="A3736" s="17"/>
    </row>
    <row r="3737" spans="1:1" x14ac:dyDescent="0.25">
      <c r="A3737" s="17"/>
    </row>
    <row r="3738" spans="1:1" x14ac:dyDescent="0.25">
      <c r="A3738" s="17"/>
    </row>
    <row r="3739" spans="1:1" x14ac:dyDescent="0.25">
      <c r="A3739" s="17"/>
    </row>
    <row r="3740" spans="1:1" x14ac:dyDescent="0.25">
      <c r="A3740" s="17"/>
    </row>
    <row r="3741" spans="1:1" x14ac:dyDescent="0.25">
      <c r="A3741" s="17"/>
    </row>
    <row r="3742" spans="1:1" x14ac:dyDescent="0.25">
      <c r="A3742" s="17"/>
    </row>
    <row r="3743" spans="1:1" x14ac:dyDescent="0.25">
      <c r="A3743" s="17"/>
    </row>
    <row r="3744" spans="1:1" x14ac:dyDescent="0.25">
      <c r="A3744" s="17"/>
    </row>
    <row r="3745" spans="1:1" x14ac:dyDescent="0.25">
      <c r="A3745" s="17"/>
    </row>
    <row r="3746" spans="1:1" x14ac:dyDescent="0.25">
      <c r="A3746" s="17"/>
    </row>
    <row r="3747" spans="1:1" x14ac:dyDescent="0.25">
      <c r="A3747" s="17"/>
    </row>
    <row r="3748" spans="1:1" x14ac:dyDescent="0.25">
      <c r="A3748" s="17"/>
    </row>
    <row r="3749" spans="1:1" x14ac:dyDescent="0.25">
      <c r="A3749" s="17"/>
    </row>
    <row r="3750" spans="1:1" x14ac:dyDescent="0.25">
      <c r="A3750" s="17"/>
    </row>
    <row r="3751" spans="1:1" x14ac:dyDescent="0.25">
      <c r="A3751" s="17"/>
    </row>
    <row r="3752" spans="1:1" x14ac:dyDescent="0.25">
      <c r="A3752" s="17"/>
    </row>
    <row r="3753" spans="1:1" x14ac:dyDescent="0.25">
      <c r="A3753" s="17"/>
    </row>
    <row r="3754" spans="1:1" x14ac:dyDescent="0.25">
      <c r="A3754" s="17"/>
    </row>
    <row r="3755" spans="1:1" x14ac:dyDescent="0.25">
      <c r="A3755" s="17"/>
    </row>
    <row r="3756" spans="1:1" x14ac:dyDescent="0.25">
      <c r="A3756" s="17"/>
    </row>
    <row r="3757" spans="1:1" x14ac:dyDescent="0.25">
      <c r="A3757" s="17"/>
    </row>
    <row r="3758" spans="1:1" x14ac:dyDescent="0.25">
      <c r="A3758" s="17"/>
    </row>
    <row r="3759" spans="1:1" x14ac:dyDescent="0.25">
      <c r="A3759" s="17"/>
    </row>
    <row r="3760" spans="1:1" x14ac:dyDescent="0.25">
      <c r="A3760" s="17"/>
    </row>
    <row r="3761" spans="1:1" x14ac:dyDescent="0.25">
      <c r="A3761" s="17"/>
    </row>
    <row r="3762" spans="1:1" x14ac:dyDescent="0.25">
      <c r="A3762" s="17"/>
    </row>
    <row r="3763" spans="1:1" x14ac:dyDescent="0.25">
      <c r="A3763" s="17"/>
    </row>
    <row r="3764" spans="1:1" x14ac:dyDescent="0.25">
      <c r="A3764" s="17"/>
    </row>
    <row r="3765" spans="1:1" x14ac:dyDescent="0.25">
      <c r="A3765" s="17"/>
    </row>
    <row r="3766" spans="1:1" x14ac:dyDescent="0.25">
      <c r="A3766" s="17"/>
    </row>
    <row r="3767" spans="1:1" x14ac:dyDescent="0.25">
      <c r="A3767" s="17"/>
    </row>
    <row r="3768" spans="1:1" x14ac:dyDescent="0.25">
      <c r="A3768" s="17"/>
    </row>
    <row r="3769" spans="1:1" x14ac:dyDescent="0.25">
      <c r="A3769" s="17"/>
    </row>
    <row r="3770" spans="1:1" x14ac:dyDescent="0.25">
      <c r="A3770" s="17"/>
    </row>
    <row r="3771" spans="1:1" x14ac:dyDescent="0.25">
      <c r="A3771" s="17"/>
    </row>
    <row r="3772" spans="1:1" x14ac:dyDescent="0.25">
      <c r="A3772" s="17"/>
    </row>
    <row r="3773" spans="1:1" x14ac:dyDescent="0.25">
      <c r="A3773" s="17"/>
    </row>
    <row r="3774" spans="1:1" x14ac:dyDescent="0.25">
      <c r="A3774" s="17"/>
    </row>
    <row r="3775" spans="1:1" x14ac:dyDescent="0.25">
      <c r="A3775" s="17"/>
    </row>
    <row r="3776" spans="1:1" x14ac:dyDescent="0.25">
      <c r="A3776" s="17"/>
    </row>
    <row r="3777" spans="1:1" x14ac:dyDescent="0.25">
      <c r="A3777" s="17"/>
    </row>
    <row r="3778" spans="1:1" x14ac:dyDescent="0.25">
      <c r="A3778" s="17"/>
    </row>
    <row r="3779" spans="1:1" x14ac:dyDescent="0.25">
      <c r="A3779" s="17"/>
    </row>
    <row r="3780" spans="1:1" x14ac:dyDescent="0.25">
      <c r="A3780" s="17"/>
    </row>
    <row r="3781" spans="1:1" x14ac:dyDescent="0.25">
      <c r="A3781" s="17"/>
    </row>
    <row r="3782" spans="1:1" x14ac:dyDescent="0.25">
      <c r="A3782" s="17"/>
    </row>
    <row r="3783" spans="1:1" x14ac:dyDescent="0.25">
      <c r="A3783" s="17"/>
    </row>
    <row r="3784" spans="1:1" x14ac:dyDescent="0.25">
      <c r="A3784" s="17"/>
    </row>
    <row r="3785" spans="1:1" x14ac:dyDescent="0.25">
      <c r="A3785" s="17"/>
    </row>
    <row r="3786" spans="1:1" x14ac:dyDescent="0.25">
      <c r="A3786" s="17"/>
    </row>
    <row r="3787" spans="1:1" x14ac:dyDescent="0.25">
      <c r="A3787" s="17"/>
    </row>
    <row r="3788" spans="1:1" x14ac:dyDescent="0.25">
      <c r="A3788" s="17"/>
    </row>
    <row r="3789" spans="1:1" x14ac:dyDescent="0.25">
      <c r="A3789" s="17"/>
    </row>
    <row r="3790" spans="1:1" x14ac:dyDescent="0.25">
      <c r="A3790" s="17"/>
    </row>
    <row r="3791" spans="1:1" x14ac:dyDescent="0.25">
      <c r="A3791" s="17"/>
    </row>
    <row r="3792" spans="1:1" x14ac:dyDescent="0.25">
      <c r="A3792" s="17"/>
    </row>
    <row r="3793" spans="1:1" x14ac:dyDescent="0.25">
      <c r="A3793" s="17"/>
    </row>
    <row r="3794" spans="1:1" x14ac:dyDescent="0.25">
      <c r="A3794" s="17"/>
    </row>
    <row r="3795" spans="1:1" x14ac:dyDescent="0.25">
      <c r="A3795" s="17"/>
    </row>
    <row r="3796" spans="1:1" x14ac:dyDescent="0.25">
      <c r="A3796" s="17"/>
    </row>
    <row r="3797" spans="1:1" x14ac:dyDescent="0.25">
      <c r="A3797" s="17"/>
    </row>
    <row r="3798" spans="1:1" x14ac:dyDescent="0.25">
      <c r="A3798" s="17"/>
    </row>
    <row r="3799" spans="1:1" x14ac:dyDescent="0.25">
      <c r="A3799" s="17"/>
    </row>
    <row r="3800" spans="1:1" x14ac:dyDescent="0.25">
      <c r="A3800" s="17"/>
    </row>
    <row r="3801" spans="1:1" x14ac:dyDescent="0.25">
      <c r="A3801" s="17"/>
    </row>
    <row r="3802" spans="1:1" x14ac:dyDescent="0.25">
      <c r="A3802" s="17"/>
    </row>
    <row r="3803" spans="1:1" x14ac:dyDescent="0.25">
      <c r="A3803" s="17"/>
    </row>
    <row r="3804" spans="1:1" x14ac:dyDescent="0.25">
      <c r="A3804" s="17"/>
    </row>
    <row r="3805" spans="1:1" x14ac:dyDescent="0.25">
      <c r="A3805" s="17"/>
    </row>
    <row r="3806" spans="1:1" x14ac:dyDescent="0.25">
      <c r="A3806" s="17"/>
    </row>
    <row r="3807" spans="1:1" x14ac:dyDescent="0.25">
      <c r="A3807" s="17"/>
    </row>
    <row r="3808" spans="1:1" x14ac:dyDescent="0.25">
      <c r="A3808" s="17"/>
    </row>
    <row r="3809" spans="1:1" x14ac:dyDescent="0.25">
      <c r="A3809" s="17"/>
    </row>
    <row r="3810" spans="1:1" x14ac:dyDescent="0.25">
      <c r="A3810" s="17"/>
    </row>
    <row r="3811" spans="1:1" x14ac:dyDescent="0.25">
      <c r="A3811" s="17"/>
    </row>
    <row r="3812" spans="1:1" x14ac:dyDescent="0.25">
      <c r="A3812" s="17"/>
    </row>
    <row r="3813" spans="1:1" x14ac:dyDescent="0.25">
      <c r="A3813" s="17"/>
    </row>
    <row r="3814" spans="1:1" x14ac:dyDescent="0.25">
      <c r="A3814" s="17"/>
    </row>
    <row r="3815" spans="1:1" x14ac:dyDescent="0.25">
      <c r="A3815" s="17"/>
    </row>
    <row r="3816" spans="1:1" x14ac:dyDescent="0.25">
      <c r="A3816" s="17"/>
    </row>
    <row r="3817" spans="1:1" x14ac:dyDescent="0.25">
      <c r="A3817" s="17"/>
    </row>
    <row r="3818" spans="1:1" x14ac:dyDescent="0.25">
      <c r="A3818" s="17"/>
    </row>
    <row r="3819" spans="1:1" x14ac:dyDescent="0.25">
      <c r="A3819" s="17"/>
    </row>
    <row r="3820" spans="1:1" x14ac:dyDescent="0.25">
      <c r="A3820" s="17"/>
    </row>
    <row r="3821" spans="1:1" x14ac:dyDescent="0.25">
      <c r="A3821" s="17"/>
    </row>
    <row r="3822" spans="1:1" x14ac:dyDescent="0.25">
      <c r="A3822" s="17"/>
    </row>
    <row r="3823" spans="1:1" x14ac:dyDescent="0.25">
      <c r="A3823" s="17"/>
    </row>
    <row r="3824" spans="1:1" x14ac:dyDescent="0.25">
      <c r="A3824" s="17"/>
    </row>
    <row r="3825" spans="1:1" x14ac:dyDescent="0.25">
      <c r="A3825" s="17"/>
    </row>
    <row r="3826" spans="1:1" x14ac:dyDescent="0.25">
      <c r="A3826" s="17"/>
    </row>
    <row r="3827" spans="1:1" x14ac:dyDescent="0.25">
      <c r="A3827" s="17"/>
    </row>
    <row r="3828" spans="1:1" x14ac:dyDescent="0.25">
      <c r="A3828" s="17"/>
    </row>
    <row r="3829" spans="1:1" x14ac:dyDescent="0.25">
      <c r="A3829" s="17"/>
    </row>
    <row r="3830" spans="1:1" x14ac:dyDescent="0.25">
      <c r="A3830" s="17"/>
    </row>
    <row r="3831" spans="1:1" x14ac:dyDescent="0.25">
      <c r="A3831" s="17"/>
    </row>
    <row r="3832" spans="1:1" x14ac:dyDescent="0.25">
      <c r="A3832" s="17"/>
    </row>
    <row r="3833" spans="1:1" x14ac:dyDescent="0.25">
      <c r="A3833" s="17"/>
    </row>
    <row r="3834" spans="1:1" x14ac:dyDescent="0.25">
      <c r="A3834" s="17"/>
    </row>
    <row r="3835" spans="1:1" x14ac:dyDescent="0.25">
      <c r="A3835" s="17"/>
    </row>
    <row r="3836" spans="1:1" x14ac:dyDescent="0.25">
      <c r="A3836" s="17"/>
    </row>
    <row r="3837" spans="1:1" x14ac:dyDescent="0.25">
      <c r="A3837" s="17"/>
    </row>
    <row r="3838" spans="1:1" x14ac:dyDescent="0.25">
      <c r="A3838" s="17"/>
    </row>
    <row r="3839" spans="1:1" x14ac:dyDescent="0.25">
      <c r="A3839" s="17"/>
    </row>
    <row r="3840" spans="1:1" x14ac:dyDescent="0.25">
      <c r="A3840" s="17"/>
    </row>
    <row r="3841" spans="1:1" x14ac:dyDescent="0.25">
      <c r="A3841" s="17"/>
    </row>
    <row r="3842" spans="1:1" x14ac:dyDescent="0.25">
      <c r="A3842" s="17"/>
    </row>
    <row r="3843" spans="1:1" x14ac:dyDescent="0.25">
      <c r="A3843" s="17"/>
    </row>
    <row r="3844" spans="1:1" x14ac:dyDescent="0.25">
      <c r="A3844" s="17"/>
    </row>
    <row r="3845" spans="1:1" x14ac:dyDescent="0.25">
      <c r="A3845" s="17"/>
    </row>
    <row r="3846" spans="1:1" x14ac:dyDescent="0.25">
      <c r="A3846" s="17"/>
    </row>
    <row r="3847" spans="1:1" x14ac:dyDescent="0.25">
      <c r="A3847" s="17"/>
    </row>
    <row r="3848" spans="1:1" x14ac:dyDescent="0.25">
      <c r="A3848" s="17"/>
    </row>
    <row r="3849" spans="1:1" x14ac:dyDescent="0.25">
      <c r="A3849" s="17"/>
    </row>
    <row r="3850" spans="1:1" x14ac:dyDescent="0.25">
      <c r="A3850" s="17"/>
    </row>
    <row r="3851" spans="1:1" x14ac:dyDescent="0.25">
      <c r="A3851" s="17"/>
    </row>
    <row r="3852" spans="1:1" x14ac:dyDescent="0.25">
      <c r="A3852" s="17"/>
    </row>
    <row r="3853" spans="1:1" x14ac:dyDescent="0.25">
      <c r="A3853" s="17"/>
    </row>
    <row r="3854" spans="1:1" x14ac:dyDescent="0.25">
      <c r="A3854" s="17"/>
    </row>
    <row r="3855" spans="1:1" x14ac:dyDescent="0.25">
      <c r="A3855" s="17"/>
    </row>
    <row r="3856" spans="1:1" x14ac:dyDescent="0.25">
      <c r="A3856" s="17"/>
    </row>
    <row r="3857" spans="1:1" x14ac:dyDescent="0.25">
      <c r="A3857" s="17"/>
    </row>
    <row r="3858" spans="1:1" x14ac:dyDescent="0.25">
      <c r="A3858" s="17"/>
    </row>
    <row r="3859" spans="1:1" x14ac:dyDescent="0.25">
      <c r="A3859" s="17"/>
    </row>
    <row r="3860" spans="1:1" x14ac:dyDescent="0.25">
      <c r="A3860" s="17"/>
    </row>
    <row r="3861" spans="1:1" x14ac:dyDescent="0.25">
      <c r="A3861" s="17"/>
    </row>
    <row r="3862" spans="1:1" x14ac:dyDescent="0.25">
      <c r="A3862" s="17"/>
    </row>
    <row r="3863" spans="1:1" x14ac:dyDescent="0.25">
      <c r="A3863" s="17"/>
    </row>
    <row r="3864" spans="1:1" x14ac:dyDescent="0.25">
      <c r="A3864" s="17"/>
    </row>
    <row r="3865" spans="1:1" x14ac:dyDescent="0.25">
      <c r="A3865" s="17"/>
    </row>
    <row r="3866" spans="1:1" x14ac:dyDescent="0.25">
      <c r="A3866" s="17"/>
    </row>
    <row r="3867" spans="1:1" x14ac:dyDescent="0.25">
      <c r="A3867" s="17"/>
    </row>
    <row r="3868" spans="1:1" x14ac:dyDescent="0.25">
      <c r="A3868" s="17"/>
    </row>
    <row r="3869" spans="1:1" x14ac:dyDescent="0.25">
      <c r="A3869" s="17"/>
    </row>
    <row r="3870" spans="1:1" x14ac:dyDescent="0.25">
      <c r="A3870" s="17"/>
    </row>
    <row r="3871" spans="1:1" x14ac:dyDescent="0.25">
      <c r="A3871" s="17"/>
    </row>
    <row r="3872" spans="1:1" x14ac:dyDescent="0.25">
      <c r="A3872" s="17"/>
    </row>
    <row r="3873" spans="1:1" x14ac:dyDescent="0.25">
      <c r="A3873" s="17"/>
    </row>
    <row r="3874" spans="1:1" x14ac:dyDescent="0.25">
      <c r="A3874" s="17"/>
    </row>
    <row r="3875" spans="1:1" x14ac:dyDescent="0.25">
      <c r="A3875" s="17"/>
    </row>
    <row r="3876" spans="1:1" x14ac:dyDescent="0.25">
      <c r="A3876" s="17"/>
    </row>
    <row r="3877" spans="1:1" x14ac:dyDescent="0.25">
      <c r="A3877" s="17"/>
    </row>
    <row r="3878" spans="1:1" x14ac:dyDescent="0.25">
      <c r="A3878" s="17"/>
    </row>
    <row r="3879" spans="1:1" x14ac:dyDescent="0.25">
      <c r="A3879" s="17"/>
    </row>
    <row r="3880" spans="1:1" x14ac:dyDescent="0.25">
      <c r="A3880" s="17"/>
    </row>
    <row r="3881" spans="1:1" x14ac:dyDescent="0.25">
      <c r="A3881" s="17"/>
    </row>
    <row r="3882" spans="1:1" x14ac:dyDescent="0.25">
      <c r="A3882" s="17"/>
    </row>
    <row r="3883" spans="1:1" x14ac:dyDescent="0.25">
      <c r="A3883" s="17"/>
    </row>
    <row r="3884" spans="1:1" x14ac:dyDescent="0.25">
      <c r="A3884" s="17"/>
    </row>
    <row r="3885" spans="1:1" x14ac:dyDescent="0.25">
      <c r="A3885" s="17"/>
    </row>
    <row r="3886" spans="1:1" x14ac:dyDescent="0.25">
      <c r="A3886" s="17"/>
    </row>
    <row r="3887" spans="1:1" x14ac:dyDescent="0.25">
      <c r="A3887" s="17"/>
    </row>
    <row r="3888" spans="1:1" x14ac:dyDescent="0.25">
      <c r="A3888" s="17"/>
    </row>
    <row r="3889" spans="1:1" x14ac:dyDescent="0.25">
      <c r="A3889" s="17"/>
    </row>
    <row r="3890" spans="1:1" x14ac:dyDescent="0.25">
      <c r="A3890" s="17"/>
    </row>
    <row r="3891" spans="1:1" x14ac:dyDescent="0.25">
      <c r="A3891" s="17"/>
    </row>
    <row r="3892" spans="1:1" x14ac:dyDescent="0.25">
      <c r="A3892" s="17"/>
    </row>
    <row r="3893" spans="1:1" x14ac:dyDescent="0.25">
      <c r="A3893" s="17"/>
    </row>
    <row r="3894" spans="1:1" x14ac:dyDescent="0.25">
      <c r="A3894" s="17"/>
    </row>
    <row r="3895" spans="1:1" x14ac:dyDescent="0.25">
      <c r="A3895" s="17"/>
    </row>
    <row r="3896" spans="1:1" x14ac:dyDescent="0.25">
      <c r="A3896" s="17"/>
    </row>
    <row r="3897" spans="1:1" x14ac:dyDescent="0.25">
      <c r="A3897" s="17"/>
    </row>
    <row r="3898" spans="1:1" x14ac:dyDescent="0.25">
      <c r="A3898" s="17"/>
    </row>
    <row r="3899" spans="1:1" x14ac:dyDescent="0.25">
      <c r="A3899" s="17"/>
    </row>
    <row r="3900" spans="1:1" x14ac:dyDescent="0.25">
      <c r="A3900" s="17"/>
    </row>
    <row r="3901" spans="1:1" x14ac:dyDescent="0.25">
      <c r="A3901" s="17"/>
    </row>
    <row r="3902" spans="1:1" x14ac:dyDescent="0.25">
      <c r="A3902" s="17"/>
    </row>
    <row r="3903" spans="1:1" x14ac:dyDescent="0.25">
      <c r="A3903" s="17"/>
    </row>
    <row r="3904" spans="1:1" x14ac:dyDescent="0.25">
      <c r="A3904" s="17"/>
    </row>
    <row r="3905" spans="1:1" x14ac:dyDescent="0.25">
      <c r="A3905" s="17"/>
    </row>
    <row r="3906" spans="1:1" x14ac:dyDescent="0.25">
      <c r="A3906" s="17"/>
    </row>
    <row r="3907" spans="1:1" x14ac:dyDescent="0.25">
      <c r="A3907" s="17"/>
    </row>
    <row r="3908" spans="1:1" x14ac:dyDescent="0.25">
      <c r="A3908" s="17"/>
    </row>
    <row r="3909" spans="1:1" x14ac:dyDescent="0.25">
      <c r="A3909" s="17"/>
    </row>
    <row r="3910" spans="1:1" x14ac:dyDescent="0.25">
      <c r="A3910" s="17"/>
    </row>
    <row r="3911" spans="1:1" x14ac:dyDescent="0.25">
      <c r="A3911" s="17"/>
    </row>
    <row r="3912" spans="1:1" x14ac:dyDescent="0.25">
      <c r="A3912" s="17"/>
    </row>
    <row r="3913" spans="1:1" x14ac:dyDescent="0.25">
      <c r="A3913" s="17"/>
    </row>
    <row r="3914" spans="1:1" x14ac:dyDescent="0.25">
      <c r="A3914" s="17"/>
    </row>
    <row r="3915" spans="1:1" x14ac:dyDescent="0.25">
      <c r="A3915" s="17"/>
    </row>
    <row r="3916" spans="1:1" x14ac:dyDescent="0.25">
      <c r="A3916" s="17"/>
    </row>
    <row r="3917" spans="1:1" x14ac:dyDescent="0.25">
      <c r="A3917" s="17"/>
    </row>
    <row r="3918" spans="1:1" x14ac:dyDescent="0.25">
      <c r="A3918" s="17"/>
    </row>
    <row r="3919" spans="1:1" x14ac:dyDescent="0.25">
      <c r="A3919" s="17"/>
    </row>
    <row r="3920" spans="1:1" x14ac:dyDescent="0.25">
      <c r="A3920" s="17"/>
    </row>
    <row r="3921" spans="1:1" x14ac:dyDescent="0.25">
      <c r="A3921" s="17"/>
    </row>
    <row r="3922" spans="1:1" x14ac:dyDescent="0.25">
      <c r="A3922" s="17"/>
    </row>
    <row r="3923" spans="1:1" x14ac:dyDescent="0.25">
      <c r="A3923" s="17"/>
    </row>
    <row r="3924" spans="1:1" x14ac:dyDescent="0.25">
      <c r="A3924" s="17"/>
    </row>
    <row r="3925" spans="1:1" x14ac:dyDescent="0.25">
      <c r="A3925" s="17"/>
    </row>
    <row r="3926" spans="1:1" x14ac:dyDescent="0.25">
      <c r="A3926" s="17"/>
    </row>
    <row r="3927" spans="1:1" x14ac:dyDescent="0.25">
      <c r="A3927" s="17"/>
    </row>
    <row r="3928" spans="1:1" x14ac:dyDescent="0.25">
      <c r="A3928" s="17"/>
    </row>
    <row r="3929" spans="1:1" x14ac:dyDescent="0.25">
      <c r="A3929" s="17"/>
    </row>
    <row r="3930" spans="1:1" x14ac:dyDescent="0.25">
      <c r="A3930" s="17"/>
    </row>
    <row r="3931" spans="1:1" x14ac:dyDescent="0.25">
      <c r="A3931" s="17"/>
    </row>
    <row r="3932" spans="1:1" x14ac:dyDescent="0.25">
      <c r="A3932" s="17"/>
    </row>
    <row r="3933" spans="1:1" x14ac:dyDescent="0.25">
      <c r="A3933" s="17"/>
    </row>
    <row r="3934" spans="1:1" x14ac:dyDescent="0.25">
      <c r="A3934" s="17"/>
    </row>
    <row r="3935" spans="1:1" x14ac:dyDescent="0.25">
      <c r="A3935" s="17"/>
    </row>
    <row r="3936" spans="1:1" x14ac:dyDescent="0.25">
      <c r="A3936" s="17"/>
    </row>
    <row r="3937" spans="1:1" x14ac:dyDescent="0.25">
      <c r="A3937" s="17"/>
    </row>
    <row r="3938" spans="1:1" x14ac:dyDescent="0.25">
      <c r="A3938" s="17"/>
    </row>
    <row r="3939" spans="1:1" x14ac:dyDescent="0.25">
      <c r="A3939" s="17"/>
    </row>
    <row r="3940" spans="1:1" x14ac:dyDescent="0.25">
      <c r="A3940" s="17"/>
    </row>
    <row r="3941" spans="1:1" x14ac:dyDescent="0.25">
      <c r="A3941" s="17"/>
    </row>
    <row r="3942" spans="1:1" x14ac:dyDescent="0.25">
      <c r="A3942" s="17"/>
    </row>
    <row r="3943" spans="1:1" x14ac:dyDescent="0.25">
      <c r="A3943" s="17"/>
    </row>
    <row r="3944" spans="1:1" x14ac:dyDescent="0.25">
      <c r="A3944" s="17"/>
    </row>
    <row r="3945" spans="1:1" x14ac:dyDescent="0.25">
      <c r="A3945" s="17"/>
    </row>
    <row r="3946" spans="1:1" x14ac:dyDescent="0.25">
      <c r="A3946" s="17"/>
    </row>
    <row r="3947" spans="1:1" x14ac:dyDescent="0.25">
      <c r="A3947" s="17"/>
    </row>
    <row r="3948" spans="1:1" x14ac:dyDescent="0.25">
      <c r="A3948" s="17"/>
    </row>
    <row r="3949" spans="1:1" x14ac:dyDescent="0.25">
      <c r="A3949" s="17"/>
    </row>
    <row r="3950" spans="1:1" x14ac:dyDescent="0.25">
      <c r="A3950" s="17"/>
    </row>
    <row r="3951" spans="1:1" x14ac:dyDescent="0.25">
      <c r="A3951" s="17"/>
    </row>
    <row r="3952" spans="1:1" x14ac:dyDescent="0.25">
      <c r="A3952" s="17"/>
    </row>
    <row r="3953" spans="1:1" x14ac:dyDescent="0.25">
      <c r="A3953" s="17"/>
    </row>
    <row r="3954" spans="1:1" x14ac:dyDescent="0.25">
      <c r="A3954" s="17"/>
    </row>
    <row r="3955" spans="1:1" x14ac:dyDescent="0.25">
      <c r="A3955" s="17"/>
    </row>
    <row r="3956" spans="1:1" x14ac:dyDescent="0.25">
      <c r="A3956" s="17"/>
    </row>
    <row r="3957" spans="1:1" x14ac:dyDescent="0.25">
      <c r="A3957" s="17"/>
    </row>
    <row r="3958" spans="1:1" x14ac:dyDescent="0.25">
      <c r="A3958" s="17"/>
    </row>
    <row r="3959" spans="1:1" x14ac:dyDescent="0.25">
      <c r="A3959" s="17"/>
    </row>
    <row r="3960" spans="1:1" x14ac:dyDescent="0.25">
      <c r="A3960" s="17"/>
    </row>
    <row r="3961" spans="1:1" x14ac:dyDescent="0.25">
      <c r="A3961" s="17"/>
    </row>
    <row r="3962" spans="1:1" x14ac:dyDescent="0.25">
      <c r="A3962" s="17"/>
    </row>
    <row r="3963" spans="1:1" x14ac:dyDescent="0.25">
      <c r="A3963" s="17"/>
    </row>
    <row r="3964" spans="1:1" x14ac:dyDescent="0.25">
      <c r="A3964" s="17"/>
    </row>
    <row r="3965" spans="1:1" x14ac:dyDescent="0.25">
      <c r="A3965" s="17"/>
    </row>
    <row r="3966" spans="1:1" x14ac:dyDescent="0.25">
      <c r="A3966" s="17"/>
    </row>
    <row r="3967" spans="1:1" x14ac:dyDescent="0.25">
      <c r="A3967" s="17"/>
    </row>
    <row r="3968" spans="1:1" x14ac:dyDescent="0.25">
      <c r="A3968" s="17"/>
    </row>
    <row r="3969" spans="1:1" x14ac:dyDescent="0.25">
      <c r="A3969" s="17"/>
    </row>
    <row r="3970" spans="1:1" x14ac:dyDescent="0.25">
      <c r="A3970" s="17"/>
    </row>
    <row r="3971" spans="1:1" x14ac:dyDescent="0.25">
      <c r="A3971" s="17"/>
    </row>
    <row r="3972" spans="1:1" x14ac:dyDescent="0.25">
      <c r="A3972" s="17"/>
    </row>
    <row r="3973" spans="1:1" x14ac:dyDescent="0.25">
      <c r="A3973" s="17"/>
    </row>
    <row r="3974" spans="1:1" x14ac:dyDescent="0.25">
      <c r="A3974" s="17"/>
    </row>
    <row r="3975" spans="1:1" x14ac:dyDescent="0.25">
      <c r="A3975" s="17"/>
    </row>
    <row r="3976" spans="1:1" x14ac:dyDescent="0.25">
      <c r="A3976" s="17"/>
    </row>
    <row r="3977" spans="1:1" x14ac:dyDescent="0.25">
      <c r="A3977" s="17"/>
    </row>
    <row r="3978" spans="1:1" x14ac:dyDescent="0.25">
      <c r="A3978" s="17"/>
    </row>
    <row r="3979" spans="1:1" x14ac:dyDescent="0.25">
      <c r="A3979" s="17"/>
    </row>
    <row r="3980" spans="1:1" x14ac:dyDescent="0.25">
      <c r="A3980" s="17"/>
    </row>
    <row r="3981" spans="1:1" x14ac:dyDescent="0.25">
      <c r="A3981" s="17"/>
    </row>
    <row r="3982" spans="1:1" x14ac:dyDescent="0.25">
      <c r="A3982" s="17"/>
    </row>
    <row r="3983" spans="1:1" x14ac:dyDescent="0.25">
      <c r="A3983" s="17"/>
    </row>
    <row r="3984" spans="1:1" x14ac:dyDescent="0.25">
      <c r="A3984" s="17"/>
    </row>
    <row r="3985" spans="1:1" x14ac:dyDescent="0.25">
      <c r="A3985" s="17"/>
    </row>
    <row r="3986" spans="1:1" x14ac:dyDescent="0.25">
      <c r="A3986" s="17"/>
    </row>
    <row r="3987" spans="1:1" x14ac:dyDescent="0.25">
      <c r="A3987" s="17"/>
    </row>
    <row r="3988" spans="1:1" x14ac:dyDescent="0.25">
      <c r="A3988" s="17"/>
    </row>
    <row r="3989" spans="1:1" x14ac:dyDescent="0.25">
      <c r="A3989" s="17"/>
    </row>
    <row r="3990" spans="1:1" x14ac:dyDescent="0.25">
      <c r="A3990" s="17"/>
    </row>
    <row r="3991" spans="1:1" x14ac:dyDescent="0.25">
      <c r="A3991" s="17"/>
    </row>
    <row r="3992" spans="1:1" x14ac:dyDescent="0.25">
      <c r="A3992" s="17"/>
    </row>
    <row r="3993" spans="1:1" x14ac:dyDescent="0.25">
      <c r="A3993" s="17"/>
    </row>
    <row r="3994" spans="1:1" x14ac:dyDescent="0.25">
      <c r="A3994" s="17"/>
    </row>
    <row r="3995" spans="1:1" x14ac:dyDescent="0.25">
      <c r="A3995" s="17"/>
    </row>
    <row r="3996" spans="1:1" x14ac:dyDescent="0.25">
      <c r="A3996" s="17"/>
    </row>
    <row r="3997" spans="1:1" x14ac:dyDescent="0.25">
      <c r="A3997" s="17"/>
    </row>
    <row r="3998" spans="1:1" x14ac:dyDescent="0.25">
      <c r="A3998" s="17"/>
    </row>
    <row r="3999" spans="1:1" x14ac:dyDescent="0.25">
      <c r="A3999" s="17"/>
    </row>
    <row r="4000" spans="1:1" x14ac:dyDescent="0.25">
      <c r="A4000" s="17"/>
    </row>
    <row r="4001" spans="1:1" x14ac:dyDescent="0.25">
      <c r="A4001" s="17"/>
    </row>
    <row r="4002" spans="1:1" x14ac:dyDescent="0.25">
      <c r="A4002" s="17"/>
    </row>
    <row r="4003" spans="1:1" x14ac:dyDescent="0.25">
      <c r="A4003" s="17"/>
    </row>
    <row r="4004" spans="1:1" x14ac:dyDescent="0.25">
      <c r="A4004" s="17"/>
    </row>
    <row r="4005" spans="1:1" x14ac:dyDescent="0.25">
      <c r="A4005" s="17"/>
    </row>
    <row r="4006" spans="1:1" x14ac:dyDescent="0.25">
      <c r="A4006" s="17"/>
    </row>
    <row r="4007" spans="1:1" x14ac:dyDescent="0.25">
      <c r="A4007" s="17"/>
    </row>
    <row r="4008" spans="1:1" x14ac:dyDescent="0.25">
      <c r="A4008" s="17"/>
    </row>
    <row r="4009" spans="1:1" x14ac:dyDescent="0.25">
      <c r="A4009" s="17"/>
    </row>
    <row r="4010" spans="1:1" x14ac:dyDescent="0.25">
      <c r="A4010" s="17"/>
    </row>
    <row r="4011" spans="1:1" x14ac:dyDescent="0.25">
      <c r="A4011" s="17"/>
    </row>
    <row r="4012" spans="1:1" x14ac:dyDescent="0.25">
      <c r="A4012" s="17"/>
    </row>
    <row r="4013" spans="1:1" x14ac:dyDescent="0.25">
      <c r="A4013" s="17"/>
    </row>
    <row r="4014" spans="1:1" x14ac:dyDescent="0.25">
      <c r="A4014" s="17"/>
    </row>
    <row r="4015" spans="1:1" x14ac:dyDescent="0.25">
      <c r="A4015" s="17"/>
    </row>
    <row r="4016" spans="1:1" x14ac:dyDescent="0.25">
      <c r="A4016" s="17"/>
    </row>
    <row r="4017" spans="1:1" x14ac:dyDescent="0.25">
      <c r="A4017" s="17"/>
    </row>
    <row r="4018" spans="1:1" x14ac:dyDescent="0.25">
      <c r="A4018" s="17"/>
    </row>
    <row r="4019" spans="1:1" x14ac:dyDescent="0.25">
      <c r="A4019" s="17"/>
    </row>
    <row r="4020" spans="1:1" x14ac:dyDescent="0.25">
      <c r="A4020" s="17"/>
    </row>
    <row r="4021" spans="1:1" x14ac:dyDescent="0.25">
      <c r="A4021" s="17"/>
    </row>
    <row r="4022" spans="1:1" x14ac:dyDescent="0.25">
      <c r="A4022" s="17"/>
    </row>
    <row r="4023" spans="1:1" x14ac:dyDescent="0.25">
      <c r="A4023" s="17"/>
    </row>
    <row r="4024" spans="1:1" x14ac:dyDescent="0.25">
      <c r="A4024" s="17"/>
    </row>
    <row r="4025" spans="1:1" x14ac:dyDescent="0.25">
      <c r="A4025" s="17"/>
    </row>
    <row r="4026" spans="1:1" x14ac:dyDescent="0.25">
      <c r="A4026" s="17"/>
    </row>
    <row r="4027" spans="1:1" x14ac:dyDescent="0.25">
      <c r="A4027" s="17"/>
    </row>
    <row r="4028" spans="1:1" x14ac:dyDescent="0.25">
      <c r="A4028" s="17"/>
    </row>
    <row r="4029" spans="1:1" x14ac:dyDescent="0.25">
      <c r="A4029" s="17"/>
    </row>
    <row r="4030" spans="1:1" x14ac:dyDescent="0.25">
      <c r="A4030" s="17"/>
    </row>
    <row r="4031" spans="1:1" x14ac:dyDescent="0.25">
      <c r="A4031" s="17"/>
    </row>
    <row r="4032" spans="1:1" x14ac:dyDescent="0.25">
      <c r="A4032" s="17"/>
    </row>
    <row r="4033" spans="1:1" x14ac:dyDescent="0.25">
      <c r="A4033" s="17"/>
    </row>
    <row r="4034" spans="1:1" x14ac:dyDescent="0.25">
      <c r="A4034" s="17"/>
    </row>
    <row r="4035" spans="1:1" x14ac:dyDescent="0.25">
      <c r="A4035" s="17"/>
    </row>
    <row r="4036" spans="1:1" x14ac:dyDescent="0.25">
      <c r="A4036" s="17"/>
    </row>
    <row r="4037" spans="1:1" x14ac:dyDescent="0.25">
      <c r="A4037" s="17"/>
    </row>
    <row r="4038" spans="1:1" x14ac:dyDescent="0.25">
      <c r="A4038" s="17"/>
    </row>
    <row r="4039" spans="1:1" x14ac:dyDescent="0.25">
      <c r="A4039" s="17"/>
    </row>
    <row r="4040" spans="1:1" x14ac:dyDescent="0.25">
      <c r="A4040" s="17"/>
    </row>
    <row r="4041" spans="1:1" x14ac:dyDescent="0.25">
      <c r="A4041" s="17"/>
    </row>
    <row r="4042" spans="1:1" x14ac:dyDescent="0.25">
      <c r="A4042" s="17"/>
    </row>
    <row r="4043" spans="1:1" x14ac:dyDescent="0.25">
      <c r="A4043" s="17"/>
    </row>
    <row r="4044" spans="1:1" x14ac:dyDescent="0.25">
      <c r="A4044" s="17"/>
    </row>
    <row r="4045" spans="1:1" x14ac:dyDescent="0.25">
      <c r="A4045" s="17"/>
    </row>
    <row r="4046" spans="1:1" x14ac:dyDescent="0.25">
      <c r="A4046" s="17"/>
    </row>
    <row r="4047" spans="1:1" x14ac:dyDescent="0.25">
      <c r="A4047" s="17"/>
    </row>
    <row r="4048" spans="1:1" x14ac:dyDescent="0.25">
      <c r="A4048" s="17"/>
    </row>
    <row r="4049" spans="1:1" x14ac:dyDescent="0.25">
      <c r="A4049" s="17"/>
    </row>
    <row r="4050" spans="1:1" x14ac:dyDescent="0.25">
      <c r="A4050" s="17"/>
    </row>
    <row r="4051" spans="1:1" x14ac:dyDescent="0.25">
      <c r="A4051" s="17"/>
    </row>
    <row r="4052" spans="1:1" x14ac:dyDescent="0.25">
      <c r="A4052" s="17"/>
    </row>
    <row r="4053" spans="1:1" x14ac:dyDescent="0.25">
      <c r="A4053" s="17"/>
    </row>
    <row r="4054" spans="1:1" x14ac:dyDescent="0.25">
      <c r="A4054" s="17"/>
    </row>
    <row r="4055" spans="1:1" x14ac:dyDescent="0.25">
      <c r="A4055" s="17"/>
    </row>
    <row r="4056" spans="1:1" x14ac:dyDescent="0.25">
      <c r="A4056" s="17"/>
    </row>
    <row r="4057" spans="1:1" x14ac:dyDescent="0.25">
      <c r="A4057" s="17"/>
    </row>
    <row r="4058" spans="1:1" x14ac:dyDescent="0.25">
      <c r="A4058" s="17"/>
    </row>
    <row r="4059" spans="1:1" x14ac:dyDescent="0.25">
      <c r="A4059" s="17"/>
    </row>
    <row r="4060" spans="1:1" x14ac:dyDescent="0.25">
      <c r="A4060" s="17"/>
    </row>
    <row r="4061" spans="1:1" x14ac:dyDescent="0.25">
      <c r="A4061" s="17"/>
    </row>
    <row r="4062" spans="1:1" x14ac:dyDescent="0.25">
      <c r="A4062" s="17"/>
    </row>
    <row r="4063" spans="1:1" x14ac:dyDescent="0.25">
      <c r="A4063" s="17"/>
    </row>
    <row r="4064" spans="1:1" x14ac:dyDescent="0.25">
      <c r="A4064" s="17"/>
    </row>
    <row r="4065" spans="1:1" x14ac:dyDescent="0.25">
      <c r="A4065" s="17"/>
    </row>
    <row r="4066" spans="1:1" x14ac:dyDescent="0.25">
      <c r="A4066" s="17"/>
    </row>
    <row r="4067" spans="1:1" x14ac:dyDescent="0.25">
      <c r="A4067" s="17"/>
    </row>
    <row r="4068" spans="1:1" x14ac:dyDescent="0.25">
      <c r="A4068" s="17"/>
    </row>
    <row r="4069" spans="1:1" x14ac:dyDescent="0.25">
      <c r="A4069" s="17"/>
    </row>
    <row r="4070" spans="1:1" x14ac:dyDescent="0.25">
      <c r="A4070" s="17"/>
    </row>
    <row r="4071" spans="1:1" x14ac:dyDescent="0.25">
      <c r="A4071" s="17"/>
    </row>
    <row r="4072" spans="1:1" x14ac:dyDescent="0.25">
      <c r="A4072" s="17"/>
    </row>
    <row r="4073" spans="1:1" x14ac:dyDescent="0.25">
      <c r="A4073" s="17"/>
    </row>
    <row r="4074" spans="1:1" x14ac:dyDescent="0.25">
      <c r="A4074" s="17"/>
    </row>
    <row r="4075" spans="1:1" x14ac:dyDescent="0.25">
      <c r="A4075" s="17"/>
    </row>
    <row r="4076" spans="1:1" x14ac:dyDescent="0.25">
      <c r="A4076" s="17"/>
    </row>
    <row r="4077" spans="1:1" x14ac:dyDescent="0.25">
      <c r="A4077" s="17"/>
    </row>
    <row r="4078" spans="1:1" x14ac:dyDescent="0.25">
      <c r="A4078" s="17"/>
    </row>
    <row r="4079" spans="1:1" x14ac:dyDescent="0.25">
      <c r="A4079" s="17"/>
    </row>
    <row r="4080" spans="1:1" x14ac:dyDescent="0.25">
      <c r="A4080" s="17"/>
    </row>
    <row r="4081" spans="1:1" x14ac:dyDescent="0.25">
      <c r="A4081" s="17"/>
    </row>
    <row r="4082" spans="1:1" x14ac:dyDescent="0.25">
      <c r="A4082" s="17"/>
    </row>
    <row r="4083" spans="1:1" x14ac:dyDescent="0.25">
      <c r="A4083" s="17"/>
    </row>
    <row r="4084" spans="1:1" x14ac:dyDescent="0.25">
      <c r="A4084" s="17"/>
    </row>
    <row r="4085" spans="1:1" x14ac:dyDescent="0.25">
      <c r="A4085" s="17"/>
    </row>
    <row r="4086" spans="1:1" x14ac:dyDescent="0.25">
      <c r="A4086" s="17"/>
    </row>
    <row r="4087" spans="1:1" x14ac:dyDescent="0.25">
      <c r="A4087" s="17"/>
    </row>
    <row r="4088" spans="1:1" x14ac:dyDescent="0.25">
      <c r="A4088" s="17"/>
    </row>
    <row r="4089" spans="1:1" x14ac:dyDescent="0.25">
      <c r="A4089" s="17"/>
    </row>
    <row r="4090" spans="1:1" x14ac:dyDescent="0.25">
      <c r="A4090" s="17"/>
    </row>
    <row r="4091" spans="1:1" x14ac:dyDescent="0.25">
      <c r="A4091" s="17"/>
    </row>
    <row r="4092" spans="1:1" x14ac:dyDescent="0.25">
      <c r="A4092" s="17"/>
    </row>
    <row r="4093" spans="1:1" x14ac:dyDescent="0.25">
      <c r="A4093" s="17"/>
    </row>
    <row r="4094" spans="1:1" x14ac:dyDescent="0.25">
      <c r="A4094" s="17"/>
    </row>
    <row r="4095" spans="1:1" x14ac:dyDescent="0.25">
      <c r="A4095" s="17"/>
    </row>
    <row r="4096" spans="1:1" x14ac:dyDescent="0.25">
      <c r="A4096" s="17"/>
    </row>
    <row r="4097" spans="1:1" x14ac:dyDescent="0.25">
      <c r="A4097" s="17"/>
    </row>
    <row r="4098" spans="1:1" x14ac:dyDescent="0.25">
      <c r="A4098" s="17"/>
    </row>
    <row r="4099" spans="1:1" x14ac:dyDescent="0.25">
      <c r="A4099" s="17"/>
    </row>
    <row r="4100" spans="1:1" x14ac:dyDescent="0.25">
      <c r="A4100" s="17"/>
    </row>
    <row r="4101" spans="1:1" x14ac:dyDescent="0.25">
      <c r="A4101" s="17"/>
    </row>
    <row r="4102" spans="1:1" x14ac:dyDescent="0.25">
      <c r="A4102" s="17"/>
    </row>
    <row r="4103" spans="1:1" x14ac:dyDescent="0.25">
      <c r="A4103" s="17"/>
    </row>
    <row r="4104" spans="1:1" x14ac:dyDescent="0.25">
      <c r="A4104" s="17"/>
    </row>
    <row r="4105" spans="1:1" x14ac:dyDescent="0.25">
      <c r="A4105" s="17"/>
    </row>
    <row r="4106" spans="1:1" x14ac:dyDescent="0.25">
      <c r="A4106" s="17"/>
    </row>
    <row r="4107" spans="1:1" x14ac:dyDescent="0.25">
      <c r="A4107" s="17"/>
    </row>
    <row r="4108" spans="1:1" x14ac:dyDescent="0.25">
      <c r="A4108" s="17"/>
    </row>
    <row r="4109" spans="1:1" x14ac:dyDescent="0.25">
      <c r="A4109" s="17"/>
    </row>
    <row r="4110" spans="1:1" x14ac:dyDescent="0.25">
      <c r="A4110" s="17"/>
    </row>
    <row r="4111" spans="1:1" x14ac:dyDescent="0.25">
      <c r="A4111" s="17"/>
    </row>
    <row r="4112" spans="1:1" x14ac:dyDescent="0.25">
      <c r="A4112" s="17"/>
    </row>
    <row r="4113" spans="1:1" x14ac:dyDescent="0.25">
      <c r="A4113" s="17"/>
    </row>
    <row r="4114" spans="1:1" x14ac:dyDescent="0.25">
      <c r="A4114" s="17"/>
    </row>
    <row r="4115" spans="1:1" x14ac:dyDescent="0.25">
      <c r="A4115" s="17"/>
    </row>
    <row r="4116" spans="1:1" x14ac:dyDescent="0.25">
      <c r="A4116" s="17"/>
    </row>
    <row r="4117" spans="1:1" x14ac:dyDescent="0.25">
      <c r="A4117" s="17"/>
    </row>
    <row r="4118" spans="1:1" x14ac:dyDescent="0.25">
      <c r="A4118" s="17"/>
    </row>
    <row r="4119" spans="1:1" x14ac:dyDescent="0.25">
      <c r="A4119" s="17"/>
    </row>
    <row r="4120" spans="1:1" x14ac:dyDescent="0.25">
      <c r="A4120" s="17"/>
    </row>
    <row r="4121" spans="1:1" x14ac:dyDescent="0.25">
      <c r="A4121" s="17"/>
    </row>
    <row r="4122" spans="1:1" x14ac:dyDescent="0.25">
      <c r="A4122" s="17"/>
    </row>
    <row r="4123" spans="1:1" x14ac:dyDescent="0.25">
      <c r="A4123" s="17"/>
    </row>
    <row r="4124" spans="1:1" x14ac:dyDescent="0.25">
      <c r="A4124" s="17"/>
    </row>
    <row r="4125" spans="1:1" x14ac:dyDescent="0.25">
      <c r="A4125" s="17"/>
    </row>
    <row r="4126" spans="1:1" x14ac:dyDescent="0.25">
      <c r="A4126" s="17"/>
    </row>
    <row r="4127" spans="1:1" x14ac:dyDescent="0.25">
      <c r="A4127" s="17"/>
    </row>
    <row r="4128" spans="1:1" x14ac:dyDescent="0.25">
      <c r="A4128" s="17"/>
    </row>
    <row r="4129" spans="1:1" x14ac:dyDescent="0.25">
      <c r="A4129" s="17"/>
    </row>
    <row r="4130" spans="1:1" x14ac:dyDescent="0.25">
      <c r="A4130" s="17"/>
    </row>
    <row r="4131" spans="1:1" x14ac:dyDescent="0.25">
      <c r="A4131" s="17"/>
    </row>
    <row r="4132" spans="1:1" x14ac:dyDescent="0.25">
      <c r="A4132" s="17"/>
    </row>
    <row r="4133" spans="1:1" x14ac:dyDescent="0.25">
      <c r="A4133" s="17"/>
    </row>
    <row r="4134" spans="1:1" x14ac:dyDescent="0.25">
      <c r="A4134" s="17"/>
    </row>
    <row r="4135" spans="1:1" x14ac:dyDescent="0.25">
      <c r="A4135" s="17"/>
    </row>
    <row r="4136" spans="1:1" x14ac:dyDescent="0.25">
      <c r="A4136" s="17"/>
    </row>
    <row r="4137" spans="1:1" x14ac:dyDescent="0.25">
      <c r="A4137" s="17"/>
    </row>
    <row r="4138" spans="1:1" x14ac:dyDescent="0.25">
      <c r="A4138" s="17"/>
    </row>
    <row r="4139" spans="1:1" x14ac:dyDescent="0.25">
      <c r="A4139" s="17"/>
    </row>
    <row r="4140" spans="1:1" x14ac:dyDescent="0.25">
      <c r="A4140" s="17"/>
    </row>
    <row r="4141" spans="1:1" x14ac:dyDescent="0.25">
      <c r="A4141" s="17"/>
    </row>
    <row r="4142" spans="1:1" x14ac:dyDescent="0.25">
      <c r="A4142" s="17"/>
    </row>
    <row r="4143" spans="1:1" x14ac:dyDescent="0.25">
      <c r="A4143" s="17"/>
    </row>
    <row r="4144" spans="1:1" x14ac:dyDescent="0.25">
      <c r="A4144" s="17"/>
    </row>
    <row r="4145" spans="1:1" x14ac:dyDescent="0.25">
      <c r="A4145" s="17"/>
    </row>
    <row r="4146" spans="1:1" x14ac:dyDescent="0.25">
      <c r="A4146" s="17"/>
    </row>
    <row r="4147" spans="1:1" x14ac:dyDescent="0.25">
      <c r="A4147" s="17"/>
    </row>
    <row r="4148" spans="1:1" x14ac:dyDescent="0.25">
      <c r="A4148" s="17"/>
    </row>
    <row r="4149" spans="1:1" x14ac:dyDescent="0.25">
      <c r="A4149" s="17"/>
    </row>
    <row r="4150" spans="1:1" x14ac:dyDescent="0.25">
      <c r="A4150" s="17"/>
    </row>
    <row r="4151" spans="1:1" x14ac:dyDescent="0.25">
      <c r="A4151" s="17"/>
    </row>
    <row r="4152" spans="1:1" x14ac:dyDescent="0.25">
      <c r="A4152" s="17"/>
    </row>
    <row r="4153" spans="1:1" x14ac:dyDescent="0.25">
      <c r="A4153" s="17"/>
    </row>
    <row r="4154" spans="1:1" x14ac:dyDescent="0.25">
      <c r="A4154" s="17"/>
    </row>
    <row r="4155" spans="1:1" x14ac:dyDescent="0.25">
      <c r="A4155" s="17"/>
    </row>
    <row r="4156" spans="1:1" x14ac:dyDescent="0.25">
      <c r="A4156" s="17"/>
    </row>
    <row r="4157" spans="1:1" x14ac:dyDescent="0.25">
      <c r="A4157" s="17"/>
    </row>
    <row r="4158" spans="1:1" x14ac:dyDescent="0.25">
      <c r="A4158" s="17"/>
    </row>
    <row r="4159" spans="1:1" x14ac:dyDescent="0.25">
      <c r="A4159" s="17"/>
    </row>
    <row r="4160" spans="1:1" x14ac:dyDescent="0.25">
      <c r="A4160" s="17"/>
    </row>
    <row r="4161" spans="1:1" x14ac:dyDescent="0.25">
      <c r="A4161" s="17"/>
    </row>
    <row r="4162" spans="1:1" x14ac:dyDescent="0.25">
      <c r="A4162" s="17"/>
    </row>
    <row r="4163" spans="1:1" x14ac:dyDescent="0.25">
      <c r="A4163" s="17"/>
    </row>
    <row r="4164" spans="1:1" x14ac:dyDescent="0.25">
      <c r="A4164" s="17"/>
    </row>
    <row r="4165" spans="1:1" x14ac:dyDescent="0.25">
      <c r="A4165" s="17"/>
    </row>
    <row r="4166" spans="1:1" x14ac:dyDescent="0.25">
      <c r="A4166" s="17"/>
    </row>
    <row r="4167" spans="1:1" x14ac:dyDescent="0.25">
      <c r="A4167" s="17"/>
    </row>
    <row r="4168" spans="1:1" x14ac:dyDescent="0.25">
      <c r="A4168" s="17"/>
    </row>
    <row r="4169" spans="1:1" x14ac:dyDescent="0.25">
      <c r="A4169" s="17"/>
    </row>
    <row r="4170" spans="1:1" x14ac:dyDescent="0.25">
      <c r="A4170" s="17"/>
    </row>
    <row r="4171" spans="1:1" x14ac:dyDescent="0.25">
      <c r="A4171" s="17"/>
    </row>
    <row r="4172" spans="1:1" x14ac:dyDescent="0.25">
      <c r="A4172" s="17"/>
    </row>
    <row r="4173" spans="1:1" x14ac:dyDescent="0.25">
      <c r="A4173" s="17"/>
    </row>
    <row r="4174" spans="1:1" x14ac:dyDescent="0.25">
      <c r="A4174" s="17"/>
    </row>
    <row r="4175" spans="1:1" x14ac:dyDescent="0.25">
      <c r="A4175" s="17"/>
    </row>
    <row r="4176" spans="1:1" x14ac:dyDescent="0.25">
      <c r="A4176" s="17"/>
    </row>
    <row r="4177" spans="1:1" x14ac:dyDescent="0.25">
      <c r="A4177" s="17"/>
    </row>
    <row r="4178" spans="1:1" x14ac:dyDescent="0.25">
      <c r="A4178" s="17"/>
    </row>
    <row r="4179" spans="1:1" x14ac:dyDescent="0.25">
      <c r="A4179" s="17"/>
    </row>
    <row r="4180" spans="1:1" x14ac:dyDescent="0.25">
      <c r="A4180" s="17"/>
    </row>
    <row r="4181" spans="1:1" x14ac:dyDescent="0.25">
      <c r="A4181" s="17"/>
    </row>
    <row r="4182" spans="1:1" x14ac:dyDescent="0.25">
      <c r="A4182" s="17"/>
    </row>
    <row r="4183" spans="1:1" x14ac:dyDescent="0.25">
      <c r="A4183" s="17"/>
    </row>
    <row r="4184" spans="1:1" x14ac:dyDescent="0.25">
      <c r="A4184" s="17"/>
    </row>
    <row r="4185" spans="1:1" x14ac:dyDescent="0.25">
      <c r="A4185" s="17"/>
    </row>
    <row r="4186" spans="1:1" x14ac:dyDescent="0.25">
      <c r="A4186" s="17"/>
    </row>
    <row r="4187" spans="1:1" x14ac:dyDescent="0.25">
      <c r="A4187" s="17"/>
    </row>
    <row r="4188" spans="1:1" x14ac:dyDescent="0.25">
      <c r="A4188" s="17"/>
    </row>
    <row r="4189" spans="1:1" x14ac:dyDescent="0.25">
      <c r="A4189" s="17"/>
    </row>
    <row r="4190" spans="1:1" x14ac:dyDescent="0.25">
      <c r="A4190" s="17"/>
    </row>
    <row r="4191" spans="1:1" x14ac:dyDescent="0.25">
      <c r="A4191" s="17"/>
    </row>
    <row r="4192" spans="1:1" x14ac:dyDescent="0.25">
      <c r="A4192" s="17"/>
    </row>
    <row r="4193" spans="1:1" x14ac:dyDescent="0.25">
      <c r="A4193" s="17"/>
    </row>
    <row r="4194" spans="1:1" x14ac:dyDescent="0.25">
      <c r="A4194" s="17"/>
    </row>
    <row r="4195" spans="1:1" x14ac:dyDescent="0.25">
      <c r="A4195" s="17"/>
    </row>
    <row r="4196" spans="1:1" x14ac:dyDescent="0.25">
      <c r="A4196" s="17"/>
    </row>
    <row r="4197" spans="1:1" x14ac:dyDescent="0.25">
      <c r="A4197" s="17"/>
    </row>
    <row r="4198" spans="1:1" x14ac:dyDescent="0.25">
      <c r="A4198" s="17"/>
    </row>
    <row r="4199" spans="1:1" x14ac:dyDescent="0.25">
      <c r="A4199" s="17"/>
    </row>
    <row r="4200" spans="1:1" x14ac:dyDescent="0.25">
      <c r="A4200" s="17"/>
    </row>
    <row r="4201" spans="1:1" x14ac:dyDescent="0.25">
      <c r="A4201" s="17"/>
    </row>
    <row r="4202" spans="1:1" x14ac:dyDescent="0.25">
      <c r="A4202" s="17"/>
    </row>
    <row r="4203" spans="1:1" x14ac:dyDescent="0.25">
      <c r="A4203" s="17"/>
    </row>
    <row r="4204" spans="1:1" x14ac:dyDescent="0.25">
      <c r="A4204" s="17"/>
    </row>
    <row r="4205" spans="1:1" x14ac:dyDescent="0.25">
      <c r="A4205" s="17"/>
    </row>
    <row r="4206" spans="1:1" x14ac:dyDescent="0.25">
      <c r="A4206" s="17"/>
    </row>
    <row r="4207" spans="1:1" x14ac:dyDescent="0.25">
      <c r="A4207" s="17"/>
    </row>
    <row r="4208" spans="1:1" x14ac:dyDescent="0.25">
      <c r="A4208" s="17"/>
    </row>
    <row r="4209" spans="1:1" x14ac:dyDescent="0.25">
      <c r="A4209" s="17"/>
    </row>
    <row r="4210" spans="1:1" x14ac:dyDescent="0.25">
      <c r="A4210" s="17"/>
    </row>
    <row r="4211" spans="1:1" x14ac:dyDescent="0.25">
      <c r="A4211" s="17"/>
    </row>
    <row r="4212" spans="1:1" x14ac:dyDescent="0.25">
      <c r="A4212" s="17"/>
    </row>
    <row r="4213" spans="1:1" x14ac:dyDescent="0.25">
      <c r="A4213" s="17"/>
    </row>
    <row r="4214" spans="1:1" x14ac:dyDescent="0.25">
      <c r="A4214" s="17"/>
    </row>
    <row r="4215" spans="1:1" x14ac:dyDescent="0.25">
      <c r="A4215" s="17"/>
    </row>
    <row r="4216" spans="1:1" x14ac:dyDescent="0.25">
      <c r="A4216" s="17"/>
    </row>
    <row r="4217" spans="1:1" x14ac:dyDescent="0.25">
      <c r="A4217" s="17"/>
    </row>
    <row r="4218" spans="1:1" x14ac:dyDescent="0.25">
      <c r="A4218" s="17"/>
    </row>
    <row r="4219" spans="1:1" x14ac:dyDescent="0.25">
      <c r="A4219" s="17"/>
    </row>
    <row r="4220" spans="1:1" x14ac:dyDescent="0.25">
      <c r="A4220" s="17"/>
    </row>
    <row r="4221" spans="1:1" x14ac:dyDescent="0.25">
      <c r="A4221" s="17"/>
    </row>
    <row r="4222" spans="1:1" x14ac:dyDescent="0.25">
      <c r="A4222" s="17"/>
    </row>
    <row r="4223" spans="1:1" x14ac:dyDescent="0.25">
      <c r="A4223" s="17"/>
    </row>
    <row r="4224" spans="1:1" x14ac:dyDescent="0.25">
      <c r="A4224" s="17"/>
    </row>
    <row r="4225" spans="1:1" x14ac:dyDescent="0.25">
      <c r="A4225" s="17"/>
    </row>
    <row r="4226" spans="1:1" x14ac:dyDescent="0.25">
      <c r="A4226" s="17"/>
    </row>
    <row r="4227" spans="1:1" x14ac:dyDescent="0.25">
      <c r="A4227" s="17"/>
    </row>
    <row r="4228" spans="1:1" x14ac:dyDescent="0.25">
      <c r="A4228" s="17"/>
    </row>
    <row r="4229" spans="1:1" x14ac:dyDescent="0.25">
      <c r="A4229" s="17"/>
    </row>
    <row r="4230" spans="1:1" x14ac:dyDescent="0.25">
      <c r="A4230" s="17"/>
    </row>
    <row r="4231" spans="1:1" x14ac:dyDescent="0.25">
      <c r="A4231" s="17"/>
    </row>
    <row r="4232" spans="1:1" x14ac:dyDescent="0.25">
      <c r="A4232" s="17"/>
    </row>
    <row r="4233" spans="1:1" x14ac:dyDescent="0.25">
      <c r="A4233" s="17"/>
    </row>
    <row r="4234" spans="1:1" x14ac:dyDescent="0.25">
      <c r="A4234" s="17"/>
    </row>
    <row r="4235" spans="1:1" x14ac:dyDescent="0.25">
      <c r="A4235" s="17"/>
    </row>
    <row r="4236" spans="1:1" x14ac:dyDescent="0.25">
      <c r="A4236" s="17"/>
    </row>
    <row r="4237" spans="1:1" x14ac:dyDescent="0.25">
      <c r="A4237" s="17"/>
    </row>
    <row r="4238" spans="1:1" x14ac:dyDescent="0.25">
      <c r="A4238" s="17"/>
    </row>
    <row r="4239" spans="1:1" x14ac:dyDescent="0.25">
      <c r="A4239" s="17"/>
    </row>
    <row r="4240" spans="1:1" x14ac:dyDescent="0.25">
      <c r="A4240" s="17"/>
    </row>
    <row r="4241" spans="1:1" x14ac:dyDescent="0.25">
      <c r="A4241" s="17"/>
    </row>
    <row r="4242" spans="1:1" x14ac:dyDescent="0.25">
      <c r="A4242" s="17"/>
    </row>
    <row r="4243" spans="1:1" x14ac:dyDescent="0.25">
      <c r="A4243" s="17"/>
    </row>
    <row r="4244" spans="1:1" x14ac:dyDescent="0.25">
      <c r="A4244" s="17"/>
    </row>
    <row r="4245" spans="1:1" x14ac:dyDescent="0.25">
      <c r="A4245" s="17"/>
    </row>
    <row r="4246" spans="1:1" x14ac:dyDescent="0.25">
      <c r="A4246" s="17"/>
    </row>
    <row r="4247" spans="1:1" x14ac:dyDescent="0.25">
      <c r="A4247" s="17"/>
    </row>
    <row r="4248" spans="1:1" x14ac:dyDescent="0.25">
      <c r="A4248" s="17"/>
    </row>
    <row r="4249" spans="1:1" x14ac:dyDescent="0.25">
      <c r="A4249" s="17"/>
    </row>
    <row r="4250" spans="1:1" x14ac:dyDescent="0.25">
      <c r="A4250" s="17"/>
    </row>
    <row r="4251" spans="1:1" x14ac:dyDescent="0.25">
      <c r="A4251" s="17"/>
    </row>
    <row r="4252" spans="1:1" x14ac:dyDescent="0.25">
      <c r="A4252" s="17"/>
    </row>
    <row r="4253" spans="1:1" x14ac:dyDescent="0.25">
      <c r="A4253" s="17"/>
    </row>
    <row r="4254" spans="1:1" x14ac:dyDescent="0.25">
      <c r="A4254" s="17"/>
    </row>
    <row r="4255" spans="1:1" x14ac:dyDescent="0.25">
      <c r="A4255" s="17"/>
    </row>
    <row r="4256" spans="1:1" x14ac:dyDescent="0.25">
      <c r="A4256" s="17"/>
    </row>
    <row r="4257" spans="1:1" x14ac:dyDescent="0.25">
      <c r="A4257" s="17"/>
    </row>
    <row r="4258" spans="1:1" x14ac:dyDescent="0.25">
      <c r="A4258" s="17"/>
    </row>
    <row r="4259" spans="1:1" x14ac:dyDescent="0.25">
      <c r="A4259" s="17"/>
    </row>
    <row r="4260" spans="1:1" x14ac:dyDescent="0.25">
      <c r="A4260" s="17"/>
    </row>
    <row r="4261" spans="1:1" x14ac:dyDescent="0.25">
      <c r="A4261" s="17"/>
    </row>
    <row r="4262" spans="1:1" x14ac:dyDescent="0.25">
      <c r="A4262" s="17"/>
    </row>
    <row r="4263" spans="1:1" x14ac:dyDescent="0.25">
      <c r="A4263" s="17"/>
    </row>
    <row r="4264" spans="1:1" x14ac:dyDescent="0.25">
      <c r="A4264" s="17"/>
    </row>
    <row r="4265" spans="1:1" x14ac:dyDescent="0.25">
      <c r="A4265" s="17"/>
    </row>
    <row r="4266" spans="1:1" x14ac:dyDescent="0.25">
      <c r="A4266" s="17"/>
    </row>
    <row r="4267" spans="1:1" x14ac:dyDescent="0.25">
      <c r="A4267" s="17"/>
    </row>
    <row r="4268" spans="1:1" x14ac:dyDescent="0.25">
      <c r="A4268" s="17"/>
    </row>
    <row r="4269" spans="1:1" x14ac:dyDescent="0.25">
      <c r="A4269" s="17"/>
    </row>
    <row r="4270" spans="1:1" x14ac:dyDescent="0.25">
      <c r="A4270" s="17"/>
    </row>
    <row r="4271" spans="1:1" x14ac:dyDescent="0.25">
      <c r="A4271" s="17"/>
    </row>
    <row r="4272" spans="1:1" x14ac:dyDescent="0.25">
      <c r="A4272" s="17"/>
    </row>
    <row r="4273" spans="1:1" x14ac:dyDescent="0.25">
      <c r="A4273" s="17"/>
    </row>
    <row r="4274" spans="1:1" x14ac:dyDescent="0.25">
      <c r="A4274" s="17"/>
    </row>
    <row r="4275" spans="1:1" x14ac:dyDescent="0.25">
      <c r="A4275" s="17"/>
    </row>
    <row r="4276" spans="1:1" x14ac:dyDescent="0.25">
      <c r="A4276" s="17"/>
    </row>
    <row r="4277" spans="1:1" x14ac:dyDescent="0.25">
      <c r="A4277" s="17"/>
    </row>
    <row r="4278" spans="1:1" x14ac:dyDescent="0.25">
      <c r="A4278" s="17"/>
    </row>
    <row r="4279" spans="1:1" x14ac:dyDescent="0.25">
      <c r="A4279" s="17"/>
    </row>
    <row r="4280" spans="1:1" x14ac:dyDescent="0.25">
      <c r="A4280" s="17"/>
    </row>
    <row r="4281" spans="1:1" x14ac:dyDescent="0.25">
      <c r="A4281" s="17"/>
    </row>
    <row r="4282" spans="1:1" x14ac:dyDescent="0.25">
      <c r="A4282" s="17"/>
    </row>
    <row r="4283" spans="1:1" x14ac:dyDescent="0.25">
      <c r="A4283" s="17"/>
    </row>
    <row r="4284" spans="1:1" x14ac:dyDescent="0.25">
      <c r="A4284" s="17"/>
    </row>
    <row r="4285" spans="1:1" x14ac:dyDescent="0.25">
      <c r="A4285" s="17"/>
    </row>
    <row r="4286" spans="1:1" x14ac:dyDescent="0.25">
      <c r="A4286" s="17"/>
    </row>
    <row r="4287" spans="1:1" x14ac:dyDescent="0.25">
      <c r="A4287" s="17"/>
    </row>
    <row r="4288" spans="1:1" x14ac:dyDescent="0.25">
      <c r="A4288" s="17"/>
    </row>
    <row r="4289" spans="1:1" x14ac:dyDescent="0.25">
      <c r="A4289" s="17"/>
    </row>
    <row r="4290" spans="1:1" x14ac:dyDescent="0.25">
      <c r="A4290" s="17"/>
    </row>
    <row r="4291" spans="1:1" x14ac:dyDescent="0.25">
      <c r="A4291" s="17"/>
    </row>
    <row r="4292" spans="1:1" x14ac:dyDescent="0.25">
      <c r="A4292" s="17"/>
    </row>
    <row r="4293" spans="1:1" x14ac:dyDescent="0.25">
      <c r="A4293" s="17"/>
    </row>
    <row r="4294" spans="1:1" x14ac:dyDescent="0.25">
      <c r="A4294" s="17"/>
    </row>
    <row r="4295" spans="1:1" x14ac:dyDescent="0.25">
      <c r="A4295" s="17"/>
    </row>
    <row r="4296" spans="1:1" x14ac:dyDescent="0.25">
      <c r="A4296" s="17"/>
    </row>
    <row r="4297" spans="1:1" x14ac:dyDescent="0.25">
      <c r="A4297" s="17"/>
    </row>
    <row r="4298" spans="1:1" x14ac:dyDescent="0.25">
      <c r="A4298" s="17"/>
    </row>
    <row r="4299" spans="1:1" x14ac:dyDescent="0.25">
      <c r="A4299" s="17"/>
    </row>
    <row r="4300" spans="1:1" x14ac:dyDescent="0.25">
      <c r="A4300" s="17"/>
    </row>
    <row r="4301" spans="1:1" x14ac:dyDescent="0.25">
      <c r="A4301" s="17"/>
    </row>
    <row r="4302" spans="1:1" x14ac:dyDescent="0.25">
      <c r="A4302" s="17"/>
    </row>
    <row r="4303" spans="1:1" x14ac:dyDescent="0.25">
      <c r="A4303" s="17"/>
    </row>
    <row r="4304" spans="1:1" x14ac:dyDescent="0.25">
      <c r="A4304" s="17"/>
    </row>
    <row r="4305" spans="1:1" x14ac:dyDescent="0.25">
      <c r="A4305" s="17"/>
    </row>
    <row r="4306" spans="1:1" x14ac:dyDescent="0.25">
      <c r="A4306" s="17"/>
    </row>
    <row r="4307" spans="1:1" x14ac:dyDescent="0.25">
      <c r="A4307" s="17"/>
    </row>
    <row r="4308" spans="1:1" x14ac:dyDescent="0.25">
      <c r="A4308" s="17"/>
    </row>
    <row r="4309" spans="1:1" x14ac:dyDescent="0.25">
      <c r="A4309" s="17"/>
    </row>
    <row r="4310" spans="1:1" x14ac:dyDescent="0.25">
      <c r="A4310" s="17"/>
    </row>
    <row r="4311" spans="1:1" x14ac:dyDescent="0.25">
      <c r="A4311" s="17"/>
    </row>
    <row r="4312" spans="1:1" x14ac:dyDescent="0.25">
      <c r="A4312" s="17"/>
    </row>
    <row r="4313" spans="1:1" x14ac:dyDescent="0.25">
      <c r="A4313" s="17"/>
    </row>
    <row r="4314" spans="1:1" x14ac:dyDescent="0.25">
      <c r="A4314" s="17"/>
    </row>
    <row r="4315" spans="1:1" x14ac:dyDescent="0.25">
      <c r="A4315" s="17"/>
    </row>
    <row r="4316" spans="1:1" x14ac:dyDescent="0.25">
      <c r="A4316" s="17"/>
    </row>
    <row r="4317" spans="1:1" x14ac:dyDescent="0.25">
      <c r="A4317" s="17"/>
    </row>
    <row r="4318" spans="1:1" x14ac:dyDescent="0.25">
      <c r="A4318" s="17"/>
    </row>
    <row r="4319" spans="1:1" x14ac:dyDescent="0.25">
      <c r="A4319" s="17"/>
    </row>
    <row r="4320" spans="1:1" x14ac:dyDescent="0.25">
      <c r="A4320" s="17"/>
    </row>
    <row r="4321" spans="1:1" x14ac:dyDescent="0.25">
      <c r="A4321" s="17"/>
    </row>
    <row r="4322" spans="1:1" x14ac:dyDescent="0.25">
      <c r="A4322" s="17"/>
    </row>
    <row r="4323" spans="1:1" x14ac:dyDescent="0.25">
      <c r="A4323" s="17"/>
    </row>
    <row r="4324" spans="1:1" x14ac:dyDescent="0.25">
      <c r="A4324" s="17"/>
    </row>
    <row r="4325" spans="1:1" x14ac:dyDescent="0.25">
      <c r="A4325" s="17"/>
    </row>
    <row r="4326" spans="1:1" x14ac:dyDescent="0.25">
      <c r="A4326" s="17"/>
    </row>
    <row r="4327" spans="1:1" x14ac:dyDescent="0.25">
      <c r="A4327" s="17"/>
    </row>
    <row r="4328" spans="1:1" x14ac:dyDescent="0.25">
      <c r="A4328" s="17"/>
    </row>
    <row r="4329" spans="1:1" x14ac:dyDescent="0.25">
      <c r="A4329" s="17"/>
    </row>
    <row r="4330" spans="1:1" x14ac:dyDescent="0.25">
      <c r="A4330" s="17"/>
    </row>
    <row r="4331" spans="1:1" x14ac:dyDescent="0.25">
      <c r="A4331" s="17"/>
    </row>
    <row r="4332" spans="1:1" x14ac:dyDescent="0.25">
      <c r="A4332" s="17"/>
    </row>
    <row r="4333" spans="1:1" x14ac:dyDescent="0.25">
      <c r="A4333" s="17"/>
    </row>
    <row r="4334" spans="1:1" x14ac:dyDescent="0.25">
      <c r="A4334" s="17"/>
    </row>
    <row r="4335" spans="1:1" x14ac:dyDescent="0.25">
      <c r="A4335" s="17"/>
    </row>
    <row r="4336" spans="1:1" x14ac:dyDescent="0.25">
      <c r="A4336" s="17"/>
    </row>
    <row r="4337" spans="1:1" x14ac:dyDescent="0.25">
      <c r="A4337" s="17"/>
    </row>
    <row r="4338" spans="1:1" x14ac:dyDescent="0.25">
      <c r="A4338" s="17"/>
    </row>
    <row r="4339" spans="1:1" x14ac:dyDescent="0.25">
      <c r="A4339" s="17"/>
    </row>
    <row r="4340" spans="1:1" x14ac:dyDescent="0.25">
      <c r="A4340" s="17"/>
    </row>
    <row r="4341" spans="1:1" x14ac:dyDescent="0.25">
      <c r="A4341" s="17"/>
    </row>
    <row r="4342" spans="1:1" x14ac:dyDescent="0.25">
      <c r="A4342" s="17"/>
    </row>
    <row r="4343" spans="1:1" x14ac:dyDescent="0.25">
      <c r="A4343" s="17"/>
    </row>
    <row r="4344" spans="1:1" x14ac:dyDescent="0.25">
      <c r="A4344" s="17"/>
    </row>
    <row r="4345" spans="1:1" x14ac:dyDescent="0.25">
      <c r="A4345" s="17"/>
    </row>
    <row r="4346" spans="1:1" x14ac:dyDescent="0.25">
      <c r="A4346" s="17"/>
    </row>
    <row r="4347" spans="1:1" x14ac:dyDescent="0.25">
      <c r="A4347" s="17"/>
    </row>
    <row r="4348" spans="1:1" x14ac:dyDescent="0.25">
      <c r="A4348" s="17"/>
    </row>
    <row r="4349" spans="1:1" x14ac:dyDescent="0.25">
      <c r="A4349" s="17"/>
    </row>
    <row r="4350" spans="1:1" x14ac:dyDescent="0.25">
      <c r="A4350" s="17"/>
    </row>
    <row r="4351" spans="1:1" x14ac:dyDescent="0.25">
      <c r="A4351" s="17"/>
    </row>
    <row r="4352" spans="1:1" x14ac:dyDescent="0.25">
      <c r="A4352" s="17"/>
    </row>
    <row r="4353" spans="1:1" x14ac:dyDescent="0.25">
      <c r="A4353" s="17"/>
    </row>
    <row r="4354" spans="1:1" x14ac:dyDescent="0.25">
      <c r="A4354" s="17"/>
    </row>
    <row r="4355" spans="1:1" x14ac:dyDescent="0.25">
      <c r="A4355" s="17"/>
    </row>
    <row r="4356" spans="1:1" x14ac:dyDescent="0.25">
      <c r="A4356" s="17"/>
    </row>
    <row r="4357" spans="1:1" x14ac:dyDescent="0.25">
      <c r="A4357" s="17"/>
    </row>
    <row r="4358" spans="1:1" x14ac:dyDescent="0.25">
      <c r="A4358" s="17"/>
    </row>
    <row r="4359" spans="1:1" x14ac:dyDescent="0.25">
      <c r="A4359" s="17"/>
    </row>
    <row r="4360" spans="1:1" x14ac:dyDescent="0.25">
      <c r="A4360" s="17"/>
    </row>
    <row r="4361" spans="1:1" x14ac:dyDescent="0.25">
      <c r="A4361" s="17"/>
    </row>
    <row r="4362" spans="1:1" x14ac:dyDescent="0.25">
      <c r="A4362" s="17"/>
    </row>
    <row r="4363" spans="1:1" x14ac:dyDescent="0.25">
      <c r="A4363" s="17"/>
    </row>
    <row r="4364" spans="1:1" x14ac:dyDescent="0.25">
      <c r="A4364" s="17"/>
    </row>
    <row r="4365" spans="1:1" x14ac:dyDescent="0.25">
      <c r="A4365" s="17"/>
    </row>
    <row r="4366" spans="1:1" x14ac:dyDescent="0.25">
      <c r="A4366" s="17"/>
    </row>
    <row r="4367" spans="1:1" x14ac:dyDescent="0.25">
      <c r="A4367" s="17"/>
    </row>
    <row r="4368" spans="1:1" x14ac:dyDescent="0.25">
      <c r="A4368" s="17"/>
    </row>
    <row r="4369" spans="1:1" x14ac:dyDescent="0.25">
      <c r="A4369" s="17"/>
    </row>
    <row r="4370" spans="1:1" x14ac:dyDescent="0.25">
      <c r="A4370" s="17"/>
    </row>
    <row r="4371" spans="1:1" x14ac:dyDescent="0.25">
      <c r="A4371" s="17"/>
    </row>
    <row r="4372" spans="1:1" x14ac:dyDescent="0.25">
      <c r="A4372" s="17"/>
    </row>
    <row r="4373" spans="1:1" x14ac:dyDescent="0.25">
      <c r="A4373" s="17"/>
    </row>
    <row r="4374" spans="1:1" x14ac:dyDescent="0.25">
      <c r="A4374" s="17"/>
    </row>
    <row r="4375" spans="1:1" x14ac:dyDescent="0.25">
      <c r="A4375" s="17"/>
    </row>
    <row r="4376" spans="1:1" x14ac:dyDescent="0.25">
      <c r="A4376" s="17"/>
    </row>
    <row r="4377" spans="1:1" x14ac:dyDescent="0.25">
      <c r="A4377" s="17"/>
    </row>
    <row r="4378" spans="1:1" x14ac:dyDescent="0.25">
      <c r="A4378" s="17"/>
    </row>
    <row r="4379" spans="1:1" x14ac:dyDescent="0.25">
      <c r="A4379" s="17"/>
    </row>
    <row r="4380" spans="1:1" x14ac:dyDescent="0.25">
      <c r="A4380" s="17"/>
    </row>
    <row r="4381" spans="1:1" x14ac:dyDescent="0.25">
      <c r="A4381" s="17"/>
    </row>
    <row r="4382" spans="1:1" x14ac:dyDescent="0.25">
      <c r="A4382" s="17"/>
    </row>
    <row r="4383" spans="1:1" x14ac:dyDescent="0.25">
      <c r="A4383" s="17"/>
    </row>
    <row r="4384" spans="1:1" x14ac:dyDescent="0.25">
      <c r="A4384" s="17"/>
    </row>
    <row r="4385" spans="1:1" x14ac:dyDescent="0.25">
      <c r="A4385" s="17"/>
    </row>
    <row r="4386" spans="1:1" x14ac:dyDescent="0.25">
      <c r="A4386" s="17"/>
    </row>
    <row r="4387" spans="1:1" x14ac:dyDescent="0.25">
      <c r="A4387" s="17"/>
    </row>
    <row r="4388" spans="1:1" x14ac:dyDescent="0.25">
      <c r="A4388" s="17"/>
    </row>
    <row r="4389" spans="1:1" x14ac:dyDescent="0.25">
      <c r="A4389" s="17"/>
    </row>
    <row r="4390" spans="1:1" x14ac:dyDescent="0.25">
      <c r="A4390" s="17"/>
    </row>
    <row r="4391" spans="1:1" x14ac:dyDescent="0.25">
      <c r="A4391" s="17"/>
    </row>
    <row r="4392" spans="1:1" x14ac:dyDescent="0.25">
      <c r="A4392" s="17"/>
    </row>
    <row r="4393" spans="1:1" x14ac:dyDescent="0.25">
      <c r="A4393" s="17"/>
    </row>
    <row r="4394" spans="1:1" x14ac:dyDescent="0.25">
      <c r="A4394" s="17"/>
    </row>
    <row r="4395" spans="1:1" x14ac:dyDescent="0.25">
      <c r="A4395" s="17"/>
    </row>
    <row r="4396" spans="1:1" x14ac:dyDescent="0.25">
      <c r="A4396" s="17"/>
    </row>
    <row r="4397" spans="1:1" x14ac:dyDescent="0.25">
      <c r="A4397" s="17"/>
    </row>
    <row r="4398" spans="1:1" x14ac:dyDescent="0.25">
      <c r="A4398" s="17"/>
    </row>
    <row r="4399" spans="1:1" x14ac:dyDescent="0.25">
      <c r="A4399" s="17"/>
    </row>
    <row r="4400" spans="1:1" x14ac:dyDescent="0.25">
      <c r="A4400" s="17"/>
    </row>
    <row r="4401" spans="1:1" x14ac:dyDescent="0.25">
      <c r="A4401" s="17"/>
    </row>
    <row r="4402" spans="1:1" x14ac:dyDescent="0.25">
      <c r="A4402" s="17"/>
    </row>
    <row r="4403" spans="1:1" x14ac:dyDescent="0.25">
      <c r="A4403" s="17"/>
    </row>
    <row r="4404" spans="1:1" x14ac:dyDescent="0.25">
      <c r="A4404" s="17"/>
    </row>
    <row r="4405" spans="1:1" x14ac:dyDescent="0.25">
      <c r="A4405" s="17"/>
    </row>
    <row r="4406" spans="1:1" x14ac:dyDescent="0.25">
      <c r="A4406" s="17"/>
    </row>
    <row r="4407" spans="1:1" x14ac:dyDescent="0.25">
      <c r="A4407" s="17"/>
    </row>
    <row r="4408" spans="1:1" x14ac:dyDescent="0.25">
      <c r="A4408" s="17"/>
    </row>
    <row r="4409" spans="1:1" x14ac:dyDescent="0.25">
      <c r="A4409" s="17"/>
    </row>
    <row r="4410" spans="1:1" x14ac:dyDescent="0.25">
      <c r="A4410" s="17"/>
    </row>
    <row r="4411" spans="1:1" x14ac:dyDescent="0.25">
      <c r="A4411" s="17"/>
    </row>
    <row r="4412" spans="1:1" x14ac:dyDescent="0.25">
      <c r="A4412" s="17"/>
    </row>
    <row r="4413" spans="1:1" x14ac:dyDescent="0.25">
      <c r="A4413" s="17"/>
    </row>
    <row r="4414" spans="1:1" x14ac:dyDescent="0.25">
      <c r="A4414" s="17"/>
    </row>
    <row r="4415" spans="1:1" x14ac:dyDescent="0.25">
      <c r="A4415" s="17"/>
    </row>
    <row r="4416" spans="1:1" x14ac:dyDescent="0.25">
      <c r="A4416" s="17"/>
    </row>
    <row r="4417" spans="1:1" x14ac:dyDescent="0.25">
      <c r="A4417" s="17"/>
    </row>
    <row r="4418" spans="1:1" x14ac:dyDescent="0.25">
      <c r="A4418" s="17"/>
    </row>
    <row r="4419" spans="1:1" x14ac:dyDescent="0.25">
      <c r="A4419" s="17"/>
    </row>
    <row r="4420" spans="1:1" x14ac:dyDescent="0.25">
      <c r="A4420" s="17"/>
    </row>
    <row r="4421" spans="1:1" x14ac:dyDescent="0.25">
      <c r="A4421" s="17"/>
    </row>
    <row r="4422" spans="1:1" x14ac:dyDescent="0.25">
      <c r="A4422" s="17"/>
    </row>
    <row r="4423" spans="1:1" x14ac:dyDescent="0.25">
      <c r="A4423" s="17"/>
    </row>
    <row r="4424" spans="1:1" x14ac:dyDescent="0.25">
      <c r="A4424" s="17"/>
    </row>
    <row r="4425" spans="1:1" x14ac:dyDescent="0.25">
      <c r="A4425" s="17"/>
    </row>
    <row r="4426" spans="1:1" x14ac:dyDescent="0.25">
      <c r="A4426" s="17"/>
    </row>
    <row r="4427" spans="1:1" x14ac:dyDescent="0.25">
      <c r="A4427" s="17"/>
    </row>
    <row r="4428" spans="1:1" x14ac:dyDescent="0.25">
      <c r="A4428" s="17"/>
    </row>
    <row r="4429" spans="1:1" x14ac:dyDescent="0.25">
      <c r="A4429" s="17"/>
    </row>
    <row r="4430" spans="1:1" x14ac:dyDescent="0.25">
      <c r="A4430" s="17"/>
    </row>
    <row r="4431" spans="1:1" x14ac:dyDescent="0.25">
      <c r="A4431" s="17"/>
    </row>
    <row r="4432" spans="1:1" x14ac:dyDescent="0.25">
      <c r="A4432" s="17"/>
    </row>
    <row r="4433" spans="1:1" x14ac:dyDescent="0.25">
      <c r="A4433" s="17"/>
    </row>
    <row r="4434" spans="1:1" x14ac:dyDescent="0.25">
      <c r="A4434" s="17"/>
    </row>
    <row r="4435" spans="1:1" x14ac:dyDescent="0.25">
      <c r="A4435" s="17"/>
    </row>
    <row r="4436" spans="1:1" x14ac:dyDescent="0.25">
      <c r="A4436" s="17"/>
    </row>
    <row r="4437" spans="1:1" x14ac:dyDescent="0.25">
      <c r="A4437" s="17"/>
    </row>
    <row r="4438" spans="1:1" x14ac:dyDescent="0.25">
      <c r="A4438" s="17"/>
    </row>
    <row r="4439" spans="1:1" x14ac:dyDescent="0.25">
      <c r="A4439" s="17"/>
    </row>
    <row r="4440" spans="1:1" x14ac:dyDescent="0.25">
      <c r="A4440" s="17"/>
    </row>
    <row r="4441" spans="1:1" x14ac:dyDescent="0.25">
      <c r="A4441" s="17"/>
    </row>
    <row r="4442" spans="1:1" x14ac:dyDescent="0.25">
      <c r="A4442" s="17"/>
    </row>
    <row r="4443" spans="1:1" x14ac:dyDescent="0.25">
      <c r="A4443" s="17"/>
    </row>
    <row r="4444" spans="1:1" x14ac:dyDescent="0.25">
      <c r="A4444" s="17"/>
    </row>
    <row r="4445" spans="1:1" x14ac:dyDescent="0.25">
      <c r="A4445" s="17"/>
    </row>
    <row r="4446" spans="1:1" x14ac:dyDescent="0.25">
      <c r="A4446" s="17"/>
    </row>
    <row r="4447" spans="1:1" x14ac:dyDescent="0.25">
      <c r="A4447" s="17"/>
    </row>
    <row r="4448" spans="1:1" x14ac:dyDescent="0.25">
      <c r="A4448" s="17"/>
    </row>
    <row r="4449" spans="1:1" x14ac:dyDescent="0.25">
      <c r="A4449" s="17"/>
    </row>
    <row r="4450" spans="1:1" x14ac:dyDescent="0.25">
      <c r="A4450" s="17"/>
    </row>
    <row r="4451" spans="1:1" x14ac:dyDescent="0.25">
      <c r="A4451" s="17"/>
    </row>
    <row r="4452" spans="1:1" x14ac:dyDescent="0.25">
      <c r="A4452" s="17"/>
    </row>
    <row r="4453" spans="1:1" x14ac:dyDescent="0.25">
      <c r="A4453" s="17"/>
    </row>
    <row r="4454" spans="1:1" x14ac:dyDescent="0.25">
      <c r="A4454" s="17"/>
    </row>
    <row r="4455" spans="1:1" x14ac:dyDescent="0.25">
      <c r="A4455" s="17"/>
    </row>
    <row r="4456" spans="1:1" x14ac:dyDescent="0.25">
      <c r="A4456" s="17"/>
    </row>
    <row r="4457" spans="1:1" x14ac:dyDescent="0.25">
      <c r="A4457" s="17"/>
    </row>
    <row r="4458" spans="1:1" x14ac:dyDescent="0.25">
      <c r="A4458" s="17"/>
    </row>
    <row r="4459" spans="1:1" x14ac:dyDescent="0.25">
      <c r="A4459" s="17"/>
    </row>
    <row r="4460" spans="1:1" x14ac:dyDescent="0.25">
      <c r="A4460" s="17"/>
    </row>
    <row r="4461" spans="1:1" x14ac:dyDescent="0.25">
      <c r="A4461" s="17"/>
    </row>
    <row r="4462" spans="1:1" x14ac:dyDescent="0.25">
      <c r="A4462" s="17"/>
    </row>
    <row r="4463" spans="1:1" x14ac:dyDescent="0.25">
      <c r="A4463" s="17"/>
    </row>
    <row r="4464" spans="1:1" x14ac:dyDescent="0.25">
      <c r="A4464" s="17"/>
    </row>
    <row r="4465" spans="1:1" x14ac:dyDescent="0.25">
      <c r="A4465" s="17"/>
    </row>
    <row r="4466" spans="1:1" x14ac:dyDescent="0.25">
      <c r="A4466" s="17"/>
    </row>
    <row r="4467" spans="1:1" x14ac:dyDescent="0.25">
      <c r="A4467" s="17"/>
    </row>
    <row r="4468" spans="1:1" x14ac:dyDescent="0.25">
      <c r="A4468" s="17"/>
    </row>
    <row r="4469" spans="1:1" x14ac:dyDescent="0.25">
      <c r="A4469" s="17"/>
    </row>
    <row r="4470" spans="1:1" x14ac:dyDescent="0.25">
      <c r="A4470" s="17"/>
    </row>
    <row r="4471" spans="1:1" x14ac:dyDescent="0.25">
      <c r="A4471" s="17"/>
    </row>
    <row r="4472" spans="1:1" x14ac:dyDescent="0.25">
      <c r="A4472" s="17"/>
    </row>
    <row r="4473" spans="1:1" x14ac:dyDescent="0.25">
      <c r="A4473" s="17"/>
    </row>
    <row r="4474" spans="1:1" x14ac:dyDescent="0.25">
      <c r="A4474" s="17"/>
    </row>
    <row r="4475" spans="1:1" x14ac:dyDescent="0.25">
      <c r="A4475" s="17"/>
    </row>
    <row r="4476" spans="1:1" x14ac:dyDescent="0.25">
      <c r="A4476" s="17"/>
    </row>
    <row r="4477" spans="1:1" x14ac:dyDescent="0.25">
      <c r="A4477" s="17"/>
    </row>
    <row r="4478" spans="1:1" x14ac:dyDescent="0.25">
      <c r="A4478" s="17"/>
    </row>
    <row r="4479" spans="1:1" x14ac:dyDescent="0.25">
      <c r="A4479" s="17"/>
    </row>
    <row r="4480" spans="1:1" x14ac:dyDescent="0.25">
      <c r="A4480" s="17"/>
    </row>
    <row r="4481" spans="1:1" x14ac:dyDescent="0.25">
      <c r="A4481" s="17"/>
    </row>
    <row r="4482" spans="1:1" x14ac:dyDescent="0.25">
      <c r="A4482" s="17"/>
    </row>
    <row r="4483" spans="1:1" x14ac:dyDescent="0.25">
      <c r="A4483" s="17"/>
    </row>
    <row r="4484" spans="1:1" x14ac:dyDescent="0.25">
      <c r="A4484" s="17"/>
    </row>
    <row r="4485" spans="1:1" x14ac:dyDescent="0.25">
      <c r="A4485" s="17"/>
    </row>
    <row r="4486" spans="1:1" x14ac:dyDescent="0.25">
      <c r="A4486" s="17"/>
    </row>
    <row r="4487" spans="1:1" x14ac:dyDescent="0.25">
      <c r="A4487" s="17"/>
    </row>
    <row r="4488" spans="1:1" x14ac:dyDescent="0.25">
      <c r="A4488" s="17"/>
    </row>
    <row r="4489" spans="1:1" x14ac:dyDescent="0.25">
      <c r="A4489" s="17"/>
    </row>
    <row r="4490" spans="1:1" x14ac:dyDescent="0.25">
      <c r="A4490" s="17"/>
    </row>
    <row r="4491" spans="1:1" x14ac:dyDescent="0.25">
      <c r="A4491" s="17"/>
    </row>
    <row r="4492" spans="1:1" x14ac:dyDescent="0.25">
      <c r="A4492" s="17"/>
    </row>
    <row r="4493" spans="1:1" x14ac:dyDescent="0.25">
      <c r="A4493" s="17"/>
    </row>
    <row r="4494" spans="1:1" x14ac:dyDescent="0.25">
      <c r="A4494" s="17"/>
    </row>
    <row r="4495" spans="1:1" x14ac:dyDescent="0.25">
      <c r="A4495" s="17"/>
    </row>
    <row r="4496" spans="1:1" x14ac:dyDescent="0.25">
      <c r="A4496" s="17"/>
    </row>
    <row r="4497" spans="1:1" x14ac:dyDescent="0.25">
      <c r="A4497" s="17"/>
    </row>
    <row r="4498" spans="1:1" x14ac:dyDescent="0.25">
      <c r="A4498" s="17"/>
    </row>
    <row r="4499" spans="1:1" x14ac:dyDescent="0.25">
      <c r="A4499" s="17"/>
    </row>
    <row r="4500" spans="1:1" x14ac:dyDescent="0.25">
      <c r="A4500" s="17"/>
    </row>
    <row r="4501" spans="1:1" x14ac:dyDescent="0.25">
      <c r="A4501" s="17"/>
    </row>
    <row r="4502" spans="1:1" x14ac:dyDescent="0.25">
      <c r="A4502" s="17"/>
    </row>
    <row r="4503" spans="1:1" x14ac:dyDescent="0.25">
      <c r="A4503" s="17"/>
    </row>
    <row r="4504" spans="1:1" x14ac:dyDescent="0.25">
      <c r="A4504" s="17"/>
    </row>
    <row r="4505" spans="1:1" x14ac:dyDescent="0.25">
      <c r="A4505" s="17"/>
    </row>
    <row r="4506" spans="1:1" x14ac:dyDescent="0.25">
      <c r="A4506" s="17"/>
    </row>
    <row r="4507" spans="1:1" x14ac:dyDescent="0.25">
      <c r="A4507" s="17"/>
    </row>
    <row r="4508" spans="1:1" x14ac:dyDescent="0.25">
      <c r="A4508" s="17"/>
    </row>
    <row r="4509" spans="1:1" x14ac:dyDescent="0.25">
      <c r="A4509" s="17"/>
    </row>
    <row r="4510" spans="1:1" x14ac:dyDescent="0.25">
      <c r="A4510" s="17"/>
    </row>
    <row r="4511" spans="1:1" x14ac:dyDescent="0.25">
      <c r="A4511" s="17"/>
    </row>
    <row r="4512" spans="1:1" x14ac:dyDescent="0.25">
      <c r="A4512" s="17"/>
    </row>
    <row r="4513" spans="1:1" x14ac:dyDescent="0.25">
      <c r="A4513" s="17"/>
    </row>
    <row r="4514" spans="1:1" x14ac:dyDescent="0.25">
      <c r="A4514" s="17"/>
    </row>
    <row r="4515" spans="1:1" x14ac:dyDescent="0.25">
      <c r="A4515" s="17"/>
    </row>
    <row r="4516" spans="1:1" x14ac:dyDescent="0.25">
      <c r="A4516" s="17"/>
    </row>
    <row r="4517" spans="1:1" x14ac:dyDescent="0.25">
      <c r="A4517" s="17"/>
    </row>
    <row r="4518" spans="1:1" x14ac:dyDescent="0.25">
      <c r="A4518" s="17"/>
    </row>
    <row r="4519" spans="1:1" x14ac:dyDescent="0.25">
      <c r="A4519" s="17"/>
    </row>
    <row r="4520" spans="1:1" x14ac:dyDescent="0.25">
      <c r="A4520" s="17"/>
    </row>
    <row r="4521" spans="1:1" x14ac:dyDescent="0.25">
      <c r="A4521" s="17"/>
    </row>
    <row r="4522" spans="1:1" x14ac:dyDescent="0.25">
      <c r="A4522" s="17"/>
    </row>
    <row r="4523" spans="1:1" x14ac:dyDescent="0.25">
      <c r="A4523" s="17"/>
    </row>
    <row r="4524" spans="1:1" x14ac:dyDescent="0.25">
      <c r="A4524" s="17"/>
    </row>
    <row r="4525" spans="1:1" x14ac:dyDescent="0.25">
      <c r="A4525" s="17"/>
    </row>
    <row r="4526" spans="1:1" x14ac:dyDescent="0.25">
      <c r="A4526" s="17"/>
    </row>
    <row r="4527" spans="1:1" x14ac:dyDescent="0.25">
      <c r="A4527" s="17"/>
    </row>
    <row r="4528" spans="1:1" x14ac:dyDescent="0.25">
      <c r="A4528" s="17"/>
    </row>
    <row r="4529" spans="1:1" x14ac:dyDescent="0.25">
      <c r="A4529" s="17"/>
    </row>
    <row r="4530" spans="1:1" x14ac:dyDescent="0.25">
      <c r="A4530" s="17"/>
    </row>
    <row r="4531" spans="1:1" x14ac:dyDescent="0.25">
      <c r="A4531" s="17"/>
    </row>
    <row r="4532" spans="1:1" x14ac:dyDescent="0.25">
      <c r="A4532" s="17"/>
    </row>
    <row r="4533" spans="1:1" x14ac:dyDescent="0.25">
      <c r="A4533" s="17"/>
    </row>
    <row r="4534" spans="1:1" x14ac:dyDescent="0.25">
      <c r="A4534" s="17"/>
    </row>
    <row r="4535" spans="1:1" x14ac:dyDescent="0.25">
      <c r="A4535" s="17"/>
    </row>
    <row r="4536" spans="1:1" x14ac:dyDescent="0.25">
      <c r="A4536" s="17"/>
    </row>
    <row r="4537" spans="1:1" x14ac:dyDescent="0.25">
      <c r="A4537" s="17"/>
    </row>
    <row r="4538" spans="1:1" x14ac:dyDescent="0.25">
      <c r="A4538" s="17"/>
    </row>
    <row r="4539" spans="1:1" x14ac:dyDescent="0.25">
      <c r="A4539" s="17"/>
    </row>
    <row r="4540" spans="1:1" x14ac:dyDescent="0.25">
      <c r="A4540" s="17"/>
    </row>
    <row r="4541" spans="1:1" x14ac:dyDescent="0.25">
      <c r="A4541" s="17"/>
    </row>
    <row r="4542" spans="1:1" x14ac:dyDescent="0.25">
      <c r="A4542" s="17"/>
    </row>
    <row r="4543" spans="1:1" x14ac:dyDescent="0.25">
      <c r="A4543" s="17"/>
    </row>
    <row r="4544" spans="1:1" x14ac:dyDescent="0.25">
      <c r="A4544" s="17"/>
    </row>
    <row r="4545" spans="1:1" x14ac:dyDescent="0.25">
      <c r="A4545" s="17"/>
    </row>
    <row r="4546" spans="1:1" x14ac:dyDescent="0.25">
      <c r="A4546" s="17"/>
    </row>
    <row r="4547" spans="1:1" x14ac:dyDescent="0.25">
      <c r="A4547" s="17"/>
    </row>
    <row r="4548" spans="1:1" x14ac:dyDescent="0.25">
      <c r="A4548" s="17"/>
    </row>
    <row r="4549" spans="1:1" x14ac:dyDescent="0.25">
      <c r="A4549" s="17"/>
    </row>
    <row r="4550" spans="1:1" x14ac:dyDescent="0.25">
      <c r="A4550" s="17"/>
    </row>
    <row r="4551" spans="1:1" x14ac:dyDescent="0.25">
      <c r="A4551" s="17"/>
    </row>
    <row r="4552" spans="1:1" x14ac:dyDescent="0.25">
      <c r="A4552" s="17"/>
    </row>
    <row r="4553" spans="1:1" x14ac:dyDescent="0.25">
      <c r="A4553" s="17"/>
    </row>
    <row r="4554" spans="1:1" x14ac:dyDescent="0.25">
      <c r="A4554" s="17"/>
    </row>
    <row r="4555" spans="1:1" x14ac:dyDescent="0.25">
      <c r="A4555" s="17"/>
    </row>
    <row r="4556" spans="1:1" x14ac:dyDescent="0.25">
      <c r="A4556" s="17"/>
    </row>
    <row r="4557" spans="1:1" x14ac:dyDescent="0.25">
      <c r="A4557" s="17"/>
    </row>
    <row r="4558" spans="1:1" x14ac:dyDescent="0.25">
      <c r="A4558" s="17"/>
    </row>
    <row r="4559" spans="1:1" x14ac:dyDescent="0.25">
      <c r="A4559" s="17"/>
    </row>
    <row r="4560" spans="1:1" x14ac:dyDescent="0.25">
      <c r="A4560" s="17"/>
    </row>
    <row r="4561" spans="1:1" x14ac:dyDescent="0.25">
      <c r="A4561" s="17"/>
    </row>
    <row r="4562" spans="1:1" x14ac:dyDescent="0.25">
      <c r="A4562" s="17"/>
    </row>
    <row r="4563" spans="1:1" x14ac:dyDescent="0.25">
      <c r="A4563" s="17"/>
    </row>
    <row r="4564" spans="1:1" x14ac:dyDescent="0.25">
      <c r="A4564" s="17"/>
    </row>
    <row r="4565" spans="1:1" x14ac:dyDescent="0.25">
      <c r="A4565" s="17"/>
    </row>
    <row r="4566" spans="1:1" x14ac:dyDescent="0.25">
      <c r="A4566" s="17"/>
    </row>
    <row r="4567" spans="1:1" x14ac:dyDescent="0.25">
      <c r="A4567" s="17"/>
    </row>
    <row r="4568" spans="1:1" x14ac:dyDescent="0.25">
      <c r="A4568" s="17"/>
    </row>
    <row r="4569" spans="1:1" x14ac:dyDescent="0.25">
      <c r="A4569" s="17"/>
    </row>
    <row r="4570" spans="1:1" x14ac:dyDescent="0.25">
      <c r="A4570" s="17"/>
    </row>
    <row r="4571" spans="1:1" x14ac:dyDescent="0.25">
      <c r="A4571" s="17"/>
    </row>
    <row r="4572" spans="1:1" x14ac:dyDescent="0.25">
      <c r="A4572" s="17"/>
    </row>
    <row r="4573" spans="1:1" x14ac:dyDescent="0.25">
      <c r="A4573" s="17"/>
    </row>
    <row r="4574" spans="1:1" x14ac:dyDescent="0.25">
      <c r="A4574" s="17"/>
    </row>
    <row r="4575" spans="1:1" x14ac:dyDescent="0.25">
      <c r="A4575" s="17"/>
    </row>
    <row r="4576" spans="1:1" x14ac:dyDescent="0.25">
      <c r="A4576" s="17"/>
    </row>
    <row r="4577" spans="1:1" x14ac:dyDescent="0.25">
      <c r="A4577" s="17"/>
    </row>
    <row r="4578" spans="1:1" x14ac:dyDescent="0.25">
      <c r="A4578" s="17"/>
    </row>
    <row r="4579" spans="1:1" x14ac:dyDescent="0.25">
      <c r="A4579" s="17"/>
    </row>
    <row r="4580" spans="1:1" x14ac:dyDescent="0.25">
      <c r="A4580" s="17"/>
    </row>
    <row r="4581" spans="1:1" x14ac:dyDescent="0.25">
      <c r="A4581" s="17"/>
    </row>
    <row r="4582" spans="1:1" x14ac:dyDescent="0.25">
      <c r="A4582" s="17"/>
    </row>
    <row r="4583" spans="1:1" x14ac:dyDescent="0.25">
      <c r="A4583" s="17"/>
    </row>
    <row r="4584" spans="1:1" x14ac:dyDescent="0.25">
      <c r="A4584" s="17"/>
    </row>
    <row r="4585" spans="1:1" x14ac:dyDescent="0.25">
      <c r="A4585" s="17"/>
    </row>
    <row r="4586" spans="1:1" x14ac:dyDescent="0.25">
      <c r="A4586" s="17"/>
    </row>
    <row r="4587" spans="1:1" x14ac:dyDescent="0.25">
      <c r="A4587" s="17"/>
    </row>
    <row r="4588" spans="1:1" x14ac:dyDescent="0.25">
      <c r="A4588" s="17"/>
    </row>
    <row r="4589" spans="1:1" x14ac:dyDescent="0.25">
      <c r="A4589" s="17"/>
    </row>
    <row r="4590" spans="1:1" x14ac:dyDescent="0.25">
      <c r="A4590" s="17"/>
    </row>
    <row r="4591" spans="1:1" x14ac:dyDescent="0.25">
      <c r="A4591" s="17"/>
    </row>
    <row r="4592" spans="1:1" x14ac:dyDescent="0.25">
      <c r="A4592" s="17"/>
    </row>
    <row r="4593" spans="1:1" x14ac:dyDescent="0.25">
      <c r="A4593" s="17"/>
    </row>
    <row r="4594" spans="1:1" x14ac:dyDescent="0.25">
      <c r="A4594" s="17"/>
    </row>
    <row r="4595" spans="1:1" x14ac:dyDescent="0.25">
      <c r="A4595" s="17"/>
    </row>
    <row r="4596" spans="1:1" x14ac:dyDescent="0.25">
      <c r="A4596" s="17"/>
    </row>
    <row r="4597" spans="1:1" x14ac:dyDescent="0.25">
      <c r="A4597" s="17"/>
    </row>
    <row r="4598" spans="1:1" x14ac:dyDescent="0.25">
      <c r="A4598" s="17"/>
    </row>
    <row r="4599" spans="1:1" x14ac:dyDescent="0.25">
      <c r="A4599" s="17"/>
    </row>
    <row r="4600" spans="1:1" x14ac:dyDescent="0.25">
      <c r="A4600" s="17"/>
    </row>
    <row r="4601" spans="1:1" x14ac:dyDescent="0.25">
      <c r="A4601" s="17"/>
    </row>
    <row r="4602" spans="1:1" x14ac:dyDescent="0.25">
      <c r="A4602" s="17"/>
    </row>
    <row r="4603" spans="1:1" x14ac:dyDescent="0.25">
      <c r="A4603" s="17"/>
    </row>
    <row r="4604" spans="1:1" x14ac:dyDescent="0.25">
      <c r="A4604" s="17"/>
    </row>
    <row r="4605" spans="1:1" x14ac:dyDescent="0.25">
      <c r="A4605" s="17"/>
    </row>
    <row r="4606" spans="1:1" x14ac:dyDescent="0.25">
      <c r="A4606" s="17"/>
    </row>
    <row r="4607" spans="1:1" x14ac:dyDescent="0.25">
      <c r="A4607" s="17"/>
    </row>
    <row r="4608" spans="1:1" x14ac:dyDescent="0.25">
      <c r="A4608" s="17"/>
    </row>
    <row r="4609" spans="1:1" x14ac:dyDescent="0.25">
      <c r="A4609" s="17"/>
    </row>
    <row r="4610" spans="1:1" x14ac:dyDescent="0.25">
      <c r="A4610" s="17"/>
    </row>
    <row r="4611" spans="1:1" x14ac:dyDescent="0.25">
      <c r="A4611" s="17"/>
    </row>
    <row r="4612" spans="1:1" x14ac:dyDescent="0.25">
      <c r="A4612" s="17"/>
    </row>
    <row r="4613" spans="1:1" x14ac:dyDescent="0.25">
      <c r="A4613" s="17"/>
    </row>
    <row r="4614" spans="1:1" x14ac:dyDescent="0.25">
      <c r="A4614" s="17"/>
    </row>
    <row r="4615" spans="1:1" x14ac:dyDescent="0.25">
      <c r="A4615" s="17"/>
    </row>
    <row r="4616" spans="1:1" x14ac:dyDescent="0.25">
      <c r="A4616" s="17"/>
    </row>
    <row r="4617" spans="1:1" x14ac:dyDescent="0.25">
      <c r="A4617" s="17"/>
    </row>
    <row r="4618" spans="1:1" x14ac:dyDescent="0.25">
      <c r="A4618" s="17"/>
    </row>
    <row r="4619" spans="1:1" x14ac:dyDescent="0.25">
      <c r="A4619" s="17"/>
    </row>
    <row r="4620" spans="1:1" x14ac:dyDescent="0.25">
      <c r="A4620" s="17"/>
    </row>
    <row r="4621" spans="1:1" x14ac:dyDescent="0.25">
      <c r="A4621" s="17"/>
    </row>
    <row r="4622" spans="1:1" x14ac:dyDescent="0.25">
      <c r="A4622" s="17"/>
    </row>
    <row r="4623" spans="1:1" x14ac:dyDescent="0.25">
      <c r="A4623" s="17"/>
    </row>
    <row r="4624" spans="1:1" x14ac:dyDescent="0.25">
      <c r="A4624" s="17"/>
    </row>
    <row r="4625" spans="1:1" x14ac:dyDescent="0.25">
      <c r="A4625" s="17"/>
    </row>
    <row r="4626" spans="1:1" x14ac:dyDescent="0.25">
      <c r="A4626" s="17"/>
    </row>
    <row r="4627" spans="1:1" x14ac:dyDescent="0.25">
      <c r="A4627" s="17"/>
    </row>
    <row r="4628" spans="1:1" x14ac:dyDescent="0.25">
      <c r="A4628" s="17"/>
    </row>
    <row r="4629" spans="1:1" x14ac:dyDescent="0.25">
      <c r="A4629" s="17"/>
    </row>
    <row r="4630" spans="1:1" x14ac:dyDescent="0.25">
      <c r="A4630" s="17"/>
    </row>
    <row r="4631" spans="1:1" x14ac:dyDescent="0.25">
      <c r="A4631" s="17"/>
    </row>
    <row r="4632" spans="1:1" x14ac:dyDescent="0.25">
      <c r="A4632" s="17"/>
    </row>
    <row r="4633" spans="1:1" x14ac:dyDescent="0.25">
      <c r="A4633" s="17"/>
    </row>
    <row r="4634" spans="1:1" x14ac:dyDescent="0.25">
      <c r="A4634" s="17"/>
    </row>
    <row r="4635" spans="1:1" x14ac:dyDescent="0.25">
      <c r="A4635" s="17"/>
    </row>
    <row r="4636" spans="1:1" x14ac:dyDescent="0.25">
      <c r="A4636" s="17"/>
    </row>
    <row r="4637" spans="1:1" x14ac:dyDescent="0.25">
      <c r="A4637" s="17"/>
    </row>
    <row r="4638" spans="1:1" x14ac:dyDescent="0.25">
      <c r="A4638" s="17"/>
    </row>
    <row r="4639" spans="1:1" x14ac:dyDescent="0.25">
      <c r="A4639" s="17"/>
    </row>
    <row r="4640" spans="1:1" x14ac:dyDescent="0.25">
      <c r="A4640" s="17"/>
    </row>
    <row r="4641" spans="1:1" x14ac:dyDescent="0.25">
      <c r="A4641" s="17"/>
    </row>
    <row r="4642" spans="1:1" x14ac:dyDescent="0.25">
      <c r="A4642" s="17"/>
    </row>
    <row r="4643" spans="1:1" x14ac:dyDescent="0.25">
      <c r="A4643" s="17"/>
    </row>
    <row r="4644" spans="1:1" x14ac:dyDescent="0.25">
      <c r="A4644" s="17"/>
    </row>
    <row r="4645" spans="1:1" x14ac:dyDescent="0.25">
      <c r="A4645" s="17"/>
    </row>
    <row r="4646" spans="1:1" x14ac:dyDescent="0.25">
      <c r="A4646" s="17"/>
    </row>
    <row r="4647" spans="1:1" x14ac:dyDescent="0.25">
      <c r="A4647" s="17"/>
    </row>
    <row r="4648" spans="1:1" x14ac:dyDescent="0.25">
      <c r="A4648" s="17"/>
    </row>
    <row r="4649" spans="1:1" x14ac:dyDescent="0.25">
      <c r="A4649" s="17"/>
    </row>
    <row r="4650" spans="1:1" x14ac:dyDescent="0.25">
      <c r="A4650" s="17"/>
    </row>
    <row r="4651" spans="1:1" x14ac:dyDescent="0.25">
      <c r="A4651" s="17"/>
    </row>
    <row r="4652" spans="1:1" x14ac:dyDescent="0.25">
      <c r="A4652" s="17"/>
    </row>
    <row r="4653" spans="1:1" x14ac:dyDescent="0.25">
      <c r="A4653" s="17"/>
    </row>
    <row r="4654" spans="1:1" x14ac:dyDescent="0.25">
      <c r="A4654" s="17"/>
    </row>
    <row r="4655" spans="1:1" x14ac:dyDescent="0.25">
      <c r="A4655" s="17"/>
    </row>
    <row r="4656" spans="1:1" x14ac:dyDescent="0.25">
      <c r="A4656" s="17"/>
    </row>
    <row r="4657" spans="1:1" x14ac:dyDescent="0.25">
      <c r="A4657" s="17"/>
    </row>
    <row r="4658" spans="1:1" x14ac:dyDescent="0.25">
      <c r="A4658" s="17"/>
    </row>
    <row r="4659" spans="1:1" x14ac:dyDescent="0.25">
      <c r="A4659" s="17"/>
    </row>
    <row r="4660" spans="1:1" x14ac:dyDescent="0.25">
      <c r="A4660" s="17"/>
    </row>
    <row r="4661" spans="1:1" x14ac:dyDescent="0.25">
      <c r="A4661" s="17"/>
    </row>
    <row r="4662" spans="1:1" x14ac:dyDescent="0.25">
      <c r="A4662" s="17"/>
    </row>
    <row r="4663" spans="1:1" x14ac:dyDescent="0.25">
      <c r="A4663" s="17"/>
    </row>
    <row r="4664" spans="1:1" x14ac:dyDescent="0.25">
      <c r="A4664" s="17"/>
    </row>
    <row r="4665" spans="1:1" x14ac:dyDescent="0.25">
      <c r="A4665" s="17"/>
    </row>
    <row r="4666" spans="1:1" x14ac:dyDescent="0.25">
      <c r="A4666" s="17"/>
    </row>
    <row r="4667" spans="1:1" x14ac:dyDescent="0.25">
      <c r="A4667" s="17"/>
    </row>
    <row r="4668" spans="1:1" x14ac:dyDescent="0.25">
      <c r="A4668" s="17"/>
    </row>
    <row r="4669" spans="1:1" x14ac:dyDescent="0.25">
      <c r="A4669" s="17"/>
    </row>
    <row r="4670" spans="1:1" x14ac:dyDescent="0.25">
      <c r="A4670" s="17"/>
    </row>
    <row r="4671" spans="1:1" x14ac:dyDescent="0.25">
      <c r="A4671" s="17"/>
    </row>
    <row r="4672" spans="1:1" x14ac:dyDescent="0.25">
      <c r="A4672" s="17"/>
    </row>
    <row r="4673" spans="1:1" x14ac:dyDescent="0.25">
      <c r="A4673" s="17"/>
    </row>
    <row r="4674" spans="1:1" x14ac:dyDescent="0.25">
      <c r="A4674" s="17"/>
    </row>
    <row r="4675" spans="1:1" x14ac:dyDescent="0.25">
      <c r="A4675" s="17"/>
    </row>
    <row r="4676" spans="1:1" x14ac:dyDescent="0.25">
      <c r="A4676" s="17"/>
    </row>
    <row r="4677" spans="1:1" x14ac:dyDescent="0.25">
      <c r="A4677" s="17"/>
    </row>
    <row r="4678" spans="1:1" x14ac:dyDescent="0.25">
      <c r="A4678" s="17"/>
    </row>
    <row r="4679" spans="1:1" x14ac:dyDescent="0.25">
      <c r="A4679" s="17"/>
    </row>
    <row r="4680" spans="1:1" x14ac:dyDescent="0.25">
      <c r="A4680" s="17"/>
    </row>
    <row r="4681" spans="1:1" x14ac:dyDescent="0.25">
      <c r="A4681" s="17"/>
    </row>
    <row r="4682" spans="1:1" x14ac:dyDescent="0.25">
      <c r="A4682" s="17"/>
    </row>
    <row r="4683" spans="1:1" x14ac:dyDescent="0.25">
      <c r="A4683" s="17"/>
    </row>
    <row r="4684" spans="1:1" x14ac:dyDescent="0.25">
      <c r="A4684" s="17"/>
    </row>
    <row r="4685" spans="1:1" x14ac:dyDescent="0.25">
      <c r="A4685" s="17"/>
    </row>
    <row r="4686" spans="1:1" x14ac:dyDescent="0.25">
      <c r="A4686" s="17"/>
    </row>
    <row r="4687" spans="1:1" x14ac:dyDescent="0.25">
      <c r="A4687" s="17"/>
    </row>
    <row r="4688" spans="1:1" x14ac:dyDescent="0.25">
      <c r="A4688" s="17"/>
    </row>
    <row r="4689" spans="1:1" x14ac:dyDescent="0.25">
      <c r="A4689" s="17"/>
    </row>
    <row r="4690" spans="1:1" x14ac:dyDescent="0.25">
      <c r="A4690" s="17"/>
    </row>
    <row r="4691" spans="1:1" x14ac:dyDescent="0.25">
      <c r="A4691" s="17"/>
    </row>
    <row r="4692" spans="1:1" x14ac:dyDescent="0.25">
      <c r="A4692" s="17"/>
    </row>
    <row r="4693" spans="1:1" x14ac:dyDescent="0.25">
      <c r="A4693" s="17"/>
    </row>
    <row r="4694" spans="1:1" x14ac:dyDescent="0.25">
      <c r="A4694" s="17"/>
    </row>
    <row r="4695" spans="1:1" x14ac:dyDescent="0.25">
      <c r="A4695" s="17"/>
    </row>
    <row r="4696" spans="1:1" x14ac:dyDescent="0.25">
      <c r="A4696" s="17"/>
    </row>
    <row r="4697" spans="1:1" x14ac:dyDescent="0.25">
      <c r="A4697" s="17"/>
    </row>
    <row r="4698" spans="1:1" x14ac:dyDescent="0.25">
      <c r="A4698" s="17"/>
    </row>
    <row r="4699" spans="1:1" x14ac:dyDescent="0.25">
      <c r="A4699" s="17"/>
    </row>
    <row r="4700" spans="1:1" x14ac:dyDescent="0.25">
      <c r="A4700" s="17"/>
    </row>
    <row r="4701" spans="1:1" x14ac:dyDescent="0.25">
      <c r="A4701" s="17"/>
    </row>
    <row r="4702" spans="1:1" x14ac:dyDescent="0.25">
      <c r="A4702" s="17"/>
    </row>
    <row r="4703" spans="1:1" x14ac:dyDescent="0.25">
      <c r="A4703" s="17"/>
    </row>
    <row r="4704" spans="1:1" x14ac:dyDescent="0.25">
      <c r="A4704" s="17"/>
    </row>
    <row r="4705" spans="1:1" x14ac:dyDescent="0.25">
      <c r="A4705" s="17"/>
    </row>
    <row r="4706" spans="1:1" x14ac:dyDescent="0.25">
      <c r="A4706" s="17"/>
    </row>
    <row r="4707" spans="1:1" x14ac:dyDescent="0.25">
      <c r="A4707" s="17"/>
    </row>
    <row r="4708" spans="1:1" x14ac:dyDescent="0.25">
      <c r="A4708" s="17"/>
    </row>
    <row r="4709" spans="1:1" x14ac:dyDescent="0.25">
      <c r="A4709" s="17"/>
    </row>
    <row r="4710" spans="1:1" x14ac:dyDescent="0.25">
      <c r="A4710" s="17"/>
    </row>
    <row r="4711" spans="1:1" x14ac:dyDescent="0.25">
      <c r="A4711" s="17"/>
    </row>
    <row r="4712" spans="1:1" x14ac:dyDescent="0.25">
      <c r="A4712" s="17"/>
    </row>
    <row r="4713" spans="1:1" x14ac:dyDescent="0.25">
      <c r="A4713" s="17"/>
    </row>
    <row r="4714" spans="1:1" x14ac:dyDescent="0.25">
      <c r="A4714" s="17"/>
    </row>
    <row r="4715" spans="1:1" x14ac:dyDescent="0.25">
      <c r="A4715" s="17"/>
    </row>
    <row r="4716" spans="1:1" x14ac:dyDescent="0.25">
      <c r="A4716" s="17"/>
    </row>
    <row r="4717" spans="1:1" x14ac:dyDescent="0.25">
      <c r="A4717" s="17"/>
    </row>
    <row r="4718" spans="1:1" x14ac:dyDescent="0.25">
      <c r="A4718" s="17"/>
    </row>
    <row r="4719" spans="1:1" x14ac:dyDescent="0.25">
      <c r="A4719" s="17"/>
    </row>
    <row r="4720" spans="1:1" x14ac:dyDescent="0.25">
      <c r="A4720" s="17"/>
    </row>
    <row r="4721" spans="1:1" x14ac:dyDescent="0.25">
      <c r="A4721" s="17"/>
    </row>
    <row r="4722" spans="1:1" x14ac:dyDescent="0.25">
      <c r="A4722" s="17"/>
    </row>
    <row r="4723" spans="1:1" x14ac:dyDescent="0.25">
      <c r="A4723" s="17"/>
    </row>
    <row r="4724" spans="1:1" x14ac:dyDescent="0.25">
      <c r="A4724" s="17"/>
    </row>
    <row r="4725" spans="1:1" x14ac:dyDescent="0.25">
      <c r="A4725" s="17"/>
    </row>
    <row r="4726" spans="1:1" x14ac:dyDescent="0.25">
      <c r="A4726" s="17"/>
    </row>
    <row r="4727" spans="1:1" x14ac:dyDescent="0.25">
      <c r="A4727" s="17"/>
    </row>
    <row r="4728" spans="1:1" x14ac:dyDescent="0.25">
      <c r="A4728" s="17"/>
    </row>
    <row r="4729" spans="1:1" x14ac:dyDescent="0.25">
      <c r="A4729" s="17"/>
    </row>
    <row r="4730" spans="1:1" x14ac:dyDescent="0.25">
      <c r="A4730" s="17"/>
    </row>
    <row r="4731" spans="1:1" x14ac:dyDescent="0.25">
      <c r="A4731" s="17"/>
    </row>
    <row r="4732" spans="1:1" x14ac:dyDescent="0.25">
      <c r="A4732" s="17"/>
    </row>
    <row r="4733" spans="1:1" x14ac:dyDescent="0.25">
      <c r="A4733" s="17"/>
    </row>
    <row r="4734" spans="1:1" x14ac:dyDescent="0.25">
      <c r="A4734" s="17"/>
    </row>
    <row r="4735" spans="1:1" x14ac:dyDescent="0.25">
      <c r="A4735" s="17"/>
    </row>
    <row r="4736" spans="1:1" x14ac:dyDescent="0.25">
      <c r="A4736" s="17"/>
    </row>
    <row r="4737" spans="1:1" x14ac:dyDescent="0.25">
      <c r="A4737" s="17"/>
    </row>
    <row r="4738" spans="1:1" x14ac:dyDescent="0.25">
      <c r="A4738" s="17"/>
    </row>
    <row r="4739" spans="1:1" x14ac:dyDescent="0.25">
      <c r="A4739" s="17"/>
    </row>
    <row r="4740" spans="1:1" x14ac:dyDescent="0.25">
      <c r="A4740" s="17"/>
    </row>
    <row r="4741" spans="1:1" x14ac:dyDescent="0.25">
      <c r="A4741" s="17"/>
    </row>
    <row r="4742" spans="1:1" x14ac:dyDescent="0.25">
      <c r="A4742" s="17"/>
    </row>
    <row r="4743" spans="1:1" x14ac:dyDescent="0.25">
      <c r="A4743" s="17"/>
    </row>
    <row r="4744" spans="1:1" x14ac:dyDescent="0.25">
      <c r="A4744" s="17"/>
    </row>
    <row r="4745" spans="1:1" x14ac:dyDescent="0.25">
      <c r="A4745" s="17"/>
    </row>
    <row r="4746" spans="1:1" x14ac:dyDescent="0.25">
      <c r="A4746" s="17"/>
    </row>
    <row r="4747" spans="1:1" x14ac:dyDescent="0.25">
      <c r="A4747" s="17"/>
    </row>
    <row r="4748" spans="1:1" x14ac:dyDescent="0.25">
      <c r="A4748" s="17"/>
    </row>
    <row r="4749" spans="1:1" x14ac:dyDescent="0.25">
      <c r="A4749" s="17"/>
    </row>
    <row r="4750" spans="1:1" x14ac:dyDescent="0.25">
      <c r="A4750" s="17"/>
    </row>
    <row r="4751" spans="1:1" x14ac:dyDescent="0.25">
      <c r="A4751" s="17"/>
    </row>
    <row r="4752" spans="1:1" x14ac:dyDescent="0.25">
      <c r="A4752" s="17"/>
    </row>
    <row r="4753" spans="1:1" x14ac:dyDescent="0.25">
      <c r="A4753" s="17"/>
    </row>
    <row r="4754" spans="1:1" x14ac:dyDescent="0.25">
      <c r="A4754" s="17"/>
    </row>
    <row r="4755" spans="1:1" x14ac:dyDescent="0.25">
      <c r="A4755" s="17"/>
    </row>
    <row r="4756" spans="1:1" x14ac:dyDescent="0.25">
      <c r="A4756" s="17"/>
    </row>
    <row r="4757" spans="1:1" x14ac:dyDescent="0.25">
      <c r="A4757" s="17"/>
    </row>
    <row r="4758" spans="1:1" x14ac:dyDescent="0.25">
      <c r="A4758" s="17"/>
    </row>
    <row r="4759" spans="1:1" x14ac:dyDescent="0.25">
      <c r="A4759" s="17"/>
    </row>
    <row r="4760" spans="1:1" x14ac:dyDescent="0.25">
      <c r="A4760" s="17"/>
    </row>
    <row r="4761" spans="1:1" x14ac:dyDescent="0.25">
      <c r="A4761" s="17"/>
    </row>
    <row r="4762" spans="1:1" x14ac:dyDescent="0.25">
      <c r="A4762" s="17"/>
    </row>
    <row r="4763" spans="1:1" x14ac:dyDescent="0.25">
      <c r="A4763" s="17"/>
    </row>
    <row r="4764" spans="1:1" x14ac:dyDescent="0.25">
      <c r="A4764" s="17"/>
    </row>
    <row r="4765" spans="1:1" x14ac:dyDescent="0.25">
      <c r="A4765" s="17"/>
    </row>
    <row r="4766" spans="1:1" x14ac:dyDescent="0.25">
      <c r="A4766" s="17"/>
    </row>
    <row r="4767" spans="1:1" x14ac:dyDescent="0.25">
      <c r="A4767" s="17"/>
    </row>
    <row r="4768" spans="1:1" x14ac:dyDescent="0.25">
      <c r="A4768" s="17"/>
    </row>
    <row r="4769" spans="1:1" x14ac:dyDescent="0.25">
      <c r="A4769" s="17"/>
    </row>
    <row r="4770" spans="1:1" x14ac:dyDescent="0.25">
      <c r="A4770" s="17"/>
    </row>
    <row r="4771" spans="1:1" x14ac:dyDescent="0.25">
      <c r="A4771" s="17"/>
    </row>
    <row r="4772" spans="1:1" x14ac:dyDescent="0.25">
      <c r="A4772" s="17"/>
    </row>
    <row r="4773" spans="1:1" x14ac:dyDescent="0.25">
      <c r="A4773" s="17"/>
    </row>
    <row r="4774" spans="1:1" x14ac:dyDescent="0.25">
      <c r="A4774" s="17"/>
    </row>
    <row r="4775" spans="1:1" x14ac:dyDescent="0.25">
      <c r="A4775" s="17"/>
    </row>
    <row r="4776" spans="1:1" x14ac:dyDescent="0.25">
      <c r="A4776" s="17"/>
    </row>
    <row r="4777" spans="1:1" x14ac:dyDescent="0.25">
      <c r="A4777" s="17"/>
    </row>
    <row r="4778" spans="1:1" x14ac:dyDescent="0.25">
      <c r="A4778" s="17"/>
    </row>
    <row r="4779" spans="1:1" x14ac:dyDescent="0.25">
      <c r="A4779" s="17"/>
    </row>
    <row r="4780" spans="1:1" x14ac:dyDescent="0.25">
      <c r="A4780" s="17"/>
    </row>
    <row r="4781" spans="1:1" x14ac:dyDescent="0.25">
      <c r="A4781" s="17"/>
    </row>
    <row r="4782" spans="1:1" x14ac:dyDescent="0.25">
      <c r="A4782" s="17"/>
    </row>
    <row r="4783" spans="1:1" x14ac:dyDescent="0.25">
      <c r="A4783" s="17"/>
    </row>
    <row r="4784" spans="1:1" x14ac:dyDescent="0.25">
      <c r="A4784" s="17"/>
    </row>
    <row r="4785" spans="1:1" x14ac:dyDescent="0.25">
      <c r="A4785" s="17"/>
    </row>
    <row r="4786" spans="1:1" x14ac:dyDescent="0.25">
      <c r="A4786" s="17"/>
    </row>
    <row r="4787" spans="1:1" x14ac:dyDescent="0.25">
      <c r="A4787" s="17"/>
    </row>
    <row r="4788" spans="1:1" x14ac:dyDescent="0.25">
      <c r="A4788" s="17"/>
    </row>
    <row r="4789" spans="1:1" x14ac:dyDescent="0.25">
      <c r="A4789" s="17"/>
    </row>
    <row r="4790" spans="1:1" x14ac:dyDescent="0.25">
      <c r="A4790" s="17"/>
    </row>
    <row r="4791" spans="1:1" x14ac:dyDescent="0.25">
      <c r="A4791" s="17"/>
    </row>
    <row r="4792" spans="1:1" x14ac:dyDescent="0.25">
      <c r="A4792" s="17"/>
    </row>
    <row r="4793" spans="1:1" x14ac:dyDescent="0.25">
      <c r="A4793" s="17"/>
    </row>
    <row r="4794" spans="1:1" x14ac:dyDescent="0.25">
      <c r="A4794" s="17"/>
    </row>
    <row r="4795" spans="1:1" x14ac:dyDescent="0.25">
      <c r="A4795" s="17"/>
    </row>
    <row r="4796" spans="1:1" x14ac:dyDescent="0.25">
      <c r="A4796" s="17"/>
    </row>
    <row r="4797" spans="1:1" x14ac:dyDescent="0.25">
      <c r="A4797" s="17"/>
    </row>
    <row r="4798" spans="1:1" x14ac:dyDescent="0.25">
      <c r="A4798" s="17"/>
    </row>
    <row r="4799" spans="1:1" x14ac:dyDescent="0.25">
      <c r="A4799" s="17"/>
    </row>
    <row r="4800" spans="1:1" x14ac:dyDescent="0.25">
      <c r="A4800" s="17"/>
    </row>
    <row r="4801" spans="1:1" x14ac:dyDescent="0.25">
      <c r="A4801" s="17"/>
    </row>
    <row r="4802" spans="1:1" x14ac:dyDescent="0.25">
      <c r="A4802" s="17"/>
    </row>
    <row r="4803" spans="1:1" x14ac:dyDescent="0.25">
      <c r="A4803" s="17"/>
    </row>
    <row r="4804" spans="1:1" x14ac:dyDescent="0.25">
      <c r="A4804" s="17"/>
    </row>
    <row r="4805" spans="1:1" x14ac:dyDescent="0.25">
      <c r="A4805" s="17"/>
    </row>
    <row r="4806" spans="1:1" x14ac:dyDescent="0.25">
      <c r="A4806" s="17"/>
    </row>
    <row r="4807" spans="1:1" x14ac:dyDescent="0.25">
      <c r="A4807" s="17"/>
    </row>
    <row r="4808" spans="1:1" x14ac:dyDescent="0.25">
      <c r="A4808" s="17"/>
    </row>
    <row r="4809" spans="1:1" x14ac:dyDescent="0.25">
      <c r="A4809" s="17"/>
    </row>
    <row r="4810" spans="1:1" x14ac:dyDescent="0.25">
      <c r="A4810" s="17"/>
    </row>
    <row r="4811" spans="1:1" x14ac:dyDescent="0.25">
      <c r="A4811" s="17"/>
    </row>
    <row r="4812" spans="1:1" x14ac:dyDescent="0.25">
      <c r="A4812" s="17"/>
    </row>
    <row r="4813" spans="1:1" x14ac:dyDescent="0.25">
      <c r="A4813" s="17"/>
    </row>
    <row r="4814" spans="1:1" x14ac:dyDescent="0.25">
      <c r="A4814" s="17"/>
    </row>
    <row r="4815" spans="1:1" x14ac:dyDescent="0.25">
      <c r="A4815" s="17"/>
    </row>
    <row r="4816" spans="1:1" x14ac:dyDescent="0.25">
      <c r="A4816" s="17"/>
    </row>
    <row r="4817" spans="1:1" x14ac:dyDescent="0.25">
      <c r="A4817" s="17"/>
    </row>
    <row r="4818" spans="1:1" x14ac:dyDescent="0.25">
      <c r="A4818" s="17"/>
    </row>
    <row r="4819" spans="1:1" x14ac:dyDescent="0.25">
      <c r="A4819" s="17"/>
    </row>
    <row r="4820" spans="1:1" x14ac:dyDescent="0.25">
      <c r="A4820" s="17"/>
    </row>
    <row r="4821" spans="1:1" x14ac:dyDescent="0.25">
      <c r="A4821" s="17"/>
    </row>
    <row r="4822" spans="1:1" x14ac:dyDescent="0.25">
      <c r="A4822" s="17"/>
    </row>
    <row r="4823" spans="1:1" x14ac:dyDescent="0.25">
      <c r="A4823" s="17"/>
    </row>
    <row r="4824" spans="1:1" x14ac:dyDescent="0.25">
      <c r="A4824" s="17"/>
    </row>
    <row r="4825" spans="1:1" x14ac:dyDescent="0.25">
      <c r="A4825" s="17"/>
    </row>
    <row r="4826" spans="1:1" x14ac:dyDescent="0.25">
      <c r="A4826" s="17"/>
    </row>
    <row r="4827" spans="1:1" x14ac:dyDescent="0.25">
      <c r="A4827" s="17"/>
    </row>
    <row r="4828" spans="1:1" x14ac:dyDescent="0.25">
      <c r="A4828" s="17"/>
    </row>
    <row r="4829" spans="1:1" x14ac:dyDescent="0.25">
      <c r="A4829" s="17"/>
    </row>
    <row r="4830" spans="1:1" x14ac:dyDescent="0.25">
      <c r="A4830" s="17"/>
    </row>
    <row r="4831" spans="1:1" x14ac:dyDescent="0.25">
      <c r="A4831" s="17"/>
    </row>
    <row r="4832" spans="1:1" x14ac:dyDescent="0.25">
      <c r="A4832" s="17"/>
    </row>
    <row r="4833" spans="1:1" x14ac:dyDescent="0.25">
      <c r="A4833" s="17"/>
    </row>
    <row r="4834" spans="1:1" x14ac:dyDescent="0.25">
      <c r="A4834" s="17"/>
    </row>
    <row r="4835" spans="1:1" x14ac:dyDescent="0.25">
      <c r="A4835" s="17"/>
    </row>
    <row r="4836" spans="1:1" x14ac:dyDescent="0.25">
      <c r="A4836" s="17"/>
    </row>
    <row r="4837" spans="1:1" x14ac:dyDescent="0.25">
      <c r="A4837" s="17"/>
    </row>
    <row r="4838" spans="1:1" x14ac:dyDescent="0.25">
      <c r="A4838" s="17"/>
    </row>
    <row r="4839" spans="1:1" x14ac:dyDescent="0.25">
      <c r="A4839" s="17"/>
    </row>
    <row r="4840" spans="1:1" x14ac:dyDescent="0.25">
      <c r="A4840" s="17"/>
    </row>
    <row r="4841" spans="1:1" x14ac:dyDescent="0.25">
      <c r="A4841" s="17"/>
    </row>
    <row r="4842" spans="1:1" x14ac:dyDescent="0.25">
      <c r="A4842" s="17"/>
    </row>
    <row r="4843" spans="1:1" x14ac:dyDescent="0.25">
      <c r="A4843" s="17"/>
    </row>
    <row r="4844" spans="1:1" x14ac:dyDescent="0.25">
      <c r="A4844" s="17"/>
    </row>
    <row r="4845" spans="1:1" x14ac:dyDescent="0.25">
      <c r="A4845" s="17"/>
    </row>
    <row r="4846" spans="1:1" x14ac:dyDescent="0.25">
      <c r="A4846" s="17"/>
    </row>
    <row r="4847" spans="1:1" x14ac:dyDescent="0.25">
      <c r="A4847" s="17"/>
    </row>
    <row r="4848" spans="1:1" x14ac:dyDescent="0.25">
      <c r="A4848" s="17"/>
    </row>
    <row r="4849" spans="1:1" x14ac:dyDescent="0.25">
      <c r="A4849" s="17"/>
    </row>
    <row r="4850" spans="1:1" x14ac:dyDescent="0.25">
      <c r="A4850" s="17"/>
    </row>
    <row r="4851" spans="1:1" x14ac:dyDescent="0.25">
      <c r="A4851" s="17"/>
    </row>
    <row r="4852" spans="1:1" x14ac:dyDescent="0.25">
      <c r="A4852" s="17"/>
    </row>
    <row r="4853" spans="1:1" x14ac:dyDescent="0.25">
      <c r="A4853" s="17"/>
    </row>
    <row r="4854" spans="1:1" x14ac:dyDescent="0.25">
      <c r="A4854" s="17"/>
    </row>
    <row r="4855" spans="1:1" x14ac:dyDescent="0.25">
      <c r="A4855" s="17"/>
    </row>
    <row r="4856" spans="1:1" x14ac:dyDescent="0.25">
      <c r="A4856" s="17"/>
    </row>
    <row r="4857" spans="1:1" x14ac:dyDescent="0.25">
      <c r="A4857" s="17"/>
    </row>
    <row r="4858" spans="1:1" x14ac:dyDescent="0.25">
      <c r="A4858" s="17"/>
    </row>
    <row r="4859" spans="1:1" x14ac:dyDescent="0.25">
      <c r="A4859" s="17"/>
    </row>
    <row r="4860" spans="1:1" x14ac:dyDescent="0.25">
      <c r="A4860" s="17"/>
    </row>
    <row r="4861" spans="1:1" x14ac:dyDescent="0.25">
      <c r="A4861" s="17"/>
    </row>
    <row r="4862" spans="1:1" x14ac:dyDescent="0.25">
      <c r="A4862" s="17"/>
    </row>
    <row r="4863" spans="1:1" x14ac:dyDescent="0.25">
      <c r="A4863" s="17"/>
    </row>
    <row r="4864" spans="1:1" x14ac:dyDescent="0.25">
      <c r="A4864" s="17"/>
    </row>
    <row r="4865" spans="1:1" x14ac:dyDescent="0.25">
      <c r="A4865" s="17"/>
    </row>
    <row r="4866" spans="1:1" x14ac:dyDescent="0.25">
      <c r="A4866" s="17"/>
    </row>
    <row r="4867" spans="1:1" x14ac:dyDescent="0.25">
      <c r="A4867" s="17"/>
    </row>
    <row r="4868" spans="1:1" x14ac:dyDescent="0.25">
      <c r="A4868" s="17"/>
    </row>
    <row r="4869" spans="1:1" x14ac:dyDescent="0.25">
      <c r="A4869" s="17"/>
    </row>
    <row r="4870" spans="1:1" x14ac:dyDescent="0.25">
      <c r="A4870" s="17"/>
    </row>
    <row r="4871" spans="1:1" x14ac:dyDescent="0.25">
      <c r="A4871" s="17"/>
    </row>
    <row r="4872" spans="1:1" x14ac:dyDescent="0.25">
      <c r="A4872" s="17"/>
    </row>
    <row r="4873" spans="1:1" x14ac:dyDescent="0.25">
      <c r="A4873" s="17"/>
    </row>
    <row r="4874" spans="1:1" x14ac:dyDescent="0.25">
      <c r="A4874" s="17"/>
    </row>
    <row r="4875" spans="1:1" x14ac:dyDescent="0.25">
      <c r="A4875" s="17"/>
    </row>
    <row r="4876" spans="1:1" x14ac:dyDescent="0.25">
      <c r="A4876" s="17"/>
    </row>
    <row r="4877" spans="1:1" x14ac:dyDescent="0.25">
      <c r="A4877" s="17"/>
    </row>
    <row r="4878" spans="1:1" x14ac:dyDescent="0.25">
      <c r="A4878" s="17"/>
    </row>
    <row r="4879" spans="1:1" x14ac:dyDescent="0.25">
      <c r="A4879" s="17"/>
    </row>
    <row r="4880" spans="1:1" x14ac:dyDescent="0.25">
      <c r="A4880" s="17"/>
    </row>
    <row r="4881" spans="1:1" x14ac:dyDescent="0.25">
      <c r="A4881" s="17"/>
    </row>
    <row r="4882" spans="1:1" x14ac:dyDescent="0.25">
      <c r="A4882" s="17"/>
    </row>
    <row r="4883" spans="1:1" x14ac:dyDescent="0.25">
      <c r="A4883" s="17"/>
    </row>
    <row r="4884" spans="1:1" x14ac:dyDescent="0.25">
      <c r="A4884" s="17"/>
    </row>
    <row r="4885" spans="1:1" x14ac:dyDescent="0.25">
      <c r="A4885" s="17"/>
    </row>
    <row r="4886" spans="1:1" x14ac:dyDescent="0.25">
      <c r="A4886" s="17"/>
    </row>
    <row r="4887" spans="1:1" x14ac:dyDescent="0.25">
      <c r="A4887" s="17"/>
    </row>
    <row r="4888" spans="1:1" x14ac:dyDescent="0.25">
      <c r="A4888" s="17"/>
    </row>
    <row r="4889" spans="1:1" x14ac:dyDescent="0.25">
      <c r="A4889" s="17"/>
    </row>
    <row r="4890" spans="1:1" x14ac:dyDescent="0.25">
      <c r="A4890" s="17"/>
    </row>
    <row r="4891" spans="1:1" x14ac:dyDescent="0.25">
      <c r="A4891" s="17"/>
    </row>
    <row r="4892" spans="1:1" x14ac:dyDescent="0.25">
      <c r="A4892" s="17"/>
    </row>
    <row r="4893" spans="1:1" x14ac:dyDescent="0.25">
      <c r="A4893" s="17"/>
    </row>
    <row r="4894" spans="1:1" x14ac:dyDescent="0.25">
      <c r="A4894" s="17"/>
    </row>
    <row r="4895" spans="1:1" x14ac:dyDescent="0.25">
      <c r="A4895" s="17"/>
    </row>
    <row r="4896" spans="1:1" x14ac:dyDescent="0.25">
      <c r="A4896" s="17"/>
    </row>
    <row r="4897" spans="1:1" x14ac:dyDescent="0.25">
      <c r="A4897" s="17"/>
    </row>
    <row r="4898" spans="1:1" x14ac:dyDescent="0.25">
      <c r="A4898" s="17"/>
    </row>
    <row r="4899" spans="1:1" x14ac:dyDescent="0.25">
      <c r="A4899" s="17"/>
    </row>
    <row r="4900" spans="1:1" x14ac:dyDescent="0.25">
      <c r="A4900" s="17"/>
    </row>
    <row r="4901" spans="1:1" x14ac:dyDescent="0.25">
      <c r="A4901" s="17"/>
    </row>
    <row r="4902" spans="1:1" x14ac:dyDescent="0.25">
      <c r="A4902" s="17"/>
    </row>
    <row r="4903" spans="1:1" x14ac:dyDescent="0.25">
      <c r="A4903" s="17"/>
    </row>
    <row r="4904" spans="1:1" x14ac:dyDescent="0.25">
      <c r="A4904" s="17"/>
    </row>
    <row r="4905" spans="1:1" x14ac:dyDescent="0.25">
      <c r="A4905" s="17"/>
    </row>
    <row r="4906" spans="1:1" x14ac:dyDescent="0.25">
      <c r="A4906" s="17"/>
    </row>
    <row r="4907" spans="1:1" x14ac:dyDescent="0.25">
      <c r="A4907" s="17"/>
    </row>
    <row r="4908" spans="1:1" x14ac:dyDescent="0.25">
      <c r="A4908" s="17"/>
    </row>
    <row r="4909" spans="1:1" x14ac:dyDescent="0.25">
      <c r="A4909" s="17"/>
    </row>
    <row r="4910" spans="1:1" x14ac:dyDescent="0.25">
      <c r="A4910" s="17"/>
    </row>
    <row r="4911" spans="1:1" x14ac:dyDescent="0.25">
      <c r="A4911" s="17"/>
    </row>
    <row r="4912" spans="1:1" x14ac:dyDescent="0.25">
      <c r="A4912" s="17"/>
    </row>
    <row r="4913" spans="1:1" x14ac:dyDescent="0.25">
      <c r="A4913" s="17"/>
    </row>
    <row r="4914" spans="1:1" x14ac:dyDescent="0.25">
      <c r="A4914" s="17"/>
    </row>
    <row r="4915" spans="1:1" x14ac:dyDescent="0.25">
      <c r="A4915" s="17"/>
    </row>
    <row r="4916" spans="1:1" x14ac:dyDescent="0.25">
      <c r="A4916" s="17"/>
    </row>
    <row r="4917" spans="1:1" x14ac:dyDescent="0.25">
      <c r="A4917" s="17"/>
    </row>
    <row r="4918" spans="1:1" x14ac:dyDescent="0.25">
      <c r="A4918" s="17"/>
    </row>
    <row r="4919" spans="1:1" x14ac:dyDescent="0.25">
      <c r="A4919" s="17"/>
    </row>
    <row r="4920" spans="1:1" x14ac:dyDescent="0.25">
      <c r="A4920" s="17"/>
    </row>
    <row r="4921" spans="1:1" x14ac:dyDescent="0.25">
      <c r="A4921" s="17"/>
    </row>
    <row r="4922" spans="1:1" x14ac:dyDescent="0.25">
      <c r="A4922" s="17"/>
    </row>
    <row r="4923" spans="1:1" x14ac:dyDescent="0.25">
      <c r="A4923" s="17"/>
    </row>
    <row r="4924" spans="1:1" x14ac:dyDescent="0.25">
      <c r="A4924" s="17"/>
    </row>
    <row r="4925" spans="1:1" x14ac:dyDescent="0.25">
      <c r="A4925" s="17"/>
    </row>
    <row r="4926" spans="1:1" x14ac:dyDescent="0.25">
      <c r="A4926" s="17"/>
    </row>
    <row r="4927" spans="1:1" x14ac:dyDescent="0.25">
      <c r="A4927" s="17"/>
    </row>
    <row r="4928" spans="1:1" x14ac:dyDescent="0.25">
      <c r="A4928" s="17"/>
    </row>
    <row r="4929" spans="1:1" x14ac:dyDescent="0.25">
      <c r="A4929" s="17"/>
    </row>
    <row r="4930" spans="1:1" x14ac:dyDescent="0.25">
      <c r="A4930" s="17"/>
    </row>
    <row r="4931" spans="1:1" x14ac:dyDescent="0.25">
      <c r="A4931" s="17"/>
    </row>
    <row r="4932" spans="1:1" x14ac:dyDescent="0.25">
      <c r="A4932" s="17"/>
    </row>
    <row r="4933" spans="1:1" x14ac:dyDescent="0.25">
      <c r="A4933" s="17"/>
    </row>
    <row r="4934" spans="1:1" x14ac:dyDescent="0.25">
      <c r="A4934" s="17"/>
    </row>
    <row r="4935" spans="1:1" x14ac:dyDescent="0.25">
      <c r="A4935" s="17"/>
    </row>
    <row r="4936" spans="1:1" x14ac:dyDescent="0.25">
      <c r="A4936" s="17"/>
    </row>
    <row r="4937" spans="1:1" x14ac:dyDescent="0.25">
      <c r="A4937" s="17"/>
    </row>
    <row r="4938" spans="1:1" x14ac:dyDescent="0.25">
      <c r="A4938" s="17"/>
    </row>
    <row r="4939" spans="1:1" x14ac:dyDescent="0.25">
      <c r="A4939" s="17"/>
    </row>
    <row r="4940" spans="1:1" x14ac:dyDescent="0.25">
      <c r="A4940" s="17"/>
    </row>
    <row r="4941" spans="1:1" x14ac:dyDescent="0.25">
      <c r="A4941" s="17"/>
    </row>
    <row r="4942" spans="1:1" x14ac:dyDescent="0.25">
      <c r="A4942" s="17"/>
    </row>
    <row r="4943" spans="1:1" x14ac:dyDescent="0.25">
      <c r="A4943" s="17"/>
    </row>
    <row r="4944" spans="1:1" x14ac:dyDescent="0.25">
      <c r="A4944" s="17"/>
    </row>
    <row r="4945" spans="1:1" x14ac:dyDescent="0.25">
      <c r="A4945" s="17"/>
    </row>
    <row r="4946" spans="1:1" x14ac:dyDescent="0.25">
      <c r="A4946" s="17"/>
    </row>
    <row r="4947" spans="1:1" x14ac:dyDescent="0.25">
      <c r="A4947" s="17"/>
    </row>
    <row r="4948" spans="1:1" x14ac:dyDescent="0.25">
      <c r="A4948" s="17"/>
    </row>
    <row r="4949" spans="1:1" x14ac:dyDescent="0.25">
      <c r="A4949" s="17"/>
    </row>
    <row r="4950" spans="1:1" x14ac:dyDescent="0.25">
      <c r="A4950" s="17"/>
    </row>
    <row r="4951" spans="1:1" x14ac:dyDescent="0.25">
      <c r="A4951" s="17"/>
    </row>
    <row r="4952" spans="1:1" x14ac:dyDescent="0.25">
      <c r="A4952" s="17"/>
    </row>
    <row r="4953" spans="1:1" x14ac:dyDescent="0.25">
      <c r="A4953" s="17"/>
    </row>
    <row r="4954" spans="1:1" x14ac:dyDescent="0.25">
      <c r="A4954" s="17"/>
    </row>
    <row r="4955" spans="1:1" x14ac:dyDescent="0.25">
      <c r="A4955" s="17"/>
    </row>
    <row r="4956" spans="1:1" x14ac:dyDescent="0.25">
      <c r="A4956" s="17"/>
    </row>
    <row r="4957" spans="1:1" x14ac:dyDescent="0.25">
      <c r="A4957" s="17"/>
    </row>
    <row r="4958" spans="1:1" x14ac:dyDescent="0.25">
      <c r="A4958" s="17"/>
    </row>
    <row r="4959" spans="1:1" x14ac:dyDescent="0.25">
      <c r="A4959" s="17"/>
    </row>
    <row r="4960" spans="1:1" x14ac:dyDescent="0.25">
      <c r="A4960" s="17"/>
    </row>
    <row r="4961" spans="1:1" x14ac:dyDescent="0.25">
      <c r="A4961" s="17"/>
    </row>
    <row r="4962" spans="1:1" x14ac:dyDescent="0.25">
      <c r="A4962" s="17"/>
    </row>
    <row r="4963" spans="1:1" x14ac:dyDescent="0.25">
      <c r="A4963" s="17"/>
    </row>
    <row r="4964" spans="1:1" x14ac:dyDescent="0.25">
      <c r="A4964" s="17"/>
    </row>
    <row r="4965" spans="1:1" x14ac:dyDescent="0.25">
      <c r="A4965" s="17"/>
    </row>
    <row r="4966" spans="1:1" x14ac:dyDescent="0.25">
      <c r="A4966" s="17"/>
    </row>
    <row r="4967" spans="1:1" x14ac:dyDescent="0.25">
      <c r="A4967" s="17"/>
    </row>
    <row r="4968" spans="1:1" x14ac:dyDescent="0.25">
      <c r="A4968" s="17"/>
    </row>
    <row r="4969" spans="1:1" x14ac:dyDescent="0.25">
      <c r="A4969" s="17"/>
    </row>
    <row r="4970" spans="1:1" x14ac:dyDescent="0.25">
      <c r="A4970" s="17"/>
    </row>
    <row r="4971" spans="1:1" x14ac:dyDescent="0.25">
      <c r="A4971" s="17"/>
    </row>
    <row r="4972" spans="1:1" x14ac:dyDescent="0.25">
      <c r="A4972" s="17"/>
    </row>
    <row r="4973" spans="1:1" x14ac:dyDescent="0.25">
      <c r="A4973" s="17"/>
    </row>
    <row r="4974" spans="1:1" x14ac:dyDescent="0.25">
      <c r="A4974" s="17"/>
    </row>
    <row r="4975" spans="1:1" x14ac:dyDescent="0.25">
      <c r="A4975" s="17"/>
    </row>
    <row r="4976" spans="1:1" x14ac:dyDescent="0.25">
      <c r="A4976" s="17"/>
    </row>
    <row r="4977" spans="1:1" x14ac:dyDescent="0.25">
      <c r="A4977" s="17"/>
    </row>
    <row r="4978" spans="1:1" x14ac:dyDescent="0.25">
      <c r="A4978" s="17"/>
    </row>
    <row r="4979" spans="1:1" x14ac:dyDescent="0.25">
      <c r="A4979" s="17"/>
    </row>
    <row r="4980" spans="1:1" x14ac:dyDescent="0.25">
      <c r="A4980" s="17"/>
    </row>
    <row r="4981" spans="1:1" x14ac:dyDescent="0.25">
      <c r="A4981" s="17"/>
    </row>
    <row r="4982" spans="1:1" x14ac:dyDescent="0.25">
      <c r="A4982" s="17"/>
    </row>
    <row r="4983" spans="1:1" x14ac:dyDescent="0.25">
      <c r="A4983" s="17"/>
    </row>
    <row r="4984" spans="1:1" x14ac:dyDescent="0.25">
      <c r="A4984" s="17"/>
    </row>
    <row r="4985" spans="1:1" x14ac:dyDescent="0.25">
      <c r="A4985" s="17"/>
    </row>
    <row r="4986" spans="1:1" x14ac:dyDescent="0.25">
      <c r="A4986" s="17"/>
    </row>
    <row r="4987" spans="1:1" x14ac:dyDescent="0.25">
      <c r="A4987" s="17"/>
    </row>
    <row r="4988" spans="1:1" x14ac:dyDescent="0.25">
      <c r="A4988" s="17"/>
    </row>
    <row r="4989" spans="1:1" x14ac:dyDescent="0.25">
      <c r="A4989" s="17"/>
    </row>
    <row r="4990" spans="1:1" x14ac:dyDescent="0.25">
      <c r="A4990" s="17"/>
    </row>
    <row r="4991" spans="1:1" x14ac:dyDescent="0.25">
      <c r="A4991" s="17"/>
    </row>
    <row r="4992" spans="1:1" x14ac:dyDescent="0.25">
      <c r="A4992" s="17"/>
    </row>
    <row r="4993" spans="1:1" x14ac:dyDescent="0.25">
      <c r="A4993" s="17"/>
    </row>
    <row r="4994" spans="1:1" x14ac:dyDescent="0.25">
      <c r="A4994" s="17"/>
    </row>
    <row r="4995" spans="1:1" x14ac:dyDescent="0.25">
      <c r="A4995" s="17"/>
    </row>
    <row r="4996" spans="1:1" x14ac:dyDescent="0.25">
      <c r="A4996" s="17"/>
    </row>
    <row r="4997" spans="1:1" x14ac:dyDescent="0.25">
      <c r="A4997" s="17"/>
    </row>
    <row r="4998" spans="1:1" x14ac:dyDescent="0.25">
      <c r="A4998" s="17"/>
    </row>
    <row r="4999" spans="1:1" x14ac:dyDescent="0.25">
      <c r="A4999" s="17"/>
    </row>
    <row r="5000" spans="1:1" x14ac:dyDescent="0.25">
      <c r="A5000" s="17"/>
    </row>
    <row r="5001" spans="1:1" x14ac:dyDescent="0.25">
      <c r="A5001" s="17"/>
    </row>
    <row r="5002" spans="1:1" x14ac:dyDescent="0.25">
      <c r="A5002" s="17"/>
    </row>
    <row r="5003" spans="1:1" x14ac:dyDescent="0.25">
      <c r="A5003" s="17"/>
    </row>
    <row r="5004" spans="1:1" x14ac:dyDescent="0.25">
      <c r="A5004" s="17"/>
    </row>
    <row r="5005" spans="1:1" x14ac:dyDescent="0.25">
      <c r="A5005" s="17"/>
    </row>
    <row r="5006" spans="1:1" x14ac:dyDescent="0.25">
      <c r="A5006" s="17"/>
    </row>
    <row r="5007" spans="1:1" x14ac:dyDescent="0.25">
      <c r="A5007" s="17"/>
    </row>
    <row r="5008" spans="1:1" x14ac:dyDescent="0.25">
      <c r="A5008" s="17"/>
    </row>
    <row r="5009" spans="1:1" x14ac:dyDescent="0.25">
      <c r="A5009" s="17"/>
    </row>
    <row r="5010" spans="1:1" x14ac:dyDescent="0.25">
      <c r="A5010" s="17"/>
    </row>
    <row r="5011" spans="1:1" x14ac:dyDescent="0.25">
      <c r="A5011" s="17"/>
    </row>
    <row r="5012" spans="1:1" x14ac:dyDescent="0.25">
      <c r="A5012" s="17"/>
    </row>
    <row r="5013" spans="1:1" x14ac:dyDescent="0.25">
      <c r="A5013" s="17"/>
    </row>
    <row r="5014" spans="1:1" x14ac:dyDescent="0.25">
      <c r="A5014" s="17"/>
    </row>
    <row r="5015" spans="1:1" x14ac:dyDescent="0.25">
      <c r="A5015" s="17"/>
    </row>
    <row r="5016" spans="1:1" x14ac:dyDescent="0.25">
      <c r="A5016" s="17"/>
    </row>
    <row r="5017" spans="1:1" x14ac:dyDescent="0.25">
      <c r="A5017" s="17"/>
    </row>
    <row r="5018" spans="1:1" x14ac:dyDescent="0.25">
      <c r="A5018" s="17"/>
    </row>
    <row r="5019" spans="1:1" x14ac:dyDescent="0.25">
      <c r="A5019" s="17"/>
    </row>
    <row r="5020" spans="1:1" x14ac:dyDescent="0.25">
      <c r="A5020" s="17"/>
    </row>
    <row r="5021" spans="1:1" x14ac:dyDescent="0.25">
      <c r="A5021" s="17"/>
    </row>
    <row r="5022" spans="1:1" x14ac:dyDescent="0.25">
      <c r="A5022" s="17"/>
    </row>
    <row r="5023" spans="1:1" x14ac:dyDescent="0.25">
      <c r="A5023" s="17"/>
    </row>
    <row r="5024" spans="1:1" x14ac:dyDescent="0.25">
      <c r="A5024" s="17"/>
    </row>
    <row r="5025" spans="1:1" x14ac:dyDescent="0.25">
      <c r="A5025" s="17"/>
    </row>
    <row r="5026" spans="1:1" x14ac:dyDescent="0.25">
      <c r="A5026" s="17"/>
    </row>
    <row r="5027" spans="1:1" x14ac:dyDescent="0.25">
      <c r="A5027" s="17"/>
    </row>
    <row r="5028" spans="1:1" x14ac:dyDescent="0.25">
      <c r="A5028" s="17"/>
    </row>
    <row r="5029" spans="1:1" x14ac:dyDescent="0.25">
      <c r="A5029" s="17"/>
    </row>
    <row r="5030" spans="1:1" x14ac:dyDescent="0.25">
      <c r="A5030" s="17"/>
    </row>
    <row r="5031" spans="1:1" x14ac:dyDescent="0.25">
      <c r="A5031" s="17"/>
    </row>
    <row r="5032" spans="1:1" x14ac:dyDescent="0.25">
      <c r="A5032" s="17"/>
    </row>
    <row r="5033" spans="1:1" x14ac:dyDescent="0.25">
      <c r="A5033" s="17"/>
    </row>
    <row r="5034" spans="1:1" x14ac:dyDescent="0.25">
      <c r="A5034" s="17"/>
    </row>
    <row r="5035" spans="1:1" x14ac:dyDescent="0.25">
      <c r="A5035" s="17"/>
    </row>
    <row r="5036" spans="1:1" x14ac:dyDescent="0.25">
      <c r="A5036" s="17"/>
    </row>
    <row r="5037" spans="1:1" x14ac:dyDescent="0.25">
      <c r="A5037" s="17"/>
    </row>
    <row r="5038" spans="1:1" x14ac:dyDescent="0.25">
      <c r="A5038" s="17"/>
    </row>
    <row r="5039" spans="1:1" x14ac:dyDescent="0.25">
      <c r="A5039" s="17"/>
    </row>
    <row r="5040" spans="1:1" x14ac:dyDescent="0.25">
      <c r="A5040" s="17"/>
    </row>
    <row r="5041" spans="1:1" x14ac:dyDescent="0.25">
      <c r="A5041" s="17"/>
    </row>
    <row r="5042" spans="1:1" x14ac:dyDescent="0.25">
      <c r="A5042" s="17"/>
    </row>
    <row r="5043" spans="1:1" x14ac:dyDescent="0.25">
      <c r="A5043" s="17"/>
    </row>
    <row r="5044" spans="1:1" x14ac:dyDescent="0.25">
      <c r="A5044" s="17"/>
    </row>
    <row r="5045" spans="1:1" x14ac:dyDescent="0.25">
      <c r="A5045" s="17"/>
    </row>
    <row r="5046" spans="1:1" x14ac:dyDescent="0.25">
      <c r="A5046" s="17"/>
    </row>
    <row r="5047" spans="1:1" x14ac:dyDescent="0.25">
      <c r="A5047" s="17"/>
    </row>
    <row r="5048" spans="1:1" x14ac:dyDescent="0.25">
      <c r="A5048" s="17"/>
    </row>
    <row r="5049" spans="1:1" x14ac:dyDescent="0.25">
      <c r="A5049" s="17"/>
    </row>
    <row r="5050" spans="1:1" x14ac:dyDescent="0.25">
      <c r="A5050" s="17"/>
    </row>
    <row r="5051" spans="1:1" x14ac:dyDescent="0.25">
      <c r="A5051" s="17"/>
    </row>
    <row r="5052" spans="1:1" x14ac:dyDescent="0.25">
      <c r="A5052" s="17"/>
    </row>
    <row r="5053" spans="1:1" x14ac:dyDescent="0.25">
      <c r="A5053" s="17"/>
    </row>
    <row r="5054" spans="1:1" x14ac:dyDescent="0.25">
      <c r="A5054" s="17"/>
    </row>
    <row r="5055" spans="1:1" x14ac:dyDescent="0.25">
      <c r="A5055" s="17"/>
    </row>
    <row r="5056" spans="1:1" x14ac:dyDescent="0.25">
      <c r="A5056" s="17"/>
    </row>
    <row r="5057" spans="1:1" x14ac:dyDescent="0.25">
      <c r="A5057" s="17"/>
    </row>
    <row r="5058" spans="1:1" x14ac:dyDescent="0.25">
      <c r="A5058" s="17"/>
    </row>
    <row r="5059" spans="1:1" x14ac:dyDescent="0.25">
      <c r="A5059" s="17"/>
    </row>
    <row r="5060" spans="1:1" x14ac:dyDescent="0.25">
      <c r="A5060" s="17"/>
    </row>
    <row r="5061" spans="1:1" x14ac:dyDescent="0.25">
      <c r="A5061" s="17"/>
    </row>
    <row r="5062" spans="1:1" x14ac:dyDescent="0.25">
      <c r="A5062" s="17"/>
    </row>
    <row r="5063" spans="1:1" x14ac:dyDescent="0.25">
      <c r="A5063" s="17"/>
    </row>
    <row r="5064" spans="1:1" x14ac:dyDescent="0.25">
      <c r="A5064" s="17"/>
    </row>
    <row r="5065" spans="1:1" x14ac:dyDescent="0.25">
      <c r="A5065" s="17"/>
    </row>
    <row r="5066" spans="1:1" x14ac:dyDescent="0.25">
      <c r="A5066" s="17"/>
    </row>
    <row r="5067" spans="1:1" x14ac:dyDescent="0.25">
      <c r="A5067" s="17"/>
    </row>
    <row r="5068" spans="1:1" x14ac:dyDescent="0.25">
      <c r="A5068" s="17"/>
    </row>
    <row r="5069" spans="1:1" x14ac:dyDescent="0.25">
      <c r="A5069" s="17"/>
    </row>
    <row r="5070" spans="1:1" x14ac:dyDescent="0.25">
      <c r="A5070" s="17"/>
    </row>
    <row r="5071" spans="1:1" x14ac:dyDescent="0.25">
      <c r="A5071" s="17"/>
    </row>
    <row r="5072" spans="1:1" x14ac:dyDescent="0.25">
      <c r="A5072" s="17"/>
    </row>
    <row r="5073" spans="1:1" x14ac:dyDescent="0.25">
      <c r="A5073" s="17"/>
    </row>
    <row r="5074" spans="1:1" x14ac:dyDescent="0.25">
      <c r="A5074" s="17"/>
    </row>
    <row r="5075" spans="1:1" x14ac:dyDescent="0.25">
      <c r="A5075" s="17"/>
    </row>
    <row r="5076" spans="1:1" x14ac:dyDescent="0.25">
      <c r="A5076" s="17"/>
    </row>
    <row r="5077" spans="1:1" x14ac:dyDescent="0.25">
      <c r="A5077" s="17"/>
    </row>
    <row r="5078" spans="1:1" x14ac:dyDescent="0.25">
      <c r="A5078" s="17"/>
    </row>
    <row r="5079" spans="1:1" x14ac:dyDescent="0.25">
      <c r="A5079" s="17"/>
    </row>
    <row r="5080" spans="1:1" x14ac:dyDescent="0.25">
      <c r="A5080" s="17"/>
    </row>
    <row r="5081" spans="1:1" x14ac:dyDescent="0.25">
      <c r="A5081" s="17"/>
    </row>
    <row r="5082" spans="1:1" x14ac:dyDescent="0.25">
      <c r="A5082" s="17"/>
    </row>
    <row r="5083" spans="1:1" x14ac:dyDescent="0.25">
      <c r="A5083" s="17"/>
    </row>
    <row r="5084" spans="1:1" x14ac:dyDescent="0.25">
      <c r="A5084" s="17"/>
    </row>
    <row r="5085" spans="1:1" x14ac:dyDescent="0.25">
      <c r="A5085" s="17"/>
    </row>
    <row r="5086" spans="1:1" x14ac:dyDescent="0.25">
      <c r="A5086" s="17"/>
    </row>
    <row r="5087" spans="1:1" x14ac:dyDescent="0.25">
      <c r="A5087" s="17"/>
    </row>
    <row r="5088" spans="1:1" x14ac:dyDescent="0.25">
      <c r="A5088" s="17"/>
    </row>
    <row r="5089" spans="1:1" x14ac:dyDescent="0.25">
      <c r="A5089" s="17"/>
    </row>
    <row r="5090" spans="1:1" x14ac:dyDescent="0.25">
      <c r="A5090" s="17"/>
    </row>
    <row r="5091" spans="1:1" x14ac:dyDescent="0.25">
      <c r="A5091" s="17"/>
    </row>
    <row r="5092" spans="1:1" x14ac:dyDescent="0.25">
      <c r="A5092" s="17"/>
    </row>
    <row r="5093" spans="1:1" x14ac:dyDescent="0.25">
      <c r="A5093" s="17"/>
    </row>
    <row r="5094" spans="1:1" x14ac:dyDescent="0.25">
      <c r="A5094" s="17"/>
    </row>
    <row r="5095" spans="1:1" x14ac:dyDescent="0.25">
      <c r="A5095" s="17"/>
    </row>
    <row r="5096" spans="1:1" x14ac:dyDescent="0.25">
      <c r="A5096" s="17"/>
    </row>
    <row r="5097" spans="1:1" x14ac:dyDescent="0.25">
      <c r="A5097" s="17"/>
    </row>
    <row r="5098" spans="1:1" x14ac:dyDescent="0.25">
      <c r="A5098" s="17"/>
    </row>
    <row r="5099" spans="1:1" x14ac:dyDescent="0.25">
      <c r="A5099" s="17"/>
    </row>
    <row r="5100" spans="1:1" x14ac:dyDescent="0.25">
      <c r="A5100" s="17"/>
    </row>
    <row r="5101" spans="1:1" x14ac:dyDescent="0.25">
      <c r="A5101" s="17"/>
    </row>
    <row r="5102" spans="1:1" x14ac:dyDescent="0.25">
      <c r="A5102" s="17"/>
    </row>
    <row r="5103" spans="1:1" x14ac:dyDescent="0.25">
      <c r="A5103" s="17"/>
    </row>
    <row r="5104" spans="1:1" x14ac:dyDescent="0.25">
      <c r="A5104" s="17"/>
    </row>
    <row r="5105" spans="1:1" x14ac:dyDescent="0.25">
      <c r="A5105" s="17"/>
    </row>
    <row r="5106" spans="1:1" x14ac:dyDescent="0.25">
      <c r="A5106" s="17"/>
    </row>
    <row r="5107" spans="1:1" x14ac:dyDescent="0.25">
      <c r="A5107" s="17"/>
    </row>
    <row r="5108" spans="1:1" x14ac:dyDescent="0.25">
      <c r="A5108" s="17"/>
    </row>
    <row r="5109" spans="1:1" x14ac:dyDescent="0.25">
      <c r="A5109" s="17"/>
    </row>
    <row r="5110" spans="1:1" x14ac:dyDescent="0.25">
      <c r="A5110" s="17"/>
    </row>
    <row r="5111" spans="1:1" x14ac:dyDescent="0.25">
      <c r="A5111" s="17"/>
    </row>
    <row r="5112" spans="1:1" x14ac:dyDescent="0.25">
      <c r="A5112" s="17"/>
    </row>
    <row r="5113" spans="1:1" x14ac:dyDescent="0.25">
      <c r="A5113" s="17"/>
    </row>
    <row r="5114" spans="1:1" x14ac:dyDescent="0.25">
      <c r="A5114" s="17"/>
    </row>
    <row r="5115" spans="1:1" x14ac:dyDescent="0.25">
      <c r="A5115" s="17"/>
    </row>
    <row r="5116" spans="1:1" x14ac:dyDescent="0.25">
      <c r="A5116" s="17"/>
    </row>
    <row r="5117" spans="1:1" x14ac:dyDescent="0.25">
      <c r="A5117" s="17"/>
    </row>
    <row r="5118" spans="1:1" x14ac:dyDescent="0.25">
      <c r="A5118" s="17"/>
    </row>
    <row r="5119" spans="1:1" x14ac:dyDescent="0.25">
      <c r="A5119" s="17"/>
    </row>
    <row r="5120" spans="1:1" x14ac:dyDescent="0.25">
      <c r="A5120" s="17"/>
    </row>
    <row r="5121" spans="1:1" x14ac:dyDescent="0.25">
      <c r="A5121" s="17"/>
    </row>
    <row r="5122" spans="1:1" x14ac:dyDescent="0.25">
      <c r="A5122" s="17"/>
    </row>
    <row r="5123" spans="1:1" x14ac:dyDescent="0.25">
      <c r="A5123" s="17"/>
    </row>
    <row r="5124" spans="1:1" x14ac:dyDescent="0.25">
      <c r="A5124" s="17"/>
    </row>
    <row r="5125" spans="1:1" x14ac:dyDescent="0.25">
      <c r="A5125" s="17"/>
    </row>
    <row r="5126" spans="1:1" x14ac:dyDescent="0.25">
      <c r="A5126" s="17"/>
    </row>
    <row r="5127" spans="1:1" x14ac:dyDescent="0.25">
      <c r="A5127" s="17"/>
    </row>
    <row r="5128" spans="1:1" x14ac:dyDescent="0.25">
      <c r="A5128" s="17"/>
    </row>
    <row r="5129" spans="1:1" x14ac:dyDescent="0.25">
      <c r="A5129" s="17"/>
    </row>
    <row r="5130" spans="1:1" x14ac:dyDescent="0.25">
      <c r="A5130" s="17"/>
    </row>
    <row r="5131" spans="1:1" x14ac:dyDescent="0.25">
      <c r="A5131" s="17"/>
    </row>
    <row r="5132" spans="1:1" x14ac:dyDescent="0.25">
      <c r="A5132" s="17"/>
    </row>
    <row r="5133" spans="1:1" x14ac:dyDescent="0.25">
      <c r="A5133" s="17"/>
    </row>
    <row r="5134" spans="1:1" x14ac:dyDescent="0.25">
      <c r="A5134" s="17"/>
    </row>
    <row r="5135" spans="1:1" x14ac:dyDescent="0.25">
      <c r="A5135" s="17"/>
    </row>
    <row r="5136" spans="1:1" x14ac:dyDescent="0.25">
      <c r="A5136" s="17"/>
    </row>
    <row r="5137" spans="1:1" x14ac:dyDescent="0.25">
      <c r="A5137" s="17"/>
    </row>
    <row r="5138" spans="1:1" x14ac:dyDescent="0.25">
      <c r="A5138" s="17"/>
    </row>
    <row r="5139" spans="1:1" x14ac:dyDescent="0.25">
      <c r="A5139" s="17"/>
    </row>
    <row r="5140" spans="1:1" x14ac:dyDescent="0.25">
      <c r="A5140" s="17"/>
    </row>
    <row r="5141" spans="1:1" x14ac:dyDescent="0.25">
      <c r="A5141" s="17"/>
    </row>
    <row r="5142" spans="1:1" x14ac:dyDescent="0.25">
      <c r="A5142" s="17"/>
    </row>
    <row r="5143" spans="1:1" x14ac:dyDescent="0.25">
      <c r="A5143" s="17"/>
    </row>
    <row r="5144" spans="1:1" x14ac:dyDescent="0.25">
      <c r="A5144" s="17"/>
    </row>
    <row r="5145" spans="1:1" x14ac:dyDescent="0.25">
      <c r="A5145" s="17"/>
    </row>
    <row r="5146" spans="1:1" x14ac:dyDescent="0.25">
      <c r="A5146" s="17"/>
    </row>
    <row r="5147" spans="1:1" x14ac:dyDescent="0.25">
      <c r="A5147" s="17"/>
    </row>
    <row r="5148" spans="1:1" x14ac:dyDescent="0.25">
      <c r="A5148" s="17"/>
    </row>
    <row r="5149" spans="1:1" x14ac:dyDescent="0.25">
      <c r="A5149" s="17"/>
    </row>
    <row r="5150" spans="1:1" x14ac:dyDescent="0.25">
      <c r="A5150" s="17"/>
    </row>
    <row r="5151" spans="1:1" x14ac:dyDescent="0.25">
      <c r="A5151" s="17"/>
    </row>
    <row r="5152" spans="1:1" x14ac:dyDescent="0.25">
      <c r="A5152" s="17"/>
    </row>
    <row r="5153" spans="1:1" x14ac:dyDescent="0.25">
      <c r="A5153" s="17"/>
    </row>
    <row r="5154" spans="1:1" x14ac:dyDescent="0.25">
      <c r="A5154" s="17"/>
    </row>
    <row r="5155" spans="1:1" x14ac:dyDescent="0.25">
      <c r="A5155" s="17"/>
    </row>
    <row r="5156" spans="1:1" x14ac:dyDescent="0.25">
      <c r="A5156" s="17"/>
    </row>
    <row r="5157" spans="1:1" x14ac:dyDescent="0.25">
      <c r="A5157" s="17"/>
    </row>
    <row r="5158" spans="1:1" x14ac:dyDescent="0.25">
      <c r="A5158" s="17"/>
    </row>
    <row r="5159" spans="1:1" x14ac:dyDescent="0.25">
      <c r="A5159" s="17"/>
    </row>
    <row r="5160" spans="1:1" x14ac:dyDescent="0.25">
      <c r="A5160" s="17"/>
    </row>
    <row r="5161" spans="1:1" x14ac:dyDescent="0.25">
      <c r="A5161" s="17"/>
    </row>
    <row r="5162" spans="1:1" x14ac:dyDescent="0.25">
      <c r="A5162" s="17"/>
    </row>
    <row r="5163" spans="1:1" x14ac:dyDescent="0.25">
      <c r="A5163" s="17"/>
    </row>
    <row r="5164" spans="1:1" x14ac:dyDescent="0.25">
      <c r="A5164" s="17"/>
    </row>
    <row r="5165" spans="1:1" x14ac:dyDescent="0.25">
      <c r="A5165" s="17"/>
    </row>
    <row r="5166" spans="1:1" x14ac:dyDescent="0.25">
      <c r="A5166" s="17"/>
    </row>
    <row r="5167" spans="1:1" x14ac:dyDescent="0.25">
      <c r="A5167" s="17"/>
    </row>
    <row r="5168" spans="1:1" x14ac:dyDescent="0.25">
      <c r="A5168" s="17"/>
    </row>
    <row r="5169" spans="1:1" x14ac:dyDescent="0.25">
      <c r="A5169" s="17"/>
    </row>
    <row r="5170" spans="1:1" x14ac:dyDescent="0.25">
      <c r="A5170" s="17"/>
    </row>
    <row r="5171" spans="1:1" x14ac:dyDescent="0.25">
      <c r="A5171" s="17"/>
    </row>
    <row r="5172" spans="1:1" x14ac:dyDescent="0.25">
      <c r="A5172" s="17"/>
    </row>
    <row r="5173" spans="1:1" x14ac:dyDescent="0.25">
      <c r="A5173" s="17"/>
    </row>
    <row r="5174" spans="1:1" x14ac:dyDescent="0.25">
      <c r="A5174" s="17"/>
    </row>
    <row r="5175" spans="1:1" x14ac:dyDescent="0.25">
      <c r="A5175" s="17"/>
    </row>
    <row r="5176" spans="1:1" x14ac:dyDescent="0.25">
      <c r="A5176" s="17"/>
    </row>
    <row r="5177" spans="1:1" x14ac:dyDescent="0.25">
      <c r="A5177" s="17"/>
    </row>
    <row r="5178" spans="1:1" x14ac:dyDescent="0.25">
      <c r="A5178" s="17"/>
    </row>
    <row r="5179" spans="1:1" x14ac:dyDescent="0.25">
      <c r="A5179" s="17"/>
    </row>
    <row r="5180" spans="1:1" x14ac:dyDescent="0.25">
      <c r="A5180" s="17"/>
    </row>
    <row r="5181" spans="1:1" x14ac:dyDescent="0.25">
      <c r="A5181" s="17"/>
    </row>
    <row r="5182" spans="1:1" x14ac:dyDescent="0.25">
      <c r="A5182" s="17"/>
    </row>
    <row r="5183" spans="1:1" x14ac:dyDescent="0.25">
      <c r="A5183" s="17"/>
    </row>
    <row r="5184" spans="1:1" x14ac:dyDescent="0.25">
      <c r="A5184" s="17"/>
    </row>
    <row r="5185" spans="1:1" x14ac:dyDescent="0.25">
      <c r="A5185" s="17"/>
    </row>
    <row r="5186" spans="1:1" x14ac:dyDescent="0.25">
      <c r="A5186" s="17"/>
    </row>
    <row r="5187" spans="1:1" x14ac:dyDescent="0.25">
      <c r="A5187" s="17"/>
    </row>
    <row r="5188" spans="1:1" x14ac:dyDescent="0.25">
      <c r="A5188" s="17"/>
    </row>
    <row r="5189" spans="1:1" x14ac:dyDescent="0.25">
      <c r="A5189" s="17"/>
    </row>
    <row r="5190" spans="1:1" x14ac:dyDescent="0.25">
      <c r="A5190" s="17"/>
    </row>
    <row r="5191" spans="1:1" x14ac:dyDescent="0.25">
      <c r="A5191" s="17"/>
    </row>
    <row r="5192" spans="1:1" x14ac:dyDescent="0.25">
      <c r="A5192" s="17"/>
    </row>
    <row r="5193" spans="1:1" x14ac:dyDescent="0.25">
      <c r="A5193" s="17"/>
    </row>
    <row r="5194" spans="1:1" x14ac:dyDescent="0.25">
      <c r="A5194" s="17"/>
    </row>
    <row r="5195" spans="1:1" x14ac:dyDescent="0.25">
      <c r="A5195" s="17"/>
    </row>
    <row r="5196" spans="1:1" x14ac:dyDescent="0.25">
      <c r="A5196" s="17"/>
    </row>
    <row r="5197" spans="1:1" x14ac:dyDescent="0.25">
      <c r="A5197" s="17"/>
    </row>
    <row r="5198" spans="1:1" x14ac:dyDescent="0.25">
      <c r="A5198" s="17"/>
    </row>
    <row r="5199" spans="1:1" x14ac:dyDescent="0.25">
      <c r="A5199" s="17"/>
    </row>
    <row r="5200" spans="1:1" x14ac:dyDescent="0.25">
      <c r="A5200" s="17"/>
    </row>
    <row r="5201" spans="1:1" x14ac:dyDescent="0.25">
      <c r="A5201" s="17"/>
    </row>
    <row r="5202" spans="1:1" x14ac:dyDescent="0.25">
      <c r="A5202" s="17"/>
    </row>
    <row r="5203" spans="1:1" x14ac:dyDescent="0.25">
      <c r="A5203" s="17"/>
    </row>
    <row r="5204" spans="1:1" x14ac:dyDescent="0.25">
      <c r="A5204" s="17"/>
    </row>
    <row r="5205" spans="1:1" x14ac:dyDescent="0.25">
      <c r="A5205" s="17"/>
    </row>
    <row r="5206" spans="1:1" x14ac:dyDescent="0.25">
      <c r="A5206" s="17"/>
    </row>
    <row r="5207" spans="1:1" x14ac:dyDescent="0.25">
      <c r="A5207" s="17"/>
    </row>
    <row r="5208" spans="1:1" x14ac:dyDescent="0.25">
      <c r="A5208" s="17"/>
    </row>
    <row r="5209" spans="1:1" x14ac:dyDescent="0.25">
      <c r="A5209" s="17"/>
    </row>
    <row r="5210" spans="1:1" x14ac:dyDescent="0.25">
      <c r="A5210" s="17"/>
    </row>
    <row r="5211" spans="1:1" x14ac:dyDescent="0.25">
      <c r="A5211" s="17"/>
    </row>
    <row r="5212" spans="1:1" x14ac:dyDescent="0.25">
      <c r="A5212" s="17"/>
    </row>
    <row r="5213" spans="1:1" x14ac:dyDescent="0.25">
      <c r="A5213" s="17"/>
    </row>
    <row r="5214" spans="1:1" x14ac:dyDescent="0.25">
      <c r="A5214" s="17"/>
    </row>
    <row r="5215" spans="1:1" x14ac:dyDescent="0.25">
      <c r="A5215" s="17"/>
    </row>
    <row r="5216" spans="1:1" x14ac:dyDescent="0.25">
      <c r="A5216" s="17"/>
    </row>
    <row r="5217" spans="1:1" x14ac:dyDescent="0.25">
      <c r="A5217" s="17"/>
    </row>
    <row r="5218" spans="1:1" x14ac:dyDescent="0.25">
      <c r="A5218" s="17"/>
    </row>
    <row r="5219" spans="1:1" x14ac:dyDescent="0.25">
      <c r="A5219" s="17"/>
    </row>
    <row r="5220" spans="1:1" x14ac:dyDescent="0.25">
      <c r="A5220" s="17"/>
    </row>
    <row r="5221" spans="1:1" x14ac:dyDescent="0.25">
      <c r="A5221" s="17"/>
    </row>
    <row r="5222" spans="1:1" x14ac:dyDescent="0.25">
      <c r="A5222" s="17"/>
    </row>
    <row r="5223" spans="1:1" x14ac:dyDescent="0.25">
      <c r="A5223" s="17"/>
    </row>
    <row r="5224" spans="1:1" x14ac:dyDescent="0.25">
      <c r="A5224" s="17"/>
    </row>
    <row r="5225" spans="1:1" x14ac:dyDescent="0.25">
      <c r="A5225" s="17"/>
    </row>
    <row r="5226" spans="1:1" x14ac:dyDescent="0.25">
      <c r="A5226" s="17"/>
    </row>
    <row r="5227" spans="1:1" x14ac:dyDescent="0.25">
      <c r="A5227" s="17"/>
    </row>
    <row r="5228" spans="1:1" x14ac:dyDescent="0.25">
      <c r="A5228" s="17"/>
    </row>
    <row r="5229" spans="1:1" x14ac:dyDescent="0.25">
      <c r="A5229" s="17"/>
    </row>
    <row r="5230" spans="1:1" x14ac:dyDescent="0.25">
      <c r="A5230" s="17"/>
    </row>
    <row r="5231" spans="1:1" x14ac:dyDescent="0.25">
      <c r="A5231" s="17"/>
    </row>
    <row r="5232" spans="1:1" x14ac:dyDescent="0.25">
      <c r="A5232" s="17"/>
    </row>
    <row r="5233" spans="1:1" x14ac:dyDescent="0.25">
      <c r="A5233" s="17"/>
    </row>
    <row r="5234" spans="1:1" x14ac:dyDescent="0.25">
      <c r="A5234" s="17"/>
    </row>
    <row r="5235" spans="1:1" x14ac:dyDescent="0.25">
      <c r="A5235" s="17"/>
    </row>
    <row r="5236" spans="1:1" x14ac:dyDescent="0.25">
      <c r="A5236" s="17"/>
    </row>
    <row r="5237" spans="1:1" x14ac:dyDescent="0.25">
      <c r="A5237" s="17"/>
    </row>
    <row r="5238" spans="1:1" x14ac:dyDescent="0.25">
      <c r="A5238" s="17"/>
    </row>
    <row r="5239" spans="1:1" x14ac:dyDescent="0.25">
      <c r="A5239" s="17"/>
    </row>
    <row r="5240" spans="1:1" x14ac:dyDescent="0.25">
      <c r="A5240" s="17"/>
    </row>
    <row r="5241" spans="1:1" x14ac:dyDescent="0.25">
      <c r="A5241" s="17"/>
    </row>
    <row r="5242" spans="1:1" x14ac:dyDescent="0.25">
      <c r="A5242" s="17"/>
    </row>
    <row r="5243" spans="1:1" x14ac:dyDescent="0.25">
      <c r="A5243" s="17"/>
    </row>
    <row r="5244" spans="1:1" x14ac:dyDescent="0.25">
      <c r="A5244" s="17"/>
    </row>
    <row r="5245" spans="1:1" x14ac:dyDescent="0.25">
      <c r="A5245" s="17"/>
    </row>
    <row r="5246" spans="1:1" x14ac:dyDescent="0.25">
      <c r="A5246" s="17"/>
    </row>
    <row r="5247" spans="1:1" x14ac:dyDescent="0.25">
      <c r="A5247" s="17"/>
    </row>
    <row r="5248" spans="1:1" x14ac:dyDescent="0.25">
      <c r="A5248" s="17"/>
    </row>
    <row r="5249" spans="1:1" x14ac:dyDescent="0.25">
      <c r="A5249" s="17"/>
    </row>
    <row r="5250" spans="1:1" x14ac:dyDescent="0.25">
      <c r="A5250" s="17"/>
    </row>
    <row r="5251" spans="1:1" x14ac:dyDescent="0.25">
      <c r="A5251" s="17"/>
    </row>
    <row r="5252" spans="1:1" x14ac:dyDescent="0.25">
      <c r="A5252" s="17"/>
    </row>
    <row r="5253" spans="1:1" x14ac:dyDescent="0.25">
      <c r="A5253" s="17"/>
    </row>
    <row r="5254" spans="1:1" x14ac:dyDescent="0.25">
      <c r="A5254" s="17"/>
    </row>
    <row r="5255" spans="1:1" x14ac:dyDescent="0.25">
      <c r="A5255" s="17"/>
    </row>
    <row r="5256" spans="1:1" x14ac:dyDescent="0.25">
      <c r="A5256" s="17"/>
    </row>
    <row r="5257" spans="1:1" x14ac:dyDescent="0.25">
      <c r="A5257" s="17"/>
    </row>
    <row r="5258" spans="1:1" x14ac:dyDescent="0.25">
      <c r="A5258" s="17"/>
    </row>
    <row r="5259" spans="1:1" x14ac:dyDescent="0.25">
      <c r="A5259" s="17"/>
    </row>
    <row r="5260" spans="1:1" x14ac:dyDescent="0.25">
      <c r="A5260" s="17"/>
    </row>
    <row r="5261" spans="1:1" x14ac:dyDescent="0.25">
      <c r="A5261" s="17"/>
    </row>
    <row r="5262" spans="1:1" x14ac:dyDescent="0.25">
      <c r="A5262" s="17"/>
    </row>
    <row r="5263" spans="1:1" x14ac:dyDescent="0.25">
      <c r="A5263" s="17"/>
    </row>
    <row r="5264" spans="1:1" x14ac:dyDescent="0.25">
      <c r="A5264" s="17"/>
    </row>
    <row r="5265" spans="1:1" x14ac:dyDescent="0.25">
      <c r="A5265" s="17"/>
    </row>
    <row r="5266" spans="1:1" x14ac:dyDescent="0.25">
      <c r="A5266" s="17"/>
    </row>
    <row r="5267" spans="1:1" x14ac:dyDescent="0.25">
      <c r="A5267" s="17"/>
    </row>
    <row r="5268" spans="1:1" x14ac:dyDescent="0.25">
      <c r="A5268" s="17"/>
    </row>
    <row r="5269" spans="1:1" x14ac:dyDescent="0.25">
      <c r="A5269" s="17"/>
    </row>
    <row r="5270" spans="1:1" x14ac:dyDescent="0.25">
      <c r="A5270" s="17"/>
    </row>
    <row r="5271" spans="1:1" x14ac:dyDescent="0.25">
      <c r="A5271" s="17"/>
    </row>
    <row r="5272" spans="1:1" x14ac:dyDescent="0.25">
      <c r="A5272" s="17"/>
    </row>
    <row r="5273" spans="1:1" x14ac:dyDescent="0.25">
      <c r="A5273" s="17"/>
    </row>
    <row r="5274" spans="1:1" x14ac:dyDescent="0.25">
      <c r="A5274" s="17"/>
    </row>
    <row r="5275" spans="1:1" x14ac:dyDescent="0.25">
      <c r="A5275" s="17"/>
    </row>
    <row r="5276" spans="1:1" x14ac:dyDescent="0.25">
      <c r="A5276" s="17"/>
    </row>
    <row r="5277" spans="1:1" x14ac:dyDescent="0.25">
      <c r="A5277" s="17"/>
    </row>
    <row r="5278" spans="1:1" x14ac:dyDescent="0.25">
      <c r="A5278" s="17"/>
    </row>
    <row r="5279" spans="1:1" x14ac:dyDescent="0.25">
      <c r="A5279" s="17"/>
    </row>
    <row r="5280" spans="1:1" x14ac:dyDescent="0.25">
      <c r="A5280" s="17"/>
    </row>
    <row r="5281" spans="1:1" x14ac:dyDescent="0.25">
      <c r="A5281" s="17"/>
    </row>
    <row r="5282" spans="1:1" x14ac:dyDescent="0.25">
      <c r="A5282" s="17"/>
    </row>
    <row r="5283" spans="1:1" x14ac:dyDescent="0.25">
      <c r="A5283" s="17"/>
    </row>
    <row r="5284" spans="1:1" x14ac:dyDescent="0.25">
      <c r="A5284" s="17"/>
    </row>
    <row r="5285" spans="1:1" x14ac:dyDescent="0.25">
      <c r="A5285" s="17"/>
    </row>
    <row r="5286" spans="1:1" x14ac:dyDescent="0.25">
      <c r="A5286" s="17"/>
    </row>
    <row r="5287" spans="1:1" x14ac:dyDescent="0.25">
      <c r="A5287" s="17"/>
    </row>
    <row r="5288" spans="1:1" x14ac:dyDescent="0.25">
      <c r="A5288" s="17"/>
    </row>
    <row r="5289" spans="1:1" x14ac:dyDescent="0.25">
      <c r="A5289" s="17"/>
    </row>
    <row r="5290" spans="1:1" x14ac:dyDescent="0.25">
      <c r="A5290" s="17"/>
    </row>
    <row r="5291" spans="1:1" x14ac:dyDescent="0.25">
      <c r="A5291" s="17"/>
    </row>
    <row r="5292" spans="1:1" x14ac:dyDescent="0.25">
      <c r="A5292" s="17"/>
    </row>
    <row r="5293" spans="1:1" x14ac:dyDescent="0.25">
      <c r="A5293" s="17"/>
    </row>
    <row r="5294" spans="1:1" x14ac:dyDescent="0.25">
      <c r="A5294" s="17"/>
    </row>
    <row r="5295" spans="1:1" x14ac:dyDescent="0.25">
      <c r="A5295" s="17"/>
    </row>
    <row r="5296" spans="1:1" x14ac:dyDescent="0.25">
      <c r="A5296" s="17"/>
    </row>
    <row r="5297" spans="1:1" x14ac:dyDescent="0.25">
      <c r="A5297" s="17"/>
    </row>
    <row r="5298" spans="1:1" x14ac:dyDescent="0.25">
      <c r="A5298" s="17"/>
    </row>
    <row r="5299" spans="1:1" x14ac:dyDescent="0.25">
      <c r="A5299" s="17"/>
    </row>
    <row r="5300" spans="1:1" x14ac:dyDescent="0.25">
      <c r="A5300" s="17"/>
    </row>
    <row r="5301" spans="1:1" x14ac:dyDescent="0.25">
      <c r="A5301" s="17"/>
    </row>
    <row r="5302" spans="1:1" x14ac:dyDescent="0.25">
      <c r="A5302" s="17"/>
    </row>
    <row r="5303" spans="1:1" x14ac:dyDescent="0.25">
      <c r="A5303" s="17"/>
    </row>
    <row r="5304" spans="1:1" x14ac:dyDescent="0.25">
      <c r="A5304" s="17"/>
    </row>
    <row r="5305" spans="1:1" x14ac:dyDescent="0.25">
      <c r="A5305" s="17"/>
    </row>
    <row r="5306" spans="1:1" x14ac:dyDescent="0.25">
      <c r="A5306" s="17"/>
    </row>
    <row r="5307" spans="1:1" x14ac:dyDescent="0.25">
      <c r="A5307" s="17"/>
    </row>
    <row r="5308" spans="1:1" x14ac:dyDescent="0.25">
      <c r="A5308" s="17"/>
    </row>
    <row r="5309" spans="1:1" x14ac:dyDescent="0.25">
      <c r="A5309" s="17"/>
    </row>
    <row r="5310" spans="1:1" x14ac:dyDescent="0.25">
      <c r="A5310" s="17"/>
    </row>
    <row r="5311" spans="1:1" x14ac:dyDescent="0.25">
      <c r="A5311" s="17"/>
    </row>
    <row r="5312" spans="1:1" x14ac:dyDescent="0.25">
      <c r="A5312" s="17"/>
    </row>
    <row r="5313" spans="1:1" x14ac:dyDescent="0.25">
      <c r="A5313" s="17"/>
    </row>
    <row r="5314" spans="1:1" x14ac:dyDescent="0.25">
      <c r="A5314" s="17"/>
    </row>
    <row r="5315" spans="1:1" x14ac:dyDescent="0.25">
      <c r="A5315" s="17"/>
    </row>
    <row r="5316" spans="1:1" x14ac:dyDescent="0.25">
      <c r="A5316" s="17"/>
    </row>
    <row r="5317" spans="1:1" x14ac:dyDescent="0.25">
      <c r="A5317" s="17"/>
    </row>
    <row r="5318" spans="1:1" x14ac:dyDescent="0.25">
      <c r="A5318" s="17"/>
    </row>
    <row r="5319" spans="1:1" x14ac:dyDescent="0.25">
      <c r="A5319" s="17"/>
    </row>
    <row r="5320" spans="1:1" x14ac:dyDescent="0.25">
      <c r="A5320" s="17"/>
    </row>
    <row r="5321" spans="1:1" x14ac:dyDescent="0.25">
      <c r="A5321" s="17"/>
    </row>
    <row r="5322" spans="1:1" x14ac:dyDescent="0.25">
      <c r="A5322" s="17"/>
    </row>
    <row r="5323" spans="1:1" x14ac:dyDescent="0.25">
      <c r="A5323" s="17"/>
    </row>
    <row r="5324" spans="1:1" x14ac:dyDescent="0.25">
      <c r="A5324" s="17"/>
    </row>
    <row r="5325" spans="1:1" x14ac:dyDescent="0.25">
      <c r="A5325" s="17"/>
    </row>
    <row r="5326" spans="1:1" x14ac:dyDescent="0.25">
      <c r="A5326" s="17"/>
    </row>
    <row r="5327" spans="1:1" x14ac:dyDescent="0.25">
      <c r="A5327" s="17"/>
    </row>
    <row r="5328" spans="1:1" x14ac:dyDescent="0.25">
      <c r="A5328" s="17"/>
    </row>
    <row r="5329" spans="1:1" x14ac:dyDescent="0.25">
      <c r="A5329" s="17"/>
    </row>
    <row r="5330" spans="1:1" x14ac:dyDescent="0.25">
      <c r="A5330" s="17"/>
    </row>
    <row r="5331" spans="1:1" x14ac:dyDescent="0.25">
      <c r="A5331" s="17"/>
    </row>
    <row r="5332" spans="1:1" x14ac:dyDescent="0.25">
      <c r="A5332" s="17"/>
    </row>
    <row r="5333" spans="1:1" x14ac:dyDescent="0.25">
      <c r="A5333" s="17"/>
    </row>
    <row r="5334" spans="1:1" x14ac:dyDescent="0.25">
      <c r="A5334" s="17"/>
    </row>
    <row r="5335" spans="1:1" x14ac:dyDescent="0.25">
      <c r="A5335" s="17"/>
    </row>
    <row r="5336" spans="1:1" x14ac:dyDescent="0.25">
      <c r="A5336" s="17"/>
    </row>
    <row r="5337" spans="1:1" x14ac:dyDescent="0.25">
      <c r="A5337" s="17"/>
    </row>
    <row r="5338" spans="1:1" x14ac:dyDescent="0.25">
      <c r="A5338" s="17"/>
    </row>
    <row r="5339" spans="1:1" x14ac:dyDescent="0.25">
      <c r="A5339" s="17"/>
    </row>
    <row r="5340" spans="1:1" x14ac:dyDescent="0.25">
      <c r="A5340" s="17"/>
    </row>
    <row r="5341" spans="1:1" x14ac:dyDescent="0.25">
      <c r="A5341" s="17"/>
    </row>
    <row r="5342" spans="1:1" x14ac:dyDescent="0.25">
      <c r="A5342" s="17"/>
    </row>
    <row r="5343" spans="1:1" x14ac:dyDescent="0.25">
      <c r="A5343" s="17"/>
    </row>
    <row r="5344" spans="1:1" x14ac:dyDescent="0.25">
      <c r="A5344" s="17"/>
    </row>
    <row r="5345" spans="1:1" x14ac:dyDescent="0.25">
      <c r="A5345" s="17"/>
    </row>
    <row r="5346" spans="1:1" x14ac:dyDescent="0.25">
      <c r="A5346" s="17"/>
    </row>
    <row r="5347" spans="1:1" x14ac:dyDescent="0.25">
      <c r="A5347" s="17"/>
    </row>
    <row r="5348" spans="1:1" x14ac:dyDescent="0.25">
      <c r="A5348" s="17"/>
    </row>
    <row r="5349" spans="1:1" x14ac:dyDescent="0.25">
      <c r="A5349" s="17"/>
    </row>
    <row r="5350" spans="1:1" x14ac:dyDescent="0.25">
      <c r="A5350" s="17"/>
    </row>
    <row r="5351" spans="1:1" x14ac:dyDescent="0.25">
      <c r="A5351" s="17"/>
    </row>
    <row r="5352" spans="1:1" x14ac:dyDescent="0.25">
      <c r="A5352" s="17"/>
    </row>
    <row r="5353" spans="1:1" x14ac:dyDescent="0.25">
      <c r="A5353" s="17"/>
    </row>
    <row r="5354" spans="1:1" x14ac:dyDescent="0.25">
      <c r="A5354" s="17"/>
    </row>
    <row r="5355" spans="1:1" x14ac:dyDescent="0.25">
      <c r="A5355" s="17"/>
    </row>
    <row r="5356" spans="1:1" x14ac:dyDescent="0.25">
      <c r="A5356" s="17"/>
    </row>
    <row r="5357" spans="1:1" x14ac:dyDescent="0.25">
      <c r="A5357" s="17"/>
    </row>
    <row r="5358" spans="1:1" x14ac:dyDescent="0.25">
      <c r="A5358" s="17"/>
    </row>
    <row r="5359" spans="1:1" x14ac:dyDescent="0.25">
      <c r="A5359" s="17"/>
    </row>
    <row r="5360" spans="1:1" x14ac:dyDescent="0.25">
      <c r="A5360" s="17"/>
    </row>
    <row r="5361" spans="1:1" x14ac:dyDescent="0.25">
      <c r="A5361" s="17"/>
    </row>
    <row r="5362" spans="1:1" x14ac:dyDescent="0.25">
      <c r="A5362" s="17"/>
    </row>
    <row r="5363" spans="1:1" x14ac:dyDescent="0.25">
      <c r="A5363" s="17"/>
    </row>
    <row r="5364" spans="1:1" x14ac:dyDescent="0.25">
      <c r="A5364" s="17"/>
    </row>
    <row r="5365" spans="1:1" x14ac:dyDescent="0.25">
      <c r="A5365" s="17"/>
    </row>
    <row r="5366" spans="1:1" x14ac:dyDescent="0.25">
      <c r="A5366" s="17"/>
    </row>
    <row r="5367" spans="1:1" x14ac:dyDescent="0.25">
      <c r="A5367" s="17"/>
    </row>
    <row r="5368" spans="1:1" x14ac:dyDescent="0.25">
      <c r="A5368" s="17"/>
    </row>
    <row r="5369" spans="1:1" x14ac:dyDescent="0.25">
      <c r="A5369" s="17"/>
    </row>
    <row r="5370" spans="1:1" x14ac:dyDescent="0.25">
      <c r="A5370" s="17"/>
    </row>
    <row r="5371" spans="1:1" x14ac:dyDescent="0.25">
      <c r="A5371" s="17"/>
    </row>
    <row r="5372" spans="1:1" x14ac:dyDescent="0.25">
      <c r="A5372" s="17"/>
    </row>
    <row r="5373" spans="1:1" x14ac:dyDescent="0.25">
      <c r="A5373" s="17"/>
    </row>
    <row r="5374" spans="1:1" x14ac:dyDescent="0.25">
      <c r="A5374" s="17"/>
    </row>
    <row r="5375" spans="1:1" x14ac:dyDescent="0.25">
      <c r="A5375" s="17"/>
    </row>
    <row r="5376" spans="1:1" x14ac:dyDescent="0.25">
      <c r="A5376" s="17"/>
    </row>
    <row r="5377" spans="1:1" x14ac:dyDescent="0.25">
      <c r="A5377" s="17"/>
    </row>
    <row r="5378" spans="1:1" x14ac:dyDescent="0.25">
      <c r="A5378" s="17"/>
    </row>
    <row r="5379" spans="1:1" x14ac:dyDescent="0.25">
      <c r="A5379" s="17"/>
    </row>
    <row r="5380" spans="1:1" x14ac:dyDescent="0.25">
      <c r="A5380" s="17"/>
    </row>
    <row r="5381" spans="1:1" x14ac:dyDescent="0.25">
      <c r="A5381" s="17"/>
    </row>
    <row r="5382" spans="1:1" x14ac:dyDescent="0.25">
      <c r="A5382" s="17"/>
    </row>
    <row r="5383" spans="1:1" x14ac:dyDescent="0.25">
      <c r="A5383" s="17"/>
    </row>
    <row r="5384" spans="1:1" x14ac:dyDescent="0.25">
      <c r="A5384" s="17"/>
    </row>
    <row r="5385" spans="1:1" x14ac:dyDescent="0.25">
      <c r="A5385" s="17"/>
    </row>
    <row r="5386" spans="1:1" x14ac:dyDescent="0.25">
      <c r="A5386" s="17"/>
    </row>
    <row r="5387" spans="1:1" x14ac:dyDescent="0.25">
      <c r="A5387" s="17"/>
    </row>
    <row r="5388" spans="1:1" x14ac:dyDescent="0.25">
      <c r="A5388" s="17"/>
    </row>
    <row r="5389" spans="1:1" x14ac:dyDescent="0.25">
      <c r="A5389" s="17"/>
    </row>
    <row r="5390" spans="1:1" x14ac:dyDescent="0.25">
      <c r="A5390" s="17"/>
    </row>
    <row r="5391" spans="1:1" x14ac:dyDescent="0.25">
      <c r="A5391" s="17"/>
    </row>
    <row r="5392" spans="1:1" x14ac:dyDescent="0.25">
      <c r="A5392" s="17"/>
    </row>
    <row r="5393" spans="1:1" x14ac:dyDescent="0.25">
      <c r="A5393" s="17"/>
    </row>
    <row r="5394" spans="1:1" x14ac:dyDescent="0.25">
      <c r="A5394" s="17"/>
    </row>
    <row r="5395" spans="1:1" x14ac:dyDescent="0.25">
      <c r="A5395" s="17"/>
    </row>
    <row r="5396" spans="1:1" x14ac:dyDescent="0.25">
      <c r="A5396" s="17"/>
    </row>
    <row r="5397" spans="1:1" x14ac:dyDescent="0.25">
      <c r="A5397" s="17"/>
    </row>
    <row r="5398" spans="1:1" x14ac:dyDescent="0.25">
      <c r="A5398" s="17"/>
    </row>
    <row r="5399" spans="1:1" x14ac:dyDescent="0.25">
      <c r="A5399" s="17"/>
    </row>
    <row r="5400" spans="1:1" x14ac:dyDescent="0.25">
      <c r="A5400" s="17"/>
    </row>
    <row r="5401" spans="1:1" x14ac:dyDescent="0.25">
      <c r="A5401" s="17"/>
    </row>
    <row r="5402" spans="1:1" x14ac:dyDescent="0.25">
      <c r="A5402" s="17"/>
    </row>
    <row r="5403" spans="1:1" x14ac:dyDescent="0.25">
      <c r="A5403" s="17"/>
    </row>
    <row r="5404" spans="1:1" x14ac:dyDescent="0.25">
      <c r="A5404" s="17"/>
    </row>
    <row r="5405" spans="1:1" x14ac:dyDescent="0.25">
      <c r="A5405" s="17"/>
    </row>
    <row r="5406" spans="1:1" x14ac:dyDescent="0.25">
      <c r="A5406" s="17"/>
    </row>
    <row r="5407" spans="1:1" x14ac:dyDescent="0.25">
      <c r="A5407" s="17"/>
    </row>
    <row r="5408" spans="1:1" x14ac:dyDescent="0.25">
      <c r="A5408" s="17"/>
    </row>
    <row r="5409" spans="1:1" x14ac:dyDescent="0.25">
      <c r="A5409" s="17"/>
    </row>
    <row r="5410" spans="1:1" x14ac:dyDescent="0.25">
      <c r="A5410" s="17"/>
    </row>
    <row r="5411" spans="1:1" x14ac:dyDescent="0.25">
      <c r="A5411" s="17"/>
    </row>
    <row r="5412" spans="1:1" x14ac:dyDescent="0.25">
      <c r="A5412" s="17"/>
    </row>
    <row r="5413" spans="1:1" x14ac:dyDescent="0.25">
      <c r="A5413" s="17"/>
    </row>
    <row r="5414" spans="1:1" x14ac:dyDescent="0.25">
      <c r="A5414" s="17"/>
    </row>
    <row r="5415" spans="1:1" x14ac:dyDescent="0.25">
      <c r="A5415" s="17"/>
    </row>
    <row r="5416" spans="1:1" x14ac:dyDescent="0.25">
      <c r="A5416" s="17"/>
    </row>
    <row r="5417" spans="1:1" x14ac:dyDescent="0.25">
      <c r="A5417" s="17"/>
    </row>
    <row r="5418" spans="1:1" x14ac:dyDescent="0.25">
      <c r="A5418" s="17"/>
    </row>
    <row r="5419" spans="1:1" x14ac:dyDescent="0.25">
      <c r="A5419" s="17"/>
    </row>
    <row r="5420" spans="1:1" x14ac:dyDescent="0.25">
      <c r="A5420" s="17"/>
    </row>
    <row r="5421" spans="1:1" x14ac:dyDescent="0.25">
      <c r="A5421" s="17"/>
    </row>
    <row r="5422" spans="1:1" x14ac:dyDescent="0.25">
      <c r="A5422" s="17"/>
    </row>
    <row r="5423" spans="1:1" x14ac:dyDescent="0.25">
      <c r="A5423" s="17"/>
    </row>
    <row r="5424" spans="1:1" x14ac:dyDescent="0.25">
      <c r="A5424" s="17"/>
    </row>
    <row r="5425" spans="1:1" x14ac:dyDescent="0.25">
      <c r="A5425" s="17"/>
    </row>
    <row r="5426" spans="1:1" x14ac:dyDescent="0.25">
      <c r="A5426" s="17"/>
    </row>
    <row r="5427" spans="1:1" x14ac:dyDescent="0.25">
      <c r="A5427" s="17"/>
    </row>
    <row r="5428" spans="1:1" x14ac:dyDescent="0.25">
      <c r="A5428" s="17"/>
    </row>
    <row r="5429" spans="1:1" x14ac:dyDescent="0.25">
      <c r="A5429" s="17"/>
    </row>
    <row r="5430" spans="1:1" x14ac:dyDescent="0.25">
      <c r="A5430" s="17"/>
    </row>
    <row r="5431" spans="1:1" x14ac:dyDescent="0.25">
      <c r="A5431" s="17"/>
    </row>
    <row r="5432" spans="1:1" x14ac:dyDescent="0.25">
      <c r="A5432" s="17"/>
    </row>
    <row r="5433" spans="1:1" x14ac:dyDescent="0.25">
      <c r="A5433" s="17"/>
    </row>
    <row r="5434" spans="1:1" x14ac:dyDescent="0.25">
      <c r="A5434" s="17"/>
    </row>
    <row r="5435" spans="1:1" x14ac:dyDescent="0.25">
      <c r="A5435" s="17"/>
    </row>
    <row r="5436" spans="1:1" x14ac:dyDescent="0.25">
      <c r="A5436" s="17"/>
    </row>
    <row r="5437" spans="1:1" x14ac:dyDescent="0.25">
      <c r="A5437" s="17"/>
    </row>
    <row r="5438" spans="1:1" x14ac:dyDescent="0.25">
      <c r="A5438" s="17"/>
    </row>
    <row r="5439" spans="1:1" x14ac:dyDescent="0.25">
      <c r="A5439" s="17"/>
    </row>
    <row r="5440" spans="1:1" x14ac:dyDescent="0.25">
      <c r="A5440" s="17"/>
    </row>
    <row r="5441" spans="1:1" x14ac:dyDescent="0.25">
      <c r="A5441" s="17"/>
    </row>
    <row r="5442" spans="1:1" x14ac:dyDescent="0.25">
      <c r="A5442" s="17"/>
    </row>
    <row r="5443" spans="1:1" x14ac:dyDescent="0.25">
      <c r="A5443" s="17"/>
    </row>
    <row r="5444" spans="1:1" x14ac:dyDescent="0.25">
      <c r="A5444" s="17"/>
    </row>
    <row r="5445" spans="1:1" x14ac:dyDescent="0.25">
      <c r="A5445" s="17"/>
    </row>
    <row r="5446" spans="1:1" x14ac:dyDescent="0.25">
      <c r="A5446" s="17"/>
    </row>
    <row r="5447" spans="1:1" x14ac:dyDescent="0.25">
      <c r="A5447" s="17"/>
    </row>
    <row r="5448" spans="1:1" x14ac:dyDescent="0.25">
      <c r="A5448" s="17"/>
    </row>
    <row r="5449" spans="1:1" x14ac:dyDescent="0.25">
      <c r="A5449" s="17"/>
    </row>
    <row r="5450" spans="1:1" x14ac:dyDescent="0.25">
      <c r="A5450" s="17"/>
    </row>
    <row r="5451" spans="1:1" x14ac:dyDescent="0.25">
      <c r="A5451" s="17"/>
    </row>
    <row r="5452" spans="1:1" x14ac:dyDescent="0.25">
      <c r="A5452" s="17"/>
    </row>
    <row r="5453" spans="1:1" x14ac:dyDescent="0.25">
      <c r="A5453" s="17"/>
    </row>
    <row r="5454" spans="1:1" x14ac:dyDescent="0.25">
      <c r="A5454" s="17"/>
    </row>
    <row r="5455" spans="1:1" x14ac:dyDescent="0.25">
      <c r="A5455" s="17"/>
    </row>
    <row r="5456" spans="1:1" x14ac:dyDescent="0.25">
      <c r="A5456" s="17"/>
    </row>
    <row r="5457" spans="1:1" x14ac:dyDescent="0.25">
      <c r="A5457" s="17"/>
    </row>
    <row r="5458" spans="1:1" x14ac:dyDescent="0.25">
      <c r="A5458" s="17"/>
    </row>
    <row r="5459" spans="1:1" x14ac:dyDescent="0.25">
      <c r="A5459" s="17"/>
    </row>
    <row r="5460" spans="1:1" x14ac:dyDescent="0.25">
      <c r="A5460" s="17"/>
    </row>
    <row r="5461" spans="1:1" x14ac:dyDescent="0.25">
      <c r="A5461" s="17"/>
    </row>
    <row r="5462" spans="1:1" x14ac:dyDescent="0.25">
      <c r="A5462" s="17"/>
    </row>
    <row r="5463" spans="1:1" x14ac:dyDescent="0.25">
      <c r="A5463" s="17"/>
    </row>
    <row r="5464" spans="1:1" x14ac:dyDescent="0.25">
      <c r="A5464" s="17"/>
    </row>
    <row r="5465" spans="1:1" x14ac:dyDescent="0.25">
      <c r="A5465" s="17"/>
    </row>
    <row r="5466" spans="1:1" x14ac:dyDescent="0.25">
      <c r="A5466" s="17"/>
    </row>
    <row r="5467" spans="1:1" x14ac:dyDescent="0.25">
      <c r="A5467" s="17"/>
    </row>
    <row r="5468" spans="1:1" x14ac:dyDescent="0.25">
      <c r="A5468" s="17"/>
    </row>
    <row r="5469" spans="1:1" x14ac:dyDescent="0.25">
      <c r="A5469" s="17"/>
    </row>
    <row r="5470" spans="1:1" x14ac:dyDescent="0.25">
      <c r="A5470" s="17"/>
    </row>
    <row r="5471" spans="1:1" x14ac:dyDescent="0.25">
      <c r="A5471" s="17"/>
    </row>
    <row r="5472" spans="1:1" x14ac:dyDescent="0.25">
      <c r="A5472" s="17"/>
    </row>
    <row r="5473" spans="1:1" x14ac:dyDescent="0.25">
      <c r="A5473" s="17"/>
    </row>
    <row r="5474" spans="1:1" x14ac:dyDescent="0.25">
      <c r="A5474" s="17"/>
    </row>
    <row r="5475" spans="1:1" x14ac:dyDescent="0.25">
      <c r="A5475" s="17"/>
    </row>
    <row r="5476" spans="1:1" x14ac:dyDescent="0.25">
      <c r="A5476" s="17"/>
    </row>
    <row r="5477" spans="1:1" x14ac:dyDescent="0.25">
      <c r="A5477" s="17"/>
    </row>
    <row r="5478" spans="1:1" x14ac:dyDescent="0.25">
      <c r="A5478" s="17"/>
    </row>
    <row r="5479" spans="1:1" x14ac:dyDescent="0.25">
      <c r="A5479" s="17"/>
    </row>
    <row r="5480" spans="1:1" x14ac:dyDescent="0.25">
      <c r="A5480" s="17"/>
    </row>
    <row r="5481" spans="1:1" x14ac:dyDescent="0.25">
      <c r="A5481" s="17"/>
    </row>
    <row r="5482" spans="1:1" x14ac:dyDescent="0.25">
      <c r="A5482" s="17"/>
    </row>
    <row r="5483" spans="1:1" x14ac:dyDescent="0.25">
      <c r="A5483" s="17"/>
    </row>
    <row r="5484" spans="1:1" x14ac:dyDescent="0.25">
      <c r="A5484" s="17"/>
    </row>
    <row r="5485" spans="1:1" x14ac:dyDescent="0.25">
      <c r="A5485" s="17"/>
    </row>
    <row r="5486" spans="1:1" x14ac:dyDescent="0.25">
      <c r="A5486" s="17"/>
    </row>
    <row r="5487" spans="1:1" x14ac:dyDescent="0.25">
      <c r="A5487" s="17"/>
    </row>
    <row r="5488" spans="1:1" x14ac:dyDescent="0.25">
      <c r="A5488" s="17"/>
    </row>
    <row r="5489" spans="1:1" x14ac:dyDescent="0.25">
      <c r="A5489" s="17"/>
    </row>
    <row r="5490" spans="1:1" x14ac:dyDescent="0.25">
      <c r="A5490" s="17"/>
    </row>
    <row r="5491" spans="1:1" x14ac:dyDescent="0.25">
      <c r="A5491" s="17"/>
    </row>
    <row r="5492" spans="1:1" x14ac:dyDescent="0.25">
      <c r="A5492" s="17"/>
    </row>
    <row r="5493" spans="1:1" x14ac:dyDescent="0.25">
      <c r="A5493" s="17"/>
    </row>
    <row r="5494" spans="1:1" x14ac:dyDescent="0.25">
      <c r="A5494" s="17"/>
    </row>
    <row r="5495" spans="1:1" x14ac:dyDescent="0.25">
      <c r="A5495" s="17"/>
    </row>
    <row r="5496" spans="1:1" x14ac:dyDescent="0.25">
      <c r="A5496" s="17"/>
    </row>
    <row r="5497" spans="1:1" x14ac:dyDescent="0.25">
      <c r="A5497" s="17"/>
    </row>
    <row r="5498" spans="1:1" x14ac:dyDescent="0.25">
      <c r="A5498" s="17"/>
    </row>
    <row r="5499" spans="1:1" x14ac:dyDescent="0.25">
      <c r="A5499" s="17"/>
    </row>
    <row r="5500" spans="1:1" x14ac:dyDescent="0.25">
      <c r="A5500" s="17"/>
    </row>
    <row r="5501" spans="1:1" x14ac:dyDescent="0.25">
      <c r="A5501" s="17"/>
    </row>
    <row r="5502" spans="1:1" x14ac:dyDescent="0.25">
      <c r="A5502" s="17"/>
    </row>
    <row r="5503" spans="1:1" x14ac:dyDescent="0.25">
      <c r="A5503" s="17"/>
    </row>
    <row r="5504" spans="1:1" x14ac:dyDescent="0.25">
      <c r="A5504" s="17"/>
    </row>
    <row r="5505" spans="1:1" x14ac:dyDescent="0.25">
      <c r="A5505" s="17"/>
    </row>
    <row r="5506" spans="1:1" x14ac:dyDescent="0.25">
      <c r="A5506" s="17"/>
    </row>
    <row r="5507" spans="1:1" x14ac:dyDescent="0.25">
      <c r="A5507" s="17"/>
    </row>
    <row r="5508" spans="1:1" x14ac:dyDescent="0.25">
      <c r="A5508" s="17"/>
    </row>
    <row r="5509" spans="1:1" x14ac:dyDescent="0.25">
      <c r="A5509" s="17"/>
    </row>
    <row r="5510" spans="1:1" x14ac:dyDescent="0.25">
      <c r="A5510" s="17"/>
    </row>
    <row r="5511" spans="1:1" x14ac:dyDescent="0.25">
      <c r="A5511" s="17"/>
    </row>
    <row r="5512" spans="1:1" x14ac:dyDescent="0.25">
      <c r="A5512" s="17"/>
    </row>
    <row r="5513" spans="1:1" x14ac:dyDescent="0.25">
      <c r="A5513" s="17"/>
    </row>
    <row r="5514" spans="1:1" x14ac:dyDescent="0.25">
      <c r="A5514" s="17"/>
    </row>
    <row r="5515" spans="1:1" x14ac:dyDescent="0.25">
      <c r="A5515" s="17"/>
    </row>
    <row r="5516" spans="1:1" x14ac:dyDescent="0.25">
      <c r="A5516" s="17"/>
    </row>
    <row r="5517" spans="1:1" x14ac:dyDescent="0.25">
      <c r="A5517" s="17"/>
    </row>
    <row r="5518" spans="1:1" x14ac:dyDescent="0.25">
      <c r="A5518" s="17"/>
    </row>
    <row r="5519" spans="1:1" x14ac:dyDescent="0.25">
      <c r="A5519" s="17"/>
    </row>
    <row r="5520" spans="1:1" x14ac:dyDescent="0.25">
      <c r="A5520" s="17"/>
    </row>
    <row r="5521" spans="1:1" x14ac:dyDescent="0.25">
      <c r="A5521" s="17"/>
    </row>
    <row r="5522" spans="1:1" x14ac:dyDescent="0.25">
      <c r="A5522" s="17"/>
    </row>
    <row r="5523" spans="1:1" x14ac:dyDescent="0.25">
      <c r="A5523" s="17"/>
    </row>
    <row r="5524" spans="1:1" x14ac:dyDescent="0.25">
      <c r="A5524" s="17"/>
    </row>
    <row r="5525" spans="1:1" x14ac:dyDescent="0.25">
      <c r="A5525" s="17"/>
    </row>
    <row r="5526" spans="1:1" x14ac:dyDescent="0.25">
      <c r="A5526" s="17"/>
    </row>
    <row r="5527" spans="1:1" x14ac:dyDescent="0.25">
      <c r="A5527" s="17"/>
    </row>
    <row r="5528" spans="1:1" x14ac:dyDescent="0.25">
      <c r="A5528" s="17"/>
    </row>
    <row r="5529" spans="1:1" x14ac:dyDescent="0.25">
      <c r="A5529" s="17"/>
    </row>
    <row r="5530" spans="1:1" x14ac:dyDescent="0.25">
      <c r="A5530" s="17"/>
    </row>
    <row r="5531" spans="1:1" x14ac:dyDescent="0.25">
      <c r="A5531" s="17"/>
    </row>
    <row r="5532" spans="1:1" x14ac:dyDescent="0.25">
      <c r="A5532" s="17"/>
    </row>
    <row r="5533" spans="1:1" x14ac:dyDescent="0.25">
      <c r="A5533" s="17"/>
    </row>
    <row r="5534" spans="1:1" x14ac:dyDescent="0.25">
      <c r="A5534" s="17"/>
    </row>
    <row r="5535" spans="1:1" x14ac:dyDescent="0.25">
      <c r="A5535" s="17"/>
    </row>
    <row r="5536" spans="1:1" x14ac:dyDescent="0.25">
      <c r="A5536" s="17"/>
    </row>
    <row r="5537" spans="1:1" x14ac:dyDescent="0.25">
      <c r="A5537" s="17"/>
    </row>
    <row r="5538" spans="1:1" x14ac:dyDescent="0.25">
      <c r="A5538" s="17"/>
    </row>
    <row r="5539" spans="1:1" x14ac:dyDescent="0.25">
      <c r="A5539" s="17"/>
    </row>
    <row r="5540" spans="1:1" x14ac:dyDescent="0.25">
      <c r="A5540" s="17"/>
    </row>
    <row r="5541" spans="1:1" x14ac:dyDescent="0.25">
      <c r="A5541" s="17"/>
    </row>
    <row r="5542" spans="1:1" x14ac:dyDescent="0.25">
      <c r="A5542" s="17"/>
    </row>
    <row r="5543" spans="1:1" x14ac:dyDescent="0.25">
      <c r="A5543" s="17"/>
    </row>
    <row r="5544" spans="1:1" x14ac:dyDescent="0.25">
      <c r="A5544" s="17"/>
    </row>
    <row r="5545" spans="1:1" x14ac:dyDescent="0.25">
      <c r="A5545" s="17"/>
    </row>
    <row r="5546" spans="1:1" x14ac:dyDescent="0.25">
      <c r="A5546" s="17"/>
    </row>
    <row r="5547" spans="1:1" x14ac:dyDescent="0.25">
      <c r="A5547" s="17"/>
    </row>
    <row r="5548" spans="1:1" x14ac:dyDescent="0.25">
      <c r="A5548" s="17"/>
    </row>
    <row r="5549" spans="1:1" x14ac:dyDescent="0.25">
      <c r="A5549" s="17"/>
    </row>
    <row r="5550" spans="1:1" x14ac:dyDescent="0.25">
      <c r="A5550" s="17"/>
    </row>
    <row r="5551" spans="1:1" x14ac:dyDescent="0.25">
      <c r="A5551" s="17"/>
    </row>
    <row r="5552" spans="1:1" x14ac:dyDescent="0.25">
      <c r="A5552" s="17"/>
    </row>
    <row r="5553" spans="1:1" x14ac:dyDescent="0.25">
      <c r="A5553" s="17"/>
    </row>
    <row r="5554" spans="1:1" x14ac:dyDescent="0.25">
      <c r="A5554" s="17"/>
    </row>
    <row r="5555" spans="1:1" x14ac:dyDescent="0.25">
      <c r="A5555" s="17"/>
    </row>
    <row r="5556" spans="1:1" x14ac:dyDescent="0.25">
      <c r="A5556" s="17"/>
    </row>
    <row r="5557" spans="1:1" x14ac:dyDescent="0.25">
      <c r="A5557" s="17"/>
    </row>
    <row r="5558" spans="1:1" x14ac:dyDescent="0.25">
      <c r="A5558" s="17"/>
    </row>
    <row r="5559" spans="1:1" x14ac:dyDescent="0.25">
      <c r="A5559" s="17"/>
    </row>
    <row r="5560" spans="1:1" x14ac:dyDescent="0.25">
      <c r="A5560" s="17"/>
    </row>
    <row r="5561" spans="1:1" x14ac:dyDescent="0.25">
      <c r="A5561" s="17"/>
    </row>
    <row r="5562" spans="1:1" x14ac:dyDescent="0.25">
      <c r="A5562" s="17"/>
    </row>
    <row r="5563" spans="1:1" x14ac:dyDescent="0.25">
      <c r="A5563" s="17"/>
    </row>
    <row r="5564" spans="1:1" x14ac:dyDescent="0.25">
      <c r="A5564" s="17"/>
    </row>
    <row r="5565" spans="1:1" x14ac:dyDescent="0.25">
      <c r="A5565" s="17"/>
    </row>
    <row r="5566" spans="1:1" x14ac:dyDescent="0.25">
      <c r="A5566" s="17"/>
    </row>
    <row r="5567" spans="1:1" x14ac:dyDescent="0.25">
      <c r="A5567" s="17"/>
    </row>
    <row r="5568" spans="1:1" x14ac:dyDescent="0.25">
      <c r="A5568" s="17"/>
    </row>
    <row r="5569" spans="1:1" x14ac:dyDescent="0.25">
      <c r="A5569" s="17"/>
    </row>
    <row r="5570" spans="1:1" x14ac:dyDescent="0.25">
      <c r="A5570" s="17"/>
    </row>
    <row r="5571" spans="1:1" x14ac:dyDescent="0.25">
      <c r="A5571" s="17"/>
    </row>
    <row r="5572" spans="1:1" x14ac:dyDescent="0.25">
      <c r="A5572" s="17"/>
    </row>
    <row r="5573" spans="1:1" x14ac:dyDescent="0.25">
      <c r="A5573" s="17"/>
    </row>
    <row r="5574" spans="1:1" x14ac:dyDescent="0.25">
      <c r="A5574" s="17"/>
    </row>
    <row r="5575" spans="1:1" x14ac:dyDescent="0.25">
      <c r="A5575" s="17"/>
    </row>
    <row r="5576" spans="1:1" x14ac:dyDescent="0.25">
      <c r="A5576" s="17"/>
    </row>
    <row r="5577" spans="1:1" x14ac:dyDescent="0.25">
      <c r="A5577" s="17"/>
    </row>
    <row r="5578" spans="1:1" x14ac:dyDescent="0.25">
      <c r="A5578" s="17"/>
    </row>
    <row r="5579" spans="1:1" x14ac:dyDescent="0.25">
      <c r="A5579" s="17"/>
    </row>
    <row r="5580" spans="1:1" x14ac:dyDescent="0.25">
      <c r="A5580" s="17"/>
    </row>
    <row r="5581" spans="1:1" x14ac:dyDescent="0.25">
      <c r="A5581" s="17"/>
    </row>
    <row r="5582" spans="1:1" x14ac:dyDescent="0.25">
      <c r="A5582" s="17"/>
    </row>
    <row r="5583" spans="1:1" x14ac:dyDescent="0.25">
      <c r="A5583" s="17"/>
    </row>
    <row r="5584" spans="1:1" x14ac:dyDescent="0.25">
      <c r="A5584" s="17"/>
    </row>
    <row r="5585" spans="1:1" x14ac:dyDescent="0.25">
      <c r="A5585" s="17"/>
    </row>
    <row r="5586" spans="1:1" x14ac:dyDescent="0.25">
      <c r="A5586" s="17"/>
    </row>
    <row r="5587" spans="1:1" x14ac:dyDescent="0.25">
      <c r="A5587" s="17"/>
    </row>
    <row r="5588" spans="1:1" x14ac:dyDescent="0.25">
      <c r="A5588" s="17"/>
    </row>
    <row r="5589" spans="1:1" x14ac:dyDescent="0.25">
      <c r="A5589" s="17"/>
    </row>
    <row r="5590" spans="1:1" x14ac:dyDescent="0.25">
      <c r="A5590" s="17"/>
    </row>
    <row r="5591" spans="1:1" x14ac:dyDescent="0.25">
      <c r="A5591" s="17"/>
    </row>
    <row r="5592" spans="1:1" x14ac:dyDescent="0.25">
      <c r="A5592" s="17"/>
    </row>
    <row r="5593" spans="1:1" x14ac:dyDescent="0.25">
      <c r="A5593" s="17"/>
    </row>
    <row r="5594" spans="1:1" x14ac:dyDescent="0.25">
      <c r="A5594" s="17"/>
    </row>
    <row r="5595" spans="1:1" x14ac:dyDescent="0.25">
      <c r="A5595" s="17"/>
    </row>
    <row r="5596" spans="1:1" x14ac:dyDescent="0.25">
      <c r="A5596" s="17"/>
    </row>
    <row r="5597" spans="1:1" x14ac:dyDescent="0.25">
      <c r="A5597" s="17"/>
    </row>
    <row r="5598" spans="1:1" x14ac:dyDescent="0.25">
      <c r="A5598" s="17"/>
    </row>
    <row r="5599" spans="1:1" x14ac:dyDescent="0.25">
      <c r="A5599" s="17"/>
    </row>
    <row r="5600" spans="1:1" x14ac:dyDescent="0.25">
      <c r="A5600" s="17"/>
    </row>
    <row r="5601" spans="1:1" x14ac:dyDescent="0.25">
      <c r="A5601" s="17"/>
    </row>
    <row r="5602" spans="1:1" x14ac:dyDescent="0.25">
      <c r="A5602" s="17"/>
    </row>
    <row r="5603" spans="1:1" x14ac:dyDescent="0.25">
      <c r="A5603" s="17"/>
    </row>
    <row r="5604" spans="1:1" x14ac:dyDescent="0.25">
      <c r="A5604" s="17"/>
    </row>
    <row r="5605" spans="1:1" x14ac:dyDescent="0.25">
      <c r="A5605" s="17"/>
    </row>
    <row r="5606" spans="1:1" x14ac:dyDescent="0.25">
      <c r="A5606" s="17"/>
    </row>
    <row r="5607" spans="1:1" x14ac:dyDescent="0.25">
      <c r="A5607" s="17"/>
    </row>
    <row r="5608" spans="1:1" x14ac:dyDescent="0.25">
      <c r="A5608" s="17"/>
    </row>
    <row r="5609" spans="1:1" x14ac:dyDescent="0.25">
      <c r="A5609" s="17"/>
    </row>
    <row r="5610" spans="1:1" x14ac:dyDescent="0.25">
      <c r="A5610" s="17"/>
    </row>
    <row r="5611" spans="1:1" x14ac:dyDescent="0.25">
      <c r="A5611" s="17"/>
    </row>
    <row r="5612" spans="1:1" x14ac:dyDescent="0.25">
      <c r="A5612" s="17"/>
    </row>
    <row r="5613" spans="1:1" x14ac:dyDescent="0.25">
      <c r="A5613" s="17"/>
    </row>
    <row r="5614" spans="1:1" x14ac:dyDescent="0.25">
      <c r="A5614" s="17"/>
    </row>
    <row r="5615" spans="1:1" x14ac:dyDescent="0.25">
      <c r="A5615" s="17"/>
    </row>
    <row r="5616" spans="1:1" x14ac:dyDescent="0.25">
      <c r="A5616" s="17"/>
    </row>
    <row r="5617" spans="1:1" x14ac:dyDescent="0.25">
      <c r="A5617" s="17"/>
    </row>
    <row r="5618" spans="1:1" x14ac:dyDescent="0.25">
      <c r="A5618" s="17"/>
    </row>
    <row r="5619" spans="1:1" x14ac:dyDescent="0.25">
      <c r="A5619" s="17"/>
    </row>
    <row r="5620" spans="1:1" x14ac:dyDescent="0.25">
      <c r="A5620" s="17"/>
    </row>
    <row r="5621" spans="1:1" x14ac:dyDescent="0.25">
      <c r="A5621" s="17"/>
    </row>
    <row r="5622" spans="1:1" x14ac:dyDescent="0.25">
      <c r="A5622" s="17"/>
    </row>
    <row r="5623" spans="1:1" x14ac:dyDescent="0.25">
      <c r="A5623" s="17"/>
    </row>
    <row r="5624" spans="1:1" x14ac:dyDescent="0.25">
      <c r="A5624" s="17"/>
    </row>
    <row r="5625" spans="1:1" x14ac:dyDescent="0.25">
      <c r="A5625" s="17"/>
    </row>
    <row r="5626" spans="1:1" x14ac:dyDescent="0.25">
      <c r="A5626" s="17"/>
    </row>
    <row r="5627" spans="1:1" x14ac:dyDescent="0.25">
      <c r="A5627" s="17"/>
    </row>
    <row r="5628" spans="1:1" x14ac:dyDescent="0.25">
      <c r="A5628" s="17"/>
    </row>
    <row r="5629" spans="1:1" x14ac:dyDescent="0.25">
      <c r="A5629" s="17"/>
    </row>
    <row r="5630" spans="1:1" x14ac:dyDescent="0.25">
      <c r="A5630" s="17"/>
    </row>
    <row r="5631" spans="1:1" x14ac:dyDescent="0.25">
      <c r="A5631" s="17"/>
    </row>
    <row r="5632" spans="1:1" x14ac:dyDescent="0.25">
      <c r="A5632" s="17"/>
    </row>
    <row r="5633" spans="1:1" x14ac:dyDescent="0.25">
      <c r="A5633" s="17"/>
    </row>
    <row r="5634" spans="1:1" x14ac:dyDescent="0.25">
      <c r="A5634" s="17"/>
    </row>
    <row r="5635" spans="1:1" x14ac:dyDescent="0.25">
      <c r="A5635" s="17"/>
    </row>
    <row r="5636" spans="1:1" x14ac:dyDescent="0.25">
      <c r="A5636" s="17"/>
    </row>
    <row r="5637" spans="1:1" x14ac:dyDescent="0.25">
      <c r="A5637" s="17"/>
    </row>
    <row r="5638" spans="1:1" x14ac:dyDescent="0.25">
      <c r="A5638" s="17"/>
    </row>
    <row r="5639" spans="1:1" x14ac:dyDescent="0.25">
      <c r="A5639" s="17"/>
    </row>
    <row r="5640" spans="1:1" x14ac:dyDescent="0.25">
      <c r="A5640" s="17"/>
    </row>
    <row r="5641" spans="1:1" x14ac:dyDescent="0.25">
      <c r="A5641" s="17"/>
    </row>
    <row r="5642" spans="1:1" x14ac:dyDescent="0.25">
      <c r="A5642" s="17"/>
    </row>
    <row r="5643" spans="1:1" x14ac:dyDescent="0.25">
      <c r="A5643" s="17"/>
    </row>
    <row r="5644" spans="1:1" x14ac:dyDescent="0.25">
      <c r="A5644" s="17"/>
    </row>
    <row r="5645" spans="1:1" x14ac:dyDescent="0.25">
      <c r="A5645" s="17"/>
    </row>
    <row r="5646" spans="1:1" x14ac:dyDescent="0.25">
      <c r="A5646" s="17"/>
    </row>
    <row r="5647" spans="1:1" x14ac:dyDescent="0.25">
      <c r="A5647" s="17"/>
    </row>
    <row r="5648" spans="1:1" x14ac:dyDescent="0.25">
      <c r="A5648" s="17"/>
    </row>
    <row r="5649" spans="1:1" x14ac:dyDescent="0.25">
      <c r="A5649" s="17"/>
    </row>
    <row r="5650" spans="1:1" x14ac:dyDescent="0.25">
      <c r="A5650" s="17"/>
    </row>
    <row r="5651" spans="1:1" x14ac:dyDescent="0.25">
      <c r="A5651" s="17"/>
    </row>
    <row r="5652" spans="1:1" x14ac:dyDescent="0.25">
      <c r="A5652" s="17"/>
    </row>
    <row r="5653" spans="1:1" x14ac:dyDescent="0.25">
      <c r="A5653" s="17"/>
    </row>
    <row r="5654" spans="1:1" x14ac:dyDescent="0.25">
      <c r="A5654" s="17"/>
    </row>
    <row r="5655" spans="1:1" x14ac:dyDescent="0.25">
      <c r="A5655" s="17"/>
    </row>
    <row r="5656" spans="1:1" x14ac:dyDescent="0.25">
      <c r="A5656" s="17"/>
    </row>
    <row r="5657" spans="1:1" x14ac:dyDescent="0.25">
      <c r="A5657" s="17"/>
    </row>
    <row r="5658" spans="1:1" x14ac:dyDescent="0.25">
      <c r="A5658" s="17"/>
    </row>
    <row r="5659" spans="1:1" x14ac:dyDescent="0.25">
      <c r="A5659" s="17"/>
    </row>
    <row r="5660" spans="1:1" x14ac:dyDescent="0.25">
      <c r="A5660" s="17"/>
    </row>
    <row r="5661" spans="1:1" x14ac:dyDescent="0.25">
      <c r="A5661" s="17"/>
    </row>
    <row r="5662" spans="1:1" x14ac:dyDescent="0.25">
      <c r="A5662" s="17"/>
    </row>
    <row r="5663" spans="1:1" x14ac:dyDescent="0.25">
      <c r="A5663" s="17"/>
    </row>
    <row r="5664" spans="1:1" x14ac:dyDescent="0.25">
      <c r="A5664" s="17"/>
    </row>
    <row r="5665" spans="1:1" x14ac:dyDescent="0.25">
      <c r="A5665" s="17"/>
    </row>
    <row r="5666" spans="1:1" x14ac:dyDescent="0.25">
      <c r="A5666" s="17"/>
    </row>
    <row r="5667" spans="1:1" x14ac:dyDescent="0.25">
      <c r="A5667" s="17"/>
    </row>
    <row r="5668" spans="1:1" x14ac:dyDescent="0.25">
      <c r="A5668" s="17"/>
    </row>
    <row r="5669" spans="1:1" x14ac:dyDescent="0.25">
      <c r="A5669" s="17"/>
    </row>
    <row r="5670" spans="1:1" x14ac:dyDescent="0.25">
      <c r="A5670" s="17"/>
    </row>
    <row r="5671" spans="1:1" x14ac:dyDescent="0.25">
      <c r="A5671" s="17"/>
    </row>
    <row r="5672" spans="1:1" x14ac:dyDescent="0.25">
      <c r="A5672" s="17"/>
    </row>
    <row r="5673" spans="1:1" x14ac:dyDescent="0.25">
      <c r="A5673" s="17"/>
    </row>
    <row r="5674" spans="1:1" x14ac:dyDescent="0.25">
      <c r="A5674" s="17"/>
    </row>
    <row r="5675" spans="1:1" x14ac:dyDescent="0.25">
      <c r="A5675" s="17"/>
    </row>
    <row r="5676" spans="1:1" x14ac:dyDescent="0.25">
      <c r="A5676" s="17"/>
    </row>
    <row r="5677" spans="1:1" x14ac:dyDescent="0.25">
      <c r="A5677" s="17"/>
    </row>
    <row r="5678" spans="1:1" x14ac:dyDescent="0.25">
      <c r="A5678" s="17"/>
    </row>
    <row r="5679" spans="1:1" x14ac:dyDescent="0.25">
      <c r="A5679" s="17"/>
    </row>
    <row r="5680" spans="1:1" x14ac:dyDescent="0.25">
      <c r="A5680" s="17"/>
    </row>
    <row r="5681" spans="1:1" x14ac:dyDescent="0.25">
      <c r="A5681" s="17"/>
    </row>
    <row r="5682" spans="1:1" x14ac:dyDescent="0.25">
      <c r="A5682" s="17"/>
    </row>
    <row r="5683" spans="1:1" x14ac:dyDescent="0.25">
      <c r="A5683" s="17"/>
    </row>
    <row r="5684" spans="1:1" x14ac:dyDescent="0.25">
      <c r="A5684" s="17"/>
    </row>
    <row r="5685" spans="1:1" x14ac:dyDescent="0.25">
      <c r="A5685" s="17"/>
    </row>
    <row r="5686" spans="1:1" x14ac:dyDescent="0.25">
      <c r="A5686" s="17"/>
    </row>
    <row r="5687" spans="1:1" x14ac:dyDescent="0.25">
      <c r="A5687" s="17"/>
    </row>
    <row r="5688" spans="1:1" x14ac:dyDescent="0.25">
      <c r="A5688" s="17"/>
    </row>
    <row r="5689" spans="1:1" x14ac:dyDescent="0.25">
      <c r="A5689" s="17"/>
    </row>
    <row r="5690" spans="1:1" x14ac:dyDescent="0.25">
      <c r="A5690" s="17"/>
    </row>
    <row r="5691" spans="1:1" x14ac:dyDescent="0.25">
      <c r="A5691" s="17"/>
    </row>
    <row r="5692" spans="1:1" x14ac:dyDescent="0.25">
      <c r="A5692" s="17"/>
    </row>
    <row r="5693" spans="1:1" x14ac:dyDescent="0.25">
      <c r="A5693" s="17"/>
    </row>
    <row r="5694" spans="1:1" x14ac:dyDescent="0.25">
      <c r="A5694" s="17"/>
    </row>
    <row r="5695" spans="1:1" x14ac:dyDescent="0.25">
      <c r="A5695" s="17"/>
    </row>
    <row r="5696" spans="1:1" x14ac:dyDescent="0.25">
      <c r="A5696" s="17"/>
    </row>
    <row r="5697" spans="1:1" x14ac:dyDescent="0.25">
      <c r="A5697" s="17"/>
    </row>
    <row r="5698" spans="1:1" x14ac:dyDescent="0.25">
      <c r="A5698" s="17"/>
    </row>
    <row r="5699" spans="1:1" x14ac:dyDescent="0.25">
      <c r="A5699" s="17"/>
    </row>
    <row r="5700" spans="1:1" x14ac:dyDescent="0.25">
      <c r="A5700" s="17"/>
    </row>
    <row r="5701" spans="1:1" x14ac:dyDescent="0.25">
      <c r="A5701" s="17"/>
    </row>
    <row r="5702" spans="1:1" x14ac:dyDescent="0.25">
      <c r="A5702" s="17"/>
    </row>
    <row r="5703" spans="1:1" x14ac:dyDescent="0.25">
      <c r="A5703" s="17"/>
    </row>
    <row r="5704" spans="1:1" x14ac:dyDescent="0.25">
      <c r="A5704" s="17"/>
    </row>
    <row r="5705" spans="1:1" x14ac:dyDescent="0.25">
      <c r="A5705" s="17"/>
    </row>
    <row r="5706" spans="1:1" x14ac:dyDescent="0.25">
      <c r="A5706" s="17"/>
    </row>
    <row r="5707" spans="1:1" x14ac:dyDescent="0.25">
      <c r="A5707" s="17"/>
    </row>
    <row r="5708" spans="1:1" x14ac:dyDescent="0.25">
      <c r="A5708" s="17"/>
    </row>
    <row r="5709" spans="1:1" x14ac:dyDescent="0.25">
      <c r="A5709" s="17"/>
    </row>
    <row r="5710" spans="1:1" x14ac:dyDescent="0.25">
      <c r="A5710" s="17"/>
    </row>
    <row r="5711" spans="1:1" x14ac:dyDescent="0.25">
      <c r="A5711" s="17"/>
    </row>
    <row r="5712" spans="1:1" x14ac:dyDescent="0.25">
      <c r="A5712" s="17"/>
    </row>
    <row r="5713" spans="1:1" x14ac:dyDescent="0.25">
      <c r="A5713" s="17"/>
    </row>
    <row r="5714" spans="1:1" x14ac:dyDescent="0.25">
      <c r="A5714" s="17"/>
    </row>
    <row r="5715" spans="1:1" x14ac:dyDescent="0.25">
      <c r="A5715" s="17"/>
    </row>
    <row r="5716" spans="1:1" x14ac:dyDescent="0.25">
      <c r="A5716" s="17"/>
    </row>
    <row r="5717" spans="1:1" x14ac:dyDescent="0.25">
      <c r="A5717" s="17"/>
    </row>
    <row r="5718" spans="1:1" x14ac:dyDescent="0.25">
      <c r="A5718" s="17"/>
    </row>
    <row r="5719" spans="1:1" x14ac:dyDescent="0.25">
      <c r="A5719" s="17"/>
    </row>
    <row r="5720" spans="1:1" x14ac:dyDescent="0.25">
      <c r="A5720" s="17"/>
    </row>
    <row r="5721" spans="1:1" x14ac:dyDescent="0.25">
      <c r="A5721" s="17"/>
    </row>
    <row r="5722" spans="1:1" x14ac:dyDescent="0.25">
      <c r="A5722" s="17"/>
    </row>
    <row r="5723" spans="1:1" x14ac:dyDescent="0.25">
      <c r="A5723" s="17"/>
    </row>
    <row r="5724" spans="1:1" x14ac:dyDescent="0.25">
      <c r="A5724" s="17"/>
    </row>
    <row r="5725" spans="1:1" x14ac:dyDescent="0.25">
      <c r="A5725" s="17"/>
    </row>
    <row r="5726" spans="1:1" x14ac:dyDescent="0.25">
      <c r="A5726" s="17"/>
    </row>
    <row r="5727" spans="1:1" x14ac:dyDescent="0.25">
      <c r="A5727" s="17"/>
    </row>
    <row r="5728" spans="1:1" x14ac:dyDescent="0.25">
      <c r="A5728" s="17"/>
    </row>
    <row r="5729" spans="1:1" x14ac:dyDescent="0.25">
      <c r="A5729" s="17"/>
    </row>
    <row r="5730" spans="1:1" x14ac:dyDescent="0.25">
      <c r="A5730" s="17"/>
    </row>
    <row r="5731" spans="1:1" x14ac:dyDescent="0.25">
      <c r="A5731" s="17"/>
    </row>
    <row r="5732" spans="1:1" x14ac:dyDescent="0.25">
      <c r="A5732" s="17"/>
    </row>
    <row r="5733" spans="1:1" x14ac:dyDescent="0.25">
      <c r="A5733" s="17"/>
    </row>
    <row r="5734" spans="1:1" x14ac:dyDescent="0.25">
      <c r="A5734" s="17"/>
    </row>
    <row r="5735" spans="1:1" x14ac:dyDescent="0.25">
      <c r="A5735" s="17"/>
    </row>
    <row r="5736" spans="1:1" x14ac:dyDescent="0.25">
      <c r="A5736" s="17"/>
    </row>
    <row r="5737" spans="1:1" x14ac:dyDescent="0.25">
      <c r="A5737" s="17"/>
    </row>
    <row r="5738" spans="1:1" x14ac:dyDescent="0.25">
      <c r="A5738" s="17"/>
    </row>
    <row r="5739" spans="1:1" x14ac:dyDescent="0.25">
      <c r="A5739" s="17"/>
    </row>
    <row r="5740" spans="1:1" x14ac:dyDescent="0.25">
      <c r="A5740" s="17"/>
    </row>
    <row r="5741" spans="1:1" x14ac:dyDescent="0.25">
      <c r="A5741" s="17"/>
    </row>
    <row r="5742" spans="1:1" x14ac:dyDescent="0.25">
      <c r="A5742" s="17"/>
    </row>
    <row r="5743" spans="1:1" x14ac:dyDescent="0.25">
      <c r="A5743" s="17"/>
    </row>
    <row r="5744" spans="1:1" x14ac:dyDescent="0.25">
      <c r="A5744" s="17"/>
    </row>
    <row r="5745" spans="1:1" x14ac:dyDescent="0.25">
      <c r="A5745" s="17"/>
    </row>
    <row r="5746" spans="1:1" x14ac:dyDescent="0.25">
      <c r="A5746" s="17"/>
    </row>
    <row r="5747" spans="1:1" x14ac:dyDescent="0.25">
      <c r="A5747" s="17"/>
    </row>
    <row r="5748" spans="1:1" x14ac:dyDescent="0.25">
      <c r="A5748" s="17"/>
    </row>
    <row r="5749" spans="1:1" x14ac:dyDescent="0.25">
      <c r="A5749" s="17"/>
    </row>
    <row r="5750" spans="1:1" x14ac:dyDescent="0.25">
      <c r="A5750" s="17"/>
    </row>
    <row r="5751" spans="1:1" x14ac:dyDescent="0.25">
      <c r="A5751" s="17"/>
    </row>
    <row r="5752" spans="1:1" x14ac:dyDescent="0.25">
      <c r="A5752" s="17"/>
    </row>
    <row r="5753" spans="1:1" x14ac:dyDescent="0.25">
      <c r="A5753" s="17"/>
    </row>
    <row r="5754" spans="1:1" x14ac:dyDescent="0.25">
      <c r="A5754" s="17"/>
    </row>
    <row r="5755" spans="1:1" x14ac:dyDescent="0.25">
      <c r="A5755" s="17"/>
    </row>
    <row r="5756" spans="1:1" x14ac:dyDescent="0.25">
      <c r="A5756" s="17"/>
    </row>
    <row r="5757" spans="1:1" x14ac:dyDescent="0.25">
      <c r="A5757" s="17"/>
    </row>
    <row r="5758" spans="1:1" x14ac:dyDescent="0.25">
      <c r="A5758" s="17"/>
    </row>
    <row r="5759" spans="1:1" x14ac:dyDescent="0.25">
      <c r="A5759" s="17"/>
    </row>
    <row r="5760" spans="1:1" x14ac:dyDescent="0.25">
      <c r="A5760" s="17"/>
    </row>
    <row r="5761" spans="1:1" x14ac:dyDescent="0.25">
      <c r="A5761" s="17"/>
    </row>
    <row r="5762" spans="1:1" x14ac:dyDescent="0.25">
      <c r="A5762" s="17"/>
    </row>
    <row r="5763" spans="1:1" x14ac:dyDescent="0.25">
      <c r="A5763" s="17"/>
    </row>
    <row r="5764" spans="1:1" x14ac:dyDescent="0.25">
      <c r="A5764" s="17"/>
    </row>
    <row r="5765" spans="1:1" x14ac:dyDescent="0.25">
      <c r="A5765" s="17"/>
    </row>
    <row r="5766" spans="1:1" x14ac:dyDescent="0.25">
      <c r="A5766" s="17"/>
    </row>
    <row r="5767" spans="1:1" x14ac:dyDescent="0.25">
      <c r="A5767" s="17"/>
    </row>
    <row r="5768" spans="1:1" x14ac:dyDescent="0.25">
      <c r="A5768" s="17"/>
    </row>
    <row r="5769" spans="1:1" x14ac:dyDescent="0.25">
      <c r="A5769" s="17"/>
    </row>
    <row r="5770" spans="1:1" x14ac:dyDescent="0.25">
      <c r="A5770" s="17"/>
    </row>
    <row r="5771" spans="1:1" x14ac:dyDescent="0.25">
      <c r="A5771" s="17"/>
    </row>
    <row r="5772" spans="1:1" x14ac:dyDescent="0.25">
      <c r="A5772" s="17"/>
    </row>
    <row r="5773" spans="1:1" x14ac:dyDescent="0.25">
      <c r="A5773" s="17"/>
    </row>
    <row r="5774" spans="1:1" x14ac:dyDescent="0.25">
      <c r="A5774" s="17"/>
    </row>
    <row r="5775" spans="1:1" x14ac:dyDescent="0.25">
      <c r="A5775" s="17"/>
    </row>
    <row r="5776" spans="1:1" x14ac:dyDescent="0.25">
      <c r="A5776" s="17"/>
    </row>
    <row r="5777" spans="1:1" x14ac:dyDescent="0.25">
      <c r="A5777" s="17"/>
    </row>
    <row r="5778" spans="1:1" x14ac:dyDescent="0.25">
      <c r="A5778" s="17"/>
    </row>
    <row r="5779" spans="1:1" x14ac:dyDescent="0.25">
      <c r="A5779" s="17"/>
    </row>
    <row r="5780" spans="1:1" x14ac:dyDescent="0.25">
      <c r="A5780" s="17"/>
    </row>
    <row r="5781" spans="1:1" x14ac:dyDescent="0.25">
      <c r="A5781" s="17"/>
    </row>
    <row r="5782" spans="1:1" x14ac:dyDescent="0.25">
      <c r="A5782" s="17"/>
    </row>
    <row r="5783" spans="1:1" x14ac:dyDescent="0.25">
      <c r="A5783" s="17"/>
    </row>
    <row r="5784" spans="1:1" x14ac:dyDescent="0.25">
      <c r="A5784" s="17"/>
    </row>
    <row r="5785" spans="1:1" x14ac:dyDescent="0.25">
      <c r="A5785" s="17"/>
    </row>
    <row r="5786" spans="1:1" x14ac:dyDescent="0.25">
      <c r="A5786" s="17"/>
    </row>
    <row r="5787" spans="1:1" x14ac:dyDescent="0.25">
      <c r="A5787" s="17"/>
    </row>
    <row r="5788" spans="1:1" x14ac:dyDescent="0.25">
      <c r="A5788" s="17"/>
    </row>
    <row r="5789" spans="1:1" x14ac:dyDescent="0.25">
      <c r="A5789" s="17"/>
    </row>
    <row r="5790" spans="1:1" x14ac:dyDescent="0.25">
      <c r="A5790" s="17"/>
    </row>
    <row r="5791" spans="1:1" x14ac:dyDescent="0.25">
      <c r="A5791" s="17"/>
    </row>
    <row r="5792" spans="1:1" x14ac:dyDescent="0.25">
      <c r="A5792" s="17"/>
    </row>
    <row r="5793" spans="1:1" x14ac:dyDescent="0.25">
      <c r="A5793" s="17"/>
    </row>
    <row r="5794" spans="1:1" x14ac:dyDescent="0.25">
      <c r="A5794" s="17"/>
    </row>
    <row r="5795" spans="1:1" x14ac:dyDescent="0.25">
      <c r="A5795" s="17"/>
    </row>
    <row r="5796" spans="1:1" x14ac:dyDescent="0.25">
      <c r="A5796" s="17"/>
    </row>
    <row r="5797" spans="1:1" x14ac:dyDescent="0.25">
      <c r="A5797" s="17"/>
    </row>
    <row r="5798" spans="1:1" x14ac:dyDescent="0.25">
      <c r="A5798" s="17"/>
    </row>
    <row r="5799" spans="1:1" x14ac:dyDescent="0.25">
      <c r="A5799" s="17"/>
    </row>
    <row r="5800" spans="1:1" x14ac:dyDescent="0.25">
      <c r="A5800" s="17"/>
    </row>
    <row r="5801" spans="1:1" x14ac:dyDescent="0.25">
      <c r="A5801" s="17"/>
    </row>
    <row r="5802" spans="1:1" x14ac:dyDescent="0.25">
      <c r="A5802" s="17"/>
    </row>
    <row r="5803" spans="1:1" x14ac:dyDescent="0.25">
      <c r="A5803" s="17"/>
    </row>
    <row r="5804" spans="1:1" x14ac:dyDescent="0.25">
      <c r="A5804" s="17"/>
    </row>
    <row r="5805" spans="1:1" x14ac:dyDescent="0.25">
      <c r="A5805" s="17"/>
    </row>
    <row r="5806" spans="1:1" x14ac:dyDescent="0.25">
      <c r="A5806" s="17"/>
    </row>
    <row r="5807" spans="1:1" x14ac:dyDescent="0.25">
      <c r="A5807" s="17"/>
    </row>
    <row r="5808" spans="1:1" x14ac:dyDescent="0.25">
      <c r="A5808" s="17"/>
    </row>
    <row r="5809" spans="1:1" x14ac:dyDescent="0.25">
      <c r="A5809" s="17"/>
    </row>
    <row r="5810" spans="1:1" x14ac:dyDescent="0.25">
      <c r="A5810" s="17"/>
    </row>
    <row r="5811" spans="1:1" x14ac:dyDescent="0.25">
      <c r="A5811" s="17"/>
    </row>
    <row r="5812" spans="1:1" x14ac:dyDescent="0.25">
      <c r="A5812" s="17"/>
    </row>
    <row r="5813" spans="1:1" x14ac:dyDescent="0.25">
      <c r="A5813" s="17"/>
    </row>
    <row r="5814" spans="1:1" x14ac:dyDescent="0.25">
      <c r="A5814" s="17"/>
    </row>
    <row r="5815" spans="1:1" x14ac:dyDescent="0.25">
      <c r="A5815" s="17"/>
    </row>
    <row r="5816" spans="1:1" x14ac:dyDescent="0.25">
      <c r="A5816" s="17"/>
    </row>
    <row r="5817" spans="1:1" x14ac:dyDescent="0.25">
      <c r="A5817" s="17"/>
    </row>
    <row r="5818" spans="1:1" x14ac:dyDescent="0.25">
      <c r="A5818" s="17"/>
    </row>
    <row r="5819" spans="1:1" x14ac:dyDescent="0.25">
      <c r="A5819" s="17"/>
    </row>
    <row r="5820" spans="1:1" x14ac:dyDescent="0.25">
      <c r="A5820" s="17"/>
    </row>
    <row r="5821" spans="1:1" x14ac:dyDescent="0.25">
      <c r="A5821" s="17"/>
    </row>
    <row r="5822" spans="1:1" x14ac:dyDescent="0.25">
      <c r="A5822" s="17"/>
    </row>
    <row r="5823" spans="1:1" x14ac:dyDescent="0.25">
      <c r="A5823" s="17"/>
    </row>
    <row r="5824" spans="1:1" x14ac:dyDescent="0.25">
      <c r="A5824" s="17"/>
    </row>
    <row r="5825" spans="1:1" x14ac:dyDescent="0.25">
      <c r="A5825" s="17"/>
    </row>
    <row r="5826" spans="1:1" x14ac:dyDescent="0.25">
      <c r="A5826" s="17"/>
    </row>
    <row r="5827" spans="1:1" x14ac:dyDescent="0.25">
      <c r="A5827" s="17"/>
    </row>
    <row r="5828" spans="1:1" x14ac:dyDescent="0.25">
      <c r="A5828" s="17"/>
    </row>
    <row r="5829" spans="1:1" x14ac:dyDescent="0.25">
      <c r="A5829" s="17"/>
    </row>
    <row r="5830" spans="1:1" x14ac:dyDescent="0.25">
      <c r="A5830" s="17"/>
    </row>
    <row r="5831" spans="1:1" x14ac:dyDescent="0.25">
      <c r="A5831" s="17"/>
    </row>
    <row r="5832" spans="1:1" x14ac:dyDescent="0.25">
      <c r="A5832" s="17"/>
    </row>
    <row r="5833" spans="1:1" x14ac:dyDescent="0.25">
      <c r="A5833" s="17"/>
    </row>
    <row r="5834" spans="1:1" x14ac:dyDescent="0.25">
      <c r="A5834" s="17"/>
    </row>
    <row r="5835" spans="1:1" x14ac:dyDescent="0.25">
      <c r="A5835" s="17"/>
    </row>
    <row r="5836" spans="1:1" x14ac:dyDescent="0.25">
      <c r="A5836" s="17"/>
    </row>
    <row r="5837" spans="1:1" x14ac:dyDescent="0.25">
      <c r="A5837" s="17"/>
    </row>
    <row r="5838" spans="1:1" x14ac:dyDescent="0.25">
      <c r="A5838" s="17"/>
    </row>
    <row r="5839" spans="1:1" x14ac:dyDescent="0.25">
      <c r="A5839" s="17"/>
    </row>
    <row r="5840" spans="1:1" x14ac:dyDescent="0.25">
      <c r="A5840" s="17"/>
    </row>
    <row r="5841" spans="1:1" x14ac:dyDescent="0.25">
      <c r="A5841" s="17"/>
    </row>
    <row r="5842" spans="1:1" x14ac:dyDescent="0.25">
      <c r="A5842" s="17"/>
    </row>
    <row r="5843" spans="1:1" x14ac:dyDescent="0.25">
      <c r="A5843" s="17"/>
    </row>
    <row r="5844" spans="1:1" x14ac:dyDescent="0.25">
      <c r="A5844" s="17"/>
    </row>
    <row r="5845" spans="1:1" x14ac:dyDescent="0.25">
      <c r="A5845" s="17"/>
    </row>
    <row r="5846" spans="1:1" x14ac:dyDescent="0.25">
      <c r="A5846" s="17"/>
    </row>
    <row r="5847" spans="1:1" x14ac:dyDescent="0.25">
      <c r="A5847" s="17"/>
    </row>
    <row r="5848" spans="1:1" x14ac:dyDescent="0.25">
      <c r="A5848" s="17"/>
    </row>
    <row r="5849" spans="1:1" x14ac:dyDescent="0.25">
      <c r="A5849" s="17"/>
    </row>
    <row r="5850" spans="1:1" x14ac:dyDescent="0.25">
      <c r="A5850" s="17"/>
    </row>
    <row r="5851" spans="1:1" x14ac:dyDescent="0.25">
      <c r="A5851" s="17"/>
    </row>
    <row r="5852" spans="1:1" x14ac:dyDescent="0.25">
      <c r="A5852" s="17"/>
    </row>
    <row r="5853" spans="1:1" x14ac:dyDescent="0.25">
      <c r="A5853" s="17"/>
    </row>
    <row r="5854" spans="1:1" x14ac:dyDescent="0.25">
      <c r="A5854" s="17"/>
    </row>
    <row r="5855" spans="1:1" x14ac:dyDescent="0.25">
      <c r="A5855" s="17"/>
    </row>
    <row r="5856" spans="1:1" x14ac:dyDescent="0.25">
      <c r="A5856" s="17"/>
    </row>
    <row r="5857" spans="1:1" x14ac:dyDescent="0.25">
      <c r="A5857" s="17"/>
    </row>
    <row r="5858" spans="1:1" x14ac:dyDescent="0.25">
      <c r="A5858" s="17"/>
    </row>
    <row r="5859" spans="1:1" x14ac:dyDescent="0.25">
      <c r="A5859" s="17"/>
    </row>
    <row r="5860" spans="1:1" x14ac:dyDescent="0.25">
      <c r="A5860" s="17"/>
    </row>
    <row r="5861" spans="1:1" x14ac:dyDescent="0.25">
      <c r="A5861" s="17"/>
    </row>
    <row r="5862" spans="1:1" x14ac:dyDescent="0.25">
      <c r="A5862" s="17"/>
    </row>
    <row r="5863" spans="1:1" x14ac:dyDescent="0.25">
      <c r="A5863" s="17"/>
    </row>
    <row r="5864" spans="1:1" x14ac:dyDescent="0.25">
      <c r="A5864" s="17"/>
    </row>
    <row r="5865" spans="1:1" x14ac:dyDescent="0.25">
      <c r="A5865" s="17"/>
    </row>
    <row r="5866" spans="1:1" x14ac:dyDescent="0.25">
      <c r="A5866" s="17"/>
    </row>
    <row r="5867" spans="1:1" x14ac:dyDescent="0.25">
      <c r="A5867" s="17"/>
    </row>
    <row r="5868" spans="1:1" x14ac:dyDescent="0.25">
      <c r="A5868" s="17"/>
    </row>
    <row r="5869" spans="1:1" x14ac:dyDescent="0.25">
      <c r="A5869" s="17"/>
    </row>
    <row r="5870" spans="1:1" x14ac:dyDescent="0.25">
      <c r="A5870" s="17"/>
    </row>
    <row r="5871" spans="1:1" x14ac:dyDescent="0.25">
      <c r="A5871" s="17"/>
    </row>
    <row r="5872" spans="1:1" x14ac:dyDescent="0.25">
      <c r="A5872" s="17"/>
    </row>
    <row r="5873" spans="1:1" x14ac:dyDescent="0.25">
      <c r="A5873" s="17"/>
    </row>
    <row r="5874" spans="1:1" x14ac:dyDescent="0.25">
      <c r="A5874" s="17"/>
    </row>
    <row r="5875" spans="1:1" x14ac:dyDescent="0.25">
      <c r="A5875" s="17"/>
    </row>
    <row r="5876" spans="1:1" x14ac:dyDescent="0.25">
      <c r="A5876" s="17"/>
    </row>
    <row r="5877" spans="1:1" x14ac:dyDescent="0.25">
      <c r="A5877" s="17"/>
    </row>
    <row r="5878" spans="1:1" x14ac:dyDescent="0.25">
      <c r="A5878" s="17"/>
    </row>
    <row r="5879" spans="1:1" x14ac:dyDescent="0.25">
      <c r="A5879" s="17"/>
    </row>
    <row r="5880" spans="1:1" x14ac:dyDescent="0.25">
      <c r="A5880" s="17"/>
    </row>
    <row r="5881" spans="1:1" x14ac:dyDescent="0.25">
      <c r="A5881" s="17"/>
    </row>
    <row r="5882" spans="1:1" x14ac:dyDescent="0.25">
      <c r="A5882" s="17"/>
    </row>
    <row r="5883" spans="1:1" x14ac:dyDescent="0.25">
      <c r="A5883" s="17"/>
    </row>
    <row r="5884" spans="1:1" x14ac:dyDescent="0.25">
      <c r="A5884" s="17"/>
    </row>
    <row r="5885" spans="1:1" x14ac:dyDescent="0.25">
      <c r="A5885" s="17"/>
    </row>
    <row r="5886" spans="1:1" x14ac:dyDescent="0.25">
      <c r="A5886" s="17"/>
    </row>
    <row r="5887" spans="1:1" x14ac:dyDescent="0.25">
      <c r="A5887" s="17"/>
    </row>
    <row r="5888" spans="1:1" x14ac:dyDescent="0.25">
      <c r="A5888" s="17"/>
    </row>
    <row r="5889" spans="1:1" x14ac:dyDescent="0.25">
      <c r="A5889" s="17"/>
    </row>
    <row r="5890" spans="1:1" x14ac:dyDescent="0.25">
      <c r="A5890" s="17"/>
    </row>
    <row r="5891" spans="1:1" x14ac:dyDescent="0.25">
      <c r="A5891" s="17"/>
    </row>
    <row r="5892" spans="1:1" x14ac:dyDescent="0.25">
      <c r="A5892" s="17"/>
    </row>
    <row r="5893" spans="1:1" x14ac:dyDescent="0.25">
      <c r="A5893" s="17"/>
    </row>
    <row r="5894" spans="1:1" x14ac:dyDescent="0.25">
      <c r="A5894" s="17"/>
    </row>
    <row r="5895" spans="1:1" x14ac:dyDescent="0.25">
      <c r="A5895" s="17"/>
    </row>
    <row r="5896" spans="1:1" x14ac:dyDescent="0.25">
      <c r="A5896" s="17"/>
    </row>
    <row r="5897" spans="1:1" x14ac:dyDescent="0.25">
      <c r="A5897" s="17"/>
    </row>
    <row r="5898" spans="1:1" x14ac:dyDescent="0.25">
      <c r="A5898" s="17"/>
    </row>
    <row r="5899" spans="1:1" x14ac:dyDescent="0.25">
      <c r="A5899" s="17"/>
    </row>
    <row r="5900" spans="1:1" x14ac:dyDescent="0.25">
      <c r="A5900" s="17"/>
    </row>
    <row r="5901" spans="1:1" x14ac:dyDescent="0.25">
      <c r="A5901" s="17"/>
    </row>
    <row r="5902" spans="1:1" x14ac:dyDescent="0.25">
      <c r="A5902" s="17"/>
    </row>
    <row r="5903" spans="1:1" x14ac:dyDescent="0.25">
      <c r="A5903" s="17"/>
    </row>
    <row r="5904" spans="1:1" x14ac:dyDescent="0.25">
      <c r="A5904" s="17"/>
    </row>
    <row r="5905" spans="1:1" x14ac:dyDescent="0.25">
      <c r="A5905" s="17"/>
    </row>
    <row r="5906" spans="1:1" x14ac:dyDescent="0.25">
      <c r="A5906" s="17"/>
    </row>
    <row r="5907" spans="1:1" x14ac:dyDescent="0.25">
      <c r="A5907" s="17"/>
    </row>
    <row r="5908" spans="1:1" x14ac:dyDescent="0.25">
      <c r="A5908" s="17"/>
    </row>
    <row r="5909" spans="1:1" x14ac:dyDescent="0.25">
      <c r="A5909" s="17"/>
    </row>
    <row r="5910" spans="1:1" x14ac:dyDescent="0.25">
      <c r="A5910" s="17"/>
    </row>
    <row r="5911" spans="1:1" x14ac:dyDescent="0.25">
      <c r="A5911" s="17"/>
    </row>
    <row r="5912" spans="1:1" x14ac:dyDescent="0.25">
      <c r="A5912" s="17"/>
    </row>
    <row r="5913" spans="1:1" x14ac:dyDescent="0.25">
      <c r="A5913" s="17"/>
    </row>
    <row r="5914" spans="1:1" x14ac:dyDescent="0.25">
      <c r="A5914" s="17"/>
    </row>
    <row r="5915" spans="1:1" x14ac:dyDescent="0.25">
      <c r="A5915" s="17"/>
    </row>
    <row r="5916" spans="1:1" x14ac:dyDescent="0.25">
      <c r="A5916" s="17"/>
    </row>
    <row r="5917" spans="1:1" x14ac:dyDescent="0.25">
      <c r="A5917" s="17"/>
    </row>
    <row r="5918" spans="1:1" x14ac:dyDescent="0.25">
      <c r="A5918" s="17"/>
    </row>
    <row r="5919" spans="1:1" x14ac:dyDescent="0.25">
      <c r="A5919" s="17"/>
    </row>
    <row r="5920" spans="1:1" x14ac:dyDescent="0.25">
      <c r="A5920" s="17"/>
    </row>
    <row r="5921" spans="1:1" x14ac:dyDescent="0.25">
      <c r="A5921" s="17"/>
    </row>
    <row r="5922" spans="1:1" x14ac:dyDescent="0.25">
      <c r="A5922" s="17"/>
    </row>
    <row r="5923" spans="1:1" x14ac:dyDescent="0.25">
      <c r="A5923" s="17"/>
    </row>
    <row r="5924" spans="1:1" x14ac:dyDescent="0.25">
      <c r="A5924" s="17"/>
    </row>
    <row r="5925" spans="1:1" x14ac:dyDescent="0.25">
      <c r="A5925" s="17"/>
    </row>
    <row r="5926" spans="1:1" x14ac:dyDescent="0.25">
      <c r="A5926" s="17"/>
    </row>
    <row r="5927" spans="1:1" x14ac:dyDescent="0.25">
      <c r="A5927" s="17"/>
    </row>
    <row r="5928" spans="1:1" x14ac:dyDescent="0.25">
      <c r="A5928" s="17"/>
    </row>
    <row r="5929" spans="1:1" x14ac:dyDescent="0.25">
      <c r="A5929" s="17"/>
    </row>
    <row r="5930" spans="1:1" x14ac:dyDescent="0.25">
      <c r="A5930" s="17"/>
    </row>
    <row r="5931" spans="1:1" x14ac:dyDescent="0.25">
      <c r="A5931" s="17"/>
    </row>
    <row r="5932" spans="1:1" x14ac:dyDescent="0.25">
      <c r="A5932" s="17"/>
    </row>
    <row r="5933" spans="1:1" x14ac:dyDescent="0.25">
      <c r="A5933" s="17"/>
    </row>
    <row r="5934" spans="1:1" x14ac:dyDescent="0.25">
      <c r="A5934" s="17"/>
    </row>
    <row r="5935" spans="1:1" x14ac:dyDescent="0.25">
      <c r="A5935" s="17"/>
    </row>
    <row r="5936" spans="1:1" x14ac:dyDescent="0.25">
      <c r="A5936" s="17"/>
    </row>
    <row r="5937" spans="1:1" x14ac:dyDescent="0.25">
      <c r="A5937" s="17"/>
    </row>
    <row r="5938" spans="1:1" x14ac:dyDescent="0.25">
      <c r="A5938" s="17"/>
    </row>
    <row r="5939" spans="1:1" x14ac:dyDescent="0.25">
      <c r="A5939" s="17"/>
    </row>
    <row r="5940" spans="1:1" x14ac:dyDescent="0.25">
      <c r="A5940" s="17"/>
    </row>
    <row r="5941" spans="1:1" x14ac:dyDescent="0.25">
      <c r="A5941" s="17"/>
    </row>
    <row r="5942" spans="1:1" x14ac:dyDescent="0.25">
      <c r="A5942" s="17"/>
    </row>
    <row r="5943" spans="1:1" x14ac:dyDescent="0.25">
      <c r="A5943" s="17"/>
    </row>
    <row r="5944" spans="1:1" x14ac:dyDescent="0.25">
      <c r="A5944" s="17"/>
    </row>
    <row r="5945" spans="1:1" x14ac:dyDescent="0.25">
      <c r="A5945" s="17"/>
    </row>
    <row r="5946" spans="1:1" x14ac:dyDescent="0.25">
      <c r="A5946" s="17"/>
    </row>
    <row r="5947" spans="1:1" x14ac:dyDescent="0.25">
      <c r="A5947" s="17"/>
    </row>
    <row r="5948" spans="1:1" x14ac:dyDescent="0.25">
      <c r="A5948" s="17"/>
    </row>
    <row r="5949" spans="1:1" x14ac:dyDescent="0.25">
      <c r="A5949" s="17"/>
    </row>
    <row r="5950" spans="1:1" x14ac:dyDescent="0.25">
      <c r="A5950" s="17"/>
    </row>
    <row r="5951" spans="1:1" x14ac:dyDescent="0.25">
      <c r="A5951" s="17"/>
    </row>
    <row r="5952" spans="1:1" x14ac:dyDescent="0.25">
      <c r="A5952" s="17"/>
    </row>
    <row r="5953" spans="1:1" x14ac:dyDescent="0.25">
      <c r="A5953" s="17"/>
    </row>
    <row r="5954" spans="1:1" x14ac:dyDescent="0.25">
      <c r="A5954" s="17"/>
    </row>
    <row r="5955" spans="1:1" x14ac:dyDescent="0.25">
      <c r="A5955" s="17"/>
    </row>
    <row r="5956" spans="1:1" x14ac:dyDescent="0.25">
      <c r="A5956" s="17"/>
    </row>
    <row r="5957" spans="1:1" x14ac:dyDescent="0.25">
      <c r="A5957" s="17"/>
    </row>
    <row r="5958" spans="1:1" x14ac:dyDescent="0.25">
      <c r="A5958" s="17"/>
    </row>
    <row r="5959" spans="1:1" x14ac:dyDescent="0.25">
      <c r="A5959" s="17"/>
    </row>
    <row r="5960" spans="1:1" x14ac:dyDescent="0.25">
      <c r="A5960" s="17"/>
    </row>
    <row r="5961" spans="1:1" x14ac:dyDescent="0.25">
      <c r="A5961" s="17"/>
    </row>
    <row r="5962" spans="1:1" x14ac:dyDescent="0.25">
      <c r="A5962" s="17"/>
    </row>
    <row r="5963" spans="1:1" x14ac:dyDescent="0.25">
      <c r="A5963" s="17"/>
    </row>
    <row r="5964" spans="1:1" x14ac:dyDescent="0.25">
      <c r="A5964" s="17"/>
    </row>
    <row r="5965" spans="1:1" x14ac:dyDescent="0.25">
      <c r="A5965" s="17"/>
    </row>
    <row r="5966" spans="1:1" x14ac:dyDescent="0.25">
      <c r="A5966" s="17"/>
    </row>
    <row r="5967" spans="1:1" x14ac:dyDescent="0.25">
      <c r="A5967" s="17"/>
    </row>
    <row r="5968" spans="1:1" x14ac:dyDescent="0.25">
      <c r="A5968" s="17"/>
    </row>
    <row r="5969" spans="1:1" x14ac:dyDescent="0.25">
      <c r="A5969" s="17"/>
    </row>
    <row r="5970" spans="1:1" x14ac:dyDescent="0.25">
      <c r="A5970" s="17"/>
    </row>
    <row r="5971" spans="1:1" x14ac:dyDescent="0.25">
      <c r="A5971" s="17"/>
    </row>
    <row r="5972" spans="1:1" x14ac:dyDescent="0.25">
      <c r="A5972" s="17"/>
    </row>
    <row r="5973" spans="1:1" x14ac:dyDescent="0.25">
      <c r="A5973" s="17"/>
    </row>
    <row r="5974" spans="1:1" x14ac:dyDescent="0.25">
      <c r="A5974" s="17"/>
    </row>
    <row r="5975" spans="1:1" x14ac:dyDescent="0.25">
      <c r="A5975" s="17"/>
    </row>
    <row r="5976" spans="1:1" x14ac:dyDescent="0.25">
      <c r="A5976" s="17"/>
    </row>
    <row r="5977" spans="1:1" x14ac:dyDescent="0.25">
      <c r="A5977" s="17"/>
    </row>
    <row r="5978" spans="1:1" x14ac:dyDescent="0.25">
      <c r="A5978" s="17"/>
    </row>
    <row r="5979" spans="1:1" x14ac:dyDescent="0.25">
      <c r="A5979" s="17"/>
    </row>
    <row r="5980" spans="1:1" x14ac:dyDescent="0.25">
      <c r="A5980" s="17"/>
    </row>
    <row r="5981" spans="1:1" x14ac:dyDescent="0.25">
      <c r="A5981" s="17"/>
    </row>
    <row r="5982" spans="1:1" x14ac:dyDescent="0.25">
      <c r="A5982" s="17"/>
    </row>
    <row r="5983" spans="1:1" x14ac:dyDescent="0.25">
      <c r="A5983" s="17"/>
    </row>
    <row r="5984" spans="1:1" x14ac:dyDescent="0.25">
      <c r="A5984" s="17"/>
    </row>
    <row r="5985" spans="1:1" x14ac:dyDescent="0.25">
      <c r="A5985" s="17"/>
    </row>
    <row r="5986" spans="1:1" x14ac:dyDescent="0.25">
      <c r="A5986" s="17"/>
    </row>
    <row r="5987" spans="1:1" x14ac:dyDescent="0.25">
      <c r="A5987" s="17"/>
    </row>
    <row r="5988" spans="1:1" x14ac:dyDescent="0.25">
      <c r="A5988" s="17"/>
    </row>
    <row r="5989" spans="1:1" x14ac:dyDescent="0.25">
      <c r="A5989" s="17"/>
    </row>
    <row r="5990" spans="1:1" x14ac:dyDescent="0.25">
      <c r="A5990" s="17"/>
    </row>
    <row r="5991" spans="1:1" x14ac:dyDescent="0.25">
      <c r="A5991" s="17"/>
    </row>
    <row r="5992" spans="1:1" x14ac:dyDescent="0.25">
      <c r="A5992" s="17"/>
    </row>
    <row r="5993" spans="1:1" x14ac:dyDescent="0.25">
      <c r="A5993" s="17"/>
    </row>
    <row r="5994" spans="1:1" x14ac:dyDescent="0.25">
      <c r="A5994" s="17"/>
    </row>
    <row r="5995" spans="1:1" x14ac:dyDescent="0.25">
      <c r="A5995" s="17"/>
    </row>
    <row r="5996" spans="1:1" x14ac:dyDescent="0.25">
      <c r="A5996" s="17"/>
    </row>
    <row r="5997" spans="1:1" x14ac:dyDescent="0.25">
      <c r="A5997" s="17"/>
    </row>
    <row r="5998" spans="1:1" x14ac:dyDescent="0.25">
      <c r="A5998" s="17"/>
    </row>
    <row r="5999" spans="1:1" x14ac:dyDescent="0.25">
      <c r="A5999" s="17"/>
    </row>
    <row r="6000" spans="1:1" x14ac:dyDescent="0.25">
      <c r="A6000" s="17"/>
    </row>
    <row r="6001" spans="1:1" x14ac:dyDescent="0.25">
      <c r="A6001" s="17"/>
    </row>
    <row r="6002" spans="1:1" x14ac:dyDescent="0.25">
      <c r="A6002" s="17"/>
    </row>
    <row r="6003" spans="1:1" x14ac:dyDescent="0.25">
      <c r="A6003" s="17"/>
    </row>
    <row r="6004" spans="1:1" x14ac:dyDescent="0.25">
      <c r="A6004" s="17"/>
    </row>
    <row r="6005" spans="1:1" x14ac:dyDescent="0.25">
      <c r="A6005" s="17"/>
    </row>
    <row r="6006" spans="1:1" x14ac:dyDescent="0.25">
      <c r="A6006" s="17"/>
    </row>
    <row r="6007" spans="1:1" x14ac:dyDescent="0.25">
      <c r="A6007" s="17"/>
    </row>
    <row r="6008" spans="1:1" x14ac:dyDescent="0.25">
      <c r="A6008" s="17"/>
    </row>
    <row r="6009" spans="1:1" x14ac:dyDescent="0.25">
      <c r="A6009" s="17"/>
    </row>
    <row r="6010" spans="1:1" x14ac:dyDescent="0.25">
      <c r="A6010" s="17"/>
    </row>
    <row r="6011" spans="1:1" x14ac:dyDescent="0.25">
      <c r="A6011" s="17"/>
    </row>
    <row r="6012" spans="1:1" x14ac:dyDescent="0.25">
      <c r="A6012" s="17"/>
    </row>
    <row r="6013" spans="1:1" x14ac:dyDescent="0.25">
      <c r="A6013" s="17"/>
    </row>
    <row r="6014" spans="1:1" x14ac:dyDescent="0.25">
      <c r="A6014" s="17"/>
    </row>
    <row r="6015" spans="1:1" x14ac:dyDescent="0.25">
      <c r="A6015" s="17"/>
    </row>
    <row r="6016" spans="1:1" x14ac:dyDescent="0.25">
      <c r="A6016" s="17"/>
    </row>
    <row r="6017" spans="1:1" x14ac:dyDescent="0.25">
      <c r="A6017" s="17"/>
    </row>
    <row r="6018" spans="1:1" x14ac:dyDescent="0.25">
      <c r="A6018" s="17"/>
    </row>
    <row r="6019" spans="1:1" x14ac:dyDescent="0.25">
      <c r="A6019" s="17"/>
    </row>
    <row r="6020" spans="1:1" x14ac:dyDescent="0.25">
      <c r="A6020" s="17"/>
    </row>
    <row r="6021" spans="1:1" x14ac:dyDescent="0.25">
      <c r="A6021" s="17"/>
    </row>
    <row r="6022" spans="1:1" x14ac:dyDescent="0.25">
      <c r="A6022" s="17"/>
    </row>
    <row r="6023" spans="1:1" x14ac:dyDescent="0.25">
      <c r="A6023" s="17"/>
    </row>
    <row r="6024" spans="1:1" x14ac:dyDescent="0.25">
      <c r="A6024" s="17"/>
    </row>
    <row r="6025" spans="1:1" x14ac:dyDescent="0.25">
      <c r="A6025" s="17"/>
    </row>
    <row r="6026" spans="1:1" x14ac:dyDescent="0.25">
      <c r="A6026" s="17"/>
    </row>
    <row r="6027" spans="1:1" x14ac:dyDescent="0.25">
      <c r="A6027" s="17"/>
    </row>
    <row r="6028" spans="1:1" x14ac:dyDescent="0.25">
      <c r="A6028" s="17"/>
    </row>
    <row r="6029" spans="1:1" x14ac:dyDescent="0.25">
      <c r="A6029" s="17"/>
    </row>
    <row r="6030" spans="1:1" x14ac:dyDescent="0.25">
      <c r="A6030" s="17"/>
    </row>
    <row r="6031" spans="1:1" x14ac:dyDescent="0.25">
      <c r="A6031" s="17"/>
    </row>
    <row r="6032" spans="1:1" x14ac:dyDescent="0.25">
      <c r="A6032" s="17"/>
    </row>
    <row r="6033" spans="1:1" x14ac:dyDescent="0.25">
      <c r="A6033" s="17"/>
    </row>
    <row r="6034" spans="1:1" x14ac:dyDescent="0.25">
      <c r="A6034" s="17"/>
    </row>
    <row r="6035" spans="1:1" x14ac:dyDescent="0.25">
      <c r="A6035" s="17"/>
    </row>
    <row r="6036" spans="1:1" x14ac:dyDescent="0.25">
      <c r="A6036" s="17"/>
    </row>
    <row r="6037" spans="1:1" x14ac:dyDescent="0.25">
      <c r="A6037" s="17"/>
    </row>
    <row r="6038" spans="1:1" x14ac:dyDescent="0.25">
      <c r="A6038" s="17"/>
    </row>
    <row r="6039" spans="1:1" x14ac:dyDescent="0.25">
      <c r="A6039" s="17"/>
    </row>
    <row r="6040" spans="1:1" x14ac:dyDescent="0.25">
      <c r="A6040" s="17"/>
    </row>
    <row r="6041" spans="1:1" x14ac:dyDescent="0.25">
      <c r="A6041" s="17"/>
    </row>
    <row r="6042" spans="1:1" x14ac:dyDescent="0.25">
      <c r="A6042" s="17"/>
    </row>
    <row r="6043" spans="1:1" x14ac:dyDescent="0.25">
      <c r="A6043" s="17"/>
    </row>
    <row r="6044" spans="1:1" x14ac:dyDescent="0.25">
      <c r="A6044" s="17"/>
    </row>
    <row r="6045" spans="1:1" x14ac:dyDescent="0.25">
      <c r="A6045" s="17"/>
    </row>
    <row r="6046" spans="1:1" x14ac:dyDescent="0.25">
      <c r="A6046" s="17"/>
    </row>
    <row r="6047" spans="1:1" x14ac:dyDescent="0.25">
      <c r="A6047" s="17"/>
    </row>
    <row r="6048" spans="1:1" x14ac:dyDescent="0.25">
      <c r="A6048" s="17"/>
    </row>
    <row r="6049" spans="1:1" x14ac:dyDescent="0.25">
      <c r="A6049" s="17"/>
    </row>
    <row r="6050" spans="1:1" x14ac:dyDescent="0.25">
      <c r="A6050" s="17"/>
    </row>
    <row r="6051" spans="1:1" x14ac:dyDescent="0.25">
      <c r="A6051" s="17"/>
    </row>
    <row r="6052" spans="1:1" x14ac:dyDescent="0.25">
      <c r="A6052" s="17"/>
    </row>
    <row r="6053" spans="1:1" x14ac:dyDescent="0.25">
      <c r="A6053" s="17"/>
    </row>
    <row r="6054" spans="1:1" x14ac:dyDescent="0.25">
      <c r="A6054" s="17"/>
    </row>
    <row r="6055" spans="1:1" x14ac:dyDescent="0.25">
      <c r="A6055" s="17"/>
    </row>
    <row r="6056" spans="1:1" x14ac:dyDescent="0.25">
      <c r="A6056" s="17"/>
    </row>
    <row r="6057" spans="1:1" x14ac:dyDescent="0.25">
      <c r="A6057" s="17"/>
    </row>
    <row r="6058" spans="1:1" x14ac:dyDescent="0.25">
      <c r="A6058" s="17"/>
    </row>
    <row r="6059" spans="1:1" x14ac:dyDescent="0.25">
      <c r="A6059" s="17"/>
    </row>
    <row r="6060" spans="1:1" x14ac:dyDescent="0.25">
      <c r="A6060" s="17"/>
    </row>
    <row r="6061" spans="1:1" x14ac:dyDescent="0.25">
      <c r="A6061" s="17"/>
    </row>
    <row r="6062" spans="1:1" x14ac:dyDescent="0.25">
      <c r="A6062" s="17"/>
    </row>
    <row r="6063" spans="1:1" x14ac:dyDescent="0.25">
      <c r="A6063" s="17"/>
    </row>
    <row r="6064" spans="1:1" x14ac:dyDescent="0.25">
      <c r="A6064" s="17"/>
    </row>
    <row r="6065" spans="1:1" x14ac:dyDescent="0.25">
      <c r="A6065" s="17"/>
    </row>
    <row r="6066" spans="1:1" x14ac:dyDescent="0.25">
      <c r="A6066" s="17"/>
    </row>
    <row r="6067" spans="1:1" x14ac:dyDescent="0.25">
      <c r="A6067" s="17"/>
    </row>
    <row r="6068" spans="1:1" x14ac:dyDescent="0.25">
      <c r="A6068" s="17"/>
    </row>
    <row r="6069" spans="1:1" x14ac:dyDescent="0.25">
      <c r="A6069" s="17"/>
    </row>
    <row r="6070" spans="1:1" x14ac:dyDescent="0.25">
      <c r="A6070" s="17"/>
    </row>
    <row r="6071" spans="1:1" x14ac:dyDescent="0.25">
      <c r="A6071" s="17"/>
    </row>
    <row r="6072" spans="1:1" x14ac:dyDescent="0.25">
      <c r="A6072" s="17"/>
    </row>
    <row r="6073" spans="1:1" x14ac:dyDescent="0.25">
      <c r="A6073" s="17"/>
    </row>
    <row r="6074" spans="1:1" x14ac:dyDescent="0.25">
      <c r="A6074" s="17"/>
    </row>
    <row r="6075" spans="1:1" x14ac:dyDescent="0.25">
      <c r="A6075" s="17"/>
    </row>
    <row r="6076" spans="1:1" x14ac:dyDescent="0.25">
      <c r="A6076" s="17"/>
    </row>
    <row r="6077" spans="1:1" x14ac:dyDescent="0.25">
      <c r="A6077" s="17"/>
    </row>
    <row r="6078" spans="1:1" x14ac:dyDescent="0.25">
      <c r="A6078" s="17"/>
    </row>
    <row r="6079" spans="1:1" x14ac:dyDescent="0.25">
      <c r="A6079" s="17"/>
    </row>
    <row r="6080" spans="1:1" x14ac:dyDescent="0.25">
      <c r="A6080" s="17"/>
    </row>
    <row r="6081" spans="1:1" x14ac:dyDescent="0.25">
      <c r="A6081" s="17"/>
    </row>
    <row r="6082" spans="1:1" x14ac:dyDescent="0.25">
      <c r="A6082" s="17"/>
    </row>
    <row r="6083" spans="1:1" x14ac:dyDescent="0.25">
      <c r="A6083" s="17"/>
    </row>
    <row r="6084" spans="1:1" x14ac:dyDescent="0.25">
      <c r="A6084" s="17"/>
    </row>
    <row r="6085" spans="1:1" x14ac:dyDescent="0.25">
      <c r="A6085" s="17"/>
    </row>
    <row r="6086" spans="1:1" x14ac:dyDescent="0.25">
      <c r="A6086" s="17"/>
    </row>
    <row r="6087" spans="1:1" x14ac:dyDescent="0.25">
      <c r="A6087" s="17"/>
    </row>
    <row r="6088" spans="1:1" x14ac:dyDescent="0.25">
      <c r="A6088" s="17"/>
    </row>
    <row r="6089" spans="1:1" x14ac:dyDescent="0.25">
      <c r="A6089" s="17"/>
    </row>
    <row r="6090" spans="1:1" x14ac:dyDescent="0.25">
      <c r="A6090" s="17"/>
    </row>
    <row r="6091" spans="1:1" x14ac:dyDescent="0.25">
      <c r="A6091" s="17"/>
    </row>
    <row r="6092" spans="1:1" x14ac:dyDescent="0.25">
      <c r="A6092" s="17"/>
    </row>
    <row r="6093" spans="1:1" x14ac:dyDescent="0.25">
      <c r="A6093" s="17"/>
    </row>
    <row r="6094" spans="1:1" x14ac:dyDescent="0.25">
      <c r="A6094" s="17"/>
    </row>
    <row r="6095" spans="1:1" x14ac:dyDescent="0.25">
      <c r="A6095" s="17"/>
    </row>
    <row r="6096" spans="1:1" x14ac:dyDescent="0.25">
      <c r="A6096" s="17"/>
    </row>
    <row r="6097" spans="1:1" x14ac:dyDescent="0.25">
      <c r="A6097" s="17"/>
    </row>
    <row r="6098" spans="1:1" x14ac:dyDescent="0.25">
      <c r="A6098" s="17"/>
    </row>
    <row r="6099" spans="1:1" x14ac:dyDescent="0.25">
      <c r="A6099" s="17"/>
    </row>
    <row r="6100" spans="1:1" x14ac:dyDescent="0.25">
      <c r="A6100" s="17"/>
    </row>
    <row r="6101" spans="1:1" x14ac:dyDescent="0.25">
      <c r="A6101" s="17"/>
    </row>
    <row r="6102" spans="1:1" x14ac:dyDescent="0.25">
      <c r="A6102" s="17"/>
    </row>
    <row r="6103" spans="1:1" x14ac:dyDescent="0.25">
      <c r="A6103" s="17"/>
    </row>
    <row r="6104" spans="1:1" x14ac:dyDescent="0.25">
      <c r="A6104" s="17"/>
    </row>
    <row r="6105" spans="1:1" x14ac:dyDescent="0.25">
      <c r="A6105" s="17"/>
    </row>
    <row r="6106" spans="1:1" x14ac:dyDescent="0.25">
      <c r="A6106" s="17"/>
    </row>
    <row r="6107" spans="1:1" x14ac:dyDescent="0.25">
      <c r="A6107" s="17"/>
    </row>
    <row r="6108" spans="1:1" x14ac:dyDescent="0.25">
      <c r="A6108" s="17"/>
    </row>
    <row r="6109" spans="1:1" x14ac:dyDescent="0.25">
      <c r="A6109" s="17"/>
    </row>
    <row r="6110" spans="1:1" x14ac:dyDescent="0.25">
      <c r="A6110" s="17"/>
    </row>
    <row r="6111" spans="1:1" x14ac:dyDescent="0.25">
      <c r="A6111" s="17"/>
    </row>
    <row r="6112" spans="1:1" x14ac:dyDescent="0.25">
      <c r="A6112" s="17"/>
    </row>
    <row r="6113" spans="1:1" x14ac:dyDescent="0.25">
      <c r="A6113" s="17"/>
    </row>
    <row r="6114" spans="1:1" x14ac:dyDescent="0.25">
      <c r="A6114" s="17"/>
    </row>
    <row r="6115" spans="1:1" x14ac:dyDescent="0.25">
      <c r="A6115" s="17"/>
    </row>
    <row r="6116" spans="1:1" x14ac:dyDescent="0.25">
      <c r="A6116" s="17"/>
    </row>
    <row r="6117" spans="1:1" x14ac:dyDescent="0.25">
      <c r="A6117" s="17"/>
    </row>
    <row r="6118" spans="1:1" x14ac:dyDescent="0.25">
      <c r="A6118" s="17"/>
    </row>
    <row r="6119" spans="1:1" x14ac:dyDescent="0.25">
      <c r="A6119" s="17"/>
    </row>
    <row r="6120" spans="1:1" x14ac:dyDescent="0.25">
      <c r="A6120" s="17"/>
    </row>
    <row r="6121" spans="1:1" x14ac:dyDescent="0.25">
      <c r="A6121" s="17"/>
    </row>
    <row r="6122" spans="1:1" x14ac:dyDescent="0.25">
      <c r="A6122" s="17"/>
    </row>
    <row r="6123" spans="1:1" x14ac:dyDescent="0.25">
      <c r="A6123" s="17"/>
    </row>
    <row r="6124" spans="1:1" x14ac:dyDescent="0.25">
      <c r="A6124" s="17"/>
    </row>
    <row r="6125" spans="1:1" x14ac:dyDescent="0.25">
      <c r="A6125" s="17"/>
    </row>
    <row r="6126" spans="1:1" x14ac:dyDescent="0.25">
      <c r="A6126" s="17"/>
    </row>
    <row r="6127" spans="1:1" x14ac:dyDescent="0.25">
      <c r="A6127" s="17"/>
    </row>
    <row r="6128" spans="1:1" x14ac:dyDescent="0.25">
      <c r="A6128" s="17"/>
    </row>
    <row r="6129" spans="1:1" x14ac:dyDescent="0.25">
      <c r="A6129" s="17"/>
    </row>
    <row r="6130" spans="1:1" x14ac:dyDescent="0.25">
      <c r="A6130" s="17"/>
    </row>
    <row r="6131" spans="1:1" x14ac:dyDescent="0.25">
      <c r="A6131" s="17"/>
    </row>
    <row r="6132" spans="1:1" x14ac:dyDescent="0.25">
      <c r="A6132" s="17"/>
    </row>
    <row r="6133" spans="1:1" x14ac:dyDescent="0.25">
      <c r="A6133" s="17"/>
    </row>
    <row r="6134" spans="1:1" x14ac:dyDescent="0.25">
      <c r="A6134" s="17"/>
    </row>
    <row r="6135" spans="1:1" x14ac:dyDescent="0.25">
      <c r="A6135" s="17"/>
    </row>
    <row r="6136" spans="1:1" x14ac:dyDescent="0.25">
      <c r="A6136" s="17"/>
    </row>
    <row r="6137" spans="1:1" x14ac:dyDescent="0.25">
      <c r="A6137" s="17"/>
    </row>
    <row r="6138" spans="1:1" x14ac:dyDescent="0.25">
      <c r="A6138" s="17"/>
    </row>
    <row r="6139" spans="1:1" x14ac:dyDescent="0.25">
      <c r="A6139" s="17"/>
    </row>
    <row r="6140" spans="1:1" x14ac:dyDescent="0.25">
      <c r="A6140" s="17"/>
    </row>
    <row r="6141" spans="1:1" x14ac:dyDescent="0.25">
      <c r="A6141" s="17"/>
    </row>
    <row r="6142" spans="1:1" x14ac:dyDescent="0.25">
      <c r="A6142" s="17"/>
    </row>
    <row r="6143" spans="1:1" x14ac:dyDescent="0.25">
      <c r="A6143" s="17"/>
    </row>
    <row r="6144" spans="1:1" x14ac:dyDescent="0.25">
      <c r="A6144" s="17"/>
    </row>
    <row r="6145" spans="1:1" x14ac:dyDescent="0.25">
      <c r="A6145" s="17"/>
    </row>
    <row r="6146" spans="1:1" x14ac:dyDescent="0.25">
      <c r="A6146" s="17"/>
    </row>
    <row r="6147" spans="1:1" x14ac:dyDescent="0.25">
      <c r="A6147" s="17"/>
    </row>
    <row r="6148" spans="1:1" x14ac:dyDescent="0.25">
      <c r="A6148" s="17"/>
    </row>
    <row r="6149" spans="1:1" x14ac:dyDescent="0.25">
      <c r="A6149" s="17"/>
    </row>
    <row r="6150" spans="1:1" x14ac:dyDescent="0.25">
      <c r="A6150" s="17"/>
    </row>
    <row r="6151" spans="1:1" x14ac:dyDescent="0.25">
      <c r="A6151" s="17"/>
    </row>
    <row r="6152" spans="1:1" x14ac:dyDescent="0.25">
      <c r="A6152" s="17"/>
    </row>
    <row r="6153" spans="1:1" x14ac:dyDescent="0.25">
      <c r="A6153" s="17"/>
    </row>
    <row r="6154" spans="1:1" x14ac:dyDescent="0.25">
      <c r="A6154" s="17"/>
    </row>
    <row r="6155" spans="1:1" x14ac:dyDescent="0.25">
      <c r="A6155" s="17"/>
    </row>
    <row r="6156" spans="1:1" x14ac:dyDescent="0.25">
      <c r="A6156" s="17"/>
    </row>
    <row r="6157" spans="1:1" x14ac:dyDescent="0.25">
      <c r="A6157" s="17"/>
    </row>
    <row r="6158" spans="1:1" x14ac:dyDescent="0.25">
      <c r="A6158" s="17"/>
    </row>
    <row r="6159" spans="1:1" x14ac:dyDescent="0.25">
      <c r="A6159" s="17"/>
    </row>
    <row r="6160" spans="1:1" x14ac:dyDescent="0.25">
      <c r="A6160" s="17"/>
    </row>
    <row r="6161" spans="1:1" x14ac:dyDescent="0.25">
      <c r="A6161" s="17"/>
    </row>
    <row r="6162" spans="1:1" x14ac:dyDescent="0.25">
      <c r="A6162" s="17"/>
    </row>
    <row r="6163" spans="1:1" x14ac:dyDescent="0.25">
      <c r="A6163" s="17"/>
    </row>
    <row r="6164" spans="1:1" x14ac:dyDescent="0.25">
      <c r="A6164" s="17"/>
    </row>
    <row r="6165" spans="1:1" x14ac:dyDescent="0.25">
      <c r="A6165" s="17"/>
    </row>
    <row r="6166" spans="1:1" x14ac:dyDescent="0.25">
      <c r="A6166" s="17"/>
    </row>
    <row r="6167" spans="1:1" x14ac:dyDescent="0.25">
      <c r="A6167" s="17"/>
    </row>
    <row r="6168" spans="1:1" x14ac:dyDescent="0.25">
      <c r="A6168" s="17"/>
    </row>
    <row r="6169" spans="1:1" x14ac:dyDescent="0.25">
      <c r="A6169" s="17"/>
    </row>
    <row r="6170" spans="1:1" x14ac:dyDescent="0.25">
      <c r="A6170" s="17"/>
    </row>
    <row r="6171" spans="1:1" x14ac:dyDescent="0.25">
      <c r="A6171" s="17"/>
    </row>
    <row r="6172" spans="1:1" x14ac:dyDescent="0.25">
      <c r="A6172" s="17"/>
    </row>
    <row r="6173" spans="1:1" x14ac:dyDescent="0.25">
      <c r="A6173" s="17"/>
    </row>
    <row r="6174" spans="1:1" x14ac:dyDescent="0.25">
      <c r="A6174" s="17"/>
    </row>
    <row r="6175" spans="1:1" x14ac:dyDescent="0.25">
      <c r="A6175" s="17"/>
    </row>
    <row r="6176" spans="1:1" x14ac:dyDescent="0.25">
      <c r="A6176" s="17"/>
    </row>
    <row r="6177" spans="1:1" x14ac:dyDescent="0.25">
      <c r="A6177" s="17"/>
    </row>
    <row r="6178" spans="1:1" x14ac:dyDescent="0.25">
      <c r="A6178" s="17"/>
    </row>
    <row r="6179" spans="1:1" x14ac:dyDescent="0.25">
      <c r="A6179" s="17"/>
    </row>
    <row r="6180" spans="1:1" x14ac:dyDescent="0.25">
      <c r="A6180" s="17"/>
    </row>
    <row r="6181" spans="1:1" x14ac:dyDescent="0.25">
      <c r="A6181" s="17"/>
    </row>
    <row r="6182" spans="1:1" x14ac:dyDescent="0.25">
      <c r="A6182" s="17"/>
    </row>
    <row r="6183" spans="1:1" x14ac:dyDescent="0.25">
      <c r="A6183" s="17"/>
    </row>
    <row r="6184" spans="1:1" x14ac:dyDescent="0.25">
      <c r="A6184" s="17"/>
    </row>
    <row r="6185" spans="1:1" x14ac:dyDescent="0.25">
      <c r="A6185" s="17"/>
    </row>
    <row r="6186" spans="1:1" x14ac:dyDescent="0.25">
      <c r="A6186" s="17"/>
    </row>
    <row r="6187" spans="1:1" x14ac:dyDescent="0.25">
      <c r="A6187" s="17"/>
    </row>
    <row r="6188" spans="1:1" x14ac:dyDescent="0.25">
      <c r="A6188" s="17"/>
    </row>
    <row r="6189" spans="1:1" x14ac:dyDescent="0.25">
      <c r="A6189" s="17"/>
    </row>
    <row r="6190" spans="1:1" x14ac:dyDescent="0.25">
      <c r="A6190" s="17"/>
    </row>
    <row r="6191" spans="1:1" x14ac:dyDescent="0.25">
      <c r="A6191" s="17"/>
    </row>
    <row r="6192" spans="1:1" x14ac:dyDescent="0.25">
      <c r="A6192" s="17"/>
    </row>
    <row r="6193" spans="1:1" x14ac:dyDescent="0.25">
      <c r="A6193" s="17"/>
    </row>
    <row r="6194" spans="1:1" x14ac:dyDescent="0.25">
      <c r="A6194" s="17"/>
    </row>
    <row r="6195" spans="1:1" x14ac:dyDescent="0.25">
      <c r="A6195" s="17"/>
    </row>
    <row r="6196" spans="1:1" x14ac:dyDescent="0.25">
      <c r="A6196" s="17"/>
    </row>
    <row r="6197" spans="1:1" x14ac:dyDescent="0.25">
      <c r="A6197" s="17"/>
    </row>
    <row r="6198" spans="1:1" x14ac:dyDescent="0.25">
      <c r="A6198" s="17"/>
    </row>
    <row r="6199" spans="1:1" x14ac:dyDescent="0.25">
      <c r="A6199" s="17"/>
    </row>
    <row r="6200" spans="1:1" x14ac:dyDescent="0.25">
      <c r="A6200" s="17"/>
    </row>
    <row r="6201" spans="1:1" x14ac:dyDescent="0.25">
      <c r="A6201" s="17"/>
    </row>
    <row r="6202" spans="1:1" x14ac:dyDescent="0.25">
      <c r="A6202" s="17"/>
    </row>
    <row r="6203" spans="1:1" x14ac:dyDescent="0.25">
      <c r="A6203" s="17"/>
    </row>
    <row r="6204" spans="1:1" x14ac:dyDescent="0.25">
      <c r="A6204" s="17"/>
    </row>
    <row r="6205" spans="1:1" x14ac:dyDescent="0.25">
      <c r="A6205" s="17"/>
    </row>
    <row r="6206" spans="1:1" x14ac:dyDescent="0.25">
      <c r="A6206" s="17"/>
    </row>
    <row r="6207" spans="1:1" x14ac:dyDescent="0.25">
      <c r="A6207" s="17"/>
    </row>
    <row r="6208" spans="1:1" x14ac:dyDescent="0.25">
      <c r="A6208" s="17"/>
    </row>
    <row r="6209" spans="1:1" x14ac:dyDescent="0.25">
      <c r="A6209" s="17"/>
    </row>
    <row r="6210" spans="1:1" x14ac:dyDescent="0.25">
      <c r="A6210" s="17"/>
    </row>
    <row r="6211" spans="1:1" x14ac:dyDescent="0.25">
      <c r="A6211" s="17"/>
    </row>
    <row r="6212" spans="1:1" x14ac:dyDescent="0.25">
      <c r="A6212" s="17"/>
    </row>
    <row r="6213" spans="1:1" x14ac:dyDescent="0.25">
      <c r="A6213" s="17"/>
    </row>
    <row r="6214" spans="1:1" x14ac:dyDescent="0.25">
      <c r="A6214" s="17"/>
    </row>
    <row r="6215" spans="1:1" x14ac:dyDescent="0.25">
      <c r="A6215" s="17"/>
    </row>
    <row r="6216" spans="1:1" x14ac:dyDescent="0.25">
      <c r="A6216" s="17"/>
    </row>
    <row r="6217" spans="1:1" x14ac:dyDescent="0.25">
      <c r="A6217" s="17"/>
    </row>
    <row r="6218" spans="1:1" x14ac:dyDescent="0.25">
      <c r="A6218" s="17"/>
    </row>
    <row r="6219" spans="1:1" x14ac:dyDescent="0.25">
      <c r="A6219" s="17"/>
    </row>
    <row r="6220" spans="1:1" x14ac:dyDescent="0.25">
      <c r="A6220" s="17"/>
    </row>
    <row r="6221" spans="1:1" x14ac:dyDescent="0.25">
      <c r="A6221" s="17"/>
    </row>
    <row r="6222" spans="1:1" x14ac:dyDescent="0.25">
      <c r="A6222" s="17"/>
    </row>
    <row r="6223" spans="1:1" x14ac:dyDescent="0.25">
      <c r="A6223" s="17"/>
    </row>
    <row r="6224" spans="1:1" x14ac:dyDescent="0.25">
      <c r="A6224" s="17"/>
    </row>
    <row r="6225" spans="1:1" x14ac:dyDescent="0.25">
      <c r="A6225" s="17"/>
    </row>
    <row r="6226" spans="1:1" x14ac:dyDescent="0.25">
      <c r="A6226" s="17"/>
    </row>
    <row r="6227" spans="1:1" x14ac:dyDescent="0.25">
      <c r="A6227" s="17"/>
    </row>
    <row r="6228" spans="1:1" x14ac:dyDescent="0.25">
      <c r="A6228" s="17"/>
    </row>
    <row r="6229" spans="1:1" x14ac:dyDescent="0.25">
      <c r="A6229" s="17"/>
    </row>
    <row r="6230" spans="1:1" x14ac:dyDescent="0.25">
      <c r="A6230" s="17"/>
    </row>
    <row r="6231" spans="1:1" x14ac:dyDescent="0.25">
      <c r="A6231" s="17"/>
    </row>
    <row r="6232" spans="1:1" x14ac:dyDescent="0.25">
      <c r="A6232" s="17"/>
    </row>
    <row r="6233" spans="1:1" x14ac:dyDescent="0.25">
      <c r="A6233" s="17"/>
    </row>
    <row r="6234" spans="1:1" x14ac:dyDescent="0.25">
      <c r="A6234" s="17"/>
    </row>
    <row r="6235" spans="1:1" x14ac:dyDescent="0.25">
      <c r="A6235" s="17"/>
    </row>
    <row r="6236" spans="1:1" x14ac:dyDescent="0.25">
      <c r="A6236" s="17"/>
    </row>
    <row r="6237" spans="1:1" x14ac:dyDescent="0.25">
      <c r="A6237" s="17"/>
    </row>
    <row r="6238" spans="1:1" x14ac:dyDescent="0.25">
      <c r="A6238" s="17"/>
    </row>
    <row r="6239" spans="1:1" x14ac:dyDescent="0.25">
      <c r="A6239" s="17"/>
    </row>
    <row r="6240" spans="1:1" x14ac:dyDescent="0.25">
      <c r="A6240" s="17"/>
    </row>
    <row r="6241" spans="1:1" x14ac:dyDescent="0.25">
      <c r="A6241" s="17"/>
    </row>
    <row r="6242" spans="1:1" x14ac:dyDescent="0.25">
      <c r="A6242" s="17"/>
    </row>
    <row r="6243" spans="1:1" x14ac:dyDescent="0.25">
      <c r="A6243" s="17"/>
    </row>
    <row r="6244" spans="1:1" x14ac:dyDescent="0.25">
      <c r="A6244" s="17"/>
    </row>
    <row r="6245" spans="1:1" x14ac:dyDescent="0.25">
      <c r="A6245" s="17"/>
    </row>
    <row r="6246" spans="1:1" x14ac:dyDescent="0.25">
      <c r="A6246" s="17"/>
    </row>
    <row r="6247" spans="1:1" x14ac:dyDescent="0.25">
      <c r="A6247" s="17"/>
    </row>
    <row r="6248" spans="1:1" x14ac:dyDescent="0.25">
      <c r="A6248" s="17"/>
    </row>
    <row r="6249" spans="1:1" x14ac:dyDescent="0.25">
      <c r="A6249" s="17"/>
    </row>
    <row r="6250" spans="1:1" x14ac:dyDescent="0.25">
      <c r="A6250" s="17"/>
    </row>
    <row r="6251" spans="1:1" x14ac:dyDescent="0.25">
      <c r="A6251" s="17"/>
    </row>
    <row r="6252" spans="1:1" x14ac:dyDescent="0.25">
      <c r="A6252" s="17"/>
    </row>
    <row r="6253" spans="1:1" x14ac:dyDescent="0.25">
      <c r="A6253" s="17"/>
    </row>
    <row r="6254" spans="1:1" x14ac:dyDescent="0.25">
      <c r="A6254" s="17"/>
    </row>
    <row r="6255" spans="1:1" x14ac:dyDescent="0.25">
      <c r="A6255" s="17"/>
    </row>
    <row r="6256" spans="1:1" x14ac:dyDescent="0.25">
      <c r="A6256" s="17"/>
    </row>
    <row r="6257" spans="1:1" x14ac:dyDescent="0.25">
      <c r="A6257" s="17"/>
    </row>
    <row r="6258" spans="1:1" x14ac:dyDescent="0.25">
      <c r="A6258" s="17"/>
    </row>
    <row r="6259" spans="1:1" x14ac:dyDescent="0.25">
      <c r="A6259" s="17"/>
    </row>
    <row r="6260" spans="1:1" x14ac:dyDescent="0.25">
      <c r="A6260" s="17"/>
    </row>
    <row r="6261" spans="1:1" x14ac:dyDescent="0.25">
      <c r="A6261" s="17"/>
    </row>
    <row r="6262" spans="1:1" x14ac:dyDescent="0.25">
      <c r="A6262" s="17"/>
    </row>
    <row r="6263" spans="1:1" x14ac:dyDescent="0.25">
      <c r="A6263" s="17"/>
    </row>
    <row r="6264" spans="1:1" x14ac:dyDescent="0.25">
      <c r="A6264" s="17"/>
    </row>
    <row r="6265" spans="1:1" x14ac:dyDescent="0.25">
      <c r="A6265" s="17"/>
    </row>
    <row r="6266" spans="1:1" x14ac:dyDescent="0.25">
      <c r="A6266" s="17"/>
    </row>
    <row r="6267" spans="1:1" x14ac:dyDescent="0.25">
      <c r="A6267" s="17"/>
    </row>
    <row r="6268" spans="1:1" x14ac:dyDescent="0.25">
      <c r="A6268" s="17"/>
    </row>
    <row r="6269" spans="1:1" x14ac:dyDescent="0.25">
      <c r="A6269" s="17"/>
    </row>
    <row r="6270" spans="1:1" x14ac:dyDescent="0.25">
      <c r="A6270" s="17"/>
    </row>
    <row r="6271" spans="1:1" x14ac:dyDescent="0.25">
      <c r="A6271" s="17"/>
    </row>
    <row r="6272" spans="1:1" x14ac:dyDescent="0.25">
      <c r="A6272" s="17"/>
    </row>
    <row r="6273" spans="1:1" x14ac:dyDescent="0.25">
      <c r="A6273" s="17"/>
    </row>
    <row r="6274" spans="1:1" x14ac:dyDescent="0.25">
      <c r="A6274" s="17"/>
    </row>
    <row r="6275" spans="1:1" x14ac:dyDescent="0.25">
      <c r="A6275" s="17"/>
    </row>
    <row r="6276" spans="1:1" x14ac:dyDescent="0.25">
      <c r="A6276" s="17"/>
    </row>
    <row r="6277" spans="1:1" x14ac:dyDescent="0.25">
      <c r="A6277" s="17"/>
    </row>
    <row r="6278" spans="1:1" x14ac:dyDescent="0.25">
      <c r="A6278" s="17"/>
    </row>
    <row r="6279" spans="1:1" x14ac:dyDescent="0.25">
      <c r="A6279" s="17"/>
    </row>
    <row r="6280" spans="1:1" x14ac:dyDescent="0.25">
      <c r="A6280" s="17"/>
    </row>
    <row r="6281" spans="1:1" x14ac:dyDescent="0.25">
      <c r="A6281" s="17"/>
    </row>
    <row r="6282" spans="1:1" x14ac:dyDescent="0.25">
      <c r="A6282" s="17"/>
    </row>
    <row r="6283" spans="1:1" x14ac:dyDescent="0.25">
      <c r="A6283" s="17"/>
    </row>
    <row r="6284" spans="1:1" x14ac:dyDescent="0.25">
      <c r="A6284" s="17"/>
    </row>
    <row r="6285" spans="1:1" x14ac:dyDescent="0.25">
      <c r="A6285" s="17"/>
    </row>
    <row r="6286" spans="1:1" x14ac:dyDescent="0.25">
      <c r="A6286" s="17"/>
    </row>
    <row r="6287" spans="1:1" x14ac:dyDescent="0.25">
      <c r="A6287" s="17"/>
    </row>
    <row r="6288" spans="1:1" x14ac:dyDescent="0.25">
      <c r="A6288" s="17"/>
    </row>
    <row r="6289" spans="1:1" x14ac:dyDescent="0.25">
      <c r="A6289" s="17"/>
    </row>
    <row r="6290" spans="1:1" x14ac:dyDescent="0.25">
      <c r="A6290" s="17"/>
    </row>
    <row r="6291" spans="1:1" x14ac:dyDescent="0.25">
      <c r="A6291" s="17"/>
    </row>
    <row r="6292" spans="1:1" x14ac:dyDescent="0.25">
      <c r="A6292" s="17"/>
    </row>
    <row r="6293" spans="1:1" x14ac:dyDescent="0.25">
      <c r="A6293" s="17"/>
    </row>
    <row r="6294" spans="1:1" x14ac:dyDescent="0.25">
      <c r="A6294" s="17"/>
    </row>
    <row r="6295" spans="1:1" x14ac:dyDescent="0.25">
      <c r="A6295" s="17"/>
    </row>
    <row r="6296" spans="1:1" x14ac:dyDescent="0.25">
      <c r="A6296" s="17"/>
    </row>
    <row r="6297" spans="1:1" x14ac:dyDescent="0.25">
      <c r="A6297" s="17"/>
    </row>
    <row r="6298" spans="1:1" x14ac:dyDescent="0.25">
      <c r="A6298" s="17"/>
    </row>
    <row r="6299" spans="1:1" x14ac:dyDescent="0.25">
      <c r="A6299" s="17"/>
    </row>
    <row r="6300" spans="1:1" x14ac:dyDescent="0.25">
      <c r="A6300" s="17"/>
    </row>
    <row r="6301" spans="1:1" x14ac:dyDescent="0.25">
      <c r="A6301" s="17"/>
    </row>
    <row r="6302" spans="1:1" x14ac:dyDescent="0.25">
      <c r="A6302" s="17"/>
    </row>
    <row r="6303" spans="1:1" x14ac:dyDescent="0.25">
      <c r="A6303" s="17"/>
    </row>
    <row r="6304" spans="1:1" x14ac:dyDescent="0.25">
      <c r="A6304" s="17"/>
    </row>
    <row r="6305" spans="1:1" x14ac:dyDescent="0.25">
      <c r="A6305" s="17"/>
    </row>
    <row r="6306" spans="1:1" x14ac:dyDescent="0.25">
      <c r="A6306" s="17"/>
    </row>
    <row r="6307" spans="1:1" x14ac:dyDescent="0.25">
      <c r="A6307" s="17"/>
    </row>
    <row r="6308" spans="1:1" x14ac:dyDescent="0.25">
      <c r="A6308" s="17"/>
    </row>
    <row r="6309" spans="1:1" x14ac:dyDescent="0.25">
      <c r="A6309" s="17"/>
    </row>
    <row r="6310" spans="1:1" x14ac:dyDescent="0.25">
      <c r="A6310" s="17"/>
    </row>
    <row r="6311" spans="1:1" x14ac:dyDescent="0.25">
      <c r="A6311" s="17"/>
    </row>
    <row r="6312" spans="1:1" x14ac:dyDescent="0.25">
      <c r="A6312" s="17"/>
    </row>
    <row r="6313" spans="1:1" x14ac:dyDescent="0.25">
      <c r="A6313" s="17"/>
    </row>
    <row r="6314" spans="1:1" x14ac:dyDescent="0.25">
      <c r="A6314" s="17"/>
    </row>
    <row r="6315" spans="1:1" x14ac:dyDescent="0.25">
      <c r="A6315" s="17"/>
    </row>
    <row r="6316" spans="1:1" x14ac:dyDescent="0.25">
      <c r="A6316" s="17"/>
    </row>
    <row r="6317" spans="1:1" x14ac:dyDescent="0.25">
      <c r="A6317" s="17"/>
    </row>
    <row r="6318" spans="1:1" x14ac:dyDescent="0.25">
      <c r="A6318" s="17"/>
    </row>
    <row r="6319" spans="1:1" x14ac:dyDescent="0.25">
      <c r="A6319" s="17"/>
    </row>
    <row r="6320" spans="1:1" x14ac:dyDescent="0.25">
      <c r="A6320" s="17"/>
    </row>
    <row r="6321" spans="1:1" x14ac:dyDescent="0.25">
      <c r="A6321" s="17"/>
    </row>
    <row r="6322" spans="1:1" x14ac:dyDescent="0.25">
      <c r="A6322" s="17"/>
    </row>
    <row r="6323" spans="1:1" x14ac:dyDescent="0.25">
      <c r="A6323" s="17"/>
    </row>
    <row r="6324" spans="1:1" x14ac:dyDescent="0.25">
      <c r="A6324" s="17"/>
    </row>
    <row r="6325" spans="1:1" x14ac:dyDescent="0.25">
      <c r="A6325" s="17"/>
    </row>
    <row r="6326" spans="1:1" x14ac:dyDescent="0.25">
      <c r="A6326" s="17"/>
    </row>
    <row r="6327" spans="1:1" x14ac:dyDescent="0.25">
      <c r="A6327" s="17"/>
    </row>
    <row r="6328" spans="1:1" x14ac:dyDescent="0.25">
      <c r="A6328" s="17"/>
    </row>
    <row r="6329" spans="1:1" x14ac:dyDescent="0.25">
      <c r="A6329" s="17"/>
    </row>
    <row r="6330" spans="1:1" x14ac:dyDescent="0.25">
      <c r="A6330" s="17"/>
    </row>
    <row r="6331" spans="1:1" x14ac:dyDescent="0.25">
      <c r="A6331" s="17"/>
    </row>
    <row r="6332" spans="1:1" x14ac:dyDescent="0.25">
      <c r="A6332" s="17"/>
    </row>
    <row r="6333" spans="1:1" x14ac:dyDescent="0.25">
      <c r="A6333" s="17"/>
    </row>
    <row r="6334" spans="1:1" x14ac:dyDescent="0.25">
      <c r="A6334" s="17"/>
    </row>
    <row r="6335" spans="1:1" x14ac:dyDescent="0.25">
      <c r="A6335" s="17"/>
    </row>
    <row r="6336" spans="1:1" x14ac:dyDescent="0.25">
      <c r="A6336" s="17"/>
    </row>
    <row r="6337" spans="1:1" x14ac:dyDescent="0.25">
      <c r="A6337" s="17"/>
    </row>
    <row r="6338" spans="1:1" x14ac:dyDescent="0.25">
      <c r="A6338" s="17"/>
    </row>
    <row r="6339" spans="1:1" x14ac:dyDescent="0.25">
      <c r="A6339" s="17"/>
    </row>
    <row r="6340" spans="1:1" x14ac:dyDescent="0.25">
      <c r="A6340" s="17"/>
    </row>
    <row r="6341" spans="1:1" x14ac:dyDescent="0.25">
      <c r="A6341" s="17"/>
    </row>
    <row r="6342" spans="1:1" x14ac:dyDescent="0.25">
      <c r="A6342" s="17"/>
    </row>
    <row r="6343" spans="1:1" x14ac:dyDescent="0.25">
      <c r="A6343" s="17"/>
    </row>
    <row r="6344" spans="1:1" x14ac:dyDescent="0.25">
      <c r="A6344" s="17"/>
    </row>
    <row r="6345" spans="1:1" x14ac:dyDescent="0.25">
      <c r="A6345" s="17"/>
    </row>
    <row r="6346" spans="1:1" x14ac:dyDescent="0.25">
      <c r="A6346" s="17"/>
    </row>
    <row r="6347" spans="1:1" x14ac:dyDescent="0.25">
      <c r="A6347" s="17"/>
    </row>
    <row r="6348" spans="1:1" x14ac:dyDescent="0.25">
      <c r="A6348" s="17"/>
    </row>
    <row r="6349" spans="1:1" x14ac:dyDescent="0.25">
      <c r="A6349" s="17"/>
    </row>
    <row r="6350" spans="1:1" x14ac:dyDescent="0.25">
      <c r="A6350" s="17"/>
    </row>
    <row r="6351" spans="1:1" x14ac:dyDescent="0.25">
      <c r="A6351" s="17"/>
    </row>
    <row r="6352" spans="1:1" x14ac:dyDescent="0.25">
      <c r="A6352" s="17"/>
    </row>
    <row r="6353" spans="1:1" x14ac:dyDescent="0.25">
      <c r="A6353" s="17"/>
    </row>
    <row r="6354" spans="1:1" x14ac:dyDescent="0.25">
      <c r="A6354" s="17"/>
    </row>
    <row r="6355" spans="1:1" x14ac:dyDescent="0.25">
      <c r="A6355" s="17"/>
    </row>
    <row r="6356" spans="1:1" x14ac:dyDescent="0.25">
      <c r="A6356" s="17"/>
    </row>
    <row r="6357" spans="1:1" x14ac:dyDescent="0.25">
      <c r="A6357" s="17"/>
    </row>
    <row r="6358" spans="1:1" x14ac:dyDescent="0.25">
      <c r="A6358" s="17"/>
    </row>
    <row r="6359" spans="1:1" x14ac:dyDescent="0.25">
      <c r="A6359" s="17"/>
    </row>
    <row r="6360" spans="1:1" x14ac:dyDescent="0.25">
      <c r="A6360" s="17"/>
    </row>
    <row r="6361" spans="1:1" x14ac:dyDescent="0.25">
      <c r="A6361" s="17"/>
    </row>
    <row r="6362" spans="1:1" x14ac:dyDescent="0.25">
      <c r="A6362" s="17"/>
    </row>
    <row r="6363" spans="1:1" x14ac:dyDescent="0.25">
      <c r="A6363" s="17"/>
    </row>
    <row r="6364" spans="1:1" x14ac:dyDescent="0.25">
      <c r="A6364" s="17"/>
    </row>
    <row r="6365" spans="1:1" x14ac:dyDescent="0.25">
      <c r="A6365" s="17"/>
    </row>
    <row r="6366" spans="1:1" x14ac:dyDescent="0.25">
      <c r="A6366" s="17"/>
    </row>
    <row r="6367" spans="1:1" x14ac:dyDescent="0.25">
      <c r="A6367" s="17"/>
    </row>
    <row r="6368" spans="1:1" x14ac:dyDescent="0.25">
      <c r="A6368" s="17"/>
    </row>
    <row r="6369" spans="1:1" x14ac:dyDescent="0.25">
      <c r="A6369" s="17"/>
    </row>
    <row r="6370" spans="1:1" x14ac:dyDescent="0.25">
      <c r="A6370" s="17"/>
    </row>
    <row r="6371" spans="1:1" x14ac:dyDescent="0.25">
      <c r="A6371" s="17"/>
    </row>
    <row r="6372" spans="1:1" x14ac:dyDescent="0.25">
      <c r="A6372" s="17"/>
    </row>
    <row r="6373" spans="1:1" x14ac:dyDescent="0.25">
      <c r="A6373" s="17"/>
    </row>
    <row r="6374" spans="1:1" x14ac:dyDescent="0.25">
      <c r="A6374" s="17"/>
    </row>
    <row r="6375" spans="1:1" x14ac:dyDescent="0.25">
      <c r="A6375" s="17"/>
    </row>
    <row r="6376" spans="1:1" x14ac:dyDescent="0.25">
      <c r="A6376" s="17"/>
    </row>
    <row r="6377" spans="1:1" x14ac:dyDescent="0.25">
      <c r="A6377" s="17"/>
    </row>
    <row r="6378" spans="1:1" x14ac:dyDescent="0.25">
      <c r="A6378" s="17"/>
    </row>
    <row r="6379" spans="1:1" x14ac:dyDescent="0.25">
      <c r="A6379" s="17"/>
    </row>
    <row r="6380" spans="1:1" x14ac:dyDescent="0.25">
      <c r="A6380" s="17"/>
    </row>
    <row r="6381" spans="1:1" x14ac:dyDescent="0.25">
      <c r="A6381" s="17"/>
    </row>
    <row r="6382" spans="1:1" x14ac:dyDescent="0.25">
      <c r="A6382" s="17"/>
    </row>
    <row r="6383" spans="1:1" x14ac:dyDescent="0.25">
      <c r="A6383" s="17"/>
    </row>
    <row r="6384" spans="1:1" x14ac:dyDescent="0.25">
      <c r="A6384" s="17"/>
    </row>
    <row r="6385" spans="1:1" x14ac:dyDescent="0.25">
      <c r="A6385" s="17"/>
    </row>
    <row r="6386" spans="1:1" x14ac:dyDescent="0.25">
      <c r="A6386" s="17"/>
    </row>
    <row r="6387" spans="1:1" x14ac:dyDescent="0.25">
      <c r="A6387" s="17"/>
    </row>
    <row r="6388" spans="1:1" x14ac:dyDescent="0.25">
      <c r="A6388" s="17"/>
    </row>
    <row r="6389" spans="1:1" x14ac:dyDescent="0.25">
      <c r="A6389" s="17"/>
    </row>
    <row r="6390" spans="1:1" x14ac:dyDescent="0.25">
      <c r="A6390" s="17"/>
    </row>
    <row r="6391" spans="1:1" x14ac:dyDescent="0.25">
      <c r="A6391" s="17"/>
    </row>
    <row r="6392" spans="1:1" x14ac:dyDescent="0.25">
      <c r="A6392" s="17"/>
    </row>
    <row r="6393" spans="1:1" x14ac:dyDescent="0.25">
      <c r="A6393" s="17"/>
    </row>
    <row r="6394" spans="1:1" x14ac:dyDescent="0.25">
      <c r="A6394" s="17"/>
    </row>
    <row r="6395" spans="1:1" x14ac:dyDescent="0.25">
      <c r="A6395" s="17"/>
    </row>
    <row r="6396" spans="1:1" x14ac:dyDescent="0.25">
      <c r="A6396" s="17"/>
    </row>
    <row r="6397" spans="1:1" x14ac:dyDescent="0.25">
      <c r="A6397" s="17"/>
    </row>
    <row r="6398" spans="1:1" x14ac:dyDescent="0.25">
      <c r="A6398" s="17"/>
    </row>
    <row r="6399" spans="1:1" x14ac:dyDescent="0.25">
      <c r="A6399" s="17"/>
    </row>
    <row r="6400" spans="1:1" x14ac:dyDescent="0.25">
      <c r="A6400" s="17"/>
    </row>
    <row r="6401" spans="1:1" x14ac:dyDescent="0.25">
      <c r="A6401" s="17"/>
    </row>
    <row r="6402" spans="1:1" x14ac:dyDescent="0.25">
      <c r="A6402" s="17"/>
    </row>
    <row r="6403" spans="1:1" x14ac:dyDescent="0.25">
      <c r="A6403" s="17"/>
    </row>
    <row r="6404" spans="1:1" x14ac:dyDescent="0.25">
      <c r="A6404" s="17"/>
    </row>
    <row r="6405" spans="1:1" x14ac:dyDescent="0.25">
      <c r="A6405" s="17"/>
    </row>
    <row r="6406" spans="1:1" x14ac:dyDescent="0.25">
      <c r="A6406" s="17"/>
    </row>
    <row r="6407" spans="1:1" x14ac:dyDescent="0.25">
      <c r="A6407" s="17"/>
    </row>
    <row r="6408" spans="1:1" x14ac:dyDescent="0.25">
      <c r="A6408" s="17"/>
    </row>
    <row r="6409" spans="1:1" x14ac:dyDescent="0.25">
      <c r="A6409" s="17"/>
    </row>
    <row r="6410" spans="1:1" x14ac:dyDescent="0.25">
      <c r="A6410" s="17"/>
    </row>
    <row r="6411" spans="1:1" x14ac:dyDescent="0.25">
      <c r="A6411" s="17"/>
    </row>
    <row r="6412" spans="1:1" x14ac:dyDescent="0.25">
      <c r="A6412" s="17"/>
    </row>
    <row r="6413" spans="1:1" x14ac:dyDescent="0.25">
      <c r="A6413" s="17"/>
    </row>
    <row r="6414" spans="1:1" x14ac:dyDescent="0.25">
      <c r="A6414" s="17"/>
    </row>
    <row r="6415" spans="1:1" x14ac:dyDescent="0.25">
      <c r="A6415" s="17"/>
    </row>
    <row r="6416" spans="1:1" x14ac:dyDescent="0.25">
      <c r="A6416" s="17"/>
    </row>
    <row r="6417" spans="1:1" x14ac:dyDescent="0.25">
      <c r="A6417" s="17"/>
    </row>
    <row r="6418" spans="1:1" x14ac:dyDescent="0.25">
      <c r="A6418" s="17"/>
    </row>
    <row r="6419" spans="1:1" x14ac:dyDescent="0.25">
      <c r="A6419" s="17"/>
    </row>
    <row r="6420" spans="1:1" x14ac:dyDescent="0.25">
      <c r="A6420" s="17"/>
    </row>
    <row r="6421" spans="1:1" x14ac:dyDescent="0.25">
      <c r="A6421" s="17"/>
    </row>
    <row r="6422" spans="1:1" x14ac:dyDescent="0.25">
      <c r="A6422" s="17"/>
    </row>
    <row r="6423" spans="1:1" x14ac:dyDescent="0.25">
      <c r="A6423" s="17"/>
    </row>
    <row r="6424" spans="1:1" x14ac:dyDescent="0.25">
      <c r="A6424" s="17"/>
    </row>
    <row r="6425" spans="1:1" x14ac:dyDescent="0.25">
      <c r="A6425" s="17"/>
    </row>
    <row r="6426" spans="1:1" x14ac:dyDescent="0.25">
      <c r="A6426" s="17"/>
    </row>
    <row r="6427" spans="1:1" x14ac:dyDescent="0.25">
      <c r="A6427" s="17"/>
    </row>
    <row r="6428" spans="1:1" x14ac:dyDescent="0.25">
      <c r="A6428" s="17"/>
    </row>
    <row r="6429" spans="1:1" x14ac:dyDescent="0.25">
      <c r="A6429" s="17"/>
    </row>
    <row r="6430" spans="1:1" x14ac:dyDescent="0.25">
      <c r="A6430" s="17"/>
    </row>
    <row r="6431" spans="1:1" x14ac:dyDescent="0.25">
      <c r="A6431" s="17"/>
    </row>
    <row r="6432" spans="1:1" x14ac:dyDescent="0.25">
      <c r="A6432" s="17"/>
    </row>
    <row r="6433" spans="1:1" x14ac:dyDescent="0.25">
      <c r="A6433" s="17"/>
    </row>
    <row r="6434" spans="1:1" x14ac:dyDescent="0.25">
      <c r="A6434" s="17"/>
    </row>
    <row r="6435" spans="1:1" x14ac:dyDescent="0.25">
      <c r="A6435" s="17"/>
    </row>
    <row r="6436" spans="1:1" x14ac:dyDescent="0.25">
      <c r="A6436" s="17"/>
    </row>
    <row r="6437" spans="1:1" x14ac:dyDescent="0.25">
      <c r="A6437" s="17"/>
    </row>
    <row r="6438" spans="1:1" x14ac:dyDescent="0.25">
      <c r="A6438" s="17"/>
    </row>
    <row r="6439" spans="1:1" x14ac:dyDescent="0.25">
      <c r="A6439" s="17"/>
    </row>
    <row r="6440" spans="1:1" x14ac:dyDescent="0.25">
      <c r="A6440" s="17"/>
    </row>
    <row r="6441" spans="1:1" x14ac:dyDescent="0.25">
      <c r="A6441" s="17"/>
    </row>
    <row r="6442" spans="1:1" x14ac:dyDescent="0.25">
      <c r="A6442" s="17"/>
    </row>
    <row r="6443" spans="1:1" x14ac:dyDescent="0.25">
      <c r="A6443" s="17"/>
    </row>
    <row r="6444" spans="1:1" x14ac:dyDescent="0.25">
      <c r="A6444" s="17"/>
    </row>
    <row r="6445" spans="1:1" x14ac:dyDescent="0.25">
      <c r="A6445" s="17"/>
    </row>
    <row r="6446" spans="1:1" x14ac:dyDescent="0.25">
      <c r="A6446" s="17"/>
    </row>
    <row r="6447" spans="1:1" x14ac:dyDescent="0.25">
      <c r="A6447" s="17"/>
    </row>
    <row r="6448" spans="1:1" x14ac:dyDescent="0.25">
      <c r="A6448" s="17"/>
    </row>
    <row r="6449" spans="1:1" x14ac:dyDescent="0.25">
      <c r="A6449" s="17"/>
    </row>
    <row r="6450" spans="1:1" x14ac:dyDescent="0.25">
      <c r="A6450" s="17"/>
    </row>
    <row r="6451" spans="1:1" x14ac:dyDescent="0.25">
      <c r="A6451" s="17"/>
    </row>
    <row r="6452" spans="1:1" x14ac:dyDescent="0.25">
      <c r="A6452" s="17"/>
    </row>
    <row r="6453" spans="1:1" x14ac:dyDescent="0.25">
      <c r="A6453" s="17"/>
    </row>
    <row r="6454" spans="1:1" x14ac:dyDescent="0.25">
      <c r="A6454" s="17"/>
    </row>
    <row r="6455" spans="1:1" x14ac:dyDescent="0.25">
      <c r="A6455" s="17"/>
    </row>
    <row r="6456" spans="1:1" x14ac:dyDescent="0.25">
      <c r="A6456" s="17"/>
    </row>
    <row r="6457" spans="1:1" x14ac:dyDescent="0.25">
      <c r="A6457" s="17"/>
    </row>
    <row r="6458" spans="1:1" x14ac:dyDescent="0.25">
      <c r="A6458" s="17"/>
    </row>
    <row r="6459" spans="1:1" x14ac:dyDescent="0.25">
      <c r="A6459" s="17"/>
    </row>
    <row r="6460" spans="1:1" x14ac:dyDescent="0.25">
      <c r="A6460" s="17"/>
    </row>
    <row r="6461" spans="1:1" x14ac:dyDescent="0.25">
      <c r="A6461" s="17"/>
    </row>
    <row r="6462" spans="1:1" x14ac:dyDescent="0.25">
      <c r="A6462" s="17"/>
    </row>
    <row r="6463" spans="1:1" x14ac:dyDescent="0.25">
      <c r="A6463" s="17"/>
    </row>
    <row r="6464" spans="1:1" x14ac:dyDescent="0.25">
      <c r="A6464" s="17"/>
    </row>
    <row r="6465" spans="1:1" x14ac:dyDescent="0.25">
      <c r="A6465" s="17"/>
    </row>
    <row r="6466" spans="1:1" x14ac:dyDescent="0.25">
      <c r="A6466" s="17"/>
    </row>
    <row r="6467" spans="1:1" x14ac:dyDescent="0.25">
      <c r="A6467" s="17"/>
    </row>
    <row r="6468" spans="1:1" x14ac:dyDescent="0.25">
      <c r="A6468" s="17"/>
    </row>
    <row r="6469" spans="1:1" x14ac:dyDescent="0.25">
      <c r="A6469" s="17"/>
    </row>
    <row r="6470" spans="1:1" x14ac:dyDescent="0.25">
      <c r="A6470" s="17"/>
    </row>
    <row r="6471" spans="1:1" x14ac:dyDescent="0.25">
      <c r="A6471" s="17"/>
    </row>
    <row r="6472" spans="1:1" x14ac:dyDescent="0.25">
      <c r="A6472" s="17"/>
    </row>
    <row r="6473" spans="1:1" x14ac:dyDescent="0.25">
      <c r="A6473" s="17"/>
    </row>
    <row r="6474" spans="1:1" x14ac:dyDescent="0.25">
      <c r="A6474" s="17"/>
    </row>
    <row r="6475" spans="1:1" x14ac:dyDescent="0.25">
      <c r="A6475" s="17"/>
    </row>
    <row r="6476" spans="1:1" x14ac:dyDescent="0.25">
      <c r="A6476" s="17"/>
    </row>
    <row r="6477" spans="1:1" x14ac:dyDescent="0.25">
      <c r="A6477" s="17"/>
    </row>
    <row r="6478" spans="1:1" x14ac:dyDescent="0.25">
      <c r="A6478" s="17"/>
    </row>
    <row r="6479" spans="1:1" x14ac:dyDescent="0.25">
      <c r="A6479" s="17"/>
    </row>
    <row r="6480" spans="1:1" x14ac:dyDescent="0.25">
      <c r="A6480" s="17"/>
    </row>
    <row r="6481" spans="1:1" x14ac:dyDescent="0.25">
      <c r="A6481" s="17"/>
    </row>
    <row r="6482" spans="1:1" x14ac:dyDescent="0.25">
      <c r="A6482" s="17"/>
    </row>
    <row r="6483" spans="1:1" x14ac:dyDescent="0.25">
      <c r="A6483" s="17"/>
    </row>
    <row r="6484" spans="1:1" x14ac:dyDescent="0.25">
      <c r="A6484" s="17"/>
    </row>
    <row r="6485" spans="1:1" x14ac:dyDescent="0.25">
      <c r="A6485" s="17"/>
    </row>
    <row r="6486" spans="1:1" x14ac:dyDescent="0.25">
      <c r="A6486" s="17"/>
    </row>
    <row r="6487" spans="1:1" x14ac:dyDescent="0.25">
      <c r="A6487" s="17"/>
    </row>
    <row r="6488" spans="1:1" x14ac:dyDescent="0.25">
      <c r="A6488" s="17"/>
    </row>
    <row r="6489" spans="1:1" x14ac:dyDescent="0.25">
      <c r="A6489" s="17"/>
    </row>
    <row r="6490" spans="1:1" x14ac:dyDescent="0.25">
      <c r="A6490" s="17"/>
    </row>
    <row r="6491" spans="1:1" x14ac:dyDescent="0.25">
      <c r="A6491" s="17"/>
    </row>
    <row r="6492" spans="1:1" x14ac:dyDescent="0.25">
      <c r="A6492" s="17"/>
    </row>
    <row r="6493" spans="1:1" x14ac:dyDescent="0.25">
      <c r="A6493" s="17"/>
    </row>
    <row r="6494" spans="1:1" x14ac:dyDescent="0.25">
      <c r="A6494" s="17"/>
    </row>
    <row r="6495" spans="1:1" x14ac:dyDescent="0.25">
      <c r="A6495" s="17"/>
    </row>
    <row r="6496" spans="1:1" x14ac:dyDescent="0.25">
      <c r="A6496" s="17"/>
    </row>
    <row r="6497" spans="1:1" x14ac:dyDescent="0.25">
      <c r="A6497" s="17"/>
    </row>
    <row r="6498" spans="1:1" x14ac:dyDescent="0.25">
      <c r="A6498" s="17"/>
    </row>
    <row r="6499" spans="1:1" x14ac:dyDescent="0.25">
      <c r="A6499" s="17"/>
    </row>
    <row r="6500" spans="1:1" x14ac:dyDescent="0.25">
      <c r="A6500" s="17"/>
    </row>
    <row r="6501" spans="1:1" x14ac:dyDescent="0.25">
      <c r="A6501" s="17"/>
    </row>
    <row r="6502" spans="1:1" x14ac:dyDescent="0.25">
      <c r="A6502" s="17"/>
    </row>
    <row r="6503" spans="1:1" x14ac:dyDescent="0.25">
      <c r="A6503" s="17"/>
    </row>
    <row r="6504" spans="1:1" x14ac:dyDescent="0.25">
      <c r="A6504" s="17"/>
    </row>
    <row r="6505" spans="1:1" x14ac:dyDescent="0.25">
      <c r="A6505" s="17"/>
    </row>
    <row r="6506" spans="1:1" x14ac:dyDescent="0.25">
      <c r="A6506" s="17"/>
    </row>
    <row r="6507" spans="1:1" x14ac:dyDescent="0.25">
      <c r="A6507" s="17"/>
    </row>
    <row r="6508" spans="1:1" x14ac:dyDescent="0.25">
      <c r="A6508" s="17"/>
    </row>
    <row r="6509" spans="1:1" x14ac:dyDescent="0.25">
      <c r="A6509" s="17"/>
    </row>
    <row r="6510" spans="1:1" x14ac:dyDescent="0.25">
      <c r="A6510" s="17"/>
    </row>
    <row r="6511" spans="1:1" x14ac:dyDescent="0.25">
      <c r="A6511" s="17"/>
    </row>
    <row r="6512" spans="1:1" x14ac:dyDescent="0.25">
      <c r="A6512" s="17"/>
    </row>
    <row r="6513" spans="1:1" x14ac:dyDescent="0.25">
      <c r="A6513" s="17"/>
    </row>
    <row r="6514" spans="1:1" x14ac:dyDescent="0.25">
      <c r="A6514" s="17"/>
    </row>
    <row r="6515" spans="1:1" x14ac:dyDescent="0.25">
      <c r="A6515" s="17"/>
    </row>
    <row r="6516" spans="1:1" x14ac:dyDescent="0.25">
      <c r="A6516" s="17"/>
    </row>
    <row r="6517" spans="1:1" x14ac:dyDescent="0.25">
      <c r="A6517" s="17"/>
    </row>
    <row r="6518" spans="1:1" x14ac:dyDescent="0.25">
      <c r="A6518" s="17"/>
    </row>
    <row r="6519" spans="1:1" x14ac:dyDescent="0.25">
      <c r="A6519" s="17"/>
    </row>
    <row r="6520" spans="1:1" x14ac:dyDescent="0.25">
      <c r="A6520" s="17"/>
    </row>
    <row r="6521" spans="1:1" x14ac:dyDescent="0.25">
      <c r="A6521" s="17"/>
    </row>
    <row r="6522" spans="1:1" x14ac:dyDescent="0.25">
      <c r="A6522" s="17"/>
    </row>
    <row r="6523" spans="1:1" x14ac:dyDescent="0.25">
      <c r="A6523" s="17"/>
    </row>
    <row r="6524" spans="1:1" x14ac:dyDescent="0.25">
      <c r="A6524" s="17"/>
    </row>
    <row r="6525" spans="1:1" x14ac:dyDescent="0.25">
      <c r="A6525" s="17"/>
    </row>
    <row r="6526" spans="1:1" x14ac:dyDescent="0.25">
      <c r="A6526" s="17"/>
    </row>
    <row r="6527" spans="1:1" x14ac:dyDescent="0.25">
      <c r="A6527" s="17"/>
    </row>
    <row r="6528" spans="1:1" x14ac:dyDescent="0.25">
      <c r="A6528" s="17"/>
    </row>
    <row r="6529" spans="1:1" x14ac:dyDescent="0.25">
      <c r="A6529" s="17"/>
    </row>
    <row r="6530" spans="1:1" x14ac:dyDescent="0.25">
      <c r="A6530" s="17"/>
    </row>
    <row r="6531" spans="1:1" x14ac:dyDescent="0.25">
      <c r="A6531" s="17"/>
    </row>
    <row r="6532" spans="1:1" x14ac:dyDescent="0.25">
      <c r="A6532" s="17"/>
    </row>
    <row r="6533" spans="1:1" x14ac:dyDescent="0.25">
      <c r="A6533" s="17"/>
    </row>
    <row r="6534" spans="1:1" x14ac:dyDescent="0.25">
      <c r="A6534" s="17"/>
    </row>
    <row r="6535" spans="1:1" x14ac:dyDescent="0.25">
      <c r="A6535" s="17"/>
    </row>
    <row r="6536" spans="1:1" x14ac:dyDescent="0.25">
      <c r="A6536" s="17"/>
    </row>
    <row r="6537" spans="1:1" x14ac:dyDescent="0.25">
      <c r="A6537" s="17"/>
    </row>
    <row r="6538" spans="1:1" x14ac:dyDescent="0.25">
      <c r="A6538" s="17"/>
    </row>
    <row r="6539" spans="1:1" x14ac:dyDescent="0.25">
      <c r="A6539" s="17"/>
    </row>
    <row r="6540" spans="1:1" x14ac:dyDescent="0.25">
      <c r="A6540" s="17"/>
    </row>
    <row r="6541" spans="1:1" x14ac:dyDescent="0.25">
      <c r="A6541" s="17"/>
    </row>
    <row r="6542" spans="1:1" x14ac:dyDescent="0.25">
      <c r="A6542" s="17"/>
    </row>
    <row r="6543" spans="1:1" x14ac:dyDescent="0.25">
      <c r="A6543" s="17"/>
    </row>
    <row r="6544" spans="1:1" x14ac:dyDescent="0.25">
      <c r="A6544" s="17"/>
    </row>
    <row r="6545" spans="1:1" x14ac:dyDescent="0.25">
      <c r="A6545" s="17"/>
    </row>
    <row r="6546" spans="1:1" x14ac:dyDescent="0.25">
      <c r="A6546" s="17"/>
    </row>
    <row r="6547" spans="1:1" x14ac:dyDescent="0.25">
      <c r="A6547" s="17"/>
    </row>
    <row r="6548" spans="1:1" x14ac:dyDescent="0.25">
      <c r="A6548" s="17"/>
    </row>
    <row r="6549" spans="1:1" x14ac:dyDescent="0.25">
      <c r="A6549" s="17"/>
    </row>
    <row r="6550" spans="1:1" x14ac:dyDescent="0.25">
      <c r="A6550" s="17"/>
    </row>
    <row r="6551" spans="1:1" x14ac:dyDescent="0.25">
      <c r="A6551" s="17"/>
    </row>
    <row r="6552" spans="1:1" x14ac:dyDescent="0.25">
      <c r="A6552" s="17"/>
    </row>
    <row r="6553" spans="1:1" x14ac:dyDescent="0.25">
      <c r="A6553" s="17"/>
    </row>
    <row r="6554" spans="1:1" x14ac:dyDescent="0.25">
      <c r="A6554" s="17"/>
    </row>
    <row r="6555" spans="1:1" x14ac:dyDescent="0.25">
      <c r="A6555" s="17"/>
    </row>
    <row r="6556" spans="1:1" x14ac:dyDescent="0.25">
      <c r="A6556" s="17"/>
    </row>
    <row r="6557" spans="1:1" x14ac:dyDescent="0.25">
      <c r="A6557" s="17"/>
    </row>
    <row r="6558" spans="1:1" x14ac:dyDescent="0.25">
      <c r="A6558" s="17"/>
    </row>
    <row r="6559" spans="1:1" x14ac:dyDescent="0.25">
      <c r="A6559" s="17"/>
    </row>
    <row r="6560" spans="1:1" x14ac:dyDescent="0.25">
      <c r="A6560" s="17"/>
    </row>
    <row r="6561" spans="1:1" x14ac:dyDescent="0.25">
      <c r="A6561" s="17"/>
    </row>
    <row r="6562" spans="1:1" x14ac:dyDescent="0.25">
      <c r="A6562" s="17"/>
    </row>
    <row r="6563" spans="1:1" x14ac:dyDescent="0.25">
      <c r="A6563" s="17"/>
    </row>
    <row r="6564" spans="1:1" x14ac:dyDescent="0.25">
      <c r="A6564" s="17"/>
    </row>
    <row r="6565" spans="1:1" x14ac:dyDescent="0.25">
      <c r="A6565" s="17"/>
    </row>
    <row r="6566" spans="1:1" x14ac:dyDescent="0.25">
      <c r="A6566" s="17"/>
    </row>
    <row r="6567" spans="1:1" x14ac:dyDescent="0.25">
      <c r="A6567" s="17"/>
    </row>
    <row r="6568" spans="1:1" x14ac:dyDescent="0.25">
      <c r="A6568" s="17"/>
    </row>
    <row r="6569" spans="1:1" x14ac:dyDescent="0.25">
      <c r="A6569" s="17"/>
    </row>
    <row r="6570" spans="1:1" x14ac:dyDescent="0.25">
      <c r="A6570" s="17"/>
    </row>
    <row r="6571" spans="1:1" x14ac:dyDescent="0.25">
      <c r="A6571" s="17"/>
    </row>
    <row r="6572" spans="1:1" x14ac:dyDescent="0.25">
      <c r="A6572" s="17"/>
    </row>
    <row r="6573" spans="1:1" x14ac:dyDescent="0.25">
      <c r="A6573" s="17"/>
    </row>
    <row r="6574" spans="1:1" x14ac:dyDescent="0.25">
      <c r="A6574" s="17"/>
    </row>
    <row r="6575" spans="1:1" x14ac:dyDescent="0.25">
      <c r="A6575" s="17"/>
    </row>
    <row r="6576" spans="1:1" x14ac:dyDescent="0.25">
      <c r="A6576" s="17"/>
    </row>
    <row r="6577" spans="1:1" x14ac:dyDescent="0.25">
      <c r="A6577" s="17"/>
    </row>
    <row r="6578" spans="1:1" x14ac:dyDescent="0.25">
      <c r="A6578" s="17"/>
    </row>
    <row r="6579" spans="1:1" x14ac:dyDescent="0.25">
      <c r="A6579" s="17"/>
    </row>
    <row r="6580" spans="1:1" x14ac:dyDescent="0.25">
      <c r="A6580" s="17"/>
    </row>
    <row r="6581" spans="1:1" x14ac:dyDescent="0.25">
      <c r="A6581" s="17"/>
    </row>
    <row r="6582" spans="1:1" x14ac:dyDescent="0.25">
      <c r="A6582" s="17"/>
    </row>
    <row r="6583" spans="1:1" x14ac:dyDescent="0.25">
      <c r="A6583" s="17"/>
    </row>
    <row r="6584" spans="1:1" x14ac:dyDescent="0.25">
      <c r="A6584" s="17"/>
    </row>
    <row r="6585" spans="1:1" x14ac:dyDescent="0.25">
      <c r="A6585" s="17"/>
    </row>
    <row r="6586" spans="1:1" x14ac:dyDescent="0.25">
      <c r="A6586" s="17"/>
    </row>
    <row r="6587" spans="1:1" x14ac:dyDescent="0.25">
      <c r="A6587" s="17"/>
    </row>
    <row r="6588" spans="1:1" x14ac:dyDescent="0.25">
      <c r="A6588" s="17"/>
    </row>
    <row r="6589" spans="1:1" x14ac:dyDescent="0.25">
      <c r="A6589" s="17"/>
    </row>
    <row r="6590" spans="1:1" x14ac:dyDescent="0.25">
      <c r="A6590" s="17"/>
    </row>
    <row r="6591" spans="1:1" x14ac:dyDescent="0.25">
      <c r="A6591" s="17"/>
    </row>
    <row r="6592" spans="1:1" x14ac:dyDescent="0.25">
      <c r="A6592" s="17"/>
    </row>
    <row r="6593" spans="1:1" x14ac:dyDescent="0.25">
      <c r="A6593" s="17"/>
    </row>
    <row r="6594" spans="1:1" x14ac:dyDescent="0.25">
      <c r="A6594" s="17"/>
    </row>
    <row r="6595" spans="1:1" x14ac:dyDescent="0.25">
      <c r="A6595" s="17"/>
    </row>
    <row r="6596" spans="1:1" x14ac:dyDescent="0.25">
      <c r="A6596" s="17"/>
    </row>
    <row r="6597" spans="1:1" x14ac:dyDescent="0.25">
      <c r="A6597" s="17"/>
    </row>
    <row r="6598" spans="1:1" x14ac:dyDescent="0.25">
      <c r="A6598" s="17"/>
    </row>
    <row r="6599" spans="1:1" x14ac:dyDescent="0.25">
      <c r="A6599" s="17"/>
    </row>
    <row r="6600" spans="1:1" x14ac:dyDescent="0.25">
      <c r="A6600" s="17"/>
    </row>
    <row r="6601" spans="1:1" x14ac:dyDescent="0.25">
      <c r="A6601" s="17"/>
    </row>
    <row r="6602" spans="1:1" x14ac:dyDescent="0.25">
      <c r="A6602" s="17"/>
    </row>
    <row r="6603" spans="1:1" x14ac:dyDescent="0.25">
      <c r="A6603" s="17"/>
    </row>
    <row r="6604" spans="1:1" x14ac:dyDescent="0.25">
      <c r="A6604" s="17"/>
    </row>
    <row r="6605" spans="1:1" x14ac:dyDescent="0.25">
      <c r="A6605" s="17"/>
    </row>
    <row r="6606" spans="1:1" x14ac:dyDescent="0.25">
      <c r="A6606" s="17"/>
    </row>
    <row r="6607" spans="1:1" x14ac:dyDescent="0.25">
      <c r="A6607" s="17"/>
    </row>
    <row r="6608" spans="1:1" x14ac:dyDescent="0.25">
      <c r="A6608" s="17"/>
    </row>
    <row r="6609" spans="1:1" x14ac:dyDescent="0.25">
      <c r="A6609" s="17"/>
    </row>
    <row r="6610" spans="1:1" x14ac:dyDescent="0.25">
      <c r="A6610" s="17"/>
    </row>
    <row r="6611" spans="1:1" x14ac:dyDescent="0.25">
      <c r="A6611" s="17"/>
    </row>
    <row r="6612" spans="1:1" x14ac:dyDescent="0.25">
      <c r="A6612" s="17"/>
    </row>
    <row r="6613" spans="1:1" x14ac:dyDescent="0.25">
      <c r="A6613" s="17"/>
    </row>
    <row r="6614" spans="1:1" x14ac:dyDescent="0.25">
      <c r="A6614" s="17"/>
    </row>
    <row r="6615" spans="1:1" x14ac:dyDescent="0.25">
      <c r="A6615" s="17"/>
    </row>
    <row r="6616" spans="1:1" x14ac:dyDescent="0.25">
      <c r="A6616" s="17"/>
    </row>
    <row r="6617" spans="1:1" x14ac:dyDescent="0.25">
      <c r="A6617" s="17"/>
    </row>
    <row r="6618" spans="1:1" x14ac:dyDescent="0.25">
      <c r="A6618" s="17"/>
    </row>
    <row r="6619" spans="1:1" x14ac:dyDescent="0.25">
      <c r="A6619" s="17"/>
    </row>
    <row r="6620" spans="1:1" x14ac:dyDescent="0.25">
      <c r="A6620" s="17"/>
    </row>
    <row r="6621" spans="1:1" x14ac:dyDescent="0.25">
      <c r="A6621" s="17"/>
    </row>
    <row r="6622" spans="1:1" x14ac:dyDescent="0.25">
      <c r="A6622" s="17"/>
    </row>
    <row r="6623" spans="1:1" x14ac:dyDescent="0.25">
      <c r="A6623" s="17"/>
    </row>
    <row r="6624" spans="1:1" x14ac:dyDescent="0.25">
      <c r="A6624" s="17"/>
    </row>
    <row r="6625" spans="1:1" x14ac:dyDescent="0.25">
      <c r="A6625" s="17"/>
    </row>
    <row r="6626" spans="1:1" x14ac:dyDescent="0.25">
      <c r="A6626" s="17"/>
    </row>
    <row r="6627" spans="1:1" x14ac:dyDescent="0.25">
      <c r="A6627" s="17"/>
    </row>
    <row r="6628" spans="1:1" x14ac:dyDescent="0.25">
      <c r="A6628" s="17"/>
    </row>
    <row r="6629" spans="1:1" x14ac:dyDescent="0.25">
      <c r="A6629" s="17"/>
    </row>
    <row r="6630" spans="1:1" x14ac:dyDescent="0.25">
      <c r="A6630" s="17"/>
    </row>
    <row r="6631" spans="1:1" x14ac:dyDescent="0.25">
      <c r="A6631" s="17"/>
    </row>
    <row r="6632" spans="1:1" x14ac:dyDescent="0.25">
      <c r="A6632" s="17"/>
    </row>
    <row r="6633" spans="1:1" x14ac:dyDescent="0.25">
      <c r="A6633" s="17"/>
    </row>
    <row r="6634" spans="1:1" x14ac:dyDescent="0.25">
      <c r="A6634" s="17"/>
    </row>
    <row r="6635" spans="1:1" x14ac:dyDescent="0.25">
      <c r="A6635" s="17"/>
    </row>
    <row r="6636" spans="1:1" x14ac:dyDescent="0.25">
      <c r="A6636" s="17"/>
    </row>
    <row r="6637" spans="1:1" x14ac:dyDescent="0.25">
      <c r="A6637" s="17"/>
    </row>
    <row r="6638" spans="1:1" x14ac:dyDescent="0.25">
      <c r="A6638" s="17"/>
    </row>
    <row r="6639" spans="1:1" x14ac:dyDescent="0.25">
      <c r="A6639" s="17"/>
    </row>
    <row r="6640" spans="1:1" x14ac:dyDescent="0.25">
      <c r="A6640" s="17"/>
    </row>
    <row r="6641" spans="1:1" x14ac:dyDescent="0.25">
      <c r="A6641" s="17"/>
    </row>
    <row r="6642" spans="1:1" x14ac:dyDescent="0.25">
      <c r="A6642" s="17"/>
    </row>
    <row r="6643" spans="1:1" x14ac:dyDescent="0.25">
      <c r="A6643" s="17"/>
    </row>
    <row r="6644" spans="1:1" x14ac:dyDescent="0.25">
      <c r="A6644" s="17"/>
    </row>
    <row r="6645" spans="1:1" x14ac:dyDescent="0.25">
      <c r="A6645" s="17"/>
    </row>
    <row r="6646" spans="1:1" x14ac:dyDescent="0.25">
      <c r="A6646" s="17"/>
    </row>
    <row r="6647" spans="1:1" x14ac:dyDescent="0.25">
      <c r="A6647" s="17"/>
    </row>
    <row r="6648" spans="1:1" x14ac:dyDescent="0.25">
      <c r="A6648" s="17"/>
    </row>
    <row r="6649" spans="1:1" x14ac:dyDescent="0.25">
      <c r="A6649" s="17"/>
    </row>
    <row r="6650" spans="1:1" x14ac:dyDescent="0.25">
      <c r="A6650" s="17"/>
    </row>
    <row r="6651" spans="1:1" x14ac:dyDescent="0.25">
      <c r="A6651" s="17"/>
    </row>
    <row r="6652" spans="1:1" x14ac:dyDescent="0.25">
      <c r="A6652" s="17"/>
    </row>
    <row r="6653" spans="1:1" x14ac:dyDescent="0.25">
      <c r="A6653" s="17"/>
    </row>
    <row r="6654" spans="1:1" x14ac:dyDescent="0.25">
      <c r="A6654" s="17"/>
    </row>
    <row r="6655" spans="1:1" x14ac:dyDescent="0.25">
      <c r="A6655" s="17"/>
    </row>
    <row r="6656" spans="1:1" x14ac:dyDescent="0.25">
      <c r="A6656" s="17"/>
    </row>
    <row r="6657" spans="1:1" x14ac:dyDescent="0.25">
      <c r="A6657" s="17"/>
    </row>
    <row r="6658" spans="1:1" x14ac:dyDescent="0.25">
      <c r="A6658" s="17"/>
    </row>
    <row r="6659" spans="1:1" x14ac:dyDescent="0.25">
      <c r="A6659" s="17"/>
    </row>
    <row r="6660" spans="1:1" x14ac:dyDescent="0.25">
      <c r="A6660" s="17"/>
    </row>
    <row r="6661" spans="1:1" x14ac:dyDescent="0.25">
      <c r="A6661" s="17"/>
    </row>
    <row r="6662" spans="1:1" x14ac:dyDescent="0.25">
      <c r="A6662" s="17"/>
    </row>
    <row r="6663" spans="1:1" x14ac:dyDescent="0.25">
      <c r="A6663" s="17"/>
    </row>
    <row r="6664" spans="1:1" x14ac:dyDescent="0.25">
      <c r="A6664" s="17"/>
    </row>
    <row r="6665" spans="1:1" x14ac:dyDescent="0.25">
      <c r="A6665" s="17"/>
    </row>
    <row r="6666" spans="1:1" x14ac:dyDescent="0.25">
      <c r="A6666" s="17"/>
    </row>
    <row r="6667" spans="1:1" x14ac:dyDescent="0.25">
      <c r="A6667" s="17"/>
    </row>
    <row r="6668" spans="1:1" x14ac:dyDescent="0.25">
      <c r="A6668" s="17"/>
    </row>
    <row r="6669" spans="1:1" x14ac:dyDescent="0.25">
      <c r="A6669" s="17"/>
    </row>
    <row r="6670" spans="1:1" x14ac:dyDescent="0.25">
      <c r="A6670" s="17"/>
    </row>
    <row r="6671" spans="1:1" x14ac:dyDescent="0.25">
      <c r="A6671" s="17"/>
    </row>
    <row r="6672" spans="1:1" x14ac:dyDescent="0.25">
      <c r="A6672" s="17"/>
    </row>
    <row r="6673" spans="1:1" x14ac:dyDescent="0.25">
      <c r="A6673" s="17"/>
    </row>
    <row r="6674" spans="1:1" x14ac:dyDescent="0.25">
      <c r="A6674" s="17"/>
    </row>
    <row r="6675" spans="1:1" x14ac:dyDescent="0.25">
      <c r="A6675" s="17"/>
    </row>
    <row r="6676" spans="1:1" x14ac:dyDescent="0.25">
      <c r="A6676" s="17"/>
    </row>
    <row r="6677" spans="1:1" x14ac:dyDescent="0.25">
      <c r="A6677" s="17"/>
    </row>
    <row r="6678" spans="1:1" x14ac:dyDescent="0.25">
      <c r="A6678" s="17"/>
    </row>
    <row r="6679" spans="1:1" x14ac:dyDescent="0.25">
      <c r="A6679" s="17"/>
    </row>
    <row r="6680" spans="1:1" x14ac:dyDescent="0.25">
      <c r="A6680" s="17"/>
    </row>
    <row r="6681" spans="1:1" x14ac:dyDescent="0.25">
      <c r="A6681" s="17"/>
    </row>
    <row r="6682" spans="1:1" x14ac:dyDescent="0.25">
      <c r="A6682" s="17"/>
    </row>
    <row r="6683" spans="1:1" x14ac:dyDescent="0.25">
      <c r="A6683" s="17"/>
    </row>
    <row r="6684" spans="1:1" x14ac:dyDescent="0.25">
      <c r="A6684" s="17"/>
    </row>
    <row r="6685" spans="1:1" x14ac:dyDescent="0.25">
      <c r="A6685" s="17"/>
    </row>
    <row r="6686" spans="1:1" x14ac:dyDescent="0.25">
      <c r="A6686" s="17"/>
    </row>
    <row r="6687" spans="1:1" x14ac:dyDescent="0.25">
      <c r="A6687" s="17"/>
    </row>
    <row r="6688" spans="1:1" x14ac:dyDescent="0.25">
      <c r="A6688" s="17"/>
    </row>
    <row r="6689" spans="1:1" x14ac:dyDescent="0.25">
      <c r="A6689" s="17"/>
    </row>
    <row r="6690" spans="1:1" x14ac:dyDescent="0.25">
      <c r="A6690" s="17"/>
    </row>
    <row r="6691" spans="1:1" x14ac:dyDescent="0.25">
      <c r="A6691" s="17"/>
    </row>
    <row r="6692" spans="1:1" x14ac:dyDescent="0.25">
      <c r="A6692" s="17"/>
    </row>
    <row r="6693" spans="1:1" x14ac:dyDescent="0.25">
      <c r="A6693" s="17"/>
    </row>
    <row r="6694" spans="1:1" x14ac:dyDescent="0.25">
      <c r="A6694" s="17"/>
    </row>
    <row r="6695" spans="1:1" x14ac:dyDescent="0.25">
      <c r="A6695" s="17"/>
    </row>
    <row r="6696" spans="1:1" x14ac:dyDescent="0.25">
      <c r="A6696" s="17"/>
    </row>
    <row r="6697" spans="1:1" x14ac:dyDescent="0.25">
      <c r="A6697" s="17"/>
    </row>
    <row r="6698" spans="1:1" x14ac:dyDescent="0.25">
      <c r="A6698" s="17"/>
    </row>
    <row r="6699" spans="1:1" x14ac:dyDescent="0.25">
      <c r="A6699" s="17"/>
    </row>
    <row r="6700" spans="1:1" x14ac:dyDescent="0.25">
      <c r="A6700" s="17"/>
    </row>
    <row r="6701" spans="1:1" x14ac:dyDescent="0.25">
      <c r="A6701" s="17"/>
    </row>
    <row r="6702" spans="1:1" x14ac:dyDescent="0.25">
      <c r="A6702" s="17"/>
    </row>
    <row r="6703" spans="1:1" x14ac:dyDescent="0.25">
      <c r="A6703" s="17"/>
    </row>
    <row r="6704" spans="1:1" x14ac:dyDescent="0.25">
      <c r="A6704" s="17"/>
    </row>
    <row r="6705" spans="1:1" x14ac:dyDescent="0.25">
      <c r="A6705" s="17"/>
    </row>
    <row r="6706" spans="1:1" x14ac:dyDescent="0.25">
      <c r="A6706" s="17"/>
    </row>
    <row r="6707" spans="1:1" x14ac:dyDescent="0.25">
      <c r="A6707" s="17"/>
    </row>
    <row r="6708" spans="1:1" x14ac:dyDescent="0.25">
      <c r="A6708" s="17"/>
    </row>
    <row r="6709" spans="1:1" x14ac:dyDescent="0.25">
      <c r="A6709" s="17"/>
    </row>
    <row r="6710" spans="1:1" x14ac:dyDescent="0.25">
      <c r="A6710" s="17"/>
    </row>
    <row r="6711" spans="1:1" x14ac:dyDescent="0.25">
      <c r="A6711" s="17"/>
    </row>
    <row r="6712" spans="1:1" x14ac:dyDescent="0.25">
      <c r="A6712" s="17"/>
    </row>
    <row r="6713" spans="1:1" x14ac:dyDescent="0.25">
      <c r="A6713" s="17"/>
    </row>
    <row r="6714" spans="1:1" x14ac:dyDescent="0.25">
      <c r="A6714" s="17"/>
    </row>
    <row r="6715" spans="1:1" x14ac:dyDescent="0.25">
      <c r="A6715" s="17"/>
    </row>
    <row r="6716" spans="1:1" x14ac:dyDescent="0.25">
      <c r="A6716" s="17"/>
    </row>
    <row r="6717" spans="1:1" x14ac:dyDescent="0.25">
      <c r="A6717" s="17"/>
    </row>
    <row r="6718" spans="1:1" x14ac:dyDescent="0.25">
      <c r="A6718" s="17"/>
    </row>
    <row r="6719" spans="1:1" x14ac:dyDescent="0.25">
      <c r="A6719" s="17"/>
    </row>
    <row r="6720" spans="1:1" x14ac:dyDescent="0.25">
      <c r="A6720" s="17"/>
    </row>
    <row r="6721" spans="1:1" x14ac:dyDescent="0.25">
      <c r="A6721" s="17"/>
    </row>
    <row r="6722" spans="1:1" x14ac:dyDescent="0.25">
      <c r="A6722" s="17"/>
    </row>
    <row r="6723" spans="1:1" x14ac:dyDescent="0.25">
      <c r="A6723" s="17"/>
    </row>
    <row r="6724" spans="1:1" x14ac:dyDescent="0.25">
      <c r="A6724" s="17"/>
    </row>
    <row r="6725" spans="1:1" x14ac:dyDescent="0.25">
      <c r="A6725" s="17"/>
    </row>
    <row r="6726" spans="1:1" x14ac:dyDescent="0.25">
      <c r="A6726" s="17"/>
    </row>
    <row r="6727" spans="1:1" x14ac:dyDescent="0.25">
      <c r="A6727" s="17"/>
    </row>
    <row r="6728" spans="1:1" x14ac:dyDescent="0.25">
      <c r="A6728" s="17"/>
    </row>
    <row r="6729" spans="1:1" x14ac:dyDescent="0.25">
      <c r="A6729" s="17"/>
    </row>
    <row r="6730" spans="1:1" x14ac:dyDescent="0.25">
      <c r="A6730" s="17"/>
    </row>
    <row r="6731" spans="1:1" x14ac:dyDescent="0.25">
      <c r="A6731" s="17"/>
    </row>
    <row r="6732" spans="1:1" x14ac:dyDescent="0.25">
      <c r="A6732" s="17"/>
    </row>
    <row r="6733" spans="1:1" x14ac:dyDescent="0.25">
      <c r="A6733" s="17"/>
    </row>
    <row r="6734" spans="1:1" x14ac:dyDescent="0.25">
      <c r="A6734" s="17"/>
    </row>
    <row r="6735" spans="1:1" x14ac:dyDescent="0.25">
      <c r="A6735" s="17"/>
    </row>
    <row r="6736" spans="1:1" x14ac:dyDescent="0.25">
      <c r="A6736" s="17"/>
    </row>
    <row r="6737" spans="1:1" x14ac:dyDescent="0.25">
      <c r="A6737" s="17"/>
    </row>
    <row r="6738" spans="1:1" x14ac:dyDescent="0.25">
      <c r="A6738" s="17"/>
    </row>
    <row r="6739" spans="1:1" x14ac:dyDescent="0.25">
      <c r="A6739" s="17"/>
    </row>
    <row r="6740" spans="1:1" x14ac:dyDescent="0.25">
      <c r="A6740" s="17"/>
    </row>
    <row r="6741" spans="1:1" x14ac:dyDescent="0.25">
      <c r="A6741" s="17"/>
    </row>
    <row r="6742" spans="1:1" x14ac:dyDescent="0.25">
      <c r="A6742" s="17"/>
    </row>
    <row r="6743" spans="1:1" x14ac:dyDescent="0.25">
      <c r="A6743" s="17"/>
    </row>
    <row r="6744" spans="1:1" x14ac:dyDescent="0.25">
      <c r="A6744" s="17"/>
    </row>
    <row r="6745" spans="1:1" x14ac:dyDescent="0.25">
      <c r="A6745" s="17"/>
    </row>
    <row r="6746" spans="1:1" x14ac:dyDescent="0.25">
      <c r="A6746" s="17"/>
    </row>
    <row r="6747" spans="1:1" x14ac:dyDescent="0.25">
      <c r="A6747" s="17"/>
    </row>
    <row r="6748" spans="1:1" x14ac:dyDescent="0.25">
      <c r="A6748" s="17"/>
    </row>
    <row r="6749" spans="1:1" x14ac:dyDescent="0.25">
      <c r="A6749" s="17"/>
    </row>
    <row r="6750" spans="1:1" x14ac:dyDescent="0.25">
      <c r="A6750" s="17"/>
    </row>
    <row r="6751" spans="1:1" x14ac:dyDescent="0.25">
      <c r="A6751" s="17"/>
    </row>
    <row r="6752" spans="1:1" x14ac:dyDescent="0.25">
      <c r="A6752" s="17"/>
    </row>
    <row r="6753" spans="1:1" x14ac:dyDescent="0.25">
      <c r="A6753" s="17"/>
    </row>
    <row r="6754" spans="1:1" x14ac:dyDescent="0.25">
      <c r="A6754" s="17"/>
    </row>
    <row r="6755" spans="1:1" x14ac:dyDescent="0.25">
      <c r="A6755" s="17"/>
    </row>
    <row r="6756" spans="1:1" x14ac:dyDescent="0.25">
      <c r="A6756" s="17"/>
    </row>
    <row r="6757" spans="1:1" x14ac:dyDescent="0.25">
      <c r="A6757" s="17"/>
    </row>
    <row r="6758" spans="1:1" x14ac:dyDescent="0.25">
      <c r="A6758" s="17"/>
    </row>
    <row r="6759" spans="1:1" x14ac:dyDescent="0.25">
      <c r="A6759" s="17"/>
    </row>
    <row r="6760" spans="1:1" x14ac:dyDescent="0.25">
      <c r="A6760" s="17"/>
    </row>
    <row r="6761" spans="1:1" x14ac:dyDescent="0.25">
      <c r="A6761" s="17"/>
    </row>
    <row r="6762" spans="1:1" x14ac:dyDescent="0.25">
      <c r="A6762" s="17"/>
    </row>
    <row r="6763" spans="1:1" x14ac:dyDescent="0.25">
      <c r="A6763" s="17"/>
    </row>
    <row r="6764" spans="1:1" x14ac:dyDescent="0.25">
      <c r="A6764" s="17"/>
    </row>
    <row r="6765" spans="1:1" x14ac:dyDescent="0.25">
      <c r="A6765" s="17"/>
    </row>
    <row r="6766" spans="1:1" x14ac:dyDescent="0.25">
      <c r="A6766" s="17"/>
    </row>
    <row r="6767" spans="1:1" x14ac:dyDescent="0.25">
      <c r="A6767" s="17"/>
    </row>
    <row r="6768" spans="1:1" x14ac:dyDescent="0.25">
      <c r="A6768" s="17"/>
    </row>
    <row r="6769" spans="1:1" x14ac:dyDescent="0.25">
      <c r="A6769" s="17"/>
    </row>
    <row r="6770" spans="1:1" x14ac:dyDescent="0.25">
      <c r="A6770" s="17"/>
    </row>
    <row r="6771" spans="1:1" x14ac:dyDescent="0.25">
      <c r="A6771" s="17"/>
    </row>
    <row r="6772" spans="1:1" x14ac:dyDescent="0.25">
      <c r="A6772" s="17"/>
    </row>
    <row r="6773" spans="1:1" x14ac:dyDescent="0.25">
      <c r="A6773" s="17"/>
    </row>
    <row r="6774" spans="1:1" x14ac:dyDescent="0.25">
      <c r="A6774" s="17"/>
    </row>
    <row r="6775" spans="1:1" x14ac:dyDescent="0.25">
      <c r="A6775" s="17"/>
    </row>
    <row r="6776" spans="1:1" x14ac:dyDescent="0.25">
      <c r="A6776" s="17"/>
    </row>
    <row r="6777" spans="1:1" x14ac:dyDescent="0.25">
      <c r="A6777" s="17"/>
    </row>
    <row r="6778" spans="1:1" x14ac:dyDescent="0.25">
      <c r="A6778" s="17"/>
    </row>
    <row r="6779" spans="1:1" x14ac:dyDescent="0.25">
      <c r="A6779" s="17"/>
    </row>
    <row r="6780" spans="1:1" x14ac:dyDescent="0.25">
      <c r="A6780" s="17"/>
    </row>
    <row r="6781" spans="1:1" x14ac:dyDescent="0.25">
      <c r="A6781" s="17"/>
    </row>
    <row r="6782" spans="1:1" x14ac:dyDescent="0.25">
      <c r="A6782" s="17"/>
    </row>
    <row r="6783" spans="1:1" x14ac:dyDescent="0.25">
      <c r="A6783" s="17"/>
    </row>
    <row r="6784" spans="1:1" x14ac:dyDescent="0.25">
      <c r="A6784" s="17"/>
    </row>
    <row r="6785" spans="1:1" x14ac:dyDescent="0.25">
      <c r="A6785" s="17"/>
    </row>
    <row r="6786" spans="1:1" x14ac:dyDescent="0.25">
      <c r="A6786" s="17"/>
    </row>
    <row r="6787" spans="1:1" x14ac:dyDescent="0.25">
      <c r="A6787" s="17"/>
    </row>
    <row r="6788" spans="1:1" x14ac:dyDescent="0.25">
      <c r="A6788" s="17"/>
    </row>
    <row r="6789" spans="1:1" x14ac:dyDescent="0.25">
      <c r="A6789" s="17"/>
    </row>
    <row r="6790" spans="1:1" x14ac:dyDescent="0.25">
      <c r="A6790" s="17"/>
    </row>
    <row r="6791" spans="1:1" x14ac:dyDescent="0.25">
      <c r="A6791" s="17"/>
    </row>
    <row r="6792" spans="1:1" x14ac:dyDescent="0.25">
      <c r="A6792" s="17"/>
    </row>
    <row r="6793" spans="1:1" x14ac:dyDescent="0.25">
      <c r="A6793" s="17"/>
    </row>
    <row r="6794" spans="1:1" x14ac:dyDescent="0.25">
      <c r="A6794" s="17"/>
    </row>
    <row r="6795" spans="1:1" x14ac:dyDescent="0.25">
      <c r="A6795" s="17"/>
    </row>
    <row r="6796" spans="1:1" x14ac:dyDescent="0.25">
      <c r="A6796" s="17"/>
    </row>
    <row r="6797" spans="1:1" x14ac:dyDescent="0.25">
      <c r="A6797" s="17"/>
    </row>
    <row r="6798" spans="1:1" x14ac:dyDescent="0.25">
      <c r="A6798" s="17"/>
    </row>
    <row r="6799" spans="1:1" x14ac:dyDescent="0.25">
      <c r="A6799" s="17"/>
    </row>
    <row r="6800" spans="1:1" x14ac:dyDescent="0.25">
      <c r="A6800" s="17"/>
    </row>
    <row r="6801" spans="1:1" x14ac:dyDescent="0.25">
      <c r="A6801" s="17"/>
    </row>
    <row r="6802" spans="1:1" x14ac:dyDescent="0.25">
      <c r="A6802" s="17"/>
    </row>
    <row r="6803" spans="1:1" x14ac:dyDescent="0.25">
      <c r="A6803" s="17"/>
    </row>
    <row r="6804" spans="1:1" x14ac:dyDescent="0.25">
      <c r="A6804" s="17"/>
    </row>
    <row r="6805" spans="1:1" x14ac:dyDescent="0.25">
      <c r="A6805" s="17"/>
    </row>
    <row r="6806" spans="1:1" x14ac:dyDescent="0.25">
      <c r="A6806" s="17"/>
    </row>
    <row r="6807" spans="1:1" x14ac:dyDescent="0.25">
      <c r="A6807" s="17"/>
    </row>
    <row r="6808" spans="1:1" x14ac:dyDescent="0.25">
      <c r="A6808" s="17"/>
    </row>
    <row r="6809" spans="1:1" x14ac:dyDescent="0.25">
      <c r="A6809" s="17"/>
    </row>
    <row r="6810" spans="1:1" x14ac:dyDescent="0.25">
      <c r="A6810" s="17"/>
    </row>
    <row r="6811" spans="1:1" x14ac:dyDescent="0.25">
      <c r="A6811" s="17"/>
    </row>
    <row r="6812" spans="1:1" x14ac:dyDescent="0.25">
      <c r="A6812" s="17"/>
    </row>
    <row r="6813" spans="1:1" x14ac:dyDescent="0.25">
      <c r="A6813" s="17"/>
    </row>
    <row r="6814" spans="1:1" x14ac:dyDescent="0.25">
      <c r="A6814" s="17"/>
    </row>
    <row r="6815" spans="1:1" x14ac:dyDescent="0.25">
      <c r="A6815" s="17"/>
    </row>
    <row r="6816" spans="1:1" x14ac:dyDescent="0.25">
      <c r="A6816" s="17"/>
    </row>
    <row r="6817" spans="1:1" x14ac:dyDescent="0.25">
      <c r="A6817" s="17"/>
    </row>
    <row r="6818" spans="1:1" x14ac:dyDescent="0.25">
      <c r="A6818" s="17"/>
    </row>
    <row r="6819" spans="1:1" x14ac:dyDescent="0.25">
      <c r="A6819" s="17"/>
    </row>
    <row r="6820" spans="1:1" x14ac:dyDescent="0.25">
      <c r="A6820" s="17"/>
    </row>
    <row r="6821" spans="1:1" x14ac:dyDescent="0.25">
      <c r="A6821" s="17"/>
    </row>
    <row r="6822" spans="1:1" x14ac:dyDescent="0.25">
      <c r="A6822" s="17"/>
    </row>
    <row r="6823" spans="1:1" x14ac:dyDescent="0.25">
      <c r="A6823" s="17"/>
    </row>
    <row r="6824" spans="1:1" x14ac:dyDescent="0.25">
      <c r="A6824" s="17"/>
    </row>
    <row r="6825" spans="1:1" x14ac:dyDescent="0.25">
      <c r="A6825" s="17"/>
    </row>
    <row r="6826" spans="1:1" x14ac:dyDescent="0.25">
      <c r="A6826" s="17"/>
    </row>
    <row r="6827" spans="1:1" x14ac:dyDescent="0.25">
      <c r="A6827" s="17"/>
    </row>
    <row r="6828" spans="1:1" x14ac:dyDescent="0.25">
      <c r="A6828" s="17"/>
    </row>
    <row r="6829" spans="1:1" x14ac:dyDescent="0.25">
      <c r="A6829" s="17"/>
    </row>
    <row r="6830" spans="1:1" x14ac:dyDescent="0.25">
      <c r="A6830" s="17"/>
    </row>
    <row r="6831" spans="1:1" x14ac:dyDescent="0.25">
      <c r="A6831" s="17"/>
    </row>
    <row r="6832" spans="1:1" x14ac:dyDescent="0.25">
      <c r="A6832" s="17"/>
    </row>
    <row r="6833" spans="1:1" x14ac:dyDescent="0.25">
      <c r="A6833" s="17"/>
    </row>
    <row r="6834" spans="1:1" x14ac:dyDescent="0.25">
      <c r="A6834" s="17"/>
    </row>
    <row r="6835" spans="1:1" x14ac:dyDescent="0.25">
      <c r="A6835" s="17"/>
    </row>
    <row r="6836" spans="1:1" x14ac:dyDescent="0.25">
      <c r="A6836" s="17"/>
    </row>
    <row r="6837" spans="1:1" x14ac:dyDescent="0.25">
      <c r="A6837" s="17"/>
    </row>
    <row r="6838" spans="1:1" x14ac:dyDescent="0.25">
      <c r="A6838" s="17"/>
    </row>
    <row r="6839" spans="1:1" x14ac:dyDescent="0.25">
      <c r="A6839" s="17"/>
    </row>
    <row r="6840" spans="1:1" x14ac:dyDescent="0.25">
      <c r="A6840" s="17"/>
    </row>
    <row r="6841" spans="1:1" x14ac:dyDescent="0.25">
      <c r="A6841" s="17"/>
    </row>
    <row r="6842" spans="1:1" x14ac:dyDescent="0.25">
      <c r="A6842" s="17"/>
    </row>
    <row r="6843" spans="1:1" x14ac:dyDescent="0.25">
      <c r="A6843" s="17"/>
    </row>
    <row r="6844" spans="1:1" x14ac:dyDescent="0.25">
      <c r="A6844" s="17"/>
    </row>
    <row r="6845" spans="1:1" x14ac:dyDescent="0.25">
      <c r="A6845" s="17"/>
    </row>
    <row r="6846" spans="1:1" x14ac:dyDescent="0.25">
      <c r="A6846" s="17"/>
    </row>
    <row r="6847" spans="1:1" x14ac:dyDescent="0.25">
      <c r="A6847" s="17"/>
    </row>
    <row r="6848" spans="1:1" x14ac:dyDescent="0.25">
      <c r="A6848" s="17"/>
    </row>
    <row r="6849" spans="1:1" x14ac:dyDescent="0.25">
      <c r="A6849" s="17"/>
    </row>
    <row r="6850" spans="1:1" x14ac:dyDescent="0.25">
      <c r="A6850" s="17"/>
    </row>
    <row r="6851" spans="1:1" x14ac:dyDescent="0.25">
      <c r="A6851" s="17"/>
    </row>
    <row r="6852" spans="1:1" x14ac:dyDescent="0.25">
      <c r="A6852" s="17"/>
    </row>
    <row r="6853" spans="1:1" x14ac:dyDescent="0.25">
      <c r="A6853" s="17"/>
    </row>
    <row r="6854" spans="1:1" x14ac:dyDescent="0.25">
      <c r="A6854" s="17"/>
    </row>
    <row r="6855" spans="1:1" x14ac:dyDescent="0.25">
      <c r="A6855" s="17"/>
    </row>
    <row r="6856" spans="1:1" x14ac:dyDescent="0.25">
      <c r="A6856" s="17"/>
    </row>
    <row r="6857" spans="1:1" x14ac:dyDescent="0.25">
      <c r="A6857" s="17"/>
    </row>
    <row r="6858" spans="1:1" x14ac:dyDescent="0.25">
      <c r="A6858" s="17"/>
    </row>
    <row r="6859" spans="1:1" x14ac:dyDescent="0.25">
      <c r="A6859" s="17"/>
    </row>
    <row r="6860" spans="1:1" x14ac:dyDescent="0.25">
      <c r="A6860" s="17"/>
    </row>
    <row r="6861" spans="1:1" x14ac:dyDescent="0.25">
      <c r="A6861" s="17"/>
    </row>
    <row r="6862" spans="1:1" x14ac:dyDescent="0.25">
      <c r="A6862" s="17"/>
    </row>
    <row r="6863" spans="1:1" x14ac:dyDescent="0.25">
      <c r="A6863" s="17"/>
    </row>
    <row r="6864" spans="1:1" x14ac:dyDescent="0.25">
      <c r="A6864" s="17"/>
    </row>
    <row r="6865" spans="1:1" x14ac:dyDescent="0.25">
      <c r="A6865" s="17"/>
    </row>
    <row r="6866" spans="1:1" x14ac:dyDescent="0.25">
      <c r="A6866" s="17"/>
    </row>
    <row r="6867" spans="1:1" x14ac:dyDescent="0.25">
      <c r="A6867" s="17"/>
    </row>
    <row r="6868" spans="1:1" x14ac:dyDescent="0.25">
      <c r="A6868" s="17"/>
    </row>
    <row r="6869" spans="1:1" x14ac:dyDescent="0.25">
      <c r="A6869" s="17"/>
    </row>
    <row r="6870" spans="1:1" x14ac:dyDescent="0.25">
      <c r="A6870" s="17"/>
    </row>
    <row r="6871" spans="1:1" x14ac:dyDescent="0.25">
      <c r="A6871" s="17"/>
    </row>
    <row r="6872" spans="1:1" x14ac:dyDescent="0.25">
      <c r="A6872" s="17"/>
    </row>
    <row r="6873" spans="1:1" x14ac:dyDescent="0.25">
      <c r="A6873" s="17"/>
    </row>
    <row r="6874" spans="1:1" x14ac:dyDescent="0.25">
      <c r="A6874" s="17"/>
    </row>
    <row r="6875" spans="1:1" x14ac:dyDescent="0.25">
      <c r="A6875" s="17"/>
    </row>
    <row r="6876" spans="1:1" x14ac:dyDescent="0.25">
      <c r="A6876" s="17"/>
    </row>
    <row r="6877" spans="1:1" x14ac:dyDescent="0.25">
      <c r="A6877" s="17"/>
    </row>
    <row r="6878" spans="1:1" x14ac:dyDescent="0.25">
      <c r="A6878" s="17"/>
    </row>
    <row r="6879" spans="1:1" x14ac:dyDescent="0.25">
      <c r="A6879" s="17"/>
    </row>
    <row r="6880" spans="1:1" x14ac:dyDescent="0.25">
      <c r="A6880" s="17"/>
    </row>
    <row r="6881" spans="1:1" x14ac:dyDescent="0.25">
      <c r="A6881" s="17"/>
    </row>
    <row r="6882" spans="1:1" x14ac:dyDescent="0.25">
      <c r="A6882" s="17"/>
    </row>
    <row r="6883" spans="1:1" x14ac:dyDescent="0.25">
      <c r="A6883" s="17"/>
    </row>
    <row r="6884" spans="1:1" x14ac:dyDescent="0.25">
      <c r="A6884" s="17"/>
    </row>
    <row r="6885" spans="1:1" x14ac:dyDescent="0.25">
      <c r="A6885" s="17"/>
    </row>
    <row r="6886" spans="1:1" x14ac:dyDescent="0.25">
      <c r="A6886" s="17"/>
    </row>
    <row r="6887" spans="1:1" x14ac:dyDescent="0.25">
      <c r="A6887" s="17"/>
    </row>
    <row r="6888" spans="1:1" x14ac:dyDescent="0.25">
      <c r="A6888" s="17"/>
    </row>
    <row r="6889" spans="1:1" x14ac:dyDescent="0.25">
      <c r="A6889" s="17"/>
    </row>
    <row r="6890" spans="1:1" x14ac:dyDescent="0.25">
      <c r="A6890" s="17"/>
    </row>
    <row r="6891" spans="1:1" x14ac:dyDescent="0.25">
      <c r="A6891" s="17"/>
    </row>
    <row r="6892" spans="1:1" x14ac:dyDescent="0.25">
      <c r="A6892" s="17"/>
    </row>
    <row r="6893" spans="1:1" x14ac:dyDescent="0.25">
      <c r="A6893" s="17"/>
    </row>
    <row r="6894" spans="1:1" x14ac:dyDescent="0.25">
      <c r="A6894" s="17"/>
    </row>
    <row r="6895" spans="1:1" x14ac:dyDescent="0.25">
      <c r="A6895" s="17"/>
    </row>
    <row r="6896" spans="1:1" x14ac:dyDescent="0.25">
      <c r="A6896" s="17"/>
    </row>
    <row r="6897" spans="1:1" x14ac:dyDescent="0.25">
      <c r="A6897" s="17"/>
    </row>
    <row r="6898" spans="1:1" x14ac:dyDescent="0.25">
      <c r="A6898" s="17"/>
    </row>
    <row r="6899" spans="1:1" x14ac:dyDescent="0.25">
      <c r="A6899" s="17"/>
    </row>
    <row r="6900" spans="1:1" x14ac:dyDescent="0.25">
      <c r="A6900" s="17"/>
    </row>
    <row r="6901" spans="1:1" x14ac:dyDescent="0.25">
      <c r="A6901" s="17"/>
    </row>
    <row r="6902" spans="1:1" x14ac:dyDescent="0.25">
      <c r="A6902" s="17"/>
    </row>
    <row r="6903" spans="1:1" x14ac:dyDescent="0.25">
      <c r="A6903" s="17"/>
    </row>
    <row r="6904" spans="1:1" x14ac:dyDescent="0.25">
      <c r="A6904" s="17"/>
    </row>
    <row r="6905" spans="1:1" x14ac:dyDescent="0.25">
      <c r="A6905" s="17"/>
    </row>
    <row r="6906" spans="1:1" x14ac:dyDescent="0.25">
      <c r="A6906" s="17"/>
    </row>
    <row r="6907" spans="1:1" x14ac:dyDescent="0.25">
      <c r="A6907" s="17"/>
    </row>
    <row r="6908" spans="1:1" x14ac:dyDescent="0.25">
      <c r="A6908" s="17"/>
    </row>
    <row r="6909" spans="1:1" x14ac:dyDescent="0.25">
      <c r="A6909" s="17"/>
    </row>
    <row r="6910" spans="1:1" x14ac:dyDescent="0.25">
      <c r="A6910" s="17"/>
    </row>
    <row r="6911" spans="1:1" x14ac:dyDescent="0.25">
      <c r="A6911" s="17"/>
    </row>
    <row r="6912" spans="1:1" x14ac:dyDescent="0.25">
      <c r="A6912" s="17"/>
    </row>
    <row r="6913" spans="1:1" x14ac:dyDescent="0.25">
      <c r="A6913" s="17"/>
    </row>
    <row r="6914" spans="1:1" x14ac:dyDescent="0.25">
      <c r="A6914" s="17"/>
    </row>
    <row r="6915" spans="1:1" x14ac:dyDescent="0.25">
      <c r="A6915" s="17"/>
    </row>
    <row r="6916" spans="1:1" x14ac:dyDescent="0.25">
      <c r="A6916" s="17"/>
    </row>
    <row r="6917" spans="1:1" x14ac:dyDescent="0.25">
      <c r="A6917" s="17"/>
    </row>
    <row r="6918" spans="1:1" x14ac:dyDescent="0.25">
      <c r="A6918" s="17"/>
    </row>
    <row r="6919" spans="1:1" x14ac:dyDescent="0.25">
      <c r="A6919" s="17"/>
    </row>
    <row r="6920" spans="1:1" x14ac:dyDescent="0.25">
      <c r="A6920" s="17"/>
    </row>
    <row r="6921" spans="1:1" x14ac:dyDescent="0.25">
      <c r="A6921" s="17"/>
    </row>
    <row r="6922" spans="1:1" x14ac:dyDescent="0.25">
      <c r="A6922" s="17"/>
    </row>
    <row r="6923" spans="1:1" x14ac:dyDescent="0.25">
      <c r="A6923" s="17"/>
    </row>
    <row r="6924" spans="1:1" x14ac:dyDescent="0.25">
      <c r="A6924" s="17"/>
    </row>
    <row r="6925" spans="1:1" x14ac:dyDescent="0.25">
      <c r="A6925" s="17"/>
    </row>
    <row r="6926" spans="1:1" x14ac:dyDescent="0.25">
      <c r="A6926" s="17"/>
    </row>
    <row r="6927" spans="1:1" x14ac:dyDescent="0.25">
      <c r="A6927" s="17"/>
    </row>
    <row r="6928" spans="1:1" x14ac:dyDescent="0.25">
      <c r="A6928" s="17"/>
    </row>
    <row r="6929" spans="1:1" x14ac:dyDescent="0.25">
      <c r="A6929" s="17"/>
    </row>
    <row r="6930" spans="1:1" x14ac:dyDescent="0.25">
      <c r="A6930" s="17"/>
    </row>
    <row r="6931" spans="1:1" x14ac:dyDescent="0.25">
      <c r="A6931" s="17"/>
    </row>
    <row r="6932" spans="1:1" x14ac:dyDescent="0.25">
      <c r="A6932" s="17"/>
    </row>
    <row r="6933" spans="1:1" x14ac:dyDescent="0.25">
      <c r="A6933" s="17"/>
    </row>
    <row r="6934" spans="1:1" x14ac:dyDescent="0.25">
      <c r="A6934" s="17"/>
    </row>
    <row r="6935" spans="1:1" x14ac:dyDescent="0.25">
      <c r="A6935" s="17"/>
    </row>
    <row r="6936" spans="1:1" x14ac:dyDescent="0.25">
      <c r="A6936" s="17"/>
    </row>
    <row r="6937" spans="1:1" x14ac:dyDescent="0.25">
      <c r="A6937" s="17"/>
    </row>
    <row r="6938" spans="1:1" x14ac:dyDescent="0.25">
      <c r="A6938" s="17"/>
    </row>
    <row r="6939" spans="1:1" x14ac:dyDescent="0.25">
      <c r="A6939" s="17"/>
    </row>
    <row r="6940" spans="1:1" x14ac:dyDescent="0.25">
      <c r="A6940" s="17"/>
    </row>
    <row r="6941" spans="1:1" x14ac:dyDescent="0.25">
      <c r="A6941" s="17"/>
    </row>
    <row r="6942" spans="1:1" x14ac:dyDescent="0.25">
      <c r="A6942" s="17"/>
    </row>
    <row r="6943" spans="1:1" x14ac:dyDescent="0.25">
      <c r="A6943" s="17"/>
    </row>
    <row r="6944" spans="1:1" x14ac:dyDescent="0.25">
      <c r="A6944" s="17"/>
    </row>
    <row r="6945" spans="1:1" x14ac:dyDescent="0.25">
      <c r="A6945" s="17"/>
    </row>
    <row r="6946" spans="1:1" x14ac:dyDescent="0.25">
      <c r="A6946" s="17"/>
    </row>
    <row r="6947" spans="1:1" x14ac:dyDescent="0.25">
      <c r="A6947" s="17"/>
    </row>
    <row r="6948" spans="1:1" x14ac:dyDescent="0.25">
      <c r="A6948" s="17"/>
    </row>
    <row r="6949" spans="1:1" x14ac:dyDescent="0.25">
      <c r="A6949" s="17"/>
    </row>
    <row r="6950" spans="1:1" x14ac:dyDescent="0.25">
      <c r="A6950" s="17"/>
    </row>
    <row r="6951" spans="1:1" x14ac:dyDescent="0.25">
      <c r="A6951" s="17"/>
    </row>
    <row r="6952" spans="1:1" x14ac:dyDescent="0.25">
      <c r="A6952" s="17"/>
    </row>
    <row r="6953" spans="1:1" x14ac:dyDescent="0.25">
      <c r="A6953" s="17"/>
    </row>
    <row r="6954" spans="1:1" x14ac:dyDescent="0.25">
      <c r="A6954" s="17"/>
    </row>
    <row r="6955" spans="1:1" x14ac:dyDescent="0.25">
      <c r="A6955" s="17"/>
    </row>
    <row r="6956" spans="1:1" x14ac:dyDescent="0.25">
      <c r="A6956" s="17"/>
    </row>
    <row r="6957" spans="1:1" x14ac:dyDescent="0.25">
      <c r="A6957" s="17"/>
    </row>
    <row r="6958" spans="1:1" x14ac:dyDescent="0.25">
      <c r="A6958" s="17"/>
    </row>
    <row r="6959" spans="1:1" x14ac:dyDescent="0.25">
      <c r="A6959" s="17"/>
    </row>
    <row r="6960" spans="1:1" x14ac:dyDescent="0.25">
      <c r="A6960" s="17"/>
    </row>
    <row r="6961" spans="1:1" x14ac:dyDescent="0.25">
      <c r="A6961" s="17"/>
    </row>
    <row r="6962" spans="1:1" x14ac:dyDescent="0.25">
      <c r="A6962" s="17"/>
    </row>
    <row r="6963" spans="1:1" x14ac:dyDescent="0.25">
      <c r="A6963" s="17"/>
    </row>
    <row r="6964" spans="1:1" x14ac:dyDescent="0.25">
      <c r="A6964" s="17"/>
    </row>
    <row r="6965" spans="1:1" x14ac:dyDescent="0.25">
      <c r="A6965" s="17"/>
    </row>
    <row r="6966" spans="1:1" x14ac:dyDescent="0.25">
      <c r="A6966" s="17"/>
    </row>
    <row r="6967" spans="1:1" x14ac:dyDescent="0.25">
      <c r="A6967" s="17"/>
    </row>
    <row r="6968" spans="1:1" x14ac:dyDescent="0.25">
      <c r="A6968" s="17"/>
    </row>
    <row r="6969" spans="1:1" x14ac:dyDescent="0.25">
      <c r="A6969" s="17"/>
    </row>
    <row r="6970" spans="1:1" x14ac:dyDescent="0.25">
      <c r="A6970" s="17"/>
    </row>
    <row r="6971" spans="1:1" x14ac:dyDescent="0.25">
      <c r="A6971" s="17"/>
    </row>
    <row r="6972" spans="1:1" x14ac:dyDescent="0.25">
      <c r="A6972" s="17"/>
    </row>
    <row r="6973" spans="1:1" x14ac:dyDescent="0.25">
      <c r="A6973" s="17"/>
    </row>
    <row r="6974" spans="1:1" x14ac:dyDescent="0.25">
      <c r="A6974" s="17"/>
    </row>
    <row r="6975" spans="1:1" x14ac:dyDescent="0.25">
      <c r="A6975" s="17"/>
    </row>
    <row r="6976" spans="1:1" x14ac:dyDescent="0.25">
      <c r="A6976" s="17"/>
    </row>
    <row r="6977" spans="1:1" x14ac:dyDescent="0.25">
      <c r="A6977" s="17"/>
    </row>
    <row r="6978" spans="1:1" x14ac:dyDescent="0.25">
      <c r="A6978" s="17"/>
    </row>
    <row r="6979" spans="1:1" x14ac:dyDescent="0.25">
      <c r="A6979" s="17"/>
    </row>
    <row r="6980" spans="1:1" x14ac:dyDescent="0.25">
      <c r="A6980" s="17"/>
    </row>
    <row r="6981" spans="1:1" x14ac:dyDescent="0.25">
      <c r="A6981" s="17"/>
    </row>
    <row r="6982" spans="1:1" x14ac:dyDescent="0.25">
      <c r="A6982" s="17"/>
    </row>
    <row r="6983" spans="1:1" x14ac:dyDescent="0.25">
      <c r="A6983" s="17"/>
    </row>
    <row r="6984" spans="1:1" x14ac:dyDescent="0.25">
      <c r="A6984" s="17"/>
    </row>
    <row r="6985" spans="1:1" x14ac:dyDescent="0.25">
      <c r="A6985" s="17"/>
    </row>
    <row r="6986" spans="1:1" x14ac:dyDescent="0.25">
      <c r="A6986" s="17"/>
    </row>
    <row r="6987" spans="1:1" x14ac:dyDescent="0.25">
      <c r="A6987" s="17"/>
    </row>
    <row r="6988" spans="1:1" x14ac:dyDescent="0.25">
      <c r="A6988" s="17"/>
    </row>
    <row r="6989" spans="1:1" x14ac:dyDescent="0.25">
      <c r="A6989" s="17"/>
    </row>
    <row r="6990" spans="1:1" x14ac:dyDescent="0.25">
      <c r="A6990" s="17"/>
    </row>
    <row r="6991" spans="1:1" x14ac:dyDescent="0.25">
      <c r="A6991" s="17"/>
    </row>
    <row r="6992" spans="1:1" x14ac:dyDescent="0.25">
      <c r="A6992" s="17"/>
    </row>
    <row r="6993" spans="1:1" x14ac:dyDescent="0.25">
      <c r="A6993" s="17"/>
    </row>
    <row r="6994" spans="1:1" x14ac:dyDescent="0.25">
      <c r="A6994" s="17"/>
    </row>
    <row r="6995" spans="1:1" x14ac:dyDescent="0.25">
      <c r="A6995" s="17"/>
    </row>
    <row r="6996" spans="1:1" x14ac:dyDescent="0.25">
      <c r="A6996" s="17"/>
    </row>
    <row r="6997" spans="1:1" x14ac:dyDescent="0.25">
      <c r="A6997" s="17"/>
    </row>
    <row r="6998" spans="1:1" x14ac:dyDescent="0.25">
      <c r="A6998" s="17"/>
    </row>
    <row r="6999" spans="1:1" x14ac:dyDescent="0.25">
      <c r="A6999" s="17"/>
    </row>
    <row r="7000" spans="1:1" x14ac:dyDescent="0.25">
      <c r="A7000" s="17"/>
    </row>
    <row r="7001" spans="1:1" x14ac:dyDescent="0.25">
      <c r="A7001" s="17"/>
    </row>
    <row r="7002" spans="1:1" x14ac:dyDescent="0.25">
      <c r="A7002" s="17"/>
    </row>
    <row r="7003" spans="1:1" x14ac:dyDescent="0.25">
      <c r="A7003" s="17"/>
    </row>
    <row r="7004" spans="1:1" x14ac:dyDescent="0.25">
      <c r="A7004" s="17"/>
    </row>
    <row r="7005" spans="1:1" x14ac:dyDescent="0.25">
      <c r="A7005" s="17"/>
    </row>
    <row r="7006" spans="1:1" x14ac:dyDescent="0.25">
      <c r="A7006" s="17"/>
    </row>
    <row r="7007" spans="1:1" x14ac:dyDescent="0.25">
      <c r="A7007" s="17"/>
    </row>
    <row r="7008" spans="1:1" x14ac:dyDescent="0.25">
      <c r="A7008" s="17"/>
    </row>
    <row r="7009" spans="1:1" x14ac:dyDescent="0.25">
      <c r="A7009" s="17"/>
    </row>
    <row r="7010" spans="1:1" x14ac:dyDescent="0.25">
      <c r="A7010" s="17"/>
    </row>
    <row r="7011" spans="1:1" x14ac:dyDescent="0.25">
      <c r="A7011" s="17"/>
    </row>
    <row r="7012" spans="1:1" x14ac:dyDescent="0.25">
      <c r="A7012" s="17"/>
    </row>
    <row r="7013" spans="1:1" x14ac:dyDescent="0.25">
      <c r="A7013" s="17"/>
    </row>
    <row r="7014" spans="1:1" x14ac:dyDescent="0.25">
      <c r="A7014" s="17"/>
    </row>
    <row r="7015" spans="1:1" x14ac:dyDescent="0.25">
      <c r="A7015" s="17"/>
    </row>
    <row r="7016" spans="1:1" x14ac:dyDescent="0.25">
      <c r="A7016" s="17"/>
    </row>
    <row r="7017" spans="1:1" x14ac:dyDescent="0.25">
      <c r="A7017" s="17"/>
    </row>
    <row r="7018" spans="1:1" x14ac:dyDescent="0.25">
      <c r="A7018" s="17"/>
    </row>
    <row r="7019" spans="1:1" x14ac:dyDescent="0.25">
      <c r="A7019" s="17"/>
    </row>
    <row r="7020" spans="1:1" x14ac:dyDescent="0.25">
      <c r="A7020" s="17"/>
    </row>
    <row r="7021" spans="1:1" x14ac:dyDescent="0.25">
      <c r="A7021" s="17"/>
    </row>
    <row r="7022" spans="1:1" x14ac:dyDescent="0.25">
      <c r="A7022" s="17"/>
    </row>
    <row r="7023" spans="1:1" x14ac:dyDescent="0.25">
      <c r="A7023" s="17"/>
    </row>
    <row r="7024" spans="1:1" x14ac:dyDescent="0.25">
      <c r="A7024" s="17"/>
    </row>
    <row r="7025" spans="1:1" x14ac:dyDescent="0.25">
      <c r="A7025" s="17"/>
    </row>
    <row r="7026" spans="1:1" x14ac:dyDescent="0.25">
      <c r="A7026" s="17"/>
    </row>
    <row r="7027" spans="1:1" x14ac:dyDescent="0.25">
      <c r="A7027" s="17"/>
    </row>
    <row r="7028" spans="1:1" x14ac:dyDescent="0.25">
      <c r="A7028" s="17"/>
    </row>
    <row r="7029" spans="1:1" x14ac:dyDescent="0.25">
      <c r="A7029" s="17"/>
    </row>
    <row r="7030" spans="1:1" x14ac:dyDescent="0.25">
      <c r="A7030" s="17"/>
    </row>
    <row r="7031" spans="1:1" x14ac:dyDescent="0.25">
      <c r="A7031" s="17"/>
    </row>
    <row r="7032" spans="1:1" x14ac:dyDescent="0.25">
      <c r="A7032" s="17"/>
    </row>
    <row r="7033" spans="1:1" x14ac:dyDescent="0.25">
      <c r="A7033" s="17"/>
    </row>
    <row r="7034" spans="1:1" x14ac:dyDescent="0.25">
      <c r="A7034" s="17"/>
    </row>
    <row r="7035" spans="1:1" x14ac:dyDescent="0.25">
      <c r="A7035" s="17"/>
    </row>
    <row r="7036" spans="1:1" x14ac:dyDescent="0.25">
      <c r="A7036" s="17"/>
    </row>
    <row r="7037" spans="1:1" x14ac:dyDescent="0.25">
      <c r="A7037" s="17"/>
    </row>
    <row r="7038" spans="1:1" x14ac:dyDescent="0.25">
      <c r="A7038" s="17"/>
    </row>
    <row r="7039" spans="1:1" x14ac:dyDescent="0.25">
      <c r="A7039" s="17"/>
    </row>
    <row r="7040" spans="1:1" x14ac:dyDescent="0.25">
      <c r="A7040" s="17"/>
    </row>
    <row r="7041" spans="1:1" x14ac:dyDescent="0.25">
      <c r="A7041" s="17"/>
    </row>
    <row r="7042" spans="1:1" x14ac:dyDescent="0.25">
      <c r="A7042" s="17"/>
    </row>
    <row r="7043" spans="1:1" x14ac:dyDescent="0.25">
      <c r="A7043" s="17"/>
    </row>
    <row r="7044" spans="1:1" x14ac:dyDescent="0.25">
      <c r="A7044" s="17"/>
    </row>
    <row r="7045" spans="1:1" x14ac:dyDescent="0.25">
      <c r="A7045" s="17"/>
    </row>
    <row r="7046" spans="1:1" x14ac:dyDescent="0.25">
      <c r="A7046" s="17"/>
    </row>
    <row r="7047" spans="1:1" x14ac:dyDescent="0.25">
      <c r="A7047" s="17"/>
    </row>
    <row r="7048" spans="1:1" x14ac:dyDescent="0.25">
      <c r="A7048" s="17"/>
    </row>
    <row r="7049" spans="1:1" x14ac:dyDescent="0.25">
      <c r="A7049" s="17"/>
    </row>
    <row r="7050" spans="1:1" x14ac:dyDescent="0.25">
      <c r="A7050" s="17"/>
    </row>
    <row r="7051" spans="1:1" x14ac:dyDescent="0.25">
      <c r="A7051" s="17"/>
    </row>
    <row r="7052" spans="1:1" x14ac:dyDescent="0.25">
      <c r="A7052" s="17"/>
    </row>
    <row r="7053" spans="1:1" x14ac:dyDescent="0.25">
      <c r="A7053" s="17"/>
    </row>
    <row r="7054" spans="1:1" x14ac:dyDescent="0.25">
      <c r="A7054" s="17"/>
    </row>
    <row r="7055" spans="1:1" x14ac:dyDescent="0.25">
      <c r="A7055" s="17"/>
    </row>
    <row r="7056" spans="1:1" x14ac:dyDescent="0.25">
      <c r="A7056" s="17"/>
    </row>
    <row r="7057" spans="1:1" x14ac:dyDescent="0.25">
      <c r="A7057" s="17"/>
    </row>
    <row r="7058" spans="1:1" x14ac:dyDescent="0.25">
      <c r="A7058" s="17"/>
    </row>
    <row r="7059" spans="1:1" x14ac:dyDescent="0.25">
      <c r="A7059" s="17"/>
    </row>
    <row r="7060" spans="1:1" x14ac:dyDescent="0.25">
      <c r="A7060" s="17"/>
    </row>
    <row r="7061" spans="1:1" x14ac:dyDescent="0.25">
      <c r="A7061" s="17"/>
    </row>
    <row r="7062" spans="1:1" x14ac:dyDescent="0.25">
      <c r="A7062" s="17"/>
    </row>
    <row r="7063" spans="1:1" x14ac:dyDescent="0.25">
      <c r="A7063" s="17"/>
    </row>
    <row r="7064" spans="1:1" x14ac:dyDescent="0.25">
      <c r="A7064" s="17"/>
    </row>
    <row r="7065" spans="1:1" x14ac:dyDescent="0.25">
      <c r="A7065" s="17"/>
    </row>
    <row r="7066" spans="1:1" x14ac:dyDescent="0.25">
      <c r="A7066" s="17"/>
    </row>
    <row r="7067" spans="1:1" x14ac:dyDescent="0.25">
      <c r="A7067" s="17"/>
    </row>
    <row r="7068" spans="1:1" x14ac:dyDescent="0.25">
      <c r="A7068" s="17"/>
    </row>
    <row r="7069" spans="1:1" x14ac:dyDescent="0.25">
      <c r="A7069" s="17"/>
    </row>
    <row r="7070" spans="1:1" x14ac:dyDescent="0.25">
      <c r="A7070" s="17"/>
    </row>
    <row r="7071" spans="1:1" x14ac:dyDescent="0.25">
      <c r="A7071" s="17"/>
    </row>
    <row r="7072" spans="1:1" x14ac:dyDescent="0.25">
      <c r="A7072" s="17"/>
    </row>
    <row r="7073" spans="1:1" x14ac:dyDescent="0.25">
      <c r="A7073" s="17"/>
    </row>
    <row r="7074" spans="1:1" x14ac:dyDescent="0.25">
      <c r="A7074" s="17"/>
    </row>
    <row r="7075" spans="1:1" x14ac:dyDescent="0.25">
      <c r="A7075" s="17"/>
    </row>
    <row r="7076" spans="1:1" x14ac:dyDescent="0.25">
      <c r="A7076" s="17"/>
    </row>
    <row r="7077" spans="1:1" x14ac:dyDescent="0.25">
      <c r="A7077" s="17"/>
    </row>
    <row r="7078" spans="1:1" x14ac:dyDescent="0.25">
      <c r="A7078" s="17"/>
    </row>
    <row r="7079" spans="1:1" x14ac:dyDescent="0.25">
      <c r="A7079" s="17"/>
    </row>
    <row r="7080" spans="1:1" x14ac:dyDescent="0.25">
      <c r="A7080" s="17"/>
    </row>
    <row r="7081" spans="1:1" x14ac:dyDescent="0.25">
      <c r="A7081" s="17"/>
    </row>
    <row r="7082" spans="1:1" x14ac:dyDescent="0.25">
      <c r="A7082" s="17"/>
    </row>
    <row r="7083" spans="1:1" x14ac:dyDescent="0.25">
      <c r="A7083" s="17"/>
    </row>
    <row r="7084" spans="1:1" x14ac:dyDescent="0.25">
      <c r="A7084" s="17"/>
    </row>
    <row r="7085" spans="1:1" x14ac:dyDescent="0.25">
      <c r="A7085" s="17"/>
    </row>
    <row r="7086" spans="1:1" x14ac:dyDescent="0.25">
      <c r="A7086" s="17"/>
    </row>
    <row r="7087" spans="1:1" x14ac:dyDescent="0.25">
      <c r="A7087" s="17"/>
    </row>
    <row r="7088" spans="1:1" x14ac:dyDescent="0.25">
      <c r="A7088" s="17"/>
    </row>
    <row r="7089" spans="1:1" x14ac:dyDescent="0.25">
      <c r="A7089" s="17"/>
    </row>
    <row r="7090" spans="1:1" x14ac:dyDescent="0.25">
      <c r="A7090" s="17"/>
    </row>
    <row r="7091" spans="1:1" x14ac:dyDescent="0.25">
      <c r="A7091" s="17"/>
    </row>
    <row r="7092" spans="1:1" x14ac:dyDescent="0.25">
      <c r="A7092" s="17"/>
    </row>
    <row r="7093" spans="1:1" x14ac:dyDescent="0.25">
      <c r="A7093" s="17"/>
    </row>
    <row r="7094" spans="1:1" x14ac:dyDescent="0.25">
      <c r="A7094" s="17"/>
    </row>
    <row r="7095" spans="1:1" x14ac:dyDescent="0.25">
      <c r="A7095" s="17"/>
    </row>
    <row r="7096" spans="1:1" x14ac:dyDescent="0.25">
      <c r="A7096" s="17"/>
    </row>
    <row r="7097" spans="1:1" x14ac:dyDescent="0.25">
      <c r="A7097" s="17"/>
    </row>
    <row r="7098" spans="1:1" x14ac:dyDescent="0.25">
      <c r="A7098" s="17"/>
    </row>
    <row r="7099" spans="1:1" x14ac:dyDescent="0.25">
      <c r="A7099" s="17"/>
    </row>
    <row r="7100" spans="1:1" x14ac:dyDescent="0.25">
      <c r="A7100" s="17"/>
    </row>
    <row r="7101" spans="1:1" x14ac:dyDescent="0.25">
      <c r="A7101" s="17"/>
    </row>
    <row r="7102" spans="1:1" x14ac:dyDescent="0.25">
      <c r="A7102" s="17"/>
    </row>
    <row r="7103" spans="1:1" x14ac:dyDescent="0.25">
      <c r="A7103" s="17"/>
    </row>
    <row r="7104" spans="1:1" x14ac:dyDescent="0.25">
      <c r="A7104" s="17"/>
    </row>
    <row r="7105" spans="1:1" x14ac:dyDescent="0.25">
      <c r="A7105" s="17"/>
    </row>
    <row r="7106" spans="1:1" x14ac:dyDescent="0.25">
      <c r="A7106" s="17"/>
    </row>
    <row r="7107" spans="1:1" x14ac:dyDescent="0.25">
      <c r="A7107" s="17"/>
    </row>
    <row r="7108" spans="1:1" x14ac:dyDescent="0.25">
      <c r="A7108" s="17"/>
    </row>
    <row r="7109" spans="1:1" x14ac:dyDescent="0.25">
      <c r="A7109" s="17"/>
    </row>
    <row r="7110" spans="1:1" x14ac:dyDescent="0.25">
      <c r="A7110" s="17"/>
    </row>
    <row r="7111" spans="1:1" x14ac:dyDescent="0.25">
      <c r="A7111" s="17"/>
    </row>
    <row r="7112" spans="1:1" x14ac:dyDescent="0.25">
      <c r="A7112" s="17"/>
    </row>
    <row r="7113" spans="1:1" x14ac:dyDescent="0.25">
      <c r="A7113" s="17"/>
    </row>
    <row r="7114" spans="1:1" x14ac:dyDescent="0.25">
      <c r="A7114" s="17"/>
    </row>
    <row r="7115" spans="1:1" x14ac:dyDescent="0.25">
      <c r="A7115" s="17"/>
    </row>
    <row r="7116" spans="1:1" x14ac:dyDescent="0.25">
      <c r="A7116" s="17"/>
    </row>
    <row r="7117" spans="1:1" x14ac:dyDescent="0.25">
      <c r="A7117" s="17"/>
    </row>
    <row r="7118" spans="1:1" x14ac:dyDescent="0.25">
      <c r="A7118" s="17"/>
    </row>
    <row r="7119" spans="1:1" x14ac:dyDescent="0.25">
      <c r="A7119" s="17"/>
    </row>
    <row r="7120" spans="1:1" x14ac:dyDescent="0.25">
      <c r="A7120" s="17"/>
    </row>
    <row r="7121" spans="1:1" x14ac:dyDescent="0.25">
      <c r="A7121" s="17"/>
    </row>
    <row r="7122" spans="1:1" x14ac:dyDescent="0.25">
      <c r="A7122" s="17"/>
    </row>
    <row r="7123" spans="1:1" x14ac:dyDescent="0.25">
      <c r="A7123" s="17"/>
    </row>
    <row r="7124" spans="1:1" x14ac:dyDescent="0.25">
      <c r="A7124" s="17"/>
    </row>
    <row r="7125" spans="1:1" x14ac:dyDescent="0.25">
      <c r="A7125" s="17"/>
    </row>
    <row r="7126" spans="1:1" x14ac:dyDescent="0.25">
      <c r="A7126" s="17"/>
    </row>
    <row r="7127" spans="1:1" x14ac:dyDescent="0.25">
      <c r="A7127" s="17"/>
    </row>
    <row r="7128" spans="1:1" x14ac:dyDescent="0.25">
      <c r="A7128" s="17"/>
    </row>
    <row r="7129" spans="1:1" x14ac:dyDescent="0.25">
      <c r="A7129" s="17"/>
    </row>
    <row r="7130" spans="1:1" x14ac:dyDescent="0.25">
      <c r="A7130" s="17"/>
    </row>
    <row r="7131" spans="1:1" x14ac:dyDescent="0.25">
      <c r="A7131" s="17"/>
    </row>
    <row r="7132" spans="1:1" x14ac:dyDescent="0.25">
      <c r="A7132" s="17"/>
    </row>
    <row r="7133" spans="1:1" x14ac:dyDescent="0.25">
      <c r="A7133" s="17"/>
    </row>
    <row r="7134" spans="1:1" x14ac:dyDescent="0.25">
      <c r="A7134" s="17"/>
    </row>
    <row r="7135" spans="1:1" x14ac:dyDescent="0.25">
      <c r="A7135" s="17"/>
    </row>
    <row r="7136" spans="1:1" x14ac:dyDescent="0.25">
      <c r="A7136" s="17"/>
    </row>
    <row r="7137" spans="1:1" x14ac:dyDescent="0.25">
      <c r="A7137" s="17"/>
    </row>
    <row r="7138" spans="1:1" x14ac:dyDescent="0.25">
      <c r="A7138" s="17"/>
    </row>
    <row r="7139" spans="1:1" x14ac:dyDescent="0.25">
      <c r="A7139" s="17"/>
    </row>
    <row r="7140" spans="1:1" x14ac:dyDescent="0.25">
      <c r="A7140" s="17"/>
    </row>
    <row r="7141" spans="1:1" x14ac:dyDescent="0.25">
      <c r="A7141" s="17"/>
    </row>
    <row r="7142" spans="1:1" x14ac:dyDescent="0.25">
      <c r="A7142" s="17"/>
    </row>
    <row r="7143" spans="1:1" x14ac:dyDescent="0.25">
      <c r="A7143" s="17"/>
    </row>
    <row r="7144" spans="1:1" x14ac:dyDescent="0.25">
      <c r="A7144" s="17"/>
    </row>
    <row r="7145" spans="1:1" x14ac:dyDescent="0.25">
      <c r="A7145" s="17"/>
    </row>
    <row r="7146" spans="1:1" x14ac:dyDescent="0.25">
      <c r="A7146" s="17"/>
    </row>
    <row r="7147" spans="1:1" x14ac:dyDescent="0.25">
      <c r="A7147" s="17"/>
    </row>
    <row r="7148" spans="1:1" x14ac:dyDescent="0.25">
      <c r="A7148" s="17"/>
    </row>
    <row r="7149" spans="1:1" x14ac:dyDescent="0.25">
      <c r="A7149" s="17"/>
    </row>
    <row r="7150" spans="1:1" x14ac:dyDescent="0.25">
      <c r="A7150" s="17"/>
    </row>
    <row r="7151" spans="1:1" x14ac:dyDescent="0.25">
      <c r="A7151" s="17"/>
    </row>
    <row r="7152" spans="1:1" x14ac:dyDescent="0.25">
      <c r="A7152" s="17"/>
    </row>
    <row r="7153" spans="1:1" x14ac:dyDescent="0.25">
      <c r="A7153" s="17"/>
    </row>
    <row r="7154" spans="1:1" x14ac:dyDescent="0.25">
      <c r="A7154" s="17"/>
    </row>
    <row r="7155" spans="1:1" x14ac:dyDescent="0.25">
      <c r="A7155" s="17"/>
    </row>
    <row r="7156" spans="1:1" x14ac:dyDescent="0.25">
      <c r="A7156" s="17"/>
    </row>
    <row r="7157" spans="1:1" x14ac:dyDescent="0.25">
      <c r="A7157" s="17"/>
    </row>
    <row r="7158" spans="1:1" x14ac:dyDescent="0.25">
      <c r="A7158" s="17"/>
    </row>
    <row r="7159" spans="1:1" x14ac:dyDescent="0.25">
      <c r="A7159" s="17"/>
    </row>
    <row r="7160" spans="1:1" x14ac:dyDescent="0.25">
      <c r="A7160" s="17"/>
    </row>
    <row r="7161" spans="1:1" x14ac:dyDescent="0.25">
      <c r="A7161" s="17"/>
    </row>
    <row r="7162" spans="1:1" x14ac:dyDescent="0.25">
      <c r="A7162" s="17"/>
    </row>
    <row r="7163" spans="1:1" x14ac:dyDescent="0.25">
      <c r="A7163" s="17"/>
    </row>
    <row r="7164" spans="1:1" x14ac:dyDescent="0.25">
      <c r="A7164" s="17"/>
    </row>
    <row r="7165" spans="1:1" x14ac:dyDescent="0.25">
      <c r="A7165" s="17"/>
    </row>
    <row r="7166" spans="1:1" x14ac:dyDescent="0.25">
      <c r="A7166" s="17"/>
    </row>
    <row r="7167" spans="1:1" x14ac:dyDescent="0.25">
      <c r="A7167" s="17"/>
    </row>
    <row r="7168" spans="1:1" x14ac:dyDescent="0.25">
      <c r="A7168" s="17"/>
    </row>
    <row r="7169" spans="1:1" x14ac:dyDescent="0.25">
      <c r="A7169" s="17"/>
    </row>
    <row r="7170" spans="1:1" x14ac:dyDescent="0.25">
      <c r="A7170" s="17"/>
    </row>
    <row r="7171" spans="1:1" x14ac:dyDescent="0.25">
      <c r="A7171" s="17"/>
    </row>
    <row r="7172" spans="1:1" x14ac:dyDescent="0.25">
      <c r="A7172" s="17"/>
    </row>
    <row r="7173" spans="1:1" x14ac:dyDescent="0.25">
      <c r="A7173" s="17"/>
    </row>
    <row r="7174" spans="1:1" x14ac:dyDescent="0.25">
      <c r="A7174" s="17"/>
    </row>
    <row r="7175" spans="1:1" x14ac:dyDescent="0.25">
      <c r="A7175" s="17"/>
    </row>
    <row r="7176" spans="1:1" x14ac:dyDescent="0.25">
      <c r="A7176" s="17"/>
    </row>
    <row r="7177" spans="1:1" x14ac:dyDescent="0.25">
      <c r="A7177" s="17"/>
    </row>
    <row r="7178" spans="1:1" x14ac:dyDescent="0.25">
      <c r="A7178" s="17"/>
    </row>
    <row r="7179" spans="1:1" x14ac:dyDescent="0.25">
      <c r="A7179" s="17"/>
    </row>
    <row r="7180" spans="1:1" x14ac:dyDescent="0.25">
      <c r="A7180" s="17"/>
    </row>
    <row r="7181" spans="1:1" x14ac:dyDescent="0.25">
      <c r="A7181" s="17"/>
    </row>
    <row r="7182" spans="1:1" x14ac:dyDescent="0.25">
      <c r="A7182" s="17"/>
    </row>
    <row r="7183" spans="1:1" x14ac:dyDescent="0.25">
      <c r="A7183" s="17"/>
    </row>
    <row r="7184" spans="1:1" x14ac:dyDescent="0.25">
      <c r="A7184" s="17"/>
    </row>
    <row r="7185" spans="1:1" x14ac:dyDescent="0.25">
      <c r="A7185" s="17"/>
    </row>
    <row r="7186" spans="1:1" x14ac:dyDescent="0.25">
      <c r="A7186" s="17"/>
    </row>
    <row r="7187" spans="1:1" x14ac:dyDescent="0.25">
      <c r="A7187" s="17"/>
    </row>
    <row r="7188" spans="1:1" x14ac:dyDescent="0.25">
      <c r="A7188" s="17"/>
    </row>
    <row r="7189" spans="1:1" x14ac:dyDescent="0.25">
      <c r="A7189" s="17"/>
    </row>
    <row r="7190" spans="1:1" x14ac:dyDescent="0.25">
      <c r="A7190" s="17"/>
    </row>
    <row r="7191" spans="1:1" x14ac:dyDescent="0.25">
      <c r="A7191" s="17"/>
    </row>
    <row r="7192" spans="1:1" x14ac:dyDescent="0.25">
      <c r="A7192" s="17"/>
    </row>
    <row r="7193" spans="1:1" x14ac:dyDescent="0.25">
      <c r="A7193" s="17"/>
    </row>
    <row r="7194" spans="1:1" x14ac:dyDescent="0.25">
      <c r="A7194" s="17"/>
    </row>
    <row r="7195" spans="1:1" x14ac:dyDescent="0.25">
      <c r="A7195" s="17"/>
    </row>
    <row r="7196" spans="1:1" x14ac:dyDescent="0.25">
      <c r="A7196" s="17"/>
    </row>
    <row r="7197" spans="1:1" x14ac:dyDescent="0.25">
      <c r="A7197" s="17"/>
    </row>
    <row r="7198" spans="1:1" x14ac:dyDescent="0.25">
      <c r="A7198" s="17"/>
    </row>
    <row r="7199" spans="1:1" x14ac:dyDescent="0.25">
      <c r="A7199" s="17"/>
    </row>
    <row r="7200" spans="1:1" x14ac:dyDescent="0.25">
      <c r="A7200" s="17"/>
    </row>
    <row r="7201" spans="1:1" x14ac:dyDescent="0.25">
      <c r="A7201" s="17"/>
    </row>
    <row r="7202" spans="1:1" x14ac:dyDescent="0.25">
      <c r="A7202" s="17"/>
    </row>
    <row r="7203" spans="1:1" x14ac:dyDescent="0.25">
      <c r="A7203" s="17"/>
    </row>
    <row r="7204" spans="1:1" x14ac:dyDescent="0.25">
      <c r="A7204" s="17"/>
    </row>
    <row r="7205" spans="1:1" x14ac:dyDescent="0.25">
      <c r="A7205" s="17"/>
    </row>
    <row r="7206" spans="1:1" x14ac:dyDescent="0.25">
      <c r="A7206" s="17"/>
    </row>
    <row r="7207" spans="1:1" x14ac:dyDescent="0.25">
      <c r="A7207" s="17"/>
    </row>
    <row r="7208" spans="1:1" x14ac:dyDescent="0.25">
      <c r="A7208" s="17"/>
    </row>
    <row r="7209" spans="1:1" x14ac:dyDescent="0.25">
      <c r="A7209" s="17"/>
    </row>
    <row r="7210" spans="1:1" x14ac:dyDescent="0.25">
      <c r="A7210" s="17"/>
    </row>
    <row r="7211" spans="1:1" x14ac:dyDescent="0.25">
      <c r="A7211" s="17"/>
    </row>
    <row r="7212" spans="1:1" x14ac:dyDescent="0.25">
      <c r="A7212" s="17"/>
    </row>
    <row r="7213" spans="1:1" x14ac:dyDescent="0.25">
      <c r="A7213" s="17"/>
    </row>
    <row r="7214" spans="1:1" x14ac:dyDescent="0.25">
      <c r="A7214" s="17"/>
    </row>
    <row r="7215" spans="1:1" x14ac:dyDescent="0.25">
      <c r="A7215" s="17"/>
    </row>
    <row r="7216" spans="1:1" x14ac:dyDescent="0.25">
      <c r="A7216" s="17"/>
    </row>
    <row r="7217" spans="1:1" x14ac:dyDescent="0.25">
      <c r="A7217" s="17"/>
    </row>
    <row r="7218" spans="1:1" x14ac:dyDescent="0.25">
      <c r="A7218" s="17"/>
    </row>
    <row r="7219" spans="1:1" x14ac:dyDescent="0.25">
      <c r="A7219" s="17"/>
    </row>
    <row r="7220" spans="1:1" x14ac:dyDescent="0.25">
      <c r="A7220" s="17"/>
    </row>
    <row r="7221" spans="1:1" x14ac:dyDescent="0.25">
      <c r="A7221" s="17"/>
    </row>
    <row r="7222" spans="1:1" x14ac:dyDescent="0.25">
      <c r="A7222" s="17"/>
    </row>
    <row r="7223" spans="1:1" x14ac:dyDescent="0.25">
      <c r="A7223" s="17"/>
    </row>
    <row r="7224" spans="1:1" x14ac:dyDescent="0.25">
      <c r="A7224" s="17"/>
    </row>
    <row r="7225" spans="1:1" x14ac:dyDescent="0.25">
      <c r="A7225" s="17"/>
    </row>
    <row r="7226" spans="1:1" x14ac:dyDescent="0.25">
      <c r="A7226" s="17"/>
    </row>
    <row r="7227" spans="1:1" x14ac:dyDescent="0.25">
      <c r="A7227" s="17"/>
    </row>
    <row r="7228" spans="1:1" x14ac:dyDescent="0.25">
      <c r="A7228" s="17"/>
    </row>
    <row r="7229" spans="1:1" x14ac:dyDescent="0.25">
      <c r="A7229" s="17"/>
    </row>
    <row r="7230" spans="1:1" x14ac:dyDescent="0.25">
      <c r="A7230" s="17"/>
    </row>
    <row r="7231" spans="1:1" x14ac:dyDescent="0.25">
      <c r="A7231" s="17"/>
    </row>
    <row r="7232" spans="1:1" x14ac:dyDescent="0.25">
      <c r="A7232" s="17"/>
    </row>
    <row r="7233" spans="1:1" x14ac:dyDescent="0.25">
      <c r="A7233" s="17"/>
    </row>
    <row r="7234" spans="1:1" x14ac:dyDescent="0.25">
      <c r="A7234" s="17"/>
    </row>
    <row r="7235" spans="1:1" x14ac:dyDescent="0.25">
      <c r="A7235" s="17"/>
    </row>
    <row r="7236" spans="1:1" x14ac:dyDescent="0.25">
      <c r="A7236" s="17"/>
    </row>
    <row r="7237" spans="1:1" x14ac:dyDescent="0.25">
      <c r="A7237" s="17"/>
    </row>
    <row r="7238" spans="1:1" x14ac:dyDescent="0.25">
      <c r="A7238" s="17"/>
    </row>
    <row r="7239" spans="1:1" x14ac:dyDescent="0.25">
      <c r="A7239" s="17"/>
    </row>
    <row r="7240" spans="1:1" x14ac:dyDescent="0.25">
      <c r="A7240" s="17"/>
    </row>
    <row r="7241" spans="1:1" x14ac:dyDescent="0.25">
      <c r="A7241" s="17"/>
    </row>
    <row r="7242" spans="1:1" x14ac:dyDescent="0.25">
      <c r="A7242" s="17"/>
    </row>
    <row r="7243" spans="1:1" x14ac:dyDescent="0.25">
      <c r="A7243" s="17"/>
    </row>
    <row r="7244" spans="1:1" x14ac:dyDescent="0.25">
      <c r="A7244" s="17"/>
    </row>
    <row r="7245" spans="1:1" x14ac:dyDescent="0.25">
      <c r="A7245" s="17"/>
    </row>
    <row r="7246" spans="1:1" x14ac:dyDescent="0.25">
      <c r="A7246" s="17"/>
    </row>
    <row r="7247" spans="1:1" x14ac:dyDescent="0.25">
      <c r="A7247" s="17"/>
    </row>
    <row r="7248" spans="1:1" x14ac:dyDescent="0.25">
      <c r="A7248" s="17"/>
    </row>
    <row r="7249" spans="1:1" x14ac:dyDescent="0.25">
      <c r="A7249" s="17"/>
    </row>
    <row r="7250" spans="1:1" x14ac:dyDescent="0.25">
      <c r="A7250" s="17"/>
    </row>
    <row r="7251" spans="1:1" x14ac:dyDescent="0.25">
      <c r="A7251" s="17"/>
    </row>
    <row r="7252" spans="1:1" x14ac:dyDescent="0.25">
      <c r="A7252" s="17"/>
    </row>
    <row r="7253" spans="1:1" x14ac:dyDescent="0.25">
      <c r="A7253" s="17"/>
    </row>
    <row r="7254" spans="1:1" x14ac:dyDescent="0.25">
      <c r="A7254" s="17"/>
    </row>
    <row r="7255" spans="1:1" x14ac:dyDescent="0.25">
      <c r="A7255" s="17"/>
    </row>
    <row r="7256" spans="1:1" x14ac:dyDescent="0.25">
      <c r="A7256" s="17"/>
    </row>
    <row r="7257" spans="1:1" x14ac:dyDescent="0.25">
      <c r="A7257" s="17"/>
    </row>
    <row r="7258" spans="1:1" x14ac:dyDescent="0.25">
      <c r="A7258" s="17"/>
    </row>
    <row r="7259" spans="1:1" x14ac:dyDescent="0.25">
      <c r="A7259" s="17"/>
    </row>
    <row r="7260" spans="1:1" x14ac:dyDescent="0.25">
      <c r="A7260" s="17"/>
    </row>
    <row r="7261" spans="1:1" x14ac:dyDescent="0.25">
      <c r="A7261" s="17"/>
    </row>
    <row r="7262" spans="1:1" x14ac:dyDescent="0.25">
      <c r="A7262" s="17"/>
    </row>
    <row r="7263" spans="1:1" x14ac:dyDescent="0.25">
      <c r="A7263" s="17"/>
    </row>
    <row r="7264" spans="1:1" x14ac:dyDescent="0.25">
      <c r="A7264" s="17"/>
    </row>
    <row r="7265" spans="1:1" x14ac:dyDescent="0.25">
      <c r="A7265" s="17"/>
    </row>
    <row r="7266" spans="1:1" x14ac:dyDescent="0.25">
      <c r="A7266" s="17"/>
    </row>
    <row r="7267" spans="1:1" x14ac:dyDescent="0.25">
      <c r="A7267" s="17"/>
    </row>
    <row r="7268" spans="1:1" x14ac:dyDescent="0.25">
      <c r="A7268" s="17"/>
    </row>
    <row r="7269" spans="1:1" x14ac:dyDescent="0.25">
      <c r="A7269" s="17"/>
    </row>
    <row r="7270" spans="1:1" x14ac:dyDescent="0.25">
      <c r="A7270" s="17"/>
    </row>
    <row r="7271" spans="1:1" x14ac:dyDescent="0.25">
      <c r="A7271" s="17"/>
    </row>
    <row r="7272" spans="1:1" x14ac:dyDescent="0.25">
      <c r="A7272" s="17"/>
    </row>
    <row r="7273" spans="1:1" x14ac:dyDescent="0.25">
      <c r="A7273" s="17"/>
    </row>
    <row r="7274" spans="1:1" x14ac:dyDescent="0.25">
      <c r="A7274" s="17"/>
    </row>
    <row r="7275" spans="1:1" x14ac:dyDescent="0.25">
      <c r="A7275" s="17"/>
    </row>
    <row r="7276" spans="1:1" x14ac:dyDescent="0.25">
      <c r="A7276" s="17"/>
    </row>
    <row r="7277" spans="1:1" x14ac:dyDescent="0.25">
      <c r="A7277" s="17"/>
    </row>
    <row r="7278" spans="1:1" x14ac:dyDescent="0.25">
      <c r="A7278" s="17"/>
    </row>
    <row r="7279" spans="1:1" x14ac:dyDescent="0.25">
      <c r="A7279" s="17"/>
    </row>
    <row r="7280" spans="1:1" x14ac:dyDescent="0.25">
      <c r="A7280" s="17"/>
    </row>
    <row r="7281" spans="1:1" x14ac:dyDescent="0.25">
      <c r="A7281" s="17"/>
    </row>
    <row r="7282" spans="1:1" x14ac:dyDescent="0.25">
      <c r="A7282" s="17"/>
    </row>
    <row r="7283" spans="1:1" x14ac:dyDescent="0.25">
      <c r="A7283" s="17"/>
    </row>
    <row r="7284" spans="1:1" x14ac:dyDescent="0.25">
      <c r="A7284" s="17"/>
    </row>
    <row r="7285" spans="1:1" x14ac:dyDescent="0.25">
      <c r="A7285" s="17"/>
    </row>
    <row r="7286" spans="1:1" x14ac:dyDescent="0.25">
      <c r="A7286" s="17"/>
    </row>
    <row r="7287" spans="1:1" x14ac:dyDescent="0.25">
      <c r="A7287" s="17"/>
    </row>
    <row r="7288" spans="1:1" x14ac:dyDescent="0.25">
      <c r="A7288" s="17"/>
    </row>
    <row r="7289" spans="1:1" x14ac:dyDescent="0.25">
      <c r="A7289" s="17"/>
    </row>
    <row r="7290" spans="1:1" x14ac:dyDescent="0.25">
      <c r="A7290" s="17"/>
    </row>
    <row r="7291" spans="1:1" x14ac:dyDescent="0.25">
      <c r="A7291" s="17"/>
    </row>
    <row r="7292" spans="1:1" x14ac:dyDescent="0.25">
      <c r="A7292" s="17"/>
    </row>
    <row r="7293" spans="1:1" x14ac:dyDescent="0.25">
      <c r="A7293" s="17"/>
    </row>
    <row r="7294" spans="1:1" x14ac:dyDescent="0.25">
      <c r="A7294" s="17"/>
    </row>
    <row r="7295" spans="1:1" x14ac:dyDescent="0.25">
      <c r="A7295" s="17"/>
    </row>
    <row r="7296" spans="1:1" x14ac:dyDescent="0.25">
      <c r="A7296" s="17"/>
    </row>
    <row r="7297" spans="1:1" x14ac:dyDescent="0.25">
      <c r="A7297" s="17"/>
    </row>
    <row r="7298" spans="1:1" x14ac:dyDescent="0.25">
      <c r="A7298" s="17"/>
    </row>
    <row r="7299" spans="1:1" x14ac:dyDescent="0.25">
      <c r="A7299" s="17"/>
    </row>
    <row r="7300" spans="1:1" x14ac:dyDescent="0.25">
      <c r="A7300" s="17"/>
    </row>
    <row r="7301" spans="1:1" x14ac:dyDescent="0.25">
      <c r="A7301" s="17"/>
    </row>
    <row r="7302" spans="1:1" x14ac:dyDescent="0.25">
      <c r="A7302" s="17"/>
    </row>
    <row r="7303" spans="1:1" x14ac:dyDescent="0.25">
      <c r="A7303" s="17"/>
    </row>
    <row r="7304" spans="1:1" x14ac:dyDescent="0.25">
      <c r="A7304" s="17"/>
    </row>
    <row r="7305" spans="1:1" x14ac:dyDescent="0.25">
      <c r="A7305" s="17"/>
    </row>
    <row r="7306" spans="1:1" x14ac:dyDescent="0.25">
      <c r="A7306" s="17"/>
    </row>
    <row r="7307" spans="1:1" x14ac:dyDescent="0.25">
      <c r="A7307" s="17"/>
    </row>
    <row r="7308" spans="1:1" x14ac:dyDescent="0.25">
      <c r="A7308" s="17"/>
    </row>
    <row r="7309" spans="1:1" x14ac:dyDescent="0.25">
      <c r="A7309" s="17"/>
    </row>
    <row r="7310" spans="1:1" x14ac:dyDescent="0.25">
      <c r="A7310" s="17"/>
    </row>
    <row r="7311" spans="1:1" x14ac:dyDescent="0.25">
      <c r="A7311" s="17"/>
    </row>
    <row r="7312" spans="1:1" x14ac:dyDescent="0.25">
      <c r="A7312" s="17"/>
    </row>
    <row r="7313" spans="1:1" x14ac:dyDescent="0.25">
      <c r="A7313" s="17"/>
    </row>
    <row r="7314" spans="1:1" x14ac:dyDescent="0.25">
      <c r="A7314" s="17"/>
    </row>
    <row r="7315" spans="1:1" x14ac:dyDescent="0.25">
      <c r="A7315" s="17"/>
    </row>
    <row r="7316" spans="1:1" x14ac:dyDescent="0.25">
      <c r="A7316" s="17"/>
    </row>
    <row r="7317" spans="1:1" x14ac:dyDescent="0.25">
      <c r="A7317" s="17"/>
    </row>
    <row r="7318" spans="1:1" x14ac:dyDescent="0.25">
      <c r="A7318" s="17"/>
    </row>
    <row r="7319" spans="1:1" x14ac:dyDescent="0.25">
      <c r="A7319" s="17"/>
    </row>
    <row r="7320" spans="1:1" x14ac:dyDescent="0.25">
      <c r="A7320" s="17"/>
    </row>
    <row r="7321" spans="1:1" x14ac:dyDescent="0.25">
      <c r="A7321" s="17"/>
    </row>
    <row r="7322" spans="1:1" x14ac:dyDescent="0.25">
      <c r="A7322" s="17"/>
    </row>
    <row r="7323" spans="1:1" x14ac:dyDescent="0.25">
      <c r="A7323" s="17"/>
    </row>
    <row r="7324" spans="1:1" x14ac:dyDescent="0.25">
      <c r="A7324" s="17"/>
    </row>
    <row r="7325" spans="1:1" x14ac:dyDescent="0.25">
      <c r="A7325" s="17"/>
    </row>
    <row r="7326" spans="1:1" x14ac:dyDescent="0.25">
      <c r="A7326" s="17"/>
    </row>
    <row r="7327" spans="1:1" x14ac:dyDescent="0.25">
      <c r="A7327" s="17"/>
    </row>
    <row r="7328" spans="1:1" x14ac:dyDescent="0.25">
      <c r="A7328" s="17"/>
    </row>
    <row r="7329" spans="1:1" x14ac:dyDescent="0.25">
      <c r="A7329" s="17"/>
    </row>
    <row r="7330" spans="1:1" x14ac:dyDescent="0.25">
      <c r="A7330" s="17"/>
    </row>
    <row r="7331" spans="1:1" x14ac:dyDescent="0.25">
      <c r="A7331" s="17"/>
    </row>
    <row r="7332" spans="1:1" x14ac:dyDescent="0.25">
      <c r="A7332" s="17"/>
    </row>
    <row r="7333" spans="1:1" x14ac:dyDescent="0.25">
      <c r="A7333" s="17"/>
    </row>
    <row r="7334" spans="1:1" x14ac:dyDescent="0.25">
      <c r="A7334" s="17"/>
    </row>
    <row r="7335" spans="1:1" x14ac:dyDescent="0.25">
      <c r="A7335" s="17"/>
    </row>
    <row r="7336" spans="1:1" x14ac:dyDescent="0.25">
      <c r="A7336" s="17"/>
    </row>
    <row r="7337" spans="1:1" x14ac:dyDescent="0.25">
      <c r="A7337" s="17"/>
    </row>
    <row r="7338" spans="1:1" x14ac:dyDescent="0.25">
      <c r="A7338" s="17"/>
    </row>
    <row r="7339" spans="1:1" x14ac:dyDescent="0.25">
      <c r="A7339" s="17"/>
    </row>
    <row r="7340" spans="1:1" x14ac:dyDescent="0.25">
      <c r="A7340" s="17"/>
    </row>
    <row r="7341" spans="1:1" x14ac:dyDescent="0.25">
      <c r="A7341" s="17"/>
    </row>
    <row r="7342" spans="1:1" x14ac:dyDescent="0.25">
      <c r="A7342" s="17"/>
    </row>
    <row r="7343" spans="1:1" x14ac:dyDescent="0.25">
      <c r="A7343" s="17"/>
    </row>
    <row r="7344" spans="1:1" x14ac:dyDescent="0.25">
      <c r="A7344" s="17"/>
    </row>
    <row r="7345" spans="1:1" x14ac:dyDescent="0.25">
      <c r="A7345" s="17"/>
    </row>
    <row r="7346" spans="1:1" x14ac:dyDescent="0.25">
      <c r="A7346" s="17"/>
    </row>
    <row r="7347" spans="1:1" x14ac:dyDescent="0.25">
      <c r="A7347" s="17"/>
    </row>
    <row r="7348" spans="1:1" x14ac:dyDescent="0.25">
      <c r="A7348" s="17"/>
    </row>
    <row r="7349" spans="1:1" x14ac:dyDescent="0.25">
      <c r="A7349" s="17"/>
    </row>
    <row r="7350" spans="1:1" x14ac:dyDescent="0.25">
      <c r="A7350" s="17"/>
    </row>
    <row r="7351" spans="1:1" x14ac:dyDescent="0.25">
      <c r="A7351" s="17"/>
    </row>
    <row r="7352" spans="1:1" x14ac:dyDescent="0.25">
      <c r="A7352" s="17"/>
    </row>
    <row r="7353" spans="1:1" x14ac:dyDescent="0.25">
      <c r="A7353" s="17"/>
    </row>
    <row r="7354" spans="1:1" x14ac:dyDescent="0.25">
      <c r="A7354" s="17"/>
    </row>
    <row r="7355" spans="1:1" x14ac:dyDescent="0.25">
      <c r="A7355" s="17"/>
    </row>
    <row r="7356" spans="1:1" x14ac:dyDescent="0.25">
      <c r="A7356" s="17"/>
    </row>
    <row r="7357" spans="1:1" x14ac:dyDescent="0.25">
      <c r="A7357" s="17"/>
    </row>
    <row r="7358" spans="1:1" x14ac:dyDescent="0.25">
      <c r="A7358" s="17"/>
    </row>
    <row r="7359" spans="1:1" x14ac:dyDescent="0.25">
      <c r="A7359" s="17"/>
    </row>
    <row r="7360" spans="1:1" x14ac:dyDescent="0.25">
      <c r="A7360" s="17"/>
    </row>
    <row r="7361" spans="1:1" x14ac:dyDescent="0.25">
      <c r="A7361" s="17"/>
    </row>
    <row r="7362" spans="1:1" x14ac:dyDescent="0.25">
      <c r="A7362" s="17"/>
    </row>
    <row r="7363" spans="1:1" x14ac:dyDescent="0.25">
      <c r="A7363" s="17"/>
    </row>
    <row r="7364" spans="1:1" x14ac:dyDescent="0.25">
      <c r="A7364" s="17"/>
    </row>
    <row r="7365" spans="1:1" x14ac:dyDescent="0.25">
      <c r="A7365" s="17"/>
    </row>
    <row r="7366" spans="1:1" x14ac:dyDescent="0.25">
      <c r="A7366" s="17"/>
    </row>
    <row r="7367" spans="1:1" x14ac:dyDescent="0.25">
      <c r="A7367" s="17"/>
    </row>
    <row r="7368" spans="1:1" x14ac:dyDescent="0.25">
      <c r="A7368" s="17"/>
    </row>
    <row r="7369" spans="1:1" x14ac:dyDescent="0.25">
      <c r="A7369" s="17"/>
    </row>
    <row r="7370" spans="1:1" x14ac:dyDescent="0.25">
      <c r="A7370" s="17"/>
    </row>
    <row r="7371" spans="1:1" x14ac:dyDescent="0.25">
      <c r="A7371" s="17"/>
    </row>
    <row r="7372" spans="1:1" x14ac:dyDescent="0.25">
      <c r="A7372" s="17"/>
    </row>
    <row r="7373" spans="1:1" x14ac:dyDescent="0.25">
      <c r="A7373" s="17"/>
    </row>
    <row r="7374" spans="1:1" x14ac:dyDescent="0.25">
      <c r="A7374" s="17"/>
    </row>
    <row r="7375" spans="1:1" x14ac:dyDescent="0.25">
      <c r="A7375" s="17"/>
    </row>
    <row r="7376" spans="1:1" x14ac:dyDescent="0.25">
      <c r="A7376" s="17"/>
    </row>
    <row r="7377" spans="1:1" x14ac:dyDescent="0.25">
      <c r="A7377" s="17"/>
    </row>
    <row r="7378" spans="1:1" x14ac:dyDescent="0.25">
      <c r="A7378" s="17"/>
    </row>
    <row r="7379" spans="1:1" x14ac:dyDescent="0.25">
      <c r="A7379" s="17"/>
    </row>
    <row r="7380" spans="1:1" x14ac:dyDescent="0.25">
      <c r="A7380" s="17"/>
    </row>
    <row r="7381" spans="1:1" x14ac:dyDescent="0.25">
      <c r="A7381" s="17"/>
    </row>
    <row r="7382" spans="1:1" x14ac:dyDescent="0.25">
      <c r="A7382" s="17"/>
    </row>
    <row r="7383" spans="1:1" x14ac:dyDescent="0.25">
      <c r="A7383" s="17"/>
    </row>
    <row r="7384" spans="1:1" x14ac:dyDescent="0.25">
      <c r="A7384" s="17"/>
    </row>
    <row r="7385" spans="1:1" x14ac:dyDescent="0.25">
      <c r="A7385" s="17"/>
    </row>
    <row r="7386" spans="1:1" x14ac:dyDescent="0.25">
      <c r="A7386" s="17"/>
    </row>
    <row r="7387" spans="1:1" x14ac:dyDescent="0.25">
      <c r="A7387" s="17"/>
    </row>
    <row r="7388" spans="1:1" x14ac:dyDescent="0.25">
      <c r="A7388" s="17"/>
    </row>
    <row r="7389" spans="1:1" x14ac:dyDescent="0.25">
      <c r="A7389" s="17"/>
    </row>
    <row r="7390" spans="1:1" x14ac:dyDescent="0.25">
      <c r="A7390" s="17"/>
    </row>
    <row r="7391" spans="1:1" x14ac:dyDescent="0.25">
      <c r="A7391" s="17"/>
    </row>
    <row r="7392" spans="1:1" x14ac:dyDescent="0.25">
      <c r="A7392" s="17"/>
    </row>
    <row r="7393" spans="1:1" x14ac:dyDescent="0.25">
      <c r="A7393" s="17"/>
    </row>
    <row r="7394" spans="1:1" x14ac:dyDescent="0.25">
      <c r="A7394" s="17"/>
    </row>
    <row r="7395" spans="1:1" x14ac:dyDescent="0.25">
      <c r="A7395" s="17"/>
    </row>
    <row r="7396" spans="1:1" x14ac:dyDescent="0.25">
      <c r="A7396" s="17"/>
    </row>
    <row r="7397" spans="1:1" x14ac:dyDescent="0.25">
      <c r="A7397" s="17"/>
    </row>
    <row r="7398" spans="1:1" x14ac:dyDescent="0.25">
      <c r="A7398" s="17"/>
    </row>
    <row r="7399" spans="1:1" x14ac:dyDescent="0.25">
      <c r="A7399" s="17"/>
    </row>
    <row r="7400" spans="1:1" x14ac:dyDescent="0.25">
      <c r="A7400" s="17"/>
    </row>
    <row r="7401" spans="1:1" x14ac:dyDescent="0.25">
      <c r="A7401" s="17"/>
    </row>
    <row r="7402" spans="1:1" x14ac:dyDescent="0.25">
      <c r="A7402" s="17"/>
    </row>
    <row r="7403" spans="1:1" x14ac:dyDescent="0.25">
      <c r="A7403" s="17"/>
    </row>
    <row r="7404" spans="1:1" x14ac:dyDescent="0.25">
      <c r="A7404" s="17"/>
    </row>
    <row r="7405" spans="1:1" x14ac:dyDescent="0.25">
      <c r="A7405" s="17"/>
    </row>
    <row r="7406" spans="1:1" x14ac:dyDescent="0.25">
      <c r="A7406" s="17"/>
    </row>
    <row r="7407" spans="1:1" x14ac:dyDescent="0.25">
      <c r="A7407" s="17"/>
    </row>
    <row r="7408" spans="1:1" x14ac:dyDescent="0.25">
      <c r="A7408" s="17"/>
    </row>
    <row r="7409" spans="1:1" x14ac:dyDescent="0.25">
      <c r="A7409" s="17"/>
    </row>
    <row r="7410" spans="1:1" x14ac:dyDescent="0.25">
      <c r="A7410" s="17"/>
    </row>
    <row r="7411" spans="1:1" x14ac:dyDescent="0.25">
      <c r="A7411" s="17"/>
    </row>
    <row r="7412" spans="1:1" x14ac:dyDescent="0.25">
      <c r="A7412" s="17"/>
    </row>
    <row r="7413" spans="1:1" x14ac:dyDescent="0.25">
      <c r="A7413" s="17"/>
    </row>
    <row r="7414" spans="1:1" x14ac:dyDescent="0.25">
      <c r="A7414" s="17"/>
    </row>
    <row r="7415" spans="1:1" x14ac:dyDescent="0.25">
      <c r="A7415" s="17"/>
    </row>
    <row r="7416" spans="1:1" x14ac:dyDescent="0.25">
      <c r="A7416" s="17"/>
    </row>
    <row r="7417" spans="1:1" x14ac:dyDescent="0.25">
      <c r="A7417" s="17"/>
    </row>
    <row r="7418" spans="1:1" x14ac:dyDescent="0.25">
      <c r="A7418" s="17"/>
    </row>
    <row r="7419" spans="1:1" x14ac:dyDescent="0.25">
      <c r="A7419" s="17"/>
    </row>
    <row r="7420" spans="1:1" x14ac:dyDescent="0.25">
      <c r="A7420" s="17"/>
    </row>
    <row r="7421" spans="1:1" x14ac:dyDescent="0.25">
      <c r="A7421" s="17"/>
    </row>
    <row r="7422" spans="1:1" x14ac:dyDescent="0.25">
      <c r="A7422" s="17"/>
    </row>
    <row r="7423" spans="1:1" x14ac:dyDescent="0.25">
      <c r="A7423" s="17"/>
    </row>
    <row r="7424" spans="1:1" x14ac:dyDescent="0.25">
      <c r="A7424" s="17"/>
    </row>
    <row r="7425" spans="1:1" x14ac:dyDescent="0.25">
      <c r="A7425" s="17"/>
    </row>
    <row r="7426" spans="1:1" x14ac:dyDescent="0.25">
      <c r="A7426" s="17"/>
    </row>
    <row r="7427" spans="1:1" x14ac:dyDescent="0.25">
      <c r="A7427" s="17"/>
    </row>
    <row r="7428" spans="1:1" x14ac:dyDescent="0.25">
      <c r="A7428" s="17"/>
    </row>
    <row r="7429" spans="1:1" x14ac:dyDescent="0.25">
      <c r="A7429" s="17"/>
    </row>
    <row r="7430" spans="1:1" x14ac:dyDescent="0.25">
      <c r="A7430" s="17"/>
    </row>
    <row r="7431" spans="1:1" x14ac:dyDescent="0.25">
      <c r="A7431" s="17"/>
    </row>
    <row r="7432" spans="1:1" x14ac:dyDescent="0.25">
      <c r="A7432" s="17"/>
    </row>
    <row r="7433" spans="1:1" x14ac:dyDescent="0.25">
      <c r="A7433" s="17"/>
    </row>
    <row r="7434" spans="1:1" x14ac:dyDescent="0.25">
      <c r="A7434" s="17"/>
    </row>
    <row r="7435" spans="1:1" x14ac:dyDescent="0.25">
      <c r="A7435" s="17"/>
    </row>
    <row r="7436" spans="1:1" x14ac:dyDescent="0.25">
      <c r="A7436" s="17"/>
    </row>
    <row r="7437" spans="1:1" x14ac:dyDescent="0.25">
      <c r="A7437" s="17"/>
    </row>
    <row r="7438" spans="1:1" x14ac:dyDescent="0.25">
      <c r="A7438" s="17"/>
    </row>
    <row r="7439" spans="1:1" x14ac:dyDescent="0.25">
      <c r="A7439" s="17"/>
    </row>
    <row r="7440" spans="1:1" x14ac:dyDescent="0.25">
      <c r="A7440" s="17"/>
    </row>
    <row r="7441" spans="1:1" x14ac:dyDescent="0.25">
      <c r="A7441" s="17"/>
    </row>
    <row r="7442" spans="1:1" x14ac:dyDescent="0.25">
      <c r="A7442" s="17"/>
    </row>
    <row r="7443" spans="1:1" x14ac:dyDescent="0.25">
      <c r="A7443" s="17"/>
    </row>
    <row r="7444" spans="1:1" x14ac:dyDescent="0.25">
      <c r="A7444" s="17"/>
    </row>
    <row r="7445" spans="1:1" x14ac:dyDescent="0.25">
      <c r="A7445" s="17"/>
    </row>
    <row r="7446" spans="1:1" x14ac:dyDescent="0.25">
      <c r="A7446" s="17"/>
    </row>
    <row r="7447" spans="1:1" x14ac:dyDescent="0.25">
      <c r="A7447" s="17"/>
    </row>
    <row r="7448" spans="1:1" x14ac:dyDescent="0.25">
      <c r="A7448" s="17"/>
    </row>
    <row r="7449" spans="1:1" x14ac:dyDescent="0.25">
      <c r="A7449" s="17"/>
    </row>
    <row r="7450" spans="1:1" x14ac:dyDescent="0.25">
      <c r="A7450" s="17"/>
    </row>
    <row r="7451" spans="1:1" x14ac:dyDescent="0.25">
      <c r="A7451" s="17"/>
    </row>
    <row r="7452" spans="1:1" x14ac:dyDescent="0.25">
      <c r="A7452" s="17"/>
    </row>
    <row r="7453" spans="1:1" x14ac:dyDescent="0.25">
      <c r="A7453" s="17"/>
    </row>
    <row r="7454" spans="1:1" x14ac:dyDescent="0.25">
      <c r="A7454" s="17"/>
    </row>
    <row r="7455" spans="1:1" x14ac:dyDescent="0.25">
      <c r="A7455" s="17"/>
    </row>
    <row r="7456" spans="1:1" x14ac:dyDescent="0.25">
      <c r="A7456" s="17"/>
    </row>
    <row r="7457" spans="1:1" x14ac:dyDescent="0.25">
      <c r="A7457" s="17"/>
    </row>
    <row r="7458" spans="1:1" x14ac:dyDescent="0.25">
      <c r="A7458" s="17"/>
    </row>
    <row r="7459" spans="1:1" x14ac:dyDescent="0.25">
      <c r="A7459" s="17"/>
    </row>
    <row r="7460" spans="1:1" x14ac:dyDescent="0.25">
      <c r="A7460" s="17"/>
    </row>
    <row r="7461" spans="1:1" x14ac:dyDescent="0.25">
      <c r="A7461" s="17"/>
    </row>
    <row r="7462" spans="1:1" x14ac:dyDescent="0.25">
      <c r="A7462" s="17"/>
    </row>
    <row r="7463" spans="1:1" x14ac:dyDescent="0.25">
      <c r="A7463" s="17"/>
    </row>
    <row r="7464" spans="1:1" x14ac:dyDescent="0.25">
      <c r="A7464" s="17"/>
    </row>
    <row r="7465" spans="1:1" x14ac:dyDescent="0.25">
      <c r="A7465" s="17"/>
    </row>
    <row r="7466" spans="1:1" x14ac:dyDescent="0.25">
      <c r="A7466" s="17"/>
    </row>
    <row r="7467" spans="1:1" x14ac:dyDescent="0.25">
      <c r="A7467" s="17"/>
    </row>
    <row r="7468" spans="1:1" x14ac:dyDescent="0.25">
      <c r="A7468" s="17"/>
    </row>
    <row r="7469" spans="1:1" x14ac:dyDescent="0.25">
      <c r="A7469" s="17"/>
    </row>
    <row r="7470" spans="1:1" x14ac:dyDescent="0.25">
      <c r="A7470" s="17"/>
    </row>
    <row r="7471" spans="1:1" x14ac:dyDescent="0.25">
      <c r="A7471" s="17"/>
    </row>
    <row r="7472" spans="1:1" x14ac:dyDescent="0.25">
      <c r="A7472" s="17"/>
    </row>
    <row r="7473" spans="1:1" x14ac:dyDescent="0.25">
      <c r="A7473" s="17"/>
    </row>
    <row r="7474" spans="1:1" x14ac:dyDescent="0.25">
      <c r="A7474" s="17"/>
    </row>
    <row r="7475" spans="1:1" x14ac:dyDescent="0.25">
      <c r="A7475" s="17"/>
    </row>
    <row r="7476" spans="1:1" x14ac:dyDescent="0.25">
      <c r="A7476" s="17"/>
    </row>
    <row r="7477" spans="1:1" x14ac:dyDescent="0.25">
      <c r="A7477" s="17"/>
    </row>
    <row r="7478" spans="1:1" x14ac:dyDescent="0.25">
      <c r="A7478" s="17"/>
    </row>
    <row r="7479" spans="1:1" x14ac:dyDescent="0.25">
      <c r="A7479" s="17"/>
    </row>
    <row r="7480" spans="1:1" x14ac:dyDescent="0.25">
      <c r="A7480" s="17"/>
    </row>
    <row r="7481" spans="1:1" x14ac:dyDescent="0.25">
      <c r="A7481" s="17"/>
    </row>
    <row r="7482" spans="1:1" x14ac:dyDescent="0.25">
      <c r="A7482" s="17"/>
    </row>
    <row r="7483" spans="1:1" x14ac:dyDescent="0.25">
      <c r="A7483" s="17"/>
    </row>
    <row r="7484" spans="1:1" x14ac:dyDescent="0.25">
      <c r="A7484" s="17"/>
    </row>
    <row r="7485" spans="1:1" x14ac:dyDescent="0.25">
      <c r="A7485" s="17"/>
    </row>
    <row r="7486" spans="1:1" x14ac:dyDescent="0.25">
      <c r="A7486" s="17"/>
    </row>
    <row r="7487" spans="1:1" x14ac:dyDescent="0.25">
      <c r="A7487" s="17"/>
    </row>
    <row r="7488" spans="1:1" x14ac:dyDescent="0.25">
      <c r="A7488" s="17"/>
    </row>
    <row r="7489" spans="1:1" x14ac:dyDescent="0.25">
      <c r="A7489" s="17"/>
    </row>
    <row r="7490" spans="1:1" x14ac:dyDescent="0.25">
      <c r="A7490" s="17"/>
    </row>
    <row r="7491" spans="1:1" x14ac:dyDescent="0.25">
      <c r="A7491" s="17"/>
    </row>
    <row r="7492" spans="1:1" x14ac:dyDescent="0.25">
      <c r="A7492" s="17"/>
    </row>
    <row r="7493" spans="1:1" x14ac:dyDescent="0.25">
      <c r="A7493" s="17"/>
    </row>
    <row r="7494" spans="1:1" x14ac:dyDescent="0.25">
      <c r="A7494" s="17"/>
    </row>
    <row r="7495" spans="1:1" x14ac:dyDescent="0.25">
      <c r="A7495" s="17"/>
    </row>
    <row r="7496" spans="1:1" x14ac:dyDescent="0.25">
      <c r="A7496" s="17"/>
    </row>
    <row r="7497" spans="1:1" x14ac:dyDescent="0.25">
      <c r="A7497" s="17"/>
    </row>
    <row r="7498" spans="1:1" x14ac:dyDescent="0.25">
      <c r="A7498" s="17"/>
    </row>
    <row r="7499" spans="1:1" x14ac:dyDescent="0.25">
      <c r="A7499" s="17"/>
    </row>
    <row r="7500" spans="1:1" x14ac:dyDescent="0.25">
      <c r="A7500" s="17"/>
    </row>
    <row r="7501" spans="1:1" x14ac:dyDescent="0.25">
      <c r="A7501" s="17"/>
    </row>
    <row r="7502" spans="1:1" x14ac:dyDescent="0.25">
      <c r="A7502" s="17"/>
    </row>
    <row r="7503" spans="1:1" x14ac:dyDescent="0.25">
      <c r="A7503" s="17"/>
    </row>
    <row r="7504" spans="1:1" x14ac:dyDescent="0.25">
      <c r="A7504" s="17"/>
    </row>
    <row r="7505" spans="1:1" x14ac:dyDescent="0.25">
      <c r="A7505" s="17"/>
    </row>
    <row r="7506" spans="1:1" x14ac:dyDescent="0.25">
      <c r="A7506" s="17"/>
    </row>
    <row r="7507" spans="1:1" x14ac:dyDescent="0.25">
      <c r="A7507" s="17"/>
    </row>
    <row r="7508" spans="1:1" x14ac:dyDescent="0.25">
      <c r="A7508" s="17"/>
    </row>
    <row r="7509" spans="1:1" x14ac:dyDescent="0.25">
      <c r="A7509" s="17"/>
    </row>
    <row r="7510" spans="1:1" x14ac:dyDescent="0.25">
      <c r="A7510" s="17"/>
    </row>
    <row r="7511" spans="1:1" x14ac:dyDescent="0.25">
      <c r="A7511" s="17"/>
    </row>
    <row r="7512" spans="1:1" x14ac:dyDescent="0.25">
      <c r="A7512" s="17"/>
    </row>
    <row r="7513" spans="1:1" x14ac:dyDescent="0.25">
      <c r="A7513" s="17"/>
    </row>
    <row r="7514" spans="1:1" x14ac:dyDescent="0.25">
      <c r="A7514" s="17"/>
    </row>
    <row r="7515" spans="1:1" x14ac:dyDescent="0.25">
      <c r="A7515" s="17"/>
    </row>
    <row r="7516" spans="1:1" x14ac:dyDescent="0.25">
      <c r="A7516" s="17"/>
    </row>
    <row r="7517" spans="1:1" x14ac:dyDescent="0.25">
      <c r="A7517" s="17"/>
    </row>
    <row r="7518" spans="1:1" x14ac:dyDescent="0.25">
      <c r="A7518" s="17"/>
    </row>
    <row r="7519" spans="1:1" x14ac:dyDescent="0.25">
      <c r="A7519" s="17"/>
    </row>
    <row r="7520" spans="1:1" x14ac:dyDescent="0.25">
      <c r="A7520" s="17"/>
    </row>
    <row r="7521" spans="1:1" x14ac:dyDescent="0.25">
      <c r="A7521" s="17"/>
    </row>
    <row r="7522" spans="1:1" x14ac:dyDescent="0.25">
      <c r="A7522" s="17"/>
    </row>
    <row r="7523" spans="1:1" x14ac:dyDescent="0.25">
      <c r="A7523" s="17"/>
    </row>
    <row r="7524" spans="1:1" x14ac:dyDescent="0.25">
      <c r="A7524" s="17"/>
    </row>
    <row r="7525" spans="1:1" x14ac:dyDescent="0.25">
      <c r="A7525" s="17"/>
    </row>
    <row r="7526" spans="1:1" x14ac:dyDescent="0.25">
      <c r="A7526" s="17"/>
    </row>
    <row r="7527" spans="1:1" x14ac:dyDescent="0.25">
      <c r="A7527" s="17"/>
    </row>
    <row r="7528" spans="1:1" x14ac:dyDescent="0.25">
      <c r="A7528" s="17"/>
    </row>
    <row r="7529" spans="1:1" x14ac:dyDescent="0.25">
      <c r="A7529" s="17"/>
    </row>
    <row r="7530" spans="1:1" x14ac:dyDescent="0.25">
      <c r="A7530" s="17"/>
    </row>
    <row r="7531" spans="1:1" x14ac:dyDescent="0.25">
      <c r="A7531" s="17"/>
    </row>
    <row r="7532" spans="1:1" x14ac:dyDescent="0.25">
      <c r="A7532" s="17"/>
    </row>
    <row r="7533" spans="1:1" x14ac:dyDescent="0.25">
      <c r="A7533" s="17"/>
    </row>
    <row r="7534" spans="1:1" x14ac:dyDescent="0.25">
      <c r="A7534" s="17"/>
    </row>
    <row r="7535" spans="1:1" x14ac:dyDescent="0.25">
      <c r="A7535" s="17"/>
    </row>
    <row r="7536" spans="1:1" x14ac:dyDescent="0.25">
      <c r="A7536" s="17"/>
    </row>
    <row r="7537" spans="1:1" x14ac:dyDescent="0.25">
      <c r="A7537" s="17"/>
    </row>
    <row r="7538" spans="1:1" x14ac:dyDescent="0.25">
      <c r="A7538" s="17"/>
    </row>
    <row r="7539" spans="1:1" x14ac:dyDescent="0.25">
      <c r="A7539" s="17"/>
    </row>
    <row r="7540" spans="1:1" x14ac:dyDescent="0.25">
      <c r="A7540" s="17"/>
    </row>
    <row r="7541" spans="1:1" x14ac:dyDescent="0.25">
      <c r="A7541" s="17"/>
    </row>
    <row r="7542" spans="1:1" x14ac:dyDescent="0.25">
      <c r="A7542" s="17"/>
    </row>
    <row r="7543" spans="1:1" x14ac:dyDescent="0.25">
      <c r="A7543" s="17"/>
    </row>
    <row r="7544" spans="1:1" x14ac:dyDescent="0.25">
      <c r="A7544" s="17"/>
    </row>
    <row r="7545" spans="1:1" x14ac:dyDescent="0.25">
      <c r="A7545" s="17"/>
    </row>
    <row r="7546" spans="1:1" x14ac:dyDescent="0.25">
      <c r="A7546" s="17"/>
    </row>
    <row r="7547" spans="1:1" x14ac:dyDescent="0.25">
      <c r="A7547" s="17"/>
    </row>
    <row r="7548" spans="1:1" x14ac:dyDescent="0.25">
      <c r="A7548" s="17"/>
    </row>
    <row r="7549" spans="1:1" x14ac:dyDescent="0.25">
      <c r="A7549" s="17"/>
    </row>
    <row r="7550" spans="1:1" x14ac:dyDescent="0.25">
      <c r="A7550" s="17"/>
    </row>
    <row r="7551" spans="1:1" x14ac:dyDescent="0.25">
      <c r="A7551" s="17"/>
    </row>
    <row r="7552" spans="1:1" x14ac:dyDescent="0.25">
      <c r="A7552" s="17"/>
    </row>
    <row r="7553" spans="1:1" x14ac:dyDescent="0.25">
      <c r="A7553" s="17"/>
    </row>
    <row r="7554" spans="1:1" x14ac:dyDescent="0.25">
      <c r="A7554" s="17"/>
    </row>
    <row r="7555" spans="1:1" x14ac:dyDescent="0.25">
      <c r="A7555" s="17"/>
    </row>
    <row r="7556" spans="1:1" x14ac:dyDescent="0.25">
      <c r="A7556" s="17"/>
    </row>
    <row r="7557" spans="1:1" x14ac:dyDescent="0.25">
      <c r="A7557" s="17"/>
    </row>
    <row r="7558" spans="1:1" x14ac:dyDescent="0.25">
      <c r="A7558" s="17"/>
    </row>
    <row r="7559" spans="1:1" x14ac:dyDescent="0.25">
      <c r="A7559" s="17"/>
    </row>
    <row r="7560" spans="1:1" x14ac:dyDescent="0.25">
      <c r="A7560" s="17"/>
    </row>
    <row r="7561" spans="1:1" x14ac:dyDescent="0.25">
      <c r="A7561" s="17"/>
    </row>
    <row r="7562" spans="1:1" x14ac:dyDescent="0.25">
      <c r="A7562" s="17"/>
    </row>
    <row r="7563" spans="1:1" x14ac:dyDescent="0.25">
      <c r="A7563" s="17"/>
    </row>
    <row r="7564" spans="1:1" x14ac:dyDescent="0.25">
      <c r="A7564" s="17"/>
    </row>
    <row r="7565" spans="1:1" x14ac:dyDescent="0.25">
      <c r="A7565" s="17"/>
    </row>
    <row r="7566" spans="1:1" x14ac:dyDescent="0.25">
      <c r="A7566" s="17"/>
    </row>
    <row r="7567" spans="1:1" x14ac:dyDescent="0.25">
      <c r="A7567" s="17"/>
    </row>
    <row r="7568" spans="1:1" x14ac:dyDescent="0.25">
      <c r="A7568" s="17"/>
    </row>
    <row r="7569" spans="1:1" x14ac:dyDescent="0.25">
      <c r="A7569" s="17"/>
    </row>
    <row r="7570" spans="1:1" x14ac:dyDescent="0.25">
      <c r="A7570" s="17"/>
    </row>
    <row r="7571" spans="1:1" x14ac:dyDescent="0.25">
      <c r="A7571" s="17"/>
    </row>
    <row r="7572" spans="1:1" x14ac:dyDescent="0.25">
      <c r="A7572" s="17"/>
    </row>
    <row r="7573" spans="1:1" x14ac:dyDescent="0.25">
      <c r="A7573" s="17"/>
    </row>
    <row r="7574" spans="1:1" x14ac:dyDescent="0.25">
      <c r="A7574" s="17"/>
    </row>
    <row r="7575" spans="1:1" x14ac:dyDescent="0.25">
      <c r="A7575" s="17"/>
    </row>
    <row r="7576" spans="1:1" x14ac:dyDescent="0.25">
      <c r="A7576" s="17"/>
    </row>
    <row r="7577" spans="1:1" x14ac:dyDescent="0.25">
      <c r="A7577" s="17"/>
    </row>
    <row r="7578" spans="1:1" x14ac:dyDescent="0.25">
      <c r="A7578" s="17"/>
    </row>
    <row r="7579" spans="1:1" x14ac:dyDescent="0.25">
      <c r="A7579" s="17"/>
    </row>
    <row r="7580" spans="1:1" x14ac:dyDescent="0.25">
      <c r="A7580" s="17"/>
    </row>
    <row r="7581" spans="1:1" x14ac:dyDescent="0.25">
      <c r="A7581" s="17"/>
    </row>
    <row r="7582" spans="1:1" x14ac:dyDescent="0.25">
      <c r="A7582" s="17"/>
    </row>
    <row r="7583" spans="1:1" x14ac:dyDescent="0.25">
      <c r="A7583" s="17"/>
    </row>
    <row r="7584" spans="1:1" x14ac:dyDescent="0.25">
      <c r="A7584" s="17"/>
    </row>
    <row r="7585" spans="1:1" x14ac:dyDescent="0.25">
      <c r="A7585" s="17"/>
    </row>
    <row r="7586" spans="1:1" x14ac:dyDescent="0.25">
      <c r="A7586" s="17"/>
    </row>
    <row r="7587" spans="1:1" x14ac:dyDescent="0.25">
      <c r="A7587" s="17"/>
    </row>
    <row r="7588" spans="1:1" x14ac:dyDescent="0.25">
      <c r="A7588" s="17"/>
    </row>
    <row r="7589" spans="1:1" x14ac:dyDescent="0.25">
      <c r="A7589" s="17"/>
    </row>
    <row r="7590" spans="1:1" x14ac:dyDescent="0.25">
      <c r="A7590" s="17"/>
    </row>
    <row r="7591" spans="1:1" x14ac:dyDescent="0.25">
      <c r="A7591" s="17"/>
    </row>
    <row r="7592" spans="1:1" x14ac:dyDescent="0.25">
      <c r="A7592" s="17"/>
    </row>
    <row r="7593" spans="1:1" x14ac:dyDescent="0.25">
      <c r="A7593" s="17"/>
    </row>
    <row r="7594" spans="1:1" x14ac:dyDescent="0.25">
      <c r="A7594" s="17"/>
    </row>
    <row r="7595" spans="1:1" x14ac:dyDescent="0.25">
      <c r="A7595" s="17"/>
    </row>
    <row r="7596" spans="1:1" x14ac:dyDescent="0.25">
      <c r="A7596" s="17"/>
    </row>
    <row r="7597" spans="1:1" x14ac:dyDescent="0.25">
      <c r="A7597" s="17"/>
    </row>
    <row r="7598" spans="1:1" x14ac:dyDescent="0.25">
      <c r="A7598" s="17"/>
    </row>
    <row r="7599" spans="1:1" x14ac:dyDescent="0.25">
      <c r="A7599" s="17"/>
    </row>
    <row r="7600" spans="1:1" x14ac:dyDescent="0.25">
      <c r="A7600" s="17"/>
    </row>
    <row r="7601" spans="1:1" x14ac:dyDescent="0.25">
      <c r="A7601" s="17"/>
    </row>
    <row r="7602" spans="1:1" x14ac:dyDescent="0.25">
      <c r="A7602" s="17"/>
    </row>
    <row r="7603" spans="1:1" x14ac:dyDescent="0.25">
      <c r="A7603" s="17"/>
    </row>
    <row r="7604" spans="1:1" x14ac:dyDescent="0.25">
      <c r="A7604" s="17"/>
    </row>
    <row r="7605" spans="1:1" x14ac:dyDescent="0.25">
      <c r="A7605" s="17"/>
    </row>
    <row r="7606" spans="1:1" x14ac:dyDescent="0.25">
      <c r="A7606" s="17"/>
    </row>
    <row r="7607" spans="1:1" x14ac:dyDescent="0.25">
      <c r="A7607" s="17"/>
    </row>
    <row r="7608" spans="1:1" x14ac:dyDescent="0.25">
      <c r="A7608" s="17"/>
    </row>
    <row r="7609" spans="1:1" x14ac:dyDescent="0.25">
      <c r="A7609" s="17"/>
    </row>
    <row r="7610" spans="1:1" x14ac:dyDescent="0.25">
      <c r="A7610" s="17"/>
    </row>
    <row r="7611" spans="1:1" x14ac:dyDescent="0.25">
      <c r="A7611" s="17"/>
    </row>
    <row r="7612" spans="1:1" x14ac:dyDescent="0.25">
      <c r="A7612" s="17"/>
    </row>
    <row r="7613" spans="1:1" x14ac:dyDescent="0.25">
      <c r="A7613" s="17"/>
    </row>
    <row r="7614" spans="1:1" x14ac:dyDescent="0.25">
      <c r="A7614" s="17"/>
    </row>
    <row r="7615" spans="1:1" x14ac:dyDescent="0.25">
      <c r="A7615" s="17"/>
    </row>
    <row r="7616" spans="1:1" x14ac:dyDescent="0.25">
      <c r="A7616" s="17"/>
    </row>
    <row r="7617" spans="1:1" x14ac:dyDescent="0.25">
      <c r="A7617" s="17"/>
    </row>
    <row r="7618" spans="1:1" x14ac:dyDescent="0.25">
      <c r="A7618" s="17"/>
    </row>
    <row r="7619" spans="1:1" x14ac:dyDescent="0.25">
      <c r="A7619" s="17"/>
    </row>
    <row r="7620" spans="1:1" x14ac:dyDescent="0.25">
      <c r="A7620" s="17"/>
    </row>
    <row r="7621" spans="1:1" x14ac:dyDescent="0.25">
      <c r="A7621" s="17"/>
    </row>
    <row r="7622" spans="1:1" x14ac:dyDescent="0.25">
      <c r="A7622" s="17"/>
    </row>
    <row r="7623" spans="1:1" x14ac:dyDescent="0.25">
      <c r="A7623" s="17"/>
    </row>
    <row r="7624" spans="1:1" x14ac:dyDescent="0.25">
      <c r="A7624" s="17"/>
    </row>
    <row r="7625" spans="1:1" x14ac:dyDescent="0.25">
      <c r="A7625" s="17"/>
    </row>
    <row r="7626" spans="1:1" x14ac:dyDescent="0.25">
      <c r="A7626" s="17"/>
    </row>
    <row r="7627" spans="1:1" x14ac:dyDescent="0.25">
      <c r="A7627" s="17"/>
    </row>
    <row r="7628" spans="1:1" x14ac:dyDescent="0.25">
      <c r="A7628" s="17"/>
    </row>
    <row r="7629" spans="1:1" x14ac:dyDescent="0.25">
      <c r="A7629" s="17"/>
    </row>
    <row r="7630" spans="1:1" x14ac:dyDescent="0.25">
      <c r="A7630" s="17"/>
    </row>
    <row r="7631" spans="1:1" x14ac:dyDescent="0.25">
      <c r="A7631" s="17"/>
    </row>
    <row r="7632" spans="1:1" x14ac:dyDescent="0.25">
      <c r="A7632" s="17"/>
    </row>
    <row r="7633" spans="1:1" x14ac:dyDescent="0.25">
      <c r="A7633" s="17"/>
    </row>
    <row r="7634" spans="1:1" x14ac:dyDescent="0.25">
      <c r="A7634" s="17"/>
    </row>
    <row r="7635" spans="1:1" x14ac:dyDescent="0.25">
      <c r="A7635" s="17"/>
    </row>
    <row r="7636" spans="1:1" x14ac:dyDescent="0.25">
      <c r="A7636" s="17"/>
    </row>
    <row r="7637" spans="1:1" x14ac:dyDescent="0.25">
      <c r="A7637" s="17"/>
    </row>
    <row r="7638" spans="1:1" x14ac:dyDescent="0.25">
      <c r="A7638" s="17"/>
    </row>
    <row r="7639" spans="1:1" x14ac:dyDescent="0.25">
      <c r="A7639" s="17"/>
    </row>
    <row r="7640" spans="1:1" x14ac:dyDescent="0.25">
      <c r="A7640" s="17"/>
    </row>
    <row r="7641" spans="1:1" x14ac:dyDescent="0.25">
      <c r="A7641" s="17"/>
    </row>
    <row r="7642" spans="1:1" x14ac:dyDescent="0.25">
      <c r="A7642" s="17"/>
    </row>
    <row r="7643" spans="1:1" x14ac:dyDescent="0.25">
      <c r="A7643" s="17"/>
    </row>
    <row r="7644" spans="1:1" x14ac:dyDescent="0.25">
      <c r="A7644" s="17"/>
    </row>
    <row r="7645" spans="1:1" x14ac:dyDescent="0.25">
      <c r="A7645" s="17"/>
    </row>
    <row r="7646" spans="1:1" x14ac:dyDescent="0.25">
      <c r="A7646" s="17"/>
    </row>
    <row r="7647" spans="1:1" x14ac:dyDescent="0.25">
      <c r="A7647" s="17"/>
    </row>
    <row r="7648" spans="1:1" x14ac:dyDescent="0.25">
      <c r="A7648" s="17"/>
    </row>
    <row r="7649" spans="1:1" x14ac:dyDescent="0.25">
      <c r="A7649" s="17"/>
    </row>
    <row r="7650" spans="1:1" x14ac:dyDescent="0.25">
      <c r="A7650" s="17"/>
    </row>
    <row r="7651" spans="1:1" x14ac:dyDescent="0.25">
      <c r="A7651" s="17"/>
    </row>
    <row r="7652" spans="1:1" x14ac:dyDescent="0.25">
      <c r="A7652" s="17"/>
    </row>
    <row r="7653" spans="1:1" x14ac:dyDescent="0.25">
      <c r="A7653" s="17"/>
    </row>
    <row r="7654" spans="1:1" x14ac:dyDescent="0.25">
      <c r="A7654" s="17"/>
    </row>
    <row r="7655" spans="1:1" x14ac:dyDescent="0.25">
      <c r="A7655" s="17"/>
    </row>
    <row r="7656" spans="1:1" x14ac:dyDescent="0.25">
      <c r="A7656" s="17"/>
    </row>
    <row r="7657" spans="1:1" x14ac:dyDescent="0.25">
      <c r="A7657" s="17"/>
    </row>
    <row r="7658" spans="1:1" x14ac:dyDescent="0.25">
      <c r="A7658" s="17"/>
    </row>
    <row r="7659" spans="1:1" x14ac:dyDescent="0.25">
      <c r="A7659" s="17"/>
    </row>
    <row r="7660" spans="1:1" x14ac:dyDescent="0.25">
      <c r="A7660" s="17"/>
    </row>
    <row r="7661" spans="1:1" x14ac:dyDescent="0.25">
      <c r="A7661" s="17"/>
    </row>
    <row r="7662" spans="1:1" x14ac:dyDescent="0.25">
      <c r="A7662" s="17"/>
    </row>
    <row r="7663" spans="1:1" x14ac:dyDescent="0.25">
      <c r="A7663" s="17"/>
    </row>
    <row r="7664" spans="1:1" x14ac:dyDescent="0.25">
      <c r="A7664" s="17"/>
    </row>
    <row r="7665" spans="1:1" x14ac:dyDescent="0.25">
      <c r="A7665" s="17"/>
    </row>
    <row r="7666" spans="1:1" x14ac:dyDescent="0.25">
      <c r="A7666" s="17"/>
    </row>
    <row r="7667" spans="1:1" x14ac:dyDescent="0.25">
      <c r="A7667" s="17"/>
    </row>
    <row r="7668" spans="1:1" x14ac:dyDescent="0.25">
      <c r="A7668" s="17"/>
    </row>
    <row r="7669" spans="1:1" x14ac:dyDescent="0.25">
      <c r="A7669" s="17"/>
    </row>
    <row r="7670" spans="1:1" x14ac:dyDescent="0.25">
      <c r="A7670" s="17"/>
    </row>
    <row r="7671" spans="1:1" x14ac:dyDescent="0.25">
      <c r="A7671" s="17"/>
    </row>
    <row r="7672" spans="1:1" x14ac:dyDescent="0.25">
      <c r="A7672" s="17"/>
    </row>
    <row r="7673" spans="1:1" x14ac:dyDescent="0.25">
      <c r="A7673" s="17"/>
    </row>
    <row r="7674" spans="1:1" x14ac:dyDescent="0.25">
      <c r="A7674" s="17"/>
    </row>
    <row r="7675" spans="1:1" x14ac:dyDescent="0.25">
      <c r="A7675" s="17"/>
    </row>
    <row r="7676" spans="1:1" x14ac:dyDescent="0.25">
      <c r="A7676" s="17"/>
    </row>
    <row r="7677" spans="1:1" x14ac:dyDescent="0.25">
      <c r="A7677" s="17"/>
    </row>
    <row r="7678" spans="1:1" x14ac:dyDescent="0.25">
      <c r="A7678" s="17"/>
    </row>
    <row r="7679" spans="1:1" x14ac:dyDescent="0.25">
      <c r="A7679" s="17"/>
    </row>
    <row r="7680" spans="1:1" x14ac:dyDescent="0.25">
      <c r="A7680" s="17"/>
    </row>
    <row r="7681" spans="1:1" x14ac:dyDescent="0.25">
      <c r="A7681" s="17"/>
    </row>
    <row r="7682" spans="1:1" x14ac:dyDescent="0.25">
      <c r="A7682" s="17"/>
    </row>
    <row r="7683" spans="1:1" x14ac:dyDescent="0.25">
      <c r="A7683" s="17"/>
    </row>
    <row r="7684" spans="1:1" x14ac:dyDescent="0.25">
      <c r="A7684" s="17"/>
    </row>
    <row r="7685" spans="1:1" x14ac:dyDescent="0.25">
      <c r="A7685" s="17"/>
    </row>
    <row r="7686" spans="1:1" x14ac:dyDescent="0.25">
      <c r="A7686" s="17"/>
    </row>
    <row r="7687" spans="1:1" x14ac:dyDescent="0.25">
      <c r="A7687" s="17"/>
    </row>
    <row r="7688" spans="1:1" x14ac:dyDescent="0.25">
      <c r="A7688" s="17"/>
    </row>
    <row r="7689" spans="1:1" x14ac:dyDescent="0.25">
      <c r="A7689" s="17"/>
    </row>
    <row r="7690" spans="1:1" x14ac:dyDescent="0.25">
      <c r="A7690" s="17"/>
    </row>
    <row r="7691" spans="1:1" x14ac:dyDescent="0.25">
      <c r="A7691" s="17"/>
    </row>
    <row r="7692" spans="1:1" x14ac:dyDescent="0.25">
      <c r="A7692" s="17"/>
    </row>
    <row r="7693" spans="1:1" x14ac:dyDescent="0.25">
      <c r="A7693" s="17"/>
    </row>
    <row r="7694" spans="1:1" x14ac:dyDescent="0.25">
      <c r="A7694" s="17"/>
    </row>
    <row r="7695" spans="1:1" x14ac:dyDescent="0.25">
      <c r="A7695" s="17"/>
    </row>
    <row r="7696" spans="1:1" x14ac:dyDescent="0.25">
      <c r="A7696" s="17"/>
    </row>
    <row r="7697" spans="1:1" x14ac:dyDescent="0.25">
      <c r="A7697" s="17"/>
    </row>
    <row r="7698" spans="1:1" x14ac:dyDescent="0.25">
      <c r="A7698" s="17"/>
    </row>
    <row r="7699" spans="1:1" x14ac:dyDescent="0.25">
      <c r="A7699" s="17"/>
    </row>
    <row r="7700" spans="1:1" x14ac:dyDescent="0.25">
      <c r="A7700" s="17"/>
    </row>
    <row r="7701" spans="1:1" x14ac:dyDescent="0.25">
      <c r="A7701" s="17"/>
    </row>
    <row r="7702" spans="1:1" x14ac:dyDescent="0.25">
      <c r="A7702" s="17"/>
    </row>
    <row r="7703" spans="1:1" x14ac:dyDescent="0.25">
      <c r="A7703" s="17"/>
    </row>
    <row r="7704" spans="1:1" x14ac:dyDescent="0.25">
      <c r="A7704" s="17"/>
    </row>
    <row r="7705" spans="1:1" x14ac:dyDescent="0.25">
      <c r="A7705" s="17"/>
    </row>
    <row r="7706" spans="1:1" x14ac:dyDescent="0.25">
      <c r="A7706" s="17"/>
    </row>
    <row r="7707" spans="1:1" x14ac:dyDescent="0.25">
      <c r="A7707" s="17"/>
    </row>
    <row r="7708" spans="1:1" x14ac:dyDescent="0.25">
      <c r="A7708" s="17"/>
    </row>
    <row r="7709" spans="1:1" x14ac:dyDescent="0.25">
      <c r="A7709" s="17"/>
    </row>
    <row r="7710" spans="1:1" x14ac:dyDescent="0.25">
      <c r="A7710" s="17"/>
    </row>
    <row r="7711" spans="1:1" x14ac:dyDescent="0.25">
      <c r="A7711" s="17"/>
    </row>
    <row r="7712" spans="1:1" x14ac:dyDescent="0.25">
      <c r="A7712" s="17"/>
    </row>
    <row r="7713" spans="1:1" x14ac:dyDescent="0.25">
      <c r="A7713" s="17"/>
    </row>
    <row r="7714" spans="1:1" x14ac:dyDescent="0.25">
      <c r="A7714" s="17"/>
    </row>
    <row r="7715" spans="1:1" x14ac:dyDescent="0.25">
      <c r="A7715" s="17"/>
    </row>
    <row r="7716" spans="1:1" x14ac:dyDescent="0.25">
      <c r="A7716" s="17"/>
    </row>
    <row r="7717" spans="1:1" x14ac:dyDescent="0.25">
      <c r="A7717" s="17"/>
    </row>
    <row r="7718" spans="1:1" x14ac:dyDescent="0.25">
      <c r="A7718" s="17"/>
    </row>
    <row r="7719" spans="1:1" x14ac:dyDescent="0.25">
      <c r="A7719" s="17"/>
    </row>
    <row r="7720" spans="1:1" x14ac:dyDescent="0.25">
      <c r="A7720" s="17"/>
    </row>
    <row r="7721" spans="1:1" x14ac:dyDescent="0.25">
      <c r="A7721" s="17"/>
    </row>
    <row r="7722" spans="1:1" x14ac:dyDescent="0.25">
      <c r="A7722" s="17"/>
    </row>
    <row r="7723" spans="1:1" x14ac:dyDescent="0.25">
      <c r="A7723" s="17"/>
    </row>
    <row r="7724" spans="1:1" x14ac:dyDescent="0.25">
      <c r="A7724" s="17"/>
    </row>
    <row r="7725" spans="1:1" x14ac:dyDescent="0.25">
      <c r="A7725" s="17"/>
    </row>
    <row r="7726" spans="1:1" x14ac:dyDescent="0.25">
      <c r="A7726" s="17"/>
    </row>
    <row r="7727" spans="1:1" x14ac:dyDescent="0.25">
      <c r="A7727" s="17"/>
    </row>
    <row r="7728" spans="1:1" x14ac:dyDescent="0.25">
      <c r="A7728" s="17"/>
    </row>
    <row r="7729" spans="1:1" x14ac:dyDescent="0.25">
      <c r="A7729" s="17"/>
    </row>
    <row r="7730" spans="1:1" x14ac:dyDescent="0.25">
      <c r="A7730" s="17"/>
    </row>
    <row r="7731" spans="1:1" x14ac:dyDescent="0.25">
      <c r="A7731" s="17"/>
    </row>
    <row r="7732" spans="1:1" x14ac:dyDescent="0.25">
      <c r="A7732" s="17"/>
    </row>
    <row r="7733" spans="1:1" x14ac:dyDescent="0.25">
      <c r="A7733" s="17"/>
    </row>
    <row r="7734" spans="1:1" x14ac:dyDescent="0.25">
      <c r="A7734" s="17"/>
    </row>
    <row r="7735" spans="1:1" x14ac:dyDescent="0.25">
      <c r="A7735" s="17"/>
    </row>
    <row r="7736" spans="1:1" x14ac:dyDescent="0.25">
      <c r="A7736" s="17"/>
    </row>
    <row r="7737" spans="1:1" x14ac:dyDescent="0.25">
      <c r="A7737" s="17"/>
    </row>
    <row r="7738" spans="1:1" x14ac:dyDescent="0.25">
      <c r="A7738" s="17"/>
    </row>
    <row r="7739" spans="1:1" x14ac:dyDescent="0.25">
      <c r="A7739" s="17"/>
    </row>
    <row r="7740" spans="1:1" x14ac:dyDescent="0.25">
      <c r="A7740" s="17"/>
    </row>
    <row r="7741" spans="1:1" x14ac:dyDescent="0.25">
      <c r="A7741" s="17"/>
    </row>
    <row r="7742" spans="1:1" x14ac:dyDescent="0.25">
      <c r="A7742" s="17"/>
    </row>
    <row r="7743" spans="1:1" x14ac:dyDescent="0.25">
      <c r="A7743" s="17"/>
    </row>
    <row r="7744" spans="1:1" x14ac:dyDescent="0.25">
      <c r="A7744" s="17"/>
    </row>
    <row r="7745" spans="1:1" x14ac:dyDescent="0.25">
      <c r="A7745" s="17"/>
    </row>
    <row r="7746" spans="1:1" x14ac:dyDescent="0.25">
      <c r="A7746" s="17"/>
    </row>
    <row r="7747" spans="1:1" x14ac:dyDescent="0.25">
      <c r="A7747" s="17"/>
    </row>
    <row r="7748" spans="1:1" x14ac:dyDescent="0.25">
      <c r="A7748" s="17"/>
    </row>
    <row r="7749" spans="1:1" x14ac:dyDescent="0.25">
      <c r="A7749" s="17"/>
    </row>
    <row r="7750" spans="1:1" x14ac:dyDescent="0.25">
      <c r="A7750" s="17"/>
    </row>
    <row r="7751" spans="1:1" x14ac:dyDescent="0.25">
      <c r="A7751" s="17"/>
    </row>
    <row r="7752" spans="1:1" x14ac:dyDescent="0.25">
      <c r="A7752" s="17"/>
    </row>
    <row r="7753" spans="1:1" x14ac:dyDescent="0.25">
      <c r="A7753" s="17"/>
    </row>
    <row r="7754" spans="1:1" x14ac:dyDescent="0.25">
      <c r="A7754" s="17"/>
    </row>
    <row r="7755" spans="1:1" x14ac:dyDescent="0.25">
      <c r="A7755" s="17"/>
    </row>
    <row r="7756" spans="1:1" x14ac:dyDescent="0.25">
      <c r="A7756" s="17"/>
    </row>
    <row r="7757" spans="1:1" x14ac:dyDescent="0.25">
      <c r="A7757" s="17"/>
    </row>
    <row r="7758" spans="1:1" x14ac:dyDescent="0.25">
      <c r="A7758" s="17"/>
    </row>
    <row r="7759" spans="1:1" x14ac:dyDescent="0.25">
      <c r="A7759" s="17"/>
    </row>
    <row r="7760" spans="1:1" x14ac:dyDescent="0.25">
      <c r="A7760" s="17"/>
    </row>
    <row r="7761" spans="1:1" x14ac:dyDescent="0.25">
      <c r="A7761" s="17"/>
    </row>
    <row r="7762" spans="1:1" x14ac:dyDescent="0.25">
      <c r="A7762" s="17"/>
    </row>
    <row r="7763" spans="1:1" x14ac:dyDescent="0.25">
      <c r="A7763" s="17"/>
    </row>
    <row r="7764" spans="1:1" x14ac:dyDescent="0.25">
      <c r="A7764" s="17"/>
    </row>
    <row r="7765" spans="1:1" x14ac:dyDescent="0.25">
      <c r="A7765" s="17"/>
    </row>
    <row r="7766" spans="1:1" x14ac:dyDescent="0.25">
      <c r="A7766" s="17"/>
    </row>
    <row r="7767" spans="1:1" x14ac:dyDescent="0.25">
      <c r="A7767" s="17"/>
    </row>
    <row r="7768" spans="1:1" x14ac:dyDescent="0.25">
      <c r="A7768" s="17"/>
    </row>
    <row r="7769" spans="1:1" x14ac:dyDescent="0.25">
      <c r="A7769" s="17"/>
    </row>
    <row r="7770" spans="1:1" x14ac:dyDescent="0.25">
      <c r="A7770" s="17"/>
    </row>
    <row r="7771" spans="1:1" x14ac:dyDescent="0.25">
      <c r="A7771" s="17"/>
    </row>
    <row r="7772" spans="1:1" x14ac:dyDescent="0.25">
      <c r="A7772" s="17"/>
    </row>
    <row r="7773" spans="1:1" x14ac:dyDescent="0.25">
      <c r="A7773" s="17"/>
    </row>
    <row r="7774" spans="1:1" x14ac:dyDescent="0.25">
      <c r="A7774" s="17"/>
    </row>
    <row r="7775" spans="1:1" x14ac:dyDescent="0.25">
      <c r="A7775" s="17"/>
    </row>
    <row r="7776" spans="1:1" x14ac:dyDescent="0.25">
      <c r="A7776" s="17"/>
    </row>
    <row r="7777" spans="1:1" x14ac:dyDescent="0.25">
      <c r="A7777" s="17"/>
    </row>
    <row r="7778" spans="1:1" x14ac:dyDescent="0.25">
      <c r="A7778" s="17"/>
    </row>
    <row r="7779" spans="1:1" x14ac:dyDescent="0.25">
      <c r="A7779" s="17"/>
    </row>
    <row r="7780" spans="1:1" x14ac:dyDescent="0.25">
      <c r="A7780" s="17"/>
    </row>
    <row r="7781" spans="1:1" x14ac:dyDescent="0.25">
      <c r="A7781" s="17"/>
    </row>
    <row r="7782" spans="1:1" x14ac:dyDescent="0.25">
      <c r="A7782" s="17"/>
    </row>
    <row r="7783" spans="1:1" x14ac:dyDescent="0.25">
      <c r="A7783" s="17"/>
    </row>
    <row r="7784" spans="1:1" x14ac:dyDescent="0.25">
      <c r="A7784" s="17"/>
    </row>
    <row r="7785" spans="1:1" x14ac:dyDescent="0.25">
      <c r="A7785" s="17"/>
    </row>
    <row r="7786" spans="1:1" x14ac:dyDescent="0.25">
      <c r="A7786" s="17"/>
    </row>
    <row r="7787" spans="1:1" x14ac:dyDescent="0.25">
      <c r="A7787" s="17"/>
    </row>
    <row r="7788" spans="1:1" x14ac:dyDescent="0.25">
      <c r="A7788" s="17"/>
    </row>
    <row r="7789" spans="1:1" x14ac:dyDescent="0.25">
      <c r="A7789" s="17"/>
    </row>
    <row r="7790" spans="1:1" x14ac:dyDescent="0.25">
      <c r="A7790" s="17"/>
    </row>
    <row r="7791" spans="1:1" x14ac:dyDescent="0.25">
      <c r="A7791" s="17"/>
    </row>
    <row r="7792" spans="1:1" x14ac:dyDescent="0.25">
      <c r="A7792" s="17"/>
    </row>
    <row r="7793" spans="1:1" x14ac:dyDescent="0.25">
      <c r="A7793" s="17"/>
    </row>
    <row r="7794" spans="1:1" x14ac:dyDescent="0.25">
      <c r="A7794" s="17"/>
    </row>
    <row r="7795" spans="1:1" x14ac:dyDescent="0.25">
      <c r="A7795" s="17"/>
    </row>
    <row r="7796" spans="1:1" x14ac:dyDescent="0.25">
      <c r="A7796" s="17"/>
    </row>
    <row r="7797" spans="1:1" x14ac:dyDescent="0.25">
      <c r="A7797" s="17"/>
    </row>
    <row r="7798" spans="1:1" x14ac:dyDescent="0.25">
      <c r="A7798" s="17"/>
    </row>
    <row r="7799" spans="1:1" x14ac:dyDescent="0.25">
      <c r="A7799" s="17"/>
    </row>
    <row r="7800" spans="1:1" x14ac:dyDescent="0.25">
      <c r="A7800" s="17"/>
    </row>
    <row r="7801" spans="1:1" x14ac:dyDescent="0.25">
      <c r="A7801" s="17"/>
    </row>
    <row r="7802" spans="1:1" x14ac:dyDescent="0.25">
      <c r="A7802" s="17"/>
    </row>
    <row r="7803" spans="1:1" x14ac:dyDescent="0.25">
      <c r="A7803" s="17"/>
    </row>
    <row r="7804" spans="1:1" x14ac:dyDescent="0.25">
      <c r="A7804" s="17"/>
    </row>
    <row r="7805" spans="1:1" x14ac:dyDescent="0.25">
      <c r="A7805" s="17"/>
    </row>
    <row r="7806" spans="1:1" x14ac:dyDescent="0.25">
      <c r="A7806" s="17"/>
    </row>
    <row r="7807" spans="1:1" x14ac:dyDescent="0.25">
      <c r="A7807" s="17"/>
    </row>
    <row r="7808" spans="1:1" x14ac:dyDescent="0.25">
      <c r="A7808" s="17"/>
    </row>
    <row r="7809" spans="1:1" x14ac:dyDescent="0.25">
      <c r="A7809" s="17"/>
    </row>
    <row r="7810" spans="1:1" x14ac:dyDescent="0.25">
      <c r="A7810" s="17"/>
    </row>
    <row r="7811" spans="1:1" x14ac:dyDescent="0.25">
      <c r="A7811" s="17"/>
    </row>
    <row r="7812" spans="1:1" x14ac:dyDescent="0.25">
      <c r="A7812" s="17"/>
    </row>
    <row r="7813" spans="1:1" x14ac:dyDescent="0.25">
      <c r="A7813" s="17"/>
    </row>
    <row r="7814" spans="1:1" x14ac:dyDescent="0.25">
      <c r="A7814" s="17"/>
    </row>
    <row r="7815" spans="1:1" x14ac:dyDescent="0.25">
      <c r="A7815" s="17"/>
    </row>
    <row r="7816" spans="1:1" x14ac:dyDescent="0.25">
      <c r="A7816" s="17"/>
    </row>
    <row r="7817" spans="1:1" x14ac:dyDescent="0.25">
      <c r="A7817" s="17"/>
    </row>
    <row r="7818" spans="1:1" x14ac:dyDescent="0.25">
      <c r="A7818" s="17"/>
    </row>
    <row r="7819" spans="1:1" x14ac:dyDescent="0.25">
      <c r="A7819" s="17"/>
    </row>
    <row r="7820" spans="1:1" x14ac:dyDescent="0.25">
      <c r="A7820" s="17"/>
    </row>
    <row r="7821" spans="1:1" x14ac:dyDescent="0.25">
      <c r="A7821" s="17"/>
    </row>
    <row r="7822" spans="1:1" x14ac:dyDescent="0.25">
      <c r="A7822" s="17"/>
    </row>
    <row r="7823" spans="1:1" x14ac:dyDescent="0.25">
      <c r="A7823" s="17"/>
    </row>
    <row r="7824" spans="1:1" x14ac:dyDescent="0.25">
      <c r="A7824" s="17"/>
    </row>
    <row r="7825" spans="1:1" x14ac:dyDescent="0.25">
      <c r="A7825" s="17"/>
    </row>
    <row r="7826" spans="1:1" x14ac:dyDescent="0.25">
      <c r="A7826" s="17"/>
    </row>
    <row r="7827" spans="1:1" x14ac:dyDescent="0.25">
      <c r="A7827" s="17"/>
    </row>
    <row r="7828" spans="1:1" x14ac:dyDescent="0.25">
      <c r="A7828" s="17"/>
    </row>
    <row r="7829" spans="1:1" x14ac:dyDescent="0.25">
      <c r="A7829" s="17"/>
    </row>
    <row r="7830" spans="1:1" x14ac:dyDescent="0.25">
      <c r="A7830" s="17"/>
    </row>
    <row r="7831" spans="1:1" x14ac:dyDescent="0.25">
      <c r="A7831" s="17"/>
    </row>
    <row r="7832" spans="1:1" x14ac:dyDescent="0.25">
      <c r="A7832" s="17"/>
    </row>
    <row r="7833" spans="1:1" x14ac:dyDescent="0.25">
      <c r="A7833" s="17"/>
    </row>
    <row r="7834" spans="1:1" x14ac:dyDescent="0.25">
      <c r="A7834" s="17"/>
    </row>
    <row r="7835" spans="1:1" x14ac:dyDescent="0.25">
      <c r="A7835" s="17"/>
    </row>
    <row r="7836" spans="1:1" x14ac:dyDescent="0.25">
      <c r="A7836" s="17"/>
    </row>
    <row r="7837" spans="1:1" x14ac:dyDescent="0.25">
      <c r="A7837" s="17"/>
    </row>
    <row r="7838" spans="1:1" x14ac:dyDescent="0.25">
      <c r="A7838" s="17"/>
    </row>
    <row r="7839" spans="1:1" x14ac:dyDescent="0.25">
      <c r="A7839" s="17"/>
    </row>
    <row r="7840" spans="1:1" x14ac:dyDescent="0.25">
      <c r="A7840" s="17"/>
    </row>
    <row r="7841" spans="1:1" x14ac:dyDescent="0.25">
      <c r="A7841" s="17"/>
    </row>
    <row r="7842" spans="1:1" x14ac:dyDescent="0.25">
      <c r="A7842" s="17"/>
    </row>
    <row r="7843" spans="1:1" x14ac:dyDescent="0.25">
      <c r="A7843" s="17"/>
    </row>
    <row r="7844" spans="1:1" x14ac:dyDescent="0.25">
      <c r="A7844" s="17"/>
    </row>
    <row r="7845" spans="1:1" x14ac:dyDescent="0.25">
      <c r="A7845" s="17"/>
    </row>
    <row r="7846" spans="1:1" x14ac:dyDescent="0.25">
      <c r="A7846" s="17"/>
    </row>
    <row r="7847" spans="1:1" x14ac:dyDescent="0.25">
      <c r="A7847" s="17"/>
    </row>
    <row r="7848" spans="1:1" x14ac:dyDescent="0.25">
      <c r="A7848" s="17"/>
    </row>
    <row r="7849" spans="1:1" x14ac:dyDescent="0.25">
      <c r="A7849" s="17"/>
    </row>
    <row r="7850" spans="1:1" x14ac:dyDescent="0.25">
      <c r="A7850" s="17"/>
    </row>
    <row r="7851" spans="1:1" x14ac:dyDescent="0.25">
      <c r="A7851" s="17"/>
    </row>
    <row r="7852" spans="1:1" x14ac:dyDescent="0.25">
      <c r="A7852" s="17"/>
    </row>
    <row r="7853" spans="1:1" x14ac:dyDescent="0.25">
      <c r="A7853" s="17"/>
    </row>
    <row r="7854" spans="1:1" x14ac:dyDescent="0.25">
      <c r="A7854" s="17"/>
    </row>
    <row r="7855" spans="1:1" x14ac:dyDescent="0.25">
      <c r="A7855" s="17"/>
    </row>
    <row r="7856" spans="1:1" x14ac:dyDescent="0.25">
      <c r="A7856" s="17"/>
    </row>
    <row r="7857" spans="1:1" x14ac:dyDescent="0.25">
      <c r="A7857" s="17"/>
    </row>
    <row r="7858" spans="1:1" x14ac:dyDescent="0.25">
      <c r="A7858" s="17"/>
    </row>
    <row r="7859" spans="1:1" x14ac:dyDescent="0.25">
      <c r="A7859" s="17"/>
    </row>
    <row r="7860" spans="1:1" x14ac:dyDescent="0.25">
      <c r="A7860" s="17"/>
    </row>
    <row r="7861" spans="1:1" x14ac:dyDescent="0.25">
      <c r="A7861" s="17"/>
    </row>
    <row r="7862" spans="1:1" x14ac:dyDescent="0.25">
      <c r="A7862" s="17"/>
    </row>
    <row r="7863" spans="1:1" x14ac:dyDescent="0.25">
      <c r="A7863" s="17"/>
    </row>
    <row r="7864" spans="1:1" x14ac:dyDescent="0.25">
      <c r="A7864" s="17"/>
    </row>
    <row r="7865" spans="1:1" x14ac:dyDescent="0.25">
      <c r="A7865" s="17"/>
    </row>
    <row r="7866" spans="1:1" x14ac:dyDescent="0.25">
      <c r="A7866" s="17"/>
    </row>
    <row r="7867" spans="1:1" x14ac:dyDescent="0.25">
      <c r="A7867" s="17"/>
    </row>
    <row r="7868" spans="1:1" x14ac:dyDescent="0.25">
      <c r="A7868" s="17"/>
    </row>
    <row r="7869" spans="1:1" x14ac:dyDescent="0.25">
      <c r="A7869" s="17"/>
    </row>
    <row r="7870" spans="1:1" x14ac:dyDescent="0.25">
      <c r="A7870" s="17"/>
    </row>
    <row r="7871" spans="1:1" x14ac:dyDescent="0.25">
      <c r="A7871" s="17"/>
    </row>
    <row r="7872" spans="1:1" x14ac:dyDescent="0.25">
      <c r="A7872" s="17"/>
    </row>
    <row r="7873" spans="1:1" x14ac:dyDescent="0.25">
      <c r="A7873" s="17"/>
    </row>
    <row r="7874" spans="1:1" x14ac:dyDescent="0.25">
      <c r="A7874" s="17"/>
    </row>
    <row r="7875" spans="1:1" x14ac:dyDescent="0.25">
      <c r="A7875" s="17"/>
    </row>
    <row r="7876" spans="1:1" x14ac:dyDescent="0.25">
      <c r="A7876" s="17"/>
    </row>
    <row r="7877" spans="1:1" x14ac:dyDescent="0.25">
      <c r="A7877" s="17"/>
    </row>
    <row r="7878" spans="1:1" x14ac:dyDescent="0.25">
      <c r="A7878" s="17"/>
    </row>
    <row r="7879" spans="1:1" x14ac:dyDescent="0.25">
      <c r="A7879" s="17"/>
    </row>
    <row r="7880" spans="1:1" x14ac:dyDescent="0.25">
      <c r="A7880" s="17"/>
    </row>
    <row r="7881" spans="1:1" x14ac:dyDescent="0.25">
      <c r="A7881" s="17"/>
    </row>
    <row r="7882" spans="1:1" x14ac:dyDescent="0.25">
      <c r="A7882" s="17"/>
    </row>
    <row r="7883" spans="1:1" x14ac:dyDescent="0.25">
      <c r="A7883" s="17"/>
    </row>
    <row r="7884" spans="1:1" x14ac:dyDescent="0.25">
      <c r="A7884" s="17"/>
    </row>
    <row r="7885" spans="1:1" x14ac:dyDescent="0.25">
      <c r="A7885" s="17"/>
    </row>
    <row r="7886" spans="1:1" x14ac:dyDescent="0.25">
      <c r="A7886" s="17"/>
    </row>
    <row r="7887" spans="1:1" x14ac:dyDescent="0.25">
      <c r="A7887" s="17"/>
    </row>
    <row r="7888" spans="1:1" x14ac:dyDescent="0.25">
      <c r="A7888" s="17"/>
    </row>
    <row r="7889" spans="1:1" x14ac:dyDescent="0.25">
      <c r="A7889" s="17"/>
    </row>
    <row r="7890" spans="1:1" x14ac:dyDescent="0.25">
      <c r="A7890" s="17"/>
    </row>
    <row r="7891" spans="1:1" x14ac:dyDescent="0.25">
      <c r="A7891" s="17"/>
    </row>
    <row r="7892" spans="1:1" x14ac:dyDescent="0.25">
      <c r="A7892" s="17"/>
    </row>
    <row r="7893" spans="1:1" x14ac:dyDescent="0.25">
      <c r="A7893" s="17"/>
    </row>
    <row r="7894" spans="1:1" x14ac:dyDescent="0.25">
      <c r="A7894" s="17"/>
    </row>
    <row r="7895" spans="1:1" x14ac:dyDescent="0.25">
      <c r="A7895" s="17"/>
    </row>
    <row r="7896" spans="1:1" x14ac:dyDescent="0.25">
      <c r="A7896" s="17"/>
    </row>
    <row r="7897" spans="1:1" x14ac:dyDescent="0.25">
      <c r="A7897" s="17"/>
    </row>
    <row r="7898" spans="1:1" x14ac:dyDescent="0.25">
      <c r="A7898" s="17"/>
    </row>
    <row r="7899" spans="1:1" x14ac:dyDescent="0.25">
      <c r="A7899" s="17"/>
    </row>
    <row r="7900" spans="1:1" x14ac:dyDescent="0.25">
      <c r="A7900" s="17"/>
    </row>
    <row r="7901" spans="1:1" x14ac:dyDescent="0.25">
      <c r="A7901" s="17"/>
    </row>
    <row r="7902" spans="1:1" x14ac:dyDescent="0.25">
      <c r="A7902" s="17"/>
    </row>
    <row r="7903" spans="1:1" x14ac:dyDescent="0.25">
      <c r="A7903" s="17"/>
    </row>
    <row r="7904" spans="1:1" x14ac:dyDescent="0.25">
      <c r="A7904" s="17"/>
    </row>
    <row r="7905" spans="1:1" x14ac:dyDescent="0.25">
      <c r="A7905" s="17"/>
    </row>
    <row r="7906" spans="1:1" x14ac:dyDescent="0.25">
      <c r="A7906" s="17"/>
    </row>
    <row r="7907" spans="1:1" x14ac:dyDescent="0.25">
      <c r="A7907" s="17"/>
    </row>
    <row r="7908" spans="1:1" x14ac:dyDescent="0.25">
      <c r="A7908" s="17"/>
    </row>
    <row r="7909" spans="1:1" x14ac:dyDescent="0.25">
      <c r="A7909" s="17"/>
    </row>
    <row r="7910" spans="1:1" x14ac:dyDescent="0.25">
      <c r="A7910" s="17"/>
    </row>
    <row r="7911" spans="1:1" x14ac:dyDescent="0.25">
      <c r="A7911" s="17"/>
    </row>
    <row r="7912" spans="1:1" x14ac:dyDescent="0.25">
      <c r="A7912" s="17"/>
    </row>
    <row r="7913" spans="1:1" x14ac:dyDescent="0.25">
      <c r="A7913" s="17"/>
    </row>
    <row r="7914" spans="1:1" x14ac:dyDescent="0.25">
      <c r="A7914" s="17"/>
    </row>
    <row r="7915" spans="1:1" x14ac:dyDescent="0.25">
      <c r="A7915" s="17"/>
    </row>
    <row r="7916" spans="1:1" x14ac:dyDescent="0.25">
      <c r="A7916" s="17"/>
    </row>
    <row r="7917" spans="1:1" x14ac:dyDescent="0.25">
      <c r="A7917" s="17"/>
    </row>
    <row r="7918" spans="1:1" x14ac:dyDescent="0.25">
      <c r="A7918" s="17"/>
    </row>
    <row r="7919" spans="1:1" x14ac:dyDescent="0.25">
      <c r="A7919" s="17"/>
    </row>
    <row r="7920" spans="1:1" x14ac:dyDescent="0.25">
      <c r="A7920" s="17"/>
    </row>
    <row r="7921" spans="1:1" x14ac:dyDescent="0.25">
      <c r="A7921" s="17"/>
    </row>
    <row r="7922" spans="1:1" x14ac:dyDescent="0.25">
      <c r="A7922" s="17"/>
    </row>
    <row r="7923" spans="1:1" x14ac:dyDescent="0.25">
      <c r="A7923" s="17"/>
    </row>
    <row r="7924" spans="1:1" x14ac:dyDescent="0.25">
      <c r="A7924" s="17"/>
    </row>
    <row r="7925" spans="1:1" x14ac:dyDescent="0.25">
      <c r="A7925" s="17"/>
    </row>
    <row r="7926" spans="1:1" x14ac:dyDescent="0.25">
      <c r="A7926" s="17"/>
    </row>
    <row r="7927" spans="1:1" x14ac:dyDescent="0.25">
      <c r="A7927" s="17"/>
    </row>
    <row r="7928" spans="1:1" x14ac:dyDescent="0.25">
      <c r="A7928" s="17"/>
    </row>
    <row r="7929" spans="1:1" x14ac:dyDescent="0.25">
      <c r="A7929" s="17"/>
    </row>
    <row r="7930" spans="1:1" x14ac:dyDescent="0.25">
      <c r="A7930" s="17"/>
    </row>
    <row r="7931" spans="1:1" x14ac:dyDescent="0.25">
      <c r="A7931" s="17"/>
    </row>
    <row r="7932" spans="1:1" x14ac:dyDescent="0.25">
      <c r="A7932" s="17"/>
    </row>
    <row r="7933" spans="1:1" x14ac:dyDescent="0.25">
      <c r="A7933" s="17"/>
    </row>
    <row r="7934" spans="1:1" x14ac:dyDescent="0.25">
      <c r="A7934" s="17"/>
    </row>
    <row r="7935" spans="1:1" x14ac:dyDescent="0.25">
      <c r="A7935" s="17"/>
    </row>
    <row r="7936" spans="1:1" x14ac:dyDescent="0.25">
      <c r="A7936" s="17"/>
    </row>
    <row r="7937" spans="1:1" x14ac:dyDescent="0.25">
      <c r="A7937" s="17"/>
    </row>
    <row r="7938" spans="1:1" x14ac:dyDescent="0.25">
      <c r="A7938" s="17"/>
    </row>
    <row r="7939" spans="1:1" x14ac:dyDescent="0.25">
      <c r="A7939" s="17"/>
    </row>
    <row r="7940" spans="1:1" x14ac:dyDescent="0.25">
      <c r="A7940" s="17"/>
    </row>
    <row r="7941" spans="1:1" x14ac:dyDescent="0.25">
      <c r="A7941" s="17"/>
    </row>
    <row r="7942" spans="1:1" x14ac:dyDescent="0.25">
      <c r="A7942" s="17"/>
    </row>
    <row r="7943" spans="1:1" x14ac:dyDescent="0.25">
      <c r="A7943" s="17"/>
    </row>
    <row r="7944" spans="1:1" x14ac:dyDescent="0.25">
      <c r="A7944" s="17"/>
    </row>
    <row r="7945" spans="1:1" x14ac:dyDescent="0.25">
      <c r="A7945" s="17"/>
    </row>
    <row r="7946" spans="1:1" x14ac:dyDescent="0.25">
      <c r="A7946" s="17"/>
    </row>
    <row r="7947" spans="1:1" x14ac:dyDescent="0.25">
      <c r="A7947" s="17"/>
    </row>
    <row r="7948" spans="1:1" x14ac:dyDescent="0.25">
      <c r="A7948" s="17"/>
    </row>
    <row r="7949" spans="1:1" x14ac:dyDescent="0.25">
      <c r="A7949" s="17"/>
    </row>
    <row r="7950" spans="1:1" x14ac:dyDescent="0.25">
      <c r="A7950" s="17"/>
    </row>
    <row r="7951" spans="1:1" x14ac:dyDescent="0.25">
      <c r="A7951" s="17"/>
    </row>
    <row r="7952" spans="1:1" x14ac:dyDescent="0.25">
      <c r="A7952" s="17"/>
    </row>
    <row r="7953" spans="1:1" x14ac:dyDescent="0.25">
      <c r="A7953" s="17"/>
    </row>
    <row r="7954" spans="1:1" x14ac:dyDescent="0.25">
      <c r="A7954" s="17"/>
    </row>
    <row r="7955" spans="1:1" x14ac:dyDescent="0.25">
      <c r="A7955" s="17"/>
    </row>
    <row r="7956" spans="1:1" x14ac:dyDescent="0.25">
      <c r="A7956" s="17"/>
    </row>
    <row r="7957" spans="1:1" x14ac:dyDescent="0.25">
      <c r="A7957" s="17"/>
    </row>
    <row r="7958" spans="1:1" x14ac:dyDescent="0.25">
      <c r="A7958" s="17"/>
    </row>
    <row r="7959" spans="1:1" x14ac:dyDescent="0.25">
      <c r="A7959" s="17"/>
    </row>
    <row r="7960" spans="1:1" x14ac:dyDescent="0.25">
      <c r="A7960" s="17"/>
    </row>
    <row r="7961" spans="1:1" x14ac:dyDescent="0.25">
      <c r="A7961" s="17"/>
    </row>
    <row r="7962" spans="1:1" x14ac:dyDescent="0.25">
      <c r="A7962" s="17"/>
    </row>
    <row r="7963" spans="1:1" x14ac:dyDescent="0.25">
      <c r="A7963" s="17"/>
    </row>
    <row r="7964" spans="1:1" x14ac:dyDescent="0.25">
      <c r="A7964" s="17"/>
    </row>
    <row r="7965" spans="1:1" x14ac:dyDescent="0.25">
      <c r="A7965" s="17"/>
    </row>
    <row r="7966" spans="1:1" x14ac:dyDescent="0.25">
      <c r="A7966" s="17"/>
    </row>
    <row r="7967" spans="1:1" x14ac:dyDescent="0.25">
      <c r="A7967" s="17"/>
    </row>
    <row r="7968" spans="1:1" x14ac:dyDescent="0.25">
      <c r="A7968" s="17"/>
    </row>
    <row r="7969" spans="1:1" x14ac:dyDescent="0.25">
      <c r="A7969" s="17"/>
    </row>
    <row r="7970" spans="1:1" x14ac:dyDescent="0.25">
      <c r="A7970" s="17"/>
    </row>
    <row r="7971" spans="1:1" x14ac:dyDescent="0.25">
      <c r="A7971" s="17"/>
    </row>
    <row r="7972" spans="1:1" x14ac:dyDescent="0.25">
      <c r="A7972" s="17"/>
    </row>
    <row r="7973" spans="1:1" x14ac:dyDescent="0.25">
      <c r="A7973" s="17"/>
    </row>
    <row r="7974" spans="1:1" x14ac:dyDescent="0.25">
      <c r="A7974" s="17"/>
    </row>
    <row r="7975" spans="1:1" x14ac:dyDescent="0.25">
      <c r="A7975" s="17"/>
    </row>
    <row r="7976" spans="1:1" x14ac:dyDescent="0.25">
      <c r="A7976" s="17"/>
    </row>
    <row r="7977" spans="1:1" x14ac:dyDescent="0.25">
      <c r="A7977" s="17"/>
    </row>
    <row r="7978" spans="1:1" x14ac:dyDescent="0.25">
      <c r="A7978" s="17"/>
    </row>
    <row r="7979" spans="1:1" x14ac:dyDescent="0.25">
      <c r="A7979" s="17"/>
    </row>
    <row r="7980" spans="1:1" x14ac:dyDescent="0.25">
      <c r="A7980" s="17"/>
    </row>
    <row r="7981" spans="1:1" x14ac:dyDescent="0.25">
      <c r="A7981" s="17"/>
    </row>
    <row r="7982" spans="1:1" x14ac:dyDescent="0.25">
      <c r="A7982" s="17"/>
    </row>
    <row r="7983" spans="1:1" x14ac:dyDescent="0.25">
      <c r="A7983" s="17"/>
    </row>
    <row r="7984" spans="1:1" x14ac:dyDescent="0.25">
      <c r="A7984" s="17"/>
    </row>
    <row r="7985" spans="1:1" x14ac:dyDescent="0.25">
      <c r="A7985" s="17"/>
    </row>
    <row r="7986" spans="1:1" x14ac:dyDescent="0.25">
      <c r="A7986" s="17"/>
    </row>
    <row r="7987" spans="1:1" x14ac:dyDescent="0.25">
      <c r="A7987" s="17"/>
    </row>
    <row r="7988" spans="1:1" x14ac:dyDescent="0.25">
      <c r="A7988" s="17"/>
    </row>
    <row r="7989" spans="1:1" x14ac:dyDescent="0.25">
      <c r="A7989" s="17"/>
    </row>
    <row r="7990" spans="1:1" x14ac:dyDescent="0.25">
      <c r="A7990" s="17"/>
    </row>
    <row r="7991" spans="1:1" x14ac:dyDescent="0.25">
      <c r="A7991" s="17"/>
    </row>
    <row r="7992" spans="1:1" x14ac:dyDescent="0.25">
      <c r="A7992" s="17"/>
    </row>
    <row r="7993" spans="1:1" x14ac:dyDescent="0.25">
      <c r="A7993" s="17"/>
    </row>
    <row r="7994" spans="1:1" x14ac:dyDescent="0.25">
      <c r="A7994" s="17"/>
    </row>
    <row r="7995" spans="1:1" x14ac:dyDescent="0.25">
      <c r="A7995" s="17"/>
    </row>
    <row r="7996" spans="1:1" x14ac:dyDescent="0.25">
      <c r="A7996" s="17"/>
    </row>
    <row r="7997" spans="1:1" x14ac:dyDescent="0.25">
      <c r="A7997" s="17"/>
    </row>
    <row r="7998" spans="1:1" x14ac:dyDescent="0.25">
      <c r="A7998" s="17"/>
    </row>
    <row r="7999" spans="1:1" x14ac:dyDescent="0.25">
      <c r="A7999" s="17"/>
    </row>
    <row r="8000" spans="1:1" x14ac:dyDescent="0.25">
      <c r="A8000" s="17"/>
    </row>
    <row r="8001" spans="1:1" x14ac:dyDescent="0.25">
      <c r="A8001" s="17"/>
    </row>
    <row r="8002" spans="1:1" x14ac:dyDescent="0.25">
      <c r="A8002" s="17"/>
    </row>
    <row r="8003" spans="1:1" x14ac:dyDescent="0.25">
      <c r="A8003" s="17"/>
    </row>
    <row r="8004" spans="1:1" x14ac:dyDescent="0.25">
      <c r="A8004" s="17"/>
    </row>
    <row r="8005" spans="1:1" x14ac:dyDescent="0.25">
      <c r="A8005" s="17"/>
    </row>
    <row r="8006" spans="1:1" x14ac:dyDescent="0.25">
      <c r="A8006" s="17"/>
    </row>
    <row r="8007" spans="1:1" x14ac:dyDescent="0.25">
      <c r="A8007" s="17"/>
    </row>
    <row r="8008" spans="1:1" x14ac:dyDescent="0.25">
      <c r="A8008" s="17"/>
    </row>
    <row r="8009" spans="1:1" x14ac:dyDescent="0.25">
      <c r="A8009" s="17"/>
    </row>
    <row r="8010" spans="1:1" x14ac:dyDescent="0.25">
      <c r="A8010" s="17"/>
    </row>
    <row r="8011" spans="1:1" x14ac:dyDescent="0.25">
      <c r="A8011" s="17"/>
    </row>
    <row r="8012" spans="1:1" x14ac:dyDescent="0.25">
      <c r="A8012" s="17"/>
    </row>
    <row r="8013" spans="1:1" x14ac:dyDescent="0.25">
      <c r="A8013" s="17"/>
    </row>
    <row r="8014" spans="1:1" x14ac:dyDescent="0.25">
      <c r="A8014" s="17"/>
    </row>
    <row r="8015" spans="1:1" x14ac:dyDescent="0.25">
      <c r="A8015" s="17"/>
    </row>
    <row r="8016" spans="1:1" x14ac:dyDescent="0.25">
      <c r="A8016" s="17"/>
    </row>
    <row r="8017" spans="1:1" x14ac:dyDescent="0.25">
      <c r="A8017" s="17"/>
    </row>
    <row r="8018" spans="1:1" x14ac:dyDescent="0.25">
      <c r="A8018" s="17"/>
    </row>
    <row r="8019" spans="1:1" x14ac:dyDescent="0.25">
      <c r="A8019" s="17"/>
    </row>
    <row r="8020" spans="1:1" x14ac:dyDescent="0.25">
      <c r="A8020" s="17"/>
    </row>
    <row r="8021" spans="1:1" x14ac:dyDescent="0.25">
      <c r="A8021" s="17"/>
    </row>
    <row r="8022" spans="1:1" x14ac:dyDescent="0.25">
      <c r="A8022" s="17"/>
    </row>
    <row r="8023" spans="1:1" x14ac:dyDescent="0.25">
      <c r="A8023" s="17"/>
    </row>
    <row r="8024" spans="1:1" x14ac:dyDescent="0.25">
      <c r="A8024" s="17"/>
    </row>
    <row r="8025" spans="1:1" x14ac:dyDescent="0.25">
      <c r="A8025" s="17"/>
    </row>
    <row r="8026" spans="1:1" x14ac:dyDescent="0.25">
      <c r="A8026" s="17"/>
    </row>
    <row r="8027" spans="1:1" x14ac:dyDescent="0.25">
      <c r="A8027" s="17"/>
    </row>
    <row r="8028" spans="1:1" x14ac:dyDescent="0.25">
      <c r="A8028" s="17"/>
    </row>
    <row r="8029" spans="1:1" x14ac:dyDescent="0.25">
      <c r="A8029" s="17"/>
    </row>
    <row r="8030" spans="1:1" x14ac:dyDescent="0.25">
      <c r="A8030" s="17"/>
    </row>
    <row r="8031" spans="1:1" x14ac:dyDescent="0.25">
      <c r="A8031" s="17"/>
    </row>
    <row r="8032" spans="1:1" x14ac:dyDescent="0.25">
      <c r="A8032" s="17"/>
    </row>
    <row r="8033" spans="1:1" x14ac:dyDescent="0.25">
      <c r="A8033" s="17"/>
    </row>
    <row r="8034" spans="1:1" x14ac:dyDescent="0.25">
      <c r="A8034" s="17"/>
    </row>
    <row r="8035" spans="1:1" x14ac:dyDescent="0.25">
      <c r="A8035" s="17"/>
    </row>
    <row r="8036" spans="1:1" x14ac:dyDescent="0.25">
      <c r="A8036" s="17"/>
    </row>
    <row r="8037" spans="1:1" x14ac:dyDescent="0.25">
      <c r="A8037" s="17"/>
    </row>
    <row r="8038" spans="1:1" x14ac:dyDescent="0.25">
      <c r="A8038" s="17"/>
    </row>
    <row r="8039" spans="1:1" x14ac:dyDescent="0.25">
      <c r="A8039" s="17"/>
    </row>
    <row r="8040" spans="1:1" x14ac:dyDescent="0.25">
      <c r="A8040" s="17"/>
    </row>
    <row r="8041" spans="1:1" x14ac:dyDescent="0.25">
      <c r="A8041" s="17"/>
    </row>
    <row r="8042" spans="1:1" x14ac:dyDescent="0.25">
      <c r="A8042" s="17"/>
    </row>
    <row r="8043" spans="1:1" x14ac:dyDescent="0.25">
      <c r="A8043" s="17"/>
    </row>
    <row r="8044" spans="1:1" x14ac:dyDescent="0.25">
      <c r="A8044" s="17"/>
    </row>
    <row r="8045" spans="1:1" x14ac:dyDescent="0.25">
      <c r="A8045" s="17"/>
    </row>
    <row r="8046" spans="1:1" x14ac:dyDescent="0.25">
      <c r="A8046" s="17"/>
    </row>
    <row r="8047" spans="1:1" x14ac:dyDescent="0.25">
      <c r="A8047" s="17"/>
    </row>
    <row r="8048" spans="1:1" x14ac:dyDescent="0.25">
      <c r="A8048" s="17"/>
    </row>
    <row r="8049" spans="1:1" x14ac:dyDescent="0.25">
      <c r="A8049" s="17"/>
    </row>
    <row r="8050" spans="1:1" x14ac:dyDescent="0.25">
      <c r="A8050" s="17"/>
    </row>
    <row r="8051" spans="1:1" x14ac:dyDescent="0.25">
      <c r="A8051" s="17"/>
    </row>
    <row r="8052" spans="1:1" x14ac:dyDescent="0.25">
      <c r="A8052" s="17"/>
    </row>
    <row r="8053" spans="1:1" x14ac:dyDescent="0.25">
      <c r="A8053" s="17"/>
    </row>
    <row r="8054" spans="1:1" x14ac:dyDescent="0.25">
      <c r="A8054" s="17"/>
    </row>
    <row r="8055" spans="1:1" x14ac:dyDescent="0.25">
      <c r="A8055" s="17"/>
    </row>
    <row r="8056" spans="1:1" x14ac:dyDescent="0.25">
      <c r="A8056" s="17"/>
    </row>
    <row r="8057" spans="1:1" x14ac:dyDescent="0.25">
      <c r="A8057" s="17"/>
    </row>
    <row r="8058" spans="1:1" x14ac:dyDescent="0.25">
      <c r="A8058" s="17"/>
    </row>
    <row r="8059" spans="1:1" x14ac:dyDescent="0.25">
      <c r="A8059" s="17"/>
    </row>
    <row r="8060" spans="1:1" x14ac:dyDescent="0.25">
      <c r="A8060" s="17"/>
    </row>
    <row r="8061" spans="1:1" x14ac:dyDescent="0.25">
      <c r="A8061" s="17"/>
    </row>
    <row r="8062" spans="1:1" x14ac:dyDescent="0.25">
      <c r="A8062" s="17"/>
    </row>
    <row r="8063" spans="1:1" x14ac:dyDescent="0.25">
      <c r="A8063" s="17"/>
    </row>
    <row r="8064" spans="1:1" x14ac:dyDescent="0.25">
      <c r="A8064" s="17"/>
    </row>
    <row r="8065" spans="1:1" x14ac:dyDescent="0.25">
      <c r="A8065" s="17"/>
    </row>
    <row r="8066" spans="1:1" x14ac:dyDescent="0.25">
      <c r="A8066" s="17"/>
    </row>
    <row r="8067" spans="1:1" x14ac:dyDescent="0.25">
      <c r="A8067" s="17"/>
    </row>
    <row r="8068" spans="1:1" x14ac:dyDescent="0.25">
      <c r="A8068" s="17"/>
    </row>
    <row r="8069" spans="1:1" x14ac:dyDescent="0.25">
      <c r="A8069" s="17"/>
    </row>
    <row r="8070" spans="1:1" x14ac:dyDescent="0.25">
      <c r="A8070" s="17"/>
    </row>
    <row r="8071" spans="1:1" x14ac:dyDescent="0.25">
      <c r="A8071" s="17"/>
    </row>
    <row r="8072" spans="1:1" x14ac:dyDescent="0.25">
      <c r="A8072" s="17"/>
    </row>
    <row r="8073" spans="1:1" x14ac:dyDescent="0.25">
      <c r="A8073" s="17"/>
    </row>
    <row r="8074" spans="1:1" x14ac:dyDescent="0.25">
      <c r="A8074" s="17"/>
    </row>
    <row r="8075" spans="1:1" x14ac:dyDescent="0.25">
      <c r="A8075" s="17"/>
    </row>
    <row r="8076" spans="1:1" x14ac:dyDescent="0.25">
      <c r="A8076" s="17"/>
    </row>
    <row r="8077" spans="1:1" x14ac:dyDescent="0.25">
      <c r="A8077" s="17"/>
    </row>
    <row r="8078" spans="1:1" x14ac:dyDescent="0.25">
      <c r="A8078" s="17"/>
    </row>
    <row r="8079" spans="1:1" x14ac:dyDescent="0.25">
      <c r="A8079" s="17"/>
    </row>
    <row r="8080" spans="1:1" x14ac:dyDescent="0.25">
      <c r="A8080" s="17"/>
    </row>
    <row r="8081" spans="1:1" x14ac:dyDescent="0.25">
      <c r="A8081" s="17"/>
    </row>
    <row r="8082" spans="1:1" x14ac:dyDescent="0.25">
      <c r="A8082" s="17"/>
    </row>
    <row r="8083" spans="1:1" x14ac:dyDescent="0.25">
      <c r="A8083" s="17"/>
    </row>
    <row r="8084" spans="1:1" x14ac:dyDescent="0.25">
      <c r="A8084" s="17"/>
    </row>
    <row r="8085" spans="1:1" x14ac:dyDescent="0.25">
      <c r="A8085" s="17"/>
    </row>
    <row r="8086" spans="1:1" x14ac:dyDescent="0.25">
      <c r="A8086" s="17"/>
    </row>
    <row r="8087" spans="1:1" x14ac:dyDescent="0.25">
      <c r="A8087" s="17"/>
    </row>
    <row r="8088" spans="1:1" x14ac:dyDescent="0.25">
      <c r="A8088" s="17"/>
    </row>
    <row r="8089" spans="1:1" x14ac:dyDescent="0.25">
      <c r="A8089" s="17"/>
    </row>
    <row r="8090" spans="1:1" x14ac:dyDescent="0.25">
      <c r="A8090" s="17"/>
    </row>
    <row r="8091" spans="1:1" x14ac:dyDescent="0.25">
      <c r="A8091" s="17"/>
    </row>
    <row r="8092" spans="1:1" x14ac:dyDescent="0.25">
      <c r="A8092" s="17"/>
    </row>
    <row r="8093" spans="1:1" x14ac:dyDescent="0.25">
      <c r="A8093" s="17"/>
    </row>
    <row r="8094" spans="1:1" x14ac:dyDescent="0.25">
      <c r="A8094" s="17"/>
    </row>
    <row r="8095" spans="1:1" x14ac:dyDescent="0.25">
      <c r="A8095" s="17"/>
    </row>
    <row r="8096" spans="1:1" x14ac:dyDescent="0.25">
      <c r="A8096" s="17"/>
    </row>
    <row r="8097" spans="1:1" x14ac:dyDescent="0.25">
      <c r="A8097" s="17"/>
    </row>
    <row r="8098" spans="1:1" x14ac:dyDescent="0.25">
      <c r="A8098" s="17"/>
    </row>
    <row r="8099" spans="1:1" x14ac:dyDescent="0.25">
      <c r="A8099" s="17"/>
    </row>
    <row r="8100" spans="1:1" x14ac:dyDescent="0.25">
      <c r="A8100" s="17"/>
    </row>
    <row r="8101" spans="1:1" x14ac:dyDescent="0.25">
      <c r="A8101" s="17"/>
    </row>
    <row r="8102" spans="1:1" x14ac:dyDescent="0.25">
      <c r="A8102" s="17"/>
    </row>
    <row r="8103" spans="1:1" x14ac:dyDescent="0.25">
      <c r="A8103" s="17"/>
    </row>
    <row r="8104" spans="1:1" x14ac:dyDescent="0.25">
      <c r="A8104" s="17"/>
    </row>
    <row r="8105" spans="1:1" x14ac:dyDescent="0.25">
      <c r="A8105" s="17"/>
    </row>
    <row r="8106" spans="1:1" x14ac:dyDescent="0.25">
      <c r="A8106" s="17"/>
    </row>
    <row r="8107" spans="1:1" x14ac:dyDescent="0.25">
      <c r="A8107" s="17"/>
    </row>
    <row r="8108" spans="1:1" x14ac:dyDescent="0.25">
      <c r="A8108" s="17"/>
    </row>
    <row r="8109" spans="1:1" x14ac:dyDescent="0.25">
      <c r="A8109" s="17"/>
    </row>
    <row r="8110" spans="1:1" x14ac:dyDescent="0.25">
      <c r="A8110" s="17"/>
    </row>
    <row r="8111" spans="1:1" x14ac:dyDescent="0.25">
      <c r="A8111" s="17"/>
    </row>
    <row r="8112" spans="1:1" x14ac:dyDescent="0.25">
      <c r="A8112" s="17"/>
    </row>
    <row r="8113" spans="1:1" x14ac:dyDescent="0.25">
      <c r="A8113" s="17"/>
    </row>
    <row r="8114" spans="1:1" x14ac:dyDescent="0.25">
      <c r="A8114" s="17"/>
    </row>
    <row r="8115" spans="1:1" x14ac:dyDescent="0.25">
      <c r="A8115" s="17"/>
    </row>
    <row r="8116" spans="1:1" x14ac:dyDescent="0.25">
      <c r="A8116" s="17"/>
    </row>
    <row r="8117" spans="1:1" x14ac:dyDescent="0.25">
      <c r="A8117" s="17"/>
    </row>
    <row r="8118" spans="1:1" x14ac:dyDescent="0.25">
      <c r="A8118" s="17"/>
    </row>
    <row r="8119" spans="1:1" x14ac:dyDescent="0.25">
      <c r="A8119" s="17"/>
    </row>
    <row r="8120" spans="1:1" x14ac:dyDescent="0.25">
      <c r="A8120" s="17"/>
    </row>
    <row r="8121" spans="1:1" x14ac:dyDescent="0.25">
      <c r="A8121" s="17"/>
    </row>
    <row r="8122" spans="1:1" x14ac:dyDescent="0.25">
      <c r="A8122" s="17"/>
    </row>
    <row r="8123" spans="1:1" x14ac:dyDescent="0.25">
      <c r="A8123" s="17"/>
    </row>
    <row r="8124" spans="1:1" x14ac:dyDescent="0.25">
      <c r="A8124" s="17"/>
    </row>
    <row r="8125" spans="1:1" x14ac:dyDescent="0.25">
      <c r="A8125" s="17"/>
    </row>
    <row r="8126" spans="1:1" x14ac:dyDescent="0.25">
      <c r="A8126" s="17"/>
    </row>
    <row r="8127" spans="1:1" x14ac:dyDescent="0.25">
      <c r="A8127" s="17"/>
    </row>
    <row r="8128" spans="1:1" x14ac:dyDescent="0.25">
      <c r="A8128" s="17"/>
    </row>
    <row r="8129" spans="1:1" x14ac:dyDescent="0.25">
      <c r="A8129" s="17"/>
    </row>
    <row r="8130" spans="1:1" x14ac:dyDescent="0.25">
      <c r="A8130" s="17"/>
    </row>
    <row r="8131" spans="1:1" x14ac:dyDescent="0.25">
      <c r="A8131" s="17"/>
    </row>
    <row r="8132" spans="1:1" x14ac:dyDescent="0.25">
      <c r="A8132" s="17"/>
    </row>
    <row r="8133" spans="1:1" x14ac:dyDescent="0.25">
      <c r="A8133" s="17"/>
    </row>
    <row r="8134" spans="1:1" x14ac:dyDescent="0.25">
      <c r="A8134" s="17"/>
    </row>
    <row r="8135" spans="1:1" x14ac:dyDescent="0.25">
      <c r="A8135" s="17"/>
    </row>
    <row r="8136" spans="1:1" x14ac:dyDescent="0.25">
      <c r="A8136" s="17"/>
    </row>
    <row r="8137" spans="1:1" x14ac:dyDescent="0.25">
      <c r="A8137" s="17"/>
    </row>
    <row r="8138" spans="1:1" x14ac:dyDescent="0.25">
      <c r="A8138" s="17"/>
    </row>
    <row r="8139" spans="1:1" x14ac:dyDescent="0.25">
      <c r="A8139" s="17"/>
    </row>
    <row r="8140" spans="1:1" x14ac:dyDescent="0.25">
      <c r="A8140" s="17"/>
    </row>
    <row r="8141" spans="1:1" x14ac:dyDescent="0.25">
      <c r="A8141" s="17"/>
    </row>
    <row r="8142" spans="1:1" x14ac:dyDescent="0.25">
      <c r="A8142" s="17"/>
    </row>
    <row r="8143" spans="1:1" x14ac:dyDescent="0.25">
      <c r="A8143" s="17"/>
    </row>
    <row r="8144" spans="1:1" x14ac:dyDescent="0.25">
      <c r="A8144" s="17"/>
    </row>
    <row r="8145" spans="1:1" x14ac:dyDescent="0.25">
      <c r="A8145" s="17"/>
    </row>
    <row r="8146" spans="1:1" x14ac:dyDescent="0.25">
      <c r="A8146" s="17"/>
    </row>
    <row r="8147" spans="1:1" x14ac:dyDescent="0.25">
      <c r="A8147" s="17"/>
    </row>
    <row r="8148" spans="1:1" x14ac:dyDescent="0.25">
      <c r="A8148" s="17"/>
    </row>
    <row r="8149" spans="1:1" x14ac:dyDescent="0.25">
      <c r="A8149" s="17"/>
    </row>
    <row r="8150" spans="1:1" x14ac:dyDescent="0.25">
      <c r="A8150" s="17"/>
    </row>
    <row r="8151" spans="1:1" x14ac:dyDescent="0.25">
      <c r="A8151" s="17"/>
    </row>
    <row r="8152" spans="1:1" x14ac:dyDescent="0.25">
      <c r="A8152" s="17"/>
    </row>
    <row r="8153" spans="1:1" x14ac:dyDescent="0.25">
      <c r="A8153" s="17"/>
    </row>
    <row r="8154" spans="1:1" x14ac:dyDescent="0.25">
      <c r="A8154" s="17"/>
    </row>
    <row r="8155" spans="1:1" x14ac:dyDescent="0.25">
      <c r="A8155" s="17"/>
    </row>
    <row r="8156" spans="1:1" x14ac:dyDescent="0.25">
      <c r="A8156" s="17"/>
    </row>
    <row r="8157" spans="1:1" x14ac:dyDescent="0.25">
      <c r="A8157" s="17"/>
    </row>
    <row r="8158" spans="1:1" x14ac:dyDescent="0.25">
      <c r="A8158" s="17"/>
    </row>
    <row r="8159" spans="1:1" x14ac:dyDescent="0.25">
      <c r="A8159" s="17"/>
    </row>
    <row r="8160" spans="1:1" x14ac:dyDescent="0.25">
      <c r="A8160" s="17"/>
    </row>
    <row r="8161" spans="1:1" x14ac:dyDescent="0.25">
      <c r="A8161" s="17"/>
    </row>
    <row r="8162" spans="1:1" x14ac:dyDescent="0.25">
      <c r="A8162" s="17"/>
    </row>
    <row r="8163" spans="1:1" x14ac:dyDescent="0.25">
      <c r="A8163" s="17"/>
    </row>
    <row r="8164" spans="1:1" x14ac:dyDescent="0.25">
      <c r="A8164" s="17"/>
    </row>
    <row r="8165" spans="1:1" x14ac:dyDescent="0.25">
      <c r="A8165" s="17"/>
    </row>
    <row r="8166" spans="1:1" x14ac:dyDescent="0.25">
      <c r="A8166" s="17"/>
    </row>
    <row r="8167" spans="1:1" x14ac:dyDescent="0.25">
      <c r="A8167" s="17"/>
    </row>
    <row r="8168" spans="1:1" x14ac:dyDescent="0.25">
      <c r="A8168" s="17"/>
    </row>
    <row r="8169" spans="1:1" x14ac:dyDescent="0.25">
      <c r="A8169" s="17"/>
    </row>
    <row r="8170" spans="1:1" x14ac:dyDescent="0.25">
      <c r="A8170" s="17"/>
    </row>
    <row r="8171" spans="1:1" x14ac:dyDescent="0.25">
      <c r="A8171" s="17"/>
    </row>
    <row r="8172" spans="1:1" x14ac:dyDescent="0.25">
      <c r="A8172" s="17"/>
    </row>
    <row r="8173" spans="1:1" x14ac:dyDescent="0.25">
      <c r="A8173" s="17"/>
    </row>
    <row r="8174" spans="1:1" x14ac:dyDescent="0.25">
      <c r="A8174" s="17"/>
    </row>
    <row r="8175" spans="1:1" x14ac:dyDescent="0.25">
      <c r="A8175" s="17"/>
    </row>
    <row r="8176" spans="1:1" x14ac:dyDescent="0.25">
      <c r="A8176" s="17"/>
    </row>
    <row r="8177" spans="1:1" x14ac:dyDescent="0.25">
      <c r="A8177" s="17"/>
    </row>
    <row r="8178" spans="1:1" x14ac:dyDescent="0.25">
      <c r="A8178" s="17"/>
    </row>
    <row r="8179" spans="1:1" x14ac:dyDescent="0.25">
      <c r="A8179" s="17"/>
    </row>
    <row r="8180" spans="1:1" x14ac:dyDescent="0.25">
      <c r="A8180" s="17"/>
    </row>
    <row r="8181" spans="1:1" x14ac:dyDescent="0.25">
      <c r="A8181" s="17"/>
    </row>
    <row r="8182" spans="1:1" x14ac:dyDescent="0.25">
      <c r="A8182" s="17"/>
    </row>
    <row r="8183" spans="1:1" x14ac:dyDescent="0.25">
      <c r="A8183" s="17"/>
    </row>
    <row r="8184" spans="1:1" x14ac:dyDescent="0.25">
      <c r="A8184" s="17"/>
    </row>
    <row r="8185" spans="1:1" x14ac:dyDescent="0.25">
      <c r="A8185" s="17"/>
    </row>
    <row r="8186" spans="1:1" x14ac:dyDescent="0.25">
      <c r="A8186" s="17"/>
    </row>
    <row r="8187" spans="1:1" x14ac:dyDescent="0.25">
      <c r="A8187" s="17"/>
    </row>
    <row r="8188" spans="1:1" x14ac:dyDescent="0.25">
      <c r="A8188" s="17"/>
    </row>
    <row r="8189" spans="1:1" x14ac:dyDescent="0.25">
      <c r="A8189" s="17"/>
    </row>
    <row r="8190" spans="1:1" x14ac:dyDescent="0.25">
      <c r="A8190" s="17"/>
    </row>
    <row r="8191" spans="1:1" x14ac:dyDescent="0.25">
      <c r="A8191" s="17"/>
    </row>
    <row r="8192" spans="1:1" x14ac:dyDescent="0.25">
      <c r="A8192" s="17"/>
    </row>
    <row r="8193" spans="1:1" x14ac:dyDescent="0.25">
      <c r="A8193" s="17"/>
    </row>
    <row r="8194" spans="1:1" x14ac:dyDescent="0.25">
      <c r="A8194" s="17"/>
    </row>
    <row r="8195" spans="1:1" x14ac:dyDescent="0.25">
      <c r="A8195" s="17"/>
    </row>
    <row r="8196" spans="1:1" x14ac:dyDescent="0.25">
      <c r="A8196" s="17"/>
    </row>
    <row r="8197" spans="1:1" x14ac:dyDescent="0.25">
      <c r="A8197" s="17"/>
    </row>
    <row r="8198" spans="1:1" x14ac:dyDescent="0.25">
      <c r="A8198" s="17"/>
    </row>
    <row r="8199" spans="1:1" x14ac:dyDescent="0.25">
      <c r="A8199" s="17"/>
    </row>
    <row r="8200" spans="1:1" x14ac:dyDescent="0.25">
      <c r="A8200" s="17"/>
    </row>
    <row r="8201" spans="1:1" x14ac:dyDescent="0.25">
      <c r="A8201" s="17"/>
    </row>
    <row r="8202" spans="1:1" x14ac:dyDescent="0.25">
      <c r="A8202" s="17"/>
    </row>
    <row r="8203" spans="1:1" x14ac:dyDescent="0.25">
      <c r="A8203" s="17"/>
    </row>
    <row r="8204" spans="1:1" x14ac:dyDescent="0.25">
      <c r="A8204" s="17"/>
    </row>
    <row r="8205" spans="1:1" x14ac:dyDescent="0.25">
      <c r="A8205" s="17"/>
    </row>
    <row r="8206" spans="1:1" x14ac:dyDescent="0.25">
      <c r="A8206" s="17"/>
    </row>
    <row r="8207" spans="1:1" x14ac:dyDescent="0.25">
      <c r="A8207" s="17"/>
    </row>
    <row r="8208" spans="1:1" x14ac:dyDescent="0.25">
      <c r="A8208" s="17"/>
    </row>
    <row r="8209" spans="1:1" x14ac:dyDescent="0.25">
      <c r="A8209" s="17"/>
    </row>
    <row r="8210" spans="1:1" x14ac:dyDescent="0.25">
      <c r="A8210" s="17"/>
    </row>
    <row r="8211" spans="1:1" x14ac:dyDescent="0.25">
      <c r="A8211" s="17"/>
    </row>
    <row r="8212" spans="1:1" x14ac:dyDescent="0.25">
      <c r="A8212" s="17"/>
    </row>
    <row r="8213" spans="1:1" x14ac:dyDescent="0.25">
      <c r="A8213" s="17"/>
    </row>
    <row r="8214" spans="1:1" x14ac:dyDescent="0.25">
      <c r="A8214" s="17"/>
    </row>
    <row r="8215" spans="1:1" x14ac:dyDescent="0.25">
      <c r="A8215" s="17"/>
    </row>
    <row r="8216" spans="1:1" x14ac:dyDescent="0.25">
      <c r="A8216" s="17"/>
    </row>
    <row r="8217" spans="1:1" x14ac:dyDescent="0.25">
      <c r="A8217" s="17"/>
    </row>
    <row r="8218" spans="1:1" x14ac:dyDescent="0.25">
      <c r="A8218" s="17"/>
    </row>
    <row r="8219" spans="1:1" x14ac:dyDescent="0.25">
      <c r="A8219" s="17"/>
    </row>
    <row r="8220" spans="1:1" x14ac:dyDescent="0.25">
      <c r="A8220" s="17"/>
    </row>
    <row r="8221" spans="1:1" x14ac:dyDescent="0.25">
      <c r="A8221" s="17"/>
    </row>
    <row r="8222" spans="1:1" x14ac:dyDescent="0.25">
      <c r="A8222" s="17"/>
    </row>
    <row r="8223" spans="1:1" x14ac:dyDescent="0.25">
      <c r="A8223" s="17"/>
    </row>
    <row r="8224" spans="1:1" x14ac:dyDescent="0.25">
      <c r="A8224" s="17"/>
    </row>
    <row r="8225" spans="1:1" x14ac:dyDescent="0.25">
      <c r="A8225" s="17"/>
    </row>
    <row r="8226" spans="1:1" x14ac:dyDescent="0.25">
      <c r="A8226" s="17"/>
    </row>
    <row r="8227" spans="1:1" x14ac:dyDescent="0.25">
      <c r="A8227" s="17"/>
    </row>
    <row r="8228" spans="1:1" x14ac:dyDescent="0.25">
      <c r="A8228" s="17"/>
    </row>
    <row r="8229" spans="1:1" x14ac:dyDescent="0.25">
      <c r="A8229" s="17"/>
    </row>
    <row r="8230" spans="1:1" x14ac:dyDescent="0.25">
      <c r="A8230" s="17"/>
    </row>
    <row r="8231" spans="1:1" x14ac:dyDescent="0.25">
      <c r="A8231" s="17"/>
    </row>
    <row r="8232" spans="1:1" x14ac:dyDescent="0.25">
      <c r="A8232" s="17"/>
    </row>
    <row r="8233" spans="1:1" x14ac:dyDescent="0.25">
      <c r="A8233" s="17"/>
    </row>
    <row r="8234" spans="1:1" x14ac:dyDescent="0.25">
      <c r="A8234" s="17"/>
    </row>
    <row r="8235" spans="1:1" x14ac:dyDescent="0.25">
      <c r="A8235" s="17"/>
    </row>
    <row r="8236" spans="1:1" x14ac:dyDescent="0.25">
      <c r="A8236" s="17"/>
    </row>
    <row r="8237" spans="1:1" x14ac:dyDescent="0.25">
      <c r="A8237" s="17"/>
    </row>
    <row r="8238" spans="1:1" x14ac:dyDescent="0.25">
      <c r="A8238" s="17"/>
    </row>
    <row r="8239" spans="1:1" x14ac:dyDescent="0.25">
      <c r="A8239" s="17"/>
    </row>
    <row r="8240" spans="1:1" x14ac:dyDescent="0.25">
      <c r="A8240" s="17"/>
    </row>
    <row r="8241" spans="1:1" x14ac:dyDescent="0.25">
      <c r="A8241" s="17"/>
    </row>
    <row r="8242" spans="1:1" x14ac:dyDescent="0.25">
      <c r="A8242" s="17"/>
    </row>
    <row r="8243" spans="1:1" x14ac:dyDescent="0.25">
      <c r="A8243" s="17"/>
    </row>
    <row r="8244" spans="1:1" x14ac:dyDescent="0.25">
      <c r="A8244" s="17"/>
    </row>
    <row r="8245" spans="1:1" x14ac:dyDescent="0.25">
      <c r="A8245" s="17"/>
    </row>
    <row r="8246" spans="1:1" x14ac:dyDescent="0.25">
      <c r="A8246" s="17"/>
    </row>
    <row r="8247" spans="1:1" x14ac:dyDescent="0.25">
      <c r="A8247" s="17"/>
    </row>
    <row r="8248" spans="1:1" x14ac:dyDescent="0.25">
      <c r="A8248" s="17"/>
    </row>
    <row r="8249" spans="1:1" x14ac:dyDescent="0.25">
      <c r="A8249" s="17"/>
    </row>
    <row r="8250" spans="1:1" x14ac:dyDescent="0.25">
      <c r="A8250" s="17"/>
    </row>
    <row r="8251" spans="1:1" x14ac:dyDescent="0.25">
      <c r="A8251" s="17"/>
    </row>
    <row r="8252" spans="1:1" x14ac:dyDescent="0.25">
      <c r="A8252" s="17"/>
    </row>
    <row r="8253" spans="1:1" x14ac:dyDescent="0.25">
      <c r="A8253" s="17"/>
    </row>
    <row r="8254" spans="1:1" x14ac:dyDescent="0.25">
      <c r="A8254" s="17"/>
    </row>
    <row r="8255" spans="1:1" x14ac:dyDescent="0.25">
      <c r="A8255" s="17"/>
    </row>
    <row r="8256" spans="1:1" x14ac:dyDescent="0.25">
      <c r="A8256" s="17"/>
    </row>
    <row r="8257" spans="1:1" x14ac:dyDescent="0.25">
      <c r="A8257" s="17"/>
    </row>
    <row r="8258" spans="1:1" x14ac:dyDescent="0.25">
      <c r="A8258" s="17"/>
    </row>
    <row r="8259" spans="1:1" x14ac:dyDescent="0.25">
      <c r="A8259" s="17"/>
    </row>
    <row r="8260" spans="1:1" x14ac:dyDescent="0.25">
      <c r="A8260" s="17"/>
    </row>
    <row r="8261" spans="1:1" x14ac:dyDescent="0.25">
      <c r="A8261" s="17"/>
    </row>
    <row r="8262" spans="1:1" x14ac:dyDescent="0.25">
      <c r="A8262" s="17"/>
    </row>
    <row r="8263" spans="1:1" x14ac:dyDescent="0.25">
      <c r="A8263" s="17"/>
    </row>
    <row r="8264" spans="1:1" x14ac:dyDescent="0.25">
      <c r="A8264" s="17"/>
    </row>
    <row r="8265" spans="1:1" x14ac:dyDescent="0.25">
      <c r="A8265" s="17"/>
    </row>
    <row r="8266" spans="1:1" x14ac:dyDescent="0.25">
      <c r="A8266" s="17"/>
    </row>
    <row r="8267" spans="1:1" x14ac:dyDescent="0.25">
      <c r="A8267" s="17"/>
    </row>
    <row r="8268" spans="1:1" x14ac:dyDescent="0.25">
      <c r="A8268" s="17"/>
    </row>
    <row r="8269" spans="1:1" x14ac:dyDescent="0.25">
      <c r="A8269" s="17"/>
    </row>
    <row r="8270" spans="1:1" x14ac:dyDescent="0.25">
      <c r="A8270" s="17"/>
    </row>
    <row r="8271" spans="1:1" x14ac:dyDescent="0.25">
      <c r="A8271" s="17"/>
    </row>
    <row r="8272" spans="1:1" x14ac:dyDescent="0.25">
      <c r="A8272" s="17"/>
    </row>
    <row r="8273" spans="1:1" x14ac:dyDescent="0.25">
      <c r="A8273" s="17"/>
    </row>
    <row r="8274" spans="1:1" x14ac:dyDescent="0.25">
      <c r="A8274" s="17"/>
    </row>
    <row r="8275" spans="1:1" x14ac:dyDescent="0.25">
      <c r="A8275" s="17"/>
    </row>
    <row r="8276" spans="1:1" x14ac:dyDescent="0.25">
      <c r="A8276" s="17"/>
    </row>
    <row r="8277" spans="1:1" x14ac:dyDescent="0.25">
      <c r="A8277" s="17"/>
    </row>
    <row r="8278" spans="1:1" x14ac:dyDescent="0.25">
      <c r="A8278" s="17"/>
    </row>
    <row r="8279" spans="1:1" x14ac:dyDescent="0.25">
      <c r="A8279" s="17"/>
    </row>
    <row r="8280" spans="1:1" x14ac:dyDescent="0.25">
      <c r="A8280" s="17"/>
    </row>
    <row r="8281" spans="1:1" x14ac:dyDescent="0.25">
      <c r="A8281" s="17"/>
    </row>
    <row r="8282" spans="1:1" x14ac:dyDescent="0.25">
      <c r="A8282" s="17"/>
    </row>
    <row r="8283" spans="1:1" x14ac:dyDescent="0.25">
      <c r="A8283" s="17"/>
    </row>
    <row r="8284" spans="1:1" x14ac:dyDescent="0.25">
      <c r="A8284" s="17"/>
    </row>
    <row r="8285" spans="1:1" x14ac:dyDescent="0.25">
      <c r="A8285" s="17"/>
    </row>
    <row r="8286" spans="1:1" x14ac:dyDescent="0.25">
      <c r="A8286" s="17"/>
    </row>
    <row r="8287" spans="1:1" x14ac:dyDescent="0.25">
      <c r="A8287" s="17"/>
    </row>
    <row r="8288" spans="1:1" x14ac:dyDescent="0.25">
      <c r="A8288" s="17"/>
    </row>
    <row r="8289" spans="1:1" x14ac:dyDescent="0.25">
      <c r="A8289" s="17"/>
    </row>
    <row r="8290" spans="1:1" x14ac:dyDescent="0.25">
      <c r="A8290" s="17"/>
    </row>
    <row r="8291" spans="1:1" x14ac:dyDescent="0.25">
      <c r="A8291" s="17"/>
    </row>
    <row r="8292" spans="1:1" x14ac:dyDescent="0.25">
      <c r="A8292" s="17"/>
    </row>
    <row r="8293" spans="1:1" x14ac:dyDescent="0.25">
      <c r="A8293" s="17"/>
    </row>
    <row r="8294" spans="1:1" x14ac:dyDescent="0.25">
      <c r="A8294" s="17"/>
    </row>
    <row r="8295" spans="1:1" x14ac:dyDescent="0.25">
      <c r="A8295" s="17"/>
    </row>
    <row r="8296" spans="1:1" x14ac:dyDescent="0.25">
      <c r="A8296" s="17"/>
    </row>
    <row r="8297" spans="1:1" x14ac:dyDescent="0.25">
      <c r="A8297" s="17"/>
    </row>
    <row r="8298" spans="1:1" x14ac:dyDescent="0.25">
      <c r="A8298" s="17"/>
    </row>
    <row r="8299" spans="1:1" x14ac:dyDescent="0.25">
      <c r="A8299" s="17"/>
    </row>
    <row r="8300" spans="1:1" x14ac:dyDescent="0.25">
      <c r="A8300" s="17"/>
    </row>
    <row r="8301" spans="1:1" x14ac:dyDescent="0.25">
      <c r="A8301" s="17"/>
    </row>
    <row r="8302" spans="1:1" x14ac:dyDescent="0.25">
      <c r="A8302" s="17"/>
    </row>
    <row r="8303" spans="1:1" x14ac:dyDescent="0.25">
      <c r="A8303" s="17"/>
    </row>
    <row r="8304" spans="1:1" x14ac:dyDescent="0.25">
      <c r="A8304" s="17"/>
    </row>
    <row r="8305" spans="1:1" x14ac:dyDescent="0.25">
      <c r="A8305" s="17"/>
    </row>
    <row r="8306" spans="1:1" x14ac:dyDescent="0.25">
      <c r="A8306" s="17"/>
    </row>
    <row r="8307" spans="1:1" x14ac:dyDescent="0.25">
      <c r="A8307" s="17"/>
    </row>
    <row r="8308" spans="1:1" x14ac:dyDescent="0.25">
      <c r="A8308" s="17"/>
    </row>
    <row r="8309" spans="1:1" x14ac:dyDescent="0.25">
      <c r="A8309" s="17"/>
    </row>
    <row r="8310" spans="1:1" x14ac:dyDescent="0.25">
      <c r="A8310" s="17"/>
    </row>
    <row r="8311" spans="1:1" x14ac:dyDescent="0.25">
      <c r="A8311" s="17"/>
    </row>
    <row r="8312" spans="1:1" x14ac:dyDescent="0.25">
      <c r="A8312" s="17"/>
    </row>
    <row r="8313" spans="1:1" x14ac:dyDescent="0.25">
      <c r="A8313" s="17"/>
    </row>
    <row r="8314" spans="1:1" x14ac:dyDescent="0.25">
      <c r="A8314" s="17"/>
    </row>
    <row r="8315" spans="1:1" x14ac:dyDescent="0.25">
      <c r="A8315" s="17"/>
    </row>
    <row r="8316" spans="1:1" x14ac:dyDescent="0.25">
      <c r="A8316" s="17"/>
    </row>
    <row r="8317" spans="1:1" x14ac:dyDescent="0.25">
      <c r="A8317" s="17"/>
    </row>
    <row r="8318" spans="1:1" x14ac:dyDescent="0.25">
      <c r="A8318" s="17"/>
    </row>
    <row r="8319" spans="1:1" x14ac:dyDescent="0.25">
      <c r="A8319" s="17"/>
    </row>
    <row r="8320" spans="1:1" x14ac:dyDescent="0.25">
      <c r="A8320" s="17"/>
    </row>
    <row r="8321" spans="1:1" x14ac:dyDescent="0.25">
      <c r="A8321" s="17"/>
    </row>
    <row r="8322" spans="1:1" x14ac:dyDescent="0.25">
      <c r="A8322" s="17"/>
    </row>
    <row r="8323" spans="1:1" x14ac:dyDescent="0.25">
      <c r="A8323" s="17"/>
    </row>
    <row r="8324" spans="1:1" x14ac:dyDescent="0.25">
      <c r="A8324" s="17"/>
    </row>
    <row r="8325" spans="1:1" x14ac:dyDescent="0.25">
      <c r="A8325" s="17"/>
    </row>
    <row r="8326" spans="1:1" x14ac:dyDescent="0.25">
      <c r="A8326" s="17"/>
    </row>
    <row r="8327" spans="1:1" x14ac:dyDescent="0.25">
      <c r="A8327" s="17"/>
    </row>
    <row r="8328" spans="1:1" x14ac:dyDescent="0.25">
      <c r="A8328" s="17"/>
    </row>
    <row r="8329" spans="1:1" x14ac:dyDescent="0.25">
      <c r="A8329" s="17"/>
    </row>
    <row r="8330" spans="1:1" x14ac:dyDescent="0.25">
      <c r="A8330" s="17"/>
    </row>
    <row r="8331" spans="1:1" x14ac:dyDescent="0.25">
      <c r="A8331" s="17"/>
    </row>
    <row r="8332" spans="1:1" x14ac:dyDescent="0.25">
      <c r="A8332" s="17"/>
    </row>
    <row r="8333" spans="1:1" x14ac:dyDescent="0.25">
      <c r="A8333" s="17"/>
    </row>
    <row r="8334" spans="1:1" x14ac:dyDescent="0.25">
      <c r="A8334" s="17"/>
    </row>
    <row r="8335" spans="1:1" x14ac:dyDescent="0.25">
      <c r="A8335" s="17"/>
    </row>
    <row r="8336" spans="1:1" x14ac:dyDescent="0.25">
      <c r="A8336" s="17"/>
    </row>
    <row r="8337" spans="1:1" x14ac:dyDescent="0.25">
      <c r="A8337" s="17"/>
    </row>
    <row r="8338" spans="1:1" x14ac:dyDescent="0.25">
      <c r="A8338" s="17"/>
    </row>
    <row r="8339" spans="1:1" x14ac:dyDescent="0.25">
      <c r="A8339" s="17"/>
    </row>
    <row r="8340" spans="1:1" x14ac:dyDescent="0.25">
      <c r="A8340" s="17"/>
    </row>
    <row r="8341" spans="1:1" x14ac:dyDescent="0.25">
      <c r="A8341" s="17"/>
    </row>
    <row r="8342" spans="1:1" x14ac:dyDescent="0.25">
      <c r="A8342" s="17"/>
    </row>
    <row r="8343" spans="1:1" x14ac:dyDescent="0.25">
      <c r="A8343" s="17"/>
    </row>
    <row r="8344" spans="1:1" x14ac:dyDescent="0.25">
      <c r="A8344" s="17"/>
    </row>
    <row r="8345" spans="1:1" x14ac:dyDescent="0.25">
      <c r="A8345" s="17"/>
    </row>
    <row r="8346" spans="1:1" x14ac:dyDescent="0.25">
      <c r="A8346" s="17"/>
    </row>
    <row r="8347" spans="1:1" x14ac:dyDescent="0.25">
      <c r="A8347" s="17"/>
    </row>
    <row r="8348" spans="1:1" x14ac:dyDescent="0.25">
      <c r="A8348" s="17"/>
    </row>
    <row r="8349" spans="1:1" x14ac:dyDescent="0.25">
      <c r="A8349" s="17"/>
    </row>
    <row r="8350" spans="1:1" x14ac:dyDescent="0.25">
      <c r="A8350" s="17"/>
    </row>
    <row r="8351" spans="1:1" x14ac:dyDescent="0.25">
      <c r="A8351" s="17"/>
    </row>
    <row r="8352" spans="1:1" x14ac:dyDescent="0.25">
      <c r="A8352" s="17"/>
    </row>
    <row r="8353" spans="1:1" x14ac:dyDescent="0.25">
      <c r="A8353" s="17"/>
    </row>
    <row r="8354" spans="1:1" x14ac:dyDescent="0.25">
      <c r="A8354" s="17"/>
    </row>
    <row r="8355" spans="1:1" x14ac:dyDescent="0.25">
      <c r="A8355" s="17"/>
    </row>
    <row r="8356" spans="1:1" x14ac:dyDescent="0.25">
      <c r="A8356" s="17"/>
    </row>
    <row r="8357" spans="1:1" x14ac:dyDescent="0.25">
      <c r="A8357" s="17"/>
    </row>
    <row r="8358" spans="1:1" x14ac:dyDescent="0.25">
      <c r="A8358" s="17"/>
    </row>
    <row r="8359" spans="1:1" x14ac:dyDescent="0.25">
      <c r="A8359" s="17"/>
    </row>
    <row r="8360" spans="1:1" x14ac:dyDescent="0.25">
      <c r="A8360" s="17"/>
    </row>
    <row r="8361" spans="1:1" x14ac:dyDescent="0.25">
      <c r="A8361" s="17"/>
    </row>
    <row r="8362" spans="1:1" x14ac:dyDescent="0.25">
      <c r="A8362" s="17"/>
    </row>
    <row r="8363" spans="1:1" x14ac:dyDescent="0.25">
      <c r="A8363" s="17"/>
    </row>
    <row r="8364" spans="1:1" x14ac:dyDescent="0.25">
      <c r="A8364" s="17"/>
    </row>
    <row r="8365" spans="1:1" x14ac:dyDescent="0.25">
      <c r="A8365" s="17"/>
    </row>
    <row r="8366" spans="1:1" x14ac:dyDescent="0.25">
      <c r="A8366" s="17"/>
    </row>
    <row r="8367" spans="1:1" x14ac:dyDescent="0.25">
      <c r="A8367" s="17"/>
    </row>
    <row r="8368" spans="1:1" x14ac:dyDescent="0.25">
      <c r="A8368" s="17"/>
    </row>
    <row r="8369" spans="1:1" x14ac:dyDescent="0.25">
      <c r="A8369" s="17"/>
    </row>
    <row r="8370" spans="1:1" x14ac:dyDescent="0.25">
      <c r="A8370" s="17"/>
    </row>
    <row r="8371" spans="1:1" x14ac:dyDescent="0.25">
      <c r="A8371" s="17"/>
    </row>
    <row r="8372" spans="1:1" x14ac:dyDescent="0.25">
      <c r="A8372" s="17"/>
    </row>
    <row r="8373" spans="1:1" x14ac:dyDescent="0.25">
      <c r="A8373" s="17"/>
    </row>
    <row r="8374" spans="1:1" x14ac:dyDescent="0.25">
      <c r="A8374" s="17"/>
    </row>
    <row r="8375" spans="1:1" x14ac:dyDescent="0.25">
      <c r="A8375" s="17"/>
    </row>
    <row r="8376" spans="1:1" x14ac:dyDescent="0.25">
      <c r="A8376" s="17"/>
    </row>
    <row r="8377" spans="1:1" x14ac:dyDescent="0.25">
      <c r="A8377" s="17"/>
    </row>
    <row r="8378" spans="1:1" x14ac:dyDescent="0.25">
      <c r="A8378" s="17"/>
    </row>
    <row r="8379" spans="1:1" x14ac:dyDescent="0.25">
      <c r="A8379" s="17"/>
    </row>
    <row r="8380" spans="1:1" x14ac:dyDescent="0.25">
      <c r="A8380" s="17"/>
    </row>
    <row r="8381" spans="1:1" x14ac:dyDescent="0.25">
      <c r="A8381" s="17"/>
    </row>
    <row r="8382" spans="1:1" x14ac:dyDescent="0.25">
      <c r="A8382" s="17"/>
    </row>
    <row r="8383" spans="1:1" x14ac:dyDescent="0.25">
      <c r="A8383" s="17"/>
    </row>
    <row r="8384" spans="1:1" x14ac:dyDescent="0.25">
      <c r="A8384" s="17"/>
    </row>
    <row r="8385" spans="1:1" x14ac:dyDescent="0.25">
      <c r="A8385" s="17"/>
    </row>
    <row r="8386" spans="1:1" x14ac:dyDescent="0.25">
      <c r="A8386" s="17"/>
    </row>
    <row r="8387" spans="1:1" x14ac:dyDescent="0.25">
      <c r="A8387" s="17"/>
    </row>
    <row r="8388" spans="1:1" x14ac:dyDescent="0.25">
      <c r="A8388" s="17"/>
    </row>
    <row r="8389" spans="1:1" x14ac:dyDescent="0.25">
      <c r="A8389" s="17"/>
    </row>
    <row r="8390" spans="1:1" x14ac:dyDescent="0.25">
      <c r="A8390" s="17"/>
    </row>
    <row r="8391" spans="1:1" x14ac:dyDescent="0.25">
      <c r="A8391" s="17"/>
    </row>
    <row r="8392" spans="1:1" x14ac:dyDescent="0.25">
      <c r="A8392" s="17"/>
    </row>
    <row r="8393" spans="1:1" x14ac:dyDescent="0.25">
      <c r="A8393" s="17"/>
    </row>
    <row r="8394" spans="1:1" x14ac:dyDescent="0.25">
      <c r="A8394" s="17"/>
    </row>
    <row r="8395" spans="1:1" x14ac:dyDescent="0.25">
      <c r="A8395" s="17"/>
    </row>
    <row r="8396" spans="1:1" x14ac:dyDescent="0.25">
      <c r="A8396" s="17"/>
    </row>
    <row r="8397" spans="1:1" x14ac:dyDescent="0.25">
      <c r="A8397" s="17"/>
    </row>
    <row r="8398" spans="1:1" x14ac:dyDescent="0.25">
      <c r="A8398" s="17"/>
    </row>
    <row r="8399" spans="1:1" x14ac:dyDescent="0.25">
      <c r="A8399" s="17"/>
    </row>
    <row r="8400" spans="1:1" x14ac:dyDescent="0.25">
      <c r="A8400" s="17"/>
    </row>
    <row r="8401" spans="1:1" x14ac:dyDescent="0.25">
      <c r="A8401" s="17"/>
    </row>
    <row r="8402" spans="1:1" x14ac:dyDescent="0.25">
      <c r="A8402" s="17"/>
    </row>
    <row r="8403" spans="1:1" x14ac:dyDescent="0.25">
      <c r="A8403" s="17"/>
    </row>
    <row r="8404" spans="1:1" x14ac:dyDescent="0.25">
      <c r="A8404" s="17"/>
    </row>
    <row r="8405" spans="1:1" x14ac:dyDescent="0.25">
      <c r="A8405" s="17"/>
    </row>
    <row r="8406" spans="1:1" x14ac:dyDescent="0.25">
      <c r="A8406" s="17"/>
    </row>
    <row r="8407" spans="1:1" x14ac:dyDescent="0.25">
      <c r="A8407" s="17"/>
    </row>
    <row r="8408" spans="1:1" x14ac:dyDescent="0.25">
      <c r="A8408" s="17"/>
    </row>
    <row r="8409" spans="1:1" x14ac:dyDescent="0.25">
      <c r="A8409" s="17"/>
    </row>
    <row r="8410" spans="1:1" x14ac:dyDescent="0.25">
      <c r="A8410" s="17"/>
    </row>
    <row r="8411" spans="1:1" x14ac:dyDescent="0.25">
      <c r="A8411" s="17"/>
    </row>
    <row r="8412" spans="1:1" x14ac:dyDescent="0.25">
      <c r="A8412" s="17"/>
    </row>
    <row r="8413" spans="1:1" x14ac:dyDescent="0.25">
      <c r="A8413" s="17"/>
    </row>
    <row r="8414" spans="1:1" x14ac:dyDescent="0.25">
      <c r="A8414" s="17"/>
    </row>
    <row r="8415" spans="1:1" x14ac:dyDescent="0.25">
      <c r="A8415" s="17"/>
    </row>
    <row r="8416" spans="1:1" x14ac:dyDescent="0.25">
      <c r="A8416" s="17"/>
    </row>
    <row r="8417" spans="1:1" x14ac:dyDescent="0.25">
      <c r="A8417" s="17"/>
    </row>
    <row r="8418" spans="1:1" x14ac:dyDescent="0.25">
      <c r="A8418" s="17"/>
    </row>
    <row r="8419" spans="1:1" x14ac:dyDescent="0.25">
      <c r="A8419" s="17"/>
    </row>
    <row r="8420" spans="1:1" x14ac:dyDescent="0.25">
      <c r="A8420" s="17"/>
    </row>
    <row r="8421" spans="1:1" x14ac:dyDescent="0.25">
      <c r="A8421" s="17"/>
    </row>
    <row r="8422" spans="1:1" x14ac:dyDescent="0.25">
      <c r="A8422" s="17"/>
    </row>
    <row r="8423" spans="1:1" x14ac:dyDescent="0.25">
      <c r="A8423" s="17"/>
    </row>
    <row r="8424" spans="1:1" x14ac:dyDescent="0.25">
      <c r="A8424" s="17"/>
    </row>
    <row r="8425" spans="1:1" x14ac:dyDescent="0.25">
      <c r="A8425" s="17"/>
    </row>
    <row r="8426" spans="1:1" x14ac:dyDescent="0.25">
      <c r="A8426" s="17"/>
    </row>
    <row r="8427" spans="1:1" x14ac:dyDescent="0.25">
      <c r="A8427" s="17"/>
    </row>
    <row r="8428" spans="1:1" x14ac:dyDescent="0.25">
      <c r="A8428" s="17"/>
    </row>
    <row r="8429" spans="1:1" x14ac:dyDescent="0.25">
      <c r="A8429" s="17"/>
    </row>
    <row r="8430" spans="1:1" x14ac:dyDescent="0.25">
      <c r="A8430" s="17"/>
    </row>
    <row r="8431" spans="1:1" x14ac:dyDescent="0.25">
      <c r="A8431" s="17"/>
    </row>
    <row r="8432" spans="1:1" x14ac:dyDescent="0.25">
      <c r="A8432" s="17"/>
    </row>
    <row r="8433" spans="1:1" x14ac:dyDescent="0.25">
      <c r="A8433" s="17"/>
    </row>
    <row r="8434" spans="1:1" x14ac:dyDescent="0.25">
      <c r="A8434" s="17"/>
    </row>
    <row r="8435" spans="1:1" x14ac:dyDescent="0.25">
      <c r="A8435" s="17"/>
    </row>
    <row r="8436" spans="1:1" x14ac:dyDescent="0.25">
      <c r="A8436" s="17"/>
    </row>
    <row r="8437" spans="1:1" x14ac:dyDescent="0.25">
      <c r="A8437" s="17"/>
    </row>
    <row r="8438" spans="1:1" x14ac:dyDescent="0.25">
      <c r="A8438" s="17"/>
    </row>
    <row r="8439" spans="1:1" x14ac:dyDescent="0.25">
      <c r="A8439" s="17"/>
    </row>
    <row r="8440" spans="1:1" x14ac:dyDescent="0.25">
      <c r="A8440" s="17"/>
    </row>
    <row r="8441" spans="1:1" x14ac:dyDescent="0.25">
      <c r="A8441" s="17"/>
    </row>
    <row r="8442" spans="1:1" x14ac:dyDescent="0.25">
      <c r="A8442" s="17"/>
    </row>
    <row r="8443" spans="1:1" x14ac:dyDescent="0.25">
      <c r="A8443" s="17"/>
    </row>
    <row r="8444" spans="1:1" x14ac:dyDescent="0.25">
      <c r="A8444" s="17"/>
    </row>
    <row r="8445" spans="1:1" x14ac:dyDescent="0.25">
      <c r="A8445" s="17"/>
    </row>
    <row r="8446" spans="1:1" x14ac:dyDescent="0.25">
      <c r="A8446" s="17"/>
    </row>
    <row r="8447" spans="1:1" x14ac:dyDescent="0.25">
      <c r="A8447" s="17"/>
    </row>
    <row r="8448" spans="1:1" x14ac:dyDescent="0.25">
      <c r="A8448" s="17"/>
    </row>
    <row r="8449" spans="1:1" x14ac:dyDescent="0.25">
      <c r="A8449" s="17"/>
    </row>
    <row r="8450" spans="1:1" x14ac:dyDescent="0.25">
      <c r="A8450" s="17"/>
    </row>
    <row r="8451" spans="1:1" x14ac:dyDescent="0.25">
      <c r="A8451" s="17"/>
    </row>
    <row r="8452" spans="1:1" x14ac:dyDescent="0.25">
      <c r="A8452" s="17"/>
    </row>
    <row r="8453" spans="1:1" x14ac:dyDescent="0.25">
      <c r="A8453" s="17"/>
    </row>
    <row r="8454" spans="1:1" x14ac:dyDescent="0.25">
      <c r="A8454" s="17"/>
    </row>
    <row r="8455" spans="1:1" x14ac:dyDescent="0.25">
      <c r="A8455" s="17"/>
    </row>
    <row r="8456" spans="1:1" x14ac:dyDescent="0.25">
      <c r="A8456" s="17"/>
    </row>
    <row r="8457" spans="1:1" x14ac:dyDescent="0.25">
      <c r="A8457" s="17"/>
    </row>
    <row r="8458" spans="1:1" x14ac:dyDescent="0.25">
      <c r="A8458" s="17"/>
    </row>
    <row r="8459" spans="1:1" x14ac:dyDescent="0.25">
      <c r="A8459" s="17"/>
    </row>
    <row r="8460" spans="1:1" x14ac:dyDescent="0.25">
      <c r="A8460" s="17"/>
    </row>
    <row r="8461" spans="1:1" x14ac:dyDescent="0.25">
      <c r="A8461" s="17"/>
    </row>
    <row r="8462" spans="1:1" x14ac:dyDescent="0.25">
      <c r="A8462" s="17"/>
    </row>
    <row r="8463" spans="1:1" x14ac:dyDescent="0.25">
      <c r="A8463" s="17"/>
    </row>
    <row r="8464" spans="1:1" x14ac:dyDescent="0.25">
      <c r="A8464" s="17"/>
    </row>
    <row r="8465" spans="1:1" x14ac:dyDescent="0.25">
      <c r="A8465" s="17"/>
    </row>
    <row r="8466" spans="1:1" x14ac:dyDescent="0.25">
      <c r="A8466" s="17"/>
    </row>
    <row r="8467" spans="1:1" x14ac:dyDescent="0.25">
      <c r="A8467" s="17"/>
    </row>
    <row r="8468" spans="1:1" x14ac:dyDescent="0.25">
      <c r="A8468" s="17"/>
    </row>
    <row r="8469" spans="1:1" x14ac:dyDescent="0.25">
      <c r="A8469" s="17"/>
    </row>
    <row r="8470" spans="1:1" x14ac:dyDescent="0.25">
      <c r="A8470" s="17"/>
    </row>
    <row r="8471" spans="1:1" x14ac:dyDescent="0.25">
      <c r="A8471" s="17"/>
    </row>
    <row r="8472" spans="1:1" x14ac:dyDescent="0.25">
      <c r="A8472" s="17"/>
    </row>
    <row r="8473" spans="1:1" x14ac:dyDescent="0.25">
      <c r="A8473" s="17"/>
    </row>
    <row r="8474" spans="1:1" x14ac:dyDescent="0.25">
      <c r="A8474" s="17"/>
    </row>
    <row r="8475" spans="1:1" x14ac:dyDescent="0.25">
      <c r="A8475" s="17"/>
    </row>
    <row r="8476" spans="1:1" x14ac:dyDescent="0.25">
      <c r="A8476" s="17"/>
    </row>
    <row r="8477" spans="1:1" x14ac:dyDescent="0.25">
      <c r="A8477" s="17"/>
    </row>
    <row r="8478" spans="1:1" x14ac:dyDescent="0.25">
      <c r="A8478" s="17"/>
    </row>
    <row r="8479" spans="1:1" x14ac:dyDescent="0.25">
      <c r="A8479" s="17"/>
    </row>
    <row r="8480" spans="1:1" x14ac:dyDescent="0.25">
      <c r="A8480" s="17"/>
    </row>
    <row r="8481" spans="1:1" x14ac:dyDescent="0.25">
      <c r="A8481" s="17"/>
    </row>
    <row r="8482" spans="1:1" x14ac:dyDescent="0.25">
      <c r="A8482" s="17"/>
    </row>
    <row r="8483" spans="1:1" x14ac:dyDescent="0.25">
      <c r="A8483" s="17"/>
    </row>
    <row r="8484" spans="1:1" x14ac:dyDescent="0.25">
      <c r="A8484" s="17"/>
    </row>
    <row r="8485" spans="1:1" x14ac:dyDescent="0.25">
      <c r="A8485" s="17"/>
    </row>
    <row r="8486" spans="1:1" x14ac:dyDescent="0.25">
      <c r="A8486" s="17"/>
    </row>
    <row r="8487" spans="1:1" x14ac:dyDescent="0.25">
      <c r="A8487" s="17"/>
    </row>
    <row r="8488" spans="1:1" x14ac:dyDescent="0.25">
      <c r="A8488" s="17"/>
    </row>
    <row r="8489" spans="1:1" x14ac:dyDescent="0.25">
      <c r="A8489" s="17"/>
    </row>
    <row r="8490" spans="1:1" x14ac:dyDescent="0.25">
      <c r="A8490" s="17"/>
    </row>
    <row r="8491" spans="1:1" x14ac:dyDescent="0.25">
      <c r="A8491" s="17"/>
    </row>
    <row r="8492" spans="1:1" x14ac:dyDescent="0.25">
      <c r="A8492" s="17"/>
    </row>
    <row r="8493" spans="1:1" x14ac:dyDescent="0.25">
      <c r="A8493" s="17"/>
    </row>
    <row r="8494" spans="1:1" x14ac:dyDescent="0.25">
      <c r="A8494" s="17"/>
    </row>
    <row r="8495" spans="1:1" x14ac:dyDescent="0.25">
      <c r="A8495" s="17"/>
    </row>
    <row r="8496" spans="1:1" x14ac:dyDescent="0.25">
      <c r="A8496" s="17"/>
    </row>
    <row r="8497" spans="1:1" x14ac:dyDescent="0.25">
      <c r="A8497" s="17"/>
    </row>
    <row r="8498" spans="1:1" x14ac:dyDescent="0.25">
      <c r="A8498" s="17"/>
    </row>
    <row r="8499" spans="1:1" x14ac:dyDescent="0.25">
      <c r="A8499" s="17"/>
    </row>
    <row r="8500" spans="1:1" x14ac:dyDescent="0.25">
      <c r="A8500" s="17"/>
    </row>
    <row r="8501" spans="1:1" x14ac:dyDescent="0.25">
      <c r="A8501" s="17"/>
    </row>
    <row r="8502" spans="1:1" x14ac:dyDescent="0.25">
      <c r="A8502" s="17"/>
    </row>
    <row r="8503" spans="1:1" x14ac:dyDescent="0.25">
      <c r="A8503" s="17"/>
    </row>
    <row r="8504" spans="1:1" x14ac:dyDescent="0.25">
      <c r="A8504" s="17"/>
    </row>
    <row r="8505" spans="1:1" x14ac:dyDescent="0.25">
      <c r="A8505" s="17"/>
    </row>
    <row r="8506" spans="1:1" x14ac:dyDescent="0.25">
      <c r="A8506" s="17"/>
    </row>
    <row r="8507" spans="1:1" x14ac:dyDescent="0.25">
      <c r="A8507" s="17"/>
    </row>
    <row r="8508" spans="1:1" x14ac:dyDescent="0.25">
      <c r="A8508" s="17"/>
    </row>
    <row r="8509" spans="1:1" x14ac:dyDescent="0.25">
      <c r="A8509" s="17"/>
    </row>
    <row r="8510" spans="1:1" x14ac:dyDescent="0.25">
      <c r="A8510" s="17"/>
    </row>
    <row r="8511" spans="1:1" x14ac:dyDescent="0.25">
      <c r="A8511" s="17"/>
    </row>
    <row r="8512" spans="1:1" x14ac:dyDescent="0.25">
      <c r="A8512" s="17"/>
    </row>
    <row r="8513" spans="1:1" x14ac:dyDescent="0.25">
      <c r="A8513" s="17"/>
    </row>
    <row r="8514" spans="1:1" x14ac:dyDescent="0.25">
      <c r="A8514" s="17"/>
    </row>
    <row r="8515" spans="1:1" x14ac:dyDescent="0.25">
      <c r="A8515" s="17"/>
    </row>
    <row r="8516" spans="1:1" x14ac:dyDescent="0.25">
      <c r="A8516" s="17"/>
    </row>
    <row r="8517" spans="1:1" x14ac:dyDescent="0.25">
      <c r="A8517" s="17"/>
    </row>
    <row r="8518" spans="1:1" x14ac:dyDescent="0.25">
      <c r="A8518" s="17"/>
    </row>
    <row r="8519" spans="1:1" x14ac:dyDescent="0.25">
      <c r="A8519" s="17"/>
    </row>
    <row r="8520" spans="1:1" x14ac:dyDescent="0.25">
      <c r="A8520" s="17"/>
    </row>
    <row r="8521" spans="1:1" x14ac:dyDescent="0.25">
      <c r="A8521" s="17"/>
    </row>
    <row r="8522" spans="1:1" x14ac:dyDescent="0.25">
      <c r="A8522" s="17"/>
    </row>
    <row r="8523" spans="1:1" x14ac:dyDescent="0.25">
      <c r="A8523" s="17"/>
    </row>
    <row r="8524" spans="1:1" x14ac:dyDescent="0.25">
      <c r="A8524" s="17"/>
    </row>
    <row r="8525" spans="1:1" x14ac:dyDescent="0.25">
      <c r="A8525" s="17"/>
    </row>
    <row r="8526" spans="1:1" x14ac:dyDescent="0.25">
      <c r="A8526" s="17"/>
    </row>
    <row r="8527" spans="1:1" x14ac:dyDescent="0.25">
      <c r="A8527" s="17"/>
    </row>
    <row r="8528" spans="1:1" x14ac:dyDescent="0.25">
      <c r="A8528" s="17"/>
    </row>
    <row r="8529" spans="1:1" x14ac:dyDescent="0.25">
      <c r="A8529" s="17"/>
    </row>
    <row r="8530" spans="1:1" x14ac:dyDescent="0.25">
      <c r="A8530" s="17"/>
    </row>
    <row r="8531" spans="1:1" x14ac:dyDescent="0.25">
      <c r="A8531" s="17"/>
    </row>
    <row r="8532" spans="1:1" x14ac:dyDescent="0.25">
      <c r="A8532" s="17"/>
    </row>
    <row r="8533" spans="1:1" x14ac:dyDescent="0.25">
      <c r="A8533" s="17"/>
    </row>
    <row r="8534" spans="1:1" x14ac:dyDescent="0.25">
      <c r="A8534" s="17"/>
    </row>
    <row r="8535" spans="1:1" x14ac:dyDescent="0.25">
      <c r="A8535" s="17"/>
    </row>
    <row r="8536" spans="1:1" x14ac:dyDescent="0.25">
      <c r="A8536" s="17"/>
    </row>
    <row r="8537" spans="1:1" x14ac:dyDescent="0.25">
      <c r="A8537" s="17"/>
    </row>
    <row r="8538" spans="1:1" x14ac:dyDescent="0.25">
      <c r="A8538" s="17"/>
    </row>
    <row r="8539" spans="1:1" x14ac:dyDescent="0.25">
      <c r="A8539" s="17"/>
    </row>
    <row r="8540" spans="1:1" x14ac:dyDescent="0.25">
      <c r="A8540" s="17"/>
    </row>
    <row r="8541" spans="1:1" x14ac:dyDescent="0.25">
      <c r="A8541" s="17"/>
    </row>
    <row r="8542" spans="1:1" x14ac:dyDescent="0.25">
      <c r="A8542" s="17"/>
    </row>
    <row r="8543" spans="1:1" x14ac:dyDescent="0.25">
      <c r="A8543" s="17"/>
    </row>
    <row r="8544" spans="1:1" x14ac:dyDescent="0.25">
      <c r="A8544" s="17"/>
    </row>
    <row r="8545" spans="1:1" x14ac:dyDescent="0.25">
      <c r="A8545" s="17"/>
    </row>
    <row r="8546" spans="1:1" x14ac:dyDescent="0.25">
      <c r="A8546" s="17"/>
    </row>
    <row r="8547" spans="1:1" x14ac:dyDescent="0.25">
      <c r="A8547" s="17"/>
    </row>
    <row r="8548" spans="1:1" x14ac:dyDescent="0.25">
      <c r="A8548" s="17"/>
    </row>
    <row r="8549" spans="1:1" x14ac:dyDescent="0.25">
      <c r="A8549" s="17"/>
    </row>
    <row r="8550" spans="1:1" x14ac:dyDescent="0.25">
      <c r="A8550" s="17"/>
    </row>
    <row r="8551" spans="1:1" x14ac:dyDescent="0.25">
      <c r="A8551" s="17"/>
    </row>
    <row r="8552" spans="1:1" x14ac:dyDescent="0.25">
      <c r="A8552" s="17"/>
    </row>
    <row r="8553" spans="1:1" x14ac:dyDescent="0.25">
      <c r="A8553" s="17"/>
    </row>
    <row r="8554" spans="1:1" x14ac:dyDescent="0.25">
      <c r="A8554" s="17"/>
    </row>
    <row r="8555" spans="1:1" x14ac:dyDescent="0.25">
      <c r="A8555" s="17"/>
    </row>
    <row r="8556" spans="1:1" x14ac:dyDescent="0.25">
      <c r="A8556" s="17"/>
    </row>
    <row r="8557" spans="1:1" x14ac:dyDescent="0.25">
      <c r="A8557" s="17"/>
    </row>
    <row r="8558" spans="1:1" x14ac:dyDescent="0.25">
      <c r="A8558" s="17"/>
    </row>
    <row r="8559" spans="1:1" x14ac:dyDescent="0.25">
      <c r="A8559" s="17"/>
    </row>
    <row r="8560" spans="1:1" x14ac:dyDescent="0.25">
      <c r="A8560" s="17"/>
    </row>
    <row r="8561" spans="1:1" x14ac:dyDescent="0.25">
      <c r="A8561" s="17"/>
    </row>
    <row r="8562" spans="1:1" x14ac:dyDescent="0.25">
      <c r="A8562" s="17"/>
    </row>
    <row r="8563" spans="1:1" x14ac:dyDescent="0.25">
      <c r="A8563" s="17"/>
    </row>
    <row r="8564" spans="1:1" x14ac:dyDescent="0.25">
      <c r="A8564" s="17"/>
    </row>
    <row r="8565" spans="1:1" x14ac:dyDescent="0.25">
      <c r="A8565" s="17"/>
    </row>
    <row r="8566" spans="1:1" x14ac:dyDescent="0.25">
      <c r="A8566" s="17"/>
    </row>
    <row r="8567" spans="1:1" x14ac:dyDescent="0.25">
      <c r="A8567" s="17"/>
    </row>
    <row r="8568" spans="1:1" x14ac:dyDescent="0.25">
      <c r="A8568" s="17"/>
    </row>
    <row r="8569" spans="1:1" x14ac:dyDescent="0.25">
      <c r="A8569" s="17"/>
    </row>
    <row r="8570" spans="1:1" x14ac:dyDescent="0.25">
      <c r="A8570" s="17"/>
    </row>
    <row r="8571" spans="1:1" x14ac:dyDescent="0.25">
      <c r="A8571" s="17"/>
    </row>
    <row r="8572" spans="1:1" x14ac:dyDescent="0.25">
      <c r="A8572" s="17"/>
    </row>
    <row r="8573" spans="1:1" x14ac:dyDescent="0.25">
      <c r="A8573" s="17"/>
    </row>
    <row r="8574" spans="1:1" x14ac:dyDescent="0.25">
      <c r="A8574" s="17"/>
    </row>
    <row r="8575" spans="1:1" x14ac:dyDescent="0.25">
      <c r="A8575" s="17"/>
    </row>
    <row r="8576" spans="1:1" x14ac:dyDescent="0.25">
      <c r="A8576" s="17"/>
    </row>
    <row r="8577" spans="1:1" x14ac:dyDescent="0.25">
      <c r="A8577" s="17"/>
    </row>
    <row r="8578" spans="1:1" x14ac:dyDescent="0.25">
      <c r="A8578" s="17"/>
    </row>
    <row r="8579" spans="1:1" x14ac:dyDescent="0.25">
      <c r="A8579" s="17"/>
    </row>
    <row r="8580" spans="1:1" x14ac:dyDescent="0.25">
      <c r="A8580" s="17"/>
    </row>
    <row r="8581" spans="1:1" x14ac:dyDescent="0.25">
      <c r="A8581" s="17"/>
    </row>
    <row r="8582" spans="1:1" x14ac:dyDescent="0.25">
      <c r="A8582" s="17"/>
    </row>
    <row r="8583" spans="1:1" x14ac:dyDescent="0.25">
      <c r="A8583" s="17"/>
    </row>
    <row r="8584" spans="1:1" x14ac:dyDescent="0.25">
      <c r="A8584" s="17"/>
    </row>
    <row r="8585" spans="1:1" x14ac:dyDescent="0.25">
      <c r="A8585" s="17"/>
    </row>
    <row r="8586" spans="1:1" x14ac:dyDescent="0.25">
      <c r="A8586" s="17"/>
    </row>
    <row r="8587" spans="1:1" x14ac:dyDescent="0.25">
      <c r="A8587" s="17"/>
    </row>
    <row r="8588" spans="1:1" x14ac:dyDescent="0.25">
      <c r="A8588" s="17"/>
    </row>
    <row r="8589" spans="1:1" x14ac:dyDescent="0.25">
      <c r="A8589" s="17"/>
    </row>
    <row r="8590" spans="1:1" x14ac:dyDescent="0.25">
      <c r="A8590" s="17"/>
    </row>
    <row r="8591" spans="1:1" x14ac:dyDescent="0.25">
      <c r="A8591" s="17"/>
    </row>
    <row r="8592" spans="1:1" x14ac:dyDescent="0.25">
      <c r="A8592" s="17"/>
    </row>
    <row r="8593" spans="1:1" x14ac:dyDescent="0.25">
      <c r="A8593" s="17"/>
    </row>
    <row r="8594" spans="1:1" x14ac:dyDescent="0.25">
      <c r="A8594" s="17"/>
    </row>
    <row r="8595" spans="1:1" x14ac:dyDescent="0.25">
      <c r="A8595" s="17"/>
    </row>
    <row r="8596" spans="1:1" x14ac:dyDescent="0.25">
      <c r="A8596" s="17"/>
    </row>
    <row r="8597" spans="1:1" x14ac:dyDescent="0.25">
      <c r="A8597" s="17"/>
    </row>
    <row r="8598" spans="1:1" x14ac:dyDescent="0.25">
      <c r="A8598" s="17"/>
    </row>
    <row r="8599" spans="1:1" x14ac:dyDescent="0.25">
      <c r="A8599" s="17"/>
    </row>
    <row r="8600" spans="1:1" x14ac:dyDescent="0.25">
      <c r="A8600" s="17"/>
    </row>
    <row r="8601" spans="1:1" x14ac:dyDescent="0.25">
      <c r="A8601" s="17"/>
    </row>
    <row r="8602" spans="1:1" x14ac:dyDescent="0.25">
      <c r="A8602" s="17"/>
    </row>
    <row r="8603" spans="1:1" x14ac:dyDescent="0.25">
      <c r="A8603" s="17"/>
    </row>
    <row r="8604" spans="1:1" x14ac:dyDescent="0.25">
      <c r="A8604" s="17"/>
    </row>
    <row r="8605" spans="1:1" x14ac:dyDescent="0.25">
      <c r="A8605" s="17"/>
    </row>
    <row r="8606" spans="1:1" x14ac:dyDescent="0.25">
      <c r="A8606" s="17"/>
    </row>
    <row r="8607" spans="1:1" x14ac:dyDescent="0.25">
      <c r="A8607" s="17"/>
    </row>
    <row r="8608" spans="1:1" x14ac:dyDescent="0.25">
      <c r="A8608" s="17"/>
    </row>
    <row r="8609" spans="1:1" x14ac:dyDescent="0.25">
      <c r="A8609" s="17"/>
    </row>
    <row r="8610" spans="1:1" x14ac:dyDescent="0.25">
      <c r="A8610" s="17"/>
    </row>
    <row r="8611" spans="1:1" x14ac:dyDescent="0.25">
      <c r="A8611" s="17"/>
    </row>
    <row r="8612" spans="1:1" x14ac:dyDescent="0.25">
      <c r="A8612" s="17"/>
    </row>
    <row r="8613" spans="1:1" x14ac:dyDescent="0.25">
      <c r="A8613" s="17"/>
    </row>
    <row r="8614" spans="1:1" x14ac:dyDescent="0.25">
      <c r="A8614" s="17"/>
    </row>
    <row r="8615" spans="1:1" x14ac:dyDescent="0.25">
      <c r="A8615" s="17"/>
    </row>
    <row r="8616" spans="1:1" x14ac:dyDescent="0.25">
      <c r="A8616" s="17"/>
    </row>
    <row r="8617" spans="1:1" x14ac:dyDescent="0.25">
      <c r="A8617" s="17"/>
    </row>
    <row r="8618" spans="1:1" x14ac:dyDescent="0.25">
      <c r="A8618" s="17"/>
    </row>
    <row r="8619" spans="1:1" x14ac:dyDescent="0.25">
      <c r="A8619" s="17"/>
    </row>
    <row r="8620" spans="1:1" x14ac:dyDescent="0.25">
      <c r="A8620" s="17"/>
    </row>
    <row r="8621" spans="1:1" x14ac:dyDescent="0.25">
      <c r="A8621" s="17"/>
    </row>
    <row r="8622" spans="1:1" x14ac:dyDescent="0.25">
      <c r="A8622" s="17"/>
    </row>
    <row r="8623" spans="1:1" x14ac:dyDescent="0.25">
      <c r="A8623" s="17"/>
    </row>
    <row r="8624" spans="1:1" x14ac:dyDescent="0.25">
      <c r="A8624" s="17"/>
    </row>
    <row r="8625" spans="1:1" x14ac:dyDescent="0.25">
      <c r="A8625" s="17"/>
    </row>
    <row r="8626" spans="1:1" x14ac:dyDescent="0.25">
      <c r="A8626" s="17"/>
    </row>
    <row r="8627" spans="1:1" x14ac:dyDescent="0.25">
      <c r="A8627" s="17"/>
    </row>
    <row r="8628" spans="1:1" x14ac:dyDescent="0.25">
      <c r="A8628" s="17"/>
    </row>
    <row r="8629" spans="1:1" x14ac:dyDescent="0.25">
      <c r="A8629" s="17"/>
    </row>
    <row r="8630" spans="1:1" x14ac:dyDescent="0.25">
      <c r="A8630" s="17"/>
    </row>
    <row r="8631" spans="1:1" x14ac:dyDescent="0.25">
      <c r="A8631" s="17"/>
    </row>
    <row r="8632" spans="1:1" x14ac:dyDescent="0.25">
      <c r="A8632" s="17"/>
    </row>
    <row r="8633" spans="1:1" x14ac:dyDescent="0.25">
      <c r="A8633" s="17"/>
    </row>
    <row r="8634" spans="1:1" x14ac:dyDescent="0.25">
      <c r="A8634" s="17"/>
    </row>
    <row r="8635" spans="1:1" x14ac:dyDescent="0.25">
      <c r="A8635" s="17"/>
    </row>
    <row r="8636" spans="1:1" x14ac:dyDescent="0.25">
      <c r="A8636" s="17"/>
    </row>
    <row r="8637" spans="1:1" x14ac:dyDescent="0.25">
      <c r="A8637" s="17"/>
    </row>
    <row r="8638" spans="1:1" x14ac:dyDescent="0.25">
      <c r="A8638" s="17"/>
    </row>
    <row r="8639" spans="1:1" x14ac:dyDescent="0.25">
      <c r="A8639" s="17"/>
    </row>
    <row r="8640" spans="1:1" x14ac:dyDescent="0.25">
      <c r="A8640" s="17"/>
    </row>
    <row r="8641" spans="1:1" x14ac:dyDescent="0.25">
      <c r="A8641" s="17"/>
    </row>
    <row r="8642" spans="1:1" x14ac:dyDescent="0.25">
      <c r="A8642" s="17"/>
    </row>
    <row r="8643" spans="1:1" x14ac:dyDescent="0.25">
      <c r="A8643" s="17"/>
    </row>
    <row r="8644" spans="1:1" x14ac:dyDescent="0.25">
      <c r="A8644" s="17"/>
    </row>
    <row r="8645" spans="1:1" x14ac:dyDescent="0.25">
      <c r="A8645" s="17"/>
    </row>
    <row r="8646" spans="1:1" x14ac:dyDescent="0.25">
      <c r="A8646" s="17"/>
    </row>
    <row r="8647" spans="1:1" x14ac:dyDescent="0.25">
      <c r="A8647" s="17"/>
    </row>
    <row r="8648" spans="1:1" x14ac:dyDescent="0.25">
      <c r="A8648" s="17"/>
    </row>
    <row r="8649" spans="1:1" x14ac:dyDescent="0.25">
      <c r="A8649" s="17"/>
    </row>
    <row r="8650" spans="1:1" x14ac:dyDescent="0.25">
      <c r="A8650" s="17"/>
    </row>
    <row r="8651" spans="1:1" x14ac:dyDescent="0.25">
      <c r="A8651" s="17"/>
    </row>
    <row r="8652" spans="1:1" x14ac:dyDescent="0.25">
      <c r="A8652" s="17"/>
    </row>
    <row r="8653" spans="1:1" x14ac:dyDescent="0.25">
      <c r="A8653" s="17"/>
    </row>
    <row r="8654" spans="1:1" x14ac:dyDescent="0.25">
      <c r="A8654" s="17"/>
    </row>
    <row r="8655" spans="1:1" x14ac:dyDescent="0.25">
      <c r="A8655" s="17"/>
    </row>
    <row r="8656" spans="1:1" x14ac:dyDescent="0.25">
      <c r="A8656" s="17"/>
    </row>
    <row r="8657" spans="1:1" x14ac:dyDescent="0.25">
      <c r="A8657" s="17"/>
    </row>
    <row r="8658" spans="1:1" x14ac:dyDescent="0.25">
      <c r="A8658" s="17"/>
    </row>
    <row r="8659" spans="1:1" x14ac:dyDescent="0.25">
      <c r="A8659" s="17"/>
    </row>
    <row r="8660" spans="1:1" x14ac:dyDescent="0.25">
      <c r="A8660" s="17"/>
    </row>
    <row r="8661" spans="1:1" x14ac:dyDescent="0.25">
      <c r="A8661" s="17"/>
    </row>
    <row r="8662" spans="1:1" x14ac:dyDescent="0.25">
      <c r="A8662" s="17"/>
    </row>
    <row r="8663" spans="1:1" x14ac:dyDescent="0.25">
      <c r="A8663" s="17"/>
    </row>
    <row r="8664" spans="1:1" x14ac:dyDescent="0.25">
      <c r="A8664" s="17"/>
    </row>
    <row r="8665" spans="1:1" x14ac:dyDescent="0.25">
      <c r="A8665" s="17"/>
    </row>
    <row r="8666" spans="1:1" x14ac:dyDescent="0.25">
      <c r="A8666" s="17"/>
    </row>
    <row r="8667" spans="1:1" x14ac:dyDescent="0.25">
      <c r="A8667" s="17"/>
    </row>
    <row r="8668" spans="1:1" x14ac:dyDescent="0.25">
      <c r="A8668" s="17"/>
    </row>
    <row r="8669" spans="1:1" x14ac:dyDescent="0.25">
      <c r="A8669" s="17"/>
    </row>
    <row r="8670" spans="1:1" x14ac:dyDescent="0.25">
      <c r="A8670" s="17"/>
    </row>
    <row r="8671" spans="1:1" x14ac:dyDescent="0.25">
      <c r="A8671" s="17"/>
    </row>
    <row r="8672" spans="1:1" x14ac:dyDescent="0.25">
      <c r="A8672" s="17"/>
    </row>
    <row r="8673" spans="1:1" x14ac:dyDescent="0.25">
      <c r="A8673" s="17"/>
    </row>
    <row r="8674" spans="1:1" x14ac:dyDescent="0.25">
      <c r="A8674" s="17"/>
    </row>
    <row r="8675" spans="1:1" x14ac:dyDescent="0.25">
      <c r="A8675" s="17"/>
    </row>
    <row r="8676" spans="1:1" x14ac:dyDescent="0.25">
      <c r="A8676" s="17"/>
    </row>
    <row r="8677" spans="1:1" x14ac:dyDescent="0.25">
      <c r="A8677" s="17"/>
    </row>
    <row r="8678" spans="1:1" x14ac:dyDescent="0.25">
      <c r="A8678" s="17"/>
    </row>
    <row r="8679" spans="1:1" x14ac:dyDescent="0.25">
      <c r="A8679" s="17"/>
    </row>
    <row r="8680" spans="1:1" x14ac:dyDescent="0.25">
      <c r="A8680" s="17"/>
    </row>
    <row r="8681" spans="1:1" x14ac:dyDescent="0.25">
      <c r="A8681" s="17"/>
    </row>
    <row r="8682" spans="1:1" x14ac:dyDescent="0.25">
      <c r="A8682" s="17"/>
    </row>
    <row r="8683" spans="1:1" x14ac:dyDescent="0.25">
      <c r="A8683" s="17"/>
    </row>
    <row r="8684" spans="1:1" x14ac:dyDescent="0.25">
      <c r="A8684" s="17"/>
    </row>
    <row r="8685" spans="1:1" x14ac:dyDescent="0.25">
      <c r="A8685" s="17"/>
    </row>
    <row r="8686" spans="1:1" x14ac:dyDescent="0.25">
      <c r="A8686" s="17"/>
    </row>
    <row r="8687" spans="1:1" x14ac:dyDescent="0.25">
      <c r="A8687" s="17"/>
    </row>
    <row r="8688" spans="1:1" x14ac:dyDescent="0.25">
      <c r="A8688" s="17"/>
    </row>
    <row r="8689" spans="1:1" x14ac:dyDescent="0.25">
      <c r="A8689" s="17"/>
    </row>
    <row r="8690" spans="1:1" x14ac:dyDescent="0.25">
      <c r="A8690" s="17"/>
    </row>
    <row r="8691" spans="1:1" x14ac:dyDescent="0.25">
      <c r="A8691" s="17"/>
    </row>
    <row r="8692" spans="1:1" x14ac:dyDescent="0.25">
      <c r="A8692" s="17"/>
    </row>
    <row r="8693" spans="1:1" x14ac:dyDescent="0.25">
      <c r="A8693" s="17"/>
    </row>
    <row r="8694" spans="1:1" x14ac:dyDescent="0.25">
      <c r="A8694" s="17"/>
    </row>
    <row r="8695" spans="1:1" x14ac:dyDescent="0.25">
      <c r="A8695" s="17"/>
    </row>
    <row r="8696" spans="1:1" x14ac:dyDescent="0.25">
      <c r="A8696" s="17"/>
    </row>
    <row r="8697" spans="1:1" x14ac:dyDescent="0.25">
      <c r="A8697" s="17"/>
    </row>
    <row r="8698" spans="1:1" x14ac:dyDescent="0.25">
      <c r="A8698" s="17"/>
    </row>
    <row r="8699" spans="1:1" x14ac:dyDescent="0.25">
      <c r="A8699" s="17"/>
    </row>
    <row r="8700" spans="1:1" x14ac:dyDescent="0.25">
      <c r="A8700" s="17"/>
    </row>
    <row r="8701" spans="1:1" x14ac:dyDescent="0.25">
      <c r="A8701" s="17"/>
    </row>
    <row r="8702" spans="1:1" x14ac:dyDescent="0.25">
      <c r="A8702" s="17"/>
    </row>
    <row r="8703" spans="1:1" x14ac:dyDescent="0.25">
      <c r="A8703" s="17"/>
    </row>
    <row r="8704" spans="1:1" x14ac:dyDescent="0.25">
      <c r="A8704" s="17"/>
    </row>
    <row r="8705" spans="1:1" x14ac:dyDescent="0.25">
      <c r="A8705" s="17"/>
    </row>
    <row r="8706" spans="1:1" x14ac:dyDescent="0.25">
      <c r="A8706" s="17"/>
    </row>
    <row r="8707" spans="1:1" x14ac:dyDescent="0.25">
      <c r="A8707" s="17"/>
    </row>
    <row r="8708" spans="1:1" x14ac:dyDescent="0.25">
      <c r="A8708" s="17"/>
    </row>
    <row r="8709" spans="1:1" x14ac:dyDescent="0.25">
      <c r="A8709" s="17"/>
    </row>
    <row r="8710" spans="1:1" x14ac:dyDescent="0.25">
      <c r="A8710" s="17"/>
    </row>
    <row r="8711" spans="1:1" x14ac:dyDescent="0.25">
      <c r="A8711" s="17"/>
    </row>
    <row r="8712" spans="1:1" x14ac:dyDescent="0.25">
      <c r="A8712" s="17"/>
    </row>
    <row r="8713" spans="1:1" x14ac:dyDescent="0.25">
      <c r="A8713" s="17"/>
    </row>
    <row r="8714" spans="1:1" x14ac:dyDescent="0.25">
      <c r="A8714" s="17"/>
    </row>
    <row r="8715" spans="1:1" x14ac:dyDescent="0.25">
      <c r="A8715" s="17"/>
    </row>
    <row r="8716" spans="1:1" x14ac:dyDescent="0.25">
      <c r="A8716" s="17"/>
    </row>
    <row r="8717" spans="1:1" x14ac:dyDescent="0.25">
      <c r="A8717" s="17"/>
    </row>
    <row r="8718" spans="1:1" x14ac:dyDescent="0.25">
      <c r="A8718" s="17"/>
    </row>
    <row r="8719" spans="1:1" x14ac:dyDescent="0.25">
      <c r="A8719" s="17"/>
    </row>
    <row r="8720" spans="1:1" x14ac:dyDescent="0.25">
      <c r="A8720" s="17"/>
    </row>
    <row r="8721" spans="1:1" x14ac:dyDescent="0.25">
      <c r="A8721" s="17"/>
    </row>
    <row r="8722" spans="1:1" x14ac:dyDescent="0.25">
      <c r="A8722" s="17"/>
    </row>
    <row r="8723" spans="1:1" x14ac:dyDescent="0.25">
      <c r="A8723" s="17"/>
    </row>
    <row r="8724" spans="1:1" x14ac:dyDescent="0.25">
      <c r="A8724" s="17"/>
    </row>
    <row r="8725" spans="1:1" x14ac:dyDescent="0.25">
      <c r="A8725" s="17"/>
    </row>
    <row r="8726" spans="1:1" x14ac:dyDescent="0.25">
      <c r="A8726" s="17"/>
    </row>
    <row r="8727" spans="1:1" x14ac:dyDescent="0.25">
      <c r="A8727" s="17"/>
    </row>
    <row r="8728" spans="1:1" x14ac:dyDescent="0.25">
      <c r="A8728" s="17"/>
    </row>
    <row r="8729" spans="1:1" x14ac:dyDescent="0.25">
      <c r="A8729" s="17"/>
    </row>
    <row r="8730" spans="1:1" x14ac:dyDescent="0.25">
      <c r="A8730" s="17"/>
    </row>
    <row r="8731" spans="1:1" x14ac:dyDescent="0.25">
      <c r="A8731" s="17"/>
    </row>
    <row r="8732" spans="1:1" x14ac:dyDescent="0.25">
      <c r="A8732" s="17"/>
    </row>
    <row r="8733" spans="1:1" x14ac:dyDescent="0.25">
      <c r="A8733" s="17"/>
    </row>
    <row r="8734" spans="1:1" x14ac:dyDescent="0.25">
      <c r="A8734" s="17"/>
    </row>
    <row r="8735" spans="1:1" x14ac:dyDescent="0.25">
      <c r="A8735" s="17"/>
    </row>
    <row r="8736" spans="1:1" x14ac:dyDescent="0.25">
      <c r="A8736" s="17"/>
    </row>
    <row r="8737" spans="1:1" x14ac:dyDescent="0.25">
      <c r="A8737" s="17"/>
    </row>
    <row r="8738" spans="1:1" x14ac:dyDescent="0.25">
      <c r="A8738" s="17"/>
    </row>
    <row r="8739" spans="1:1" x14ac:dyDescent="0.25">
      <c r="A8739" s="17"/>
    </row>
    <row r="8740" spans="1:1" x14ac:dyDescent="0.25">
      <c r="A8740" s="17"/>
    </row>
    <row r="8741" spans="1:1" x14ac:dyDescent="0.25">
      <c r="A8741" s="17"/>
    </row>
    <row r="8742" spans="1:1" x14ac:dyDescent="0.25">
      <c r="A8742" s="17"/>
    </row>
    <row r="8743" spans="1:1" x14ac:dyDescent="0.25">
      <c r="A8743" s="17"/>
    </row>
    <row r="8744" spans="1:1" x14ac:dyDescent="0.25">
      <c r="A8744" s="17"/>
    </row>
    <row r="8745" spans="1:1" x14ac:dyDescent="0.25">
      <c r="A8745" s="17"/>
    </row>
    <row r="8746" spans="1:1" x14ac:dyDescent="0.25">
      <c r="A8746" s="17"/>
    </row>
    <row r="8747" spans="1:1" x14ac:dyDescent="0.25">
      <c r="A8747" s="17"/>
    </row>
    <row r="8748" spans="1:1" x14ac:dyDescent="0.25">
      <c r="A8748" s="17"/>
    </row>
    <row r="8749" spans="1:1" x14ac:dyDescent="0.25">
      <c r="A8749" s="17"/>
    </row>
    <row r="8750" spans="1:1" x14ac:dyDescent="0.25">
      <c r="A8750" s="17"/>
    </row>
    <row r="8751" spans="1:1" x14ac:dyDescent="0.25">
      <c r="A8751" s="17"/>
    </row>
    <row r="8752" spans="1:1" x14ac:dyDescent="0.25">
      <c r="A8752" s="17"/>
    </row>
    <row r="8753" spans="1:1" x14ac:dyDescent="0.25">
      <c r="A8753" s="17"/>
    </row>
    <row r="8754" spans="1:1" x14ac:dyDescent="0.25">
      <c r="A8754" s="17"/>
    </row>
    <row r="8755" spans="1:1" x14ac:dyDescent="0.25">
      <c r="A8755" s="17"/>
    </row>
    <row r="8756" spans="1:1" x14ac:dyDescent="0.25">
      <c r="A8756" s="17"/>
    </row>
    <row r="8757" spans="1:1" x14ac:dyDescent="0.25">
      <c r="A8757" s="17"/>
    </row>
    <row r="8758" spans="1:1" x14ac:dyDescent="0.25">
      <c r="A8758" s="17"/>
    </row>
    <row r="8759" spans="1:1" x14ac:dyDescent="0.25">
      <c r="A8759" s="17"/>
    </row>
    <row r="8760" spans="1:1" x14ac:dyDescent="0.25">
      <c r="A8760" s="17"/>
    </row>
    <row r="8761" spans="1:1" x14ac:dyDescent="0.25">
      <c r="A8761" s="17"/>
    </row>
    <row r="8762" spans="1:1" x14ac:dyDescent="0.25">
      <c r="A8762" s="17"/>
    </row>
    <row r="8763" spans="1:1" x14ac:dyDescent="0.25">
      <c r="A8763" s="17"/>
    </row>
    <row r="8764" spans="1:1" x14ac:dyDescent="0.25">
      <c r="A8764" s="17"/>
    </row>
    <row r="8765" spans="1:1" x14ac:dyDescent="0.25">
      <c r="A8765" s="17"/>
    </row>
    <row r="8766" spans="1:1" x14ac:dyDescent="0.25">
      <c r="A8766" s="17"/>
    </row>
    <row r="8767" spans="1:1" x14ac:dyDescent="0.25">
      <c r="A8767" s="17"/>
    </row>
    <row r="8768" spans="1:1" x14ac:dyDescent="0.25">
      <c r="A8768" s="17"/>
    </row>
    <row r="8769" spans="1:1" x14ac:dyDescent="0.25">
      <c r="A8769" s="17"/>
    </row>
    <row r="8770" spans="1:1" x14ac:dyDescent="0.25">
      <c r="A8770" s="17"/>
    </row>
    <row r="8771" spans="1:1" x14ac:dyDescent="0.25">
      <c r="A8771" s="17"/>
    </row>
    <row r="8772" spans="1:1" x14ac:dyDescent="0.25">
      <c r="A8772" s="17"/>
    </row>
    <row r="8773" spans="1:1" x14ac:dyDescent="0.25">
      <c r="A8773" s="17"/>
    </row>
    <row r="8774" spans="1:1" x14ac:dyDescent="0.25">
      <c r="A8774" s="17"/>
    </row>
    <row r="8775" spans="1:1" x14ac:dyDescent="0.25">
      <c r="A8775" s="17"/>
    </row>
    <row r="8776" spans="1:1" x14ac:dyDescent="0.25">
      <c r="A8776" s="17"/>
    </row>
    <row r="8777" spans="1:1" x14ac:dyDescent="0.25">
      <c r="A8777" s="17"/>
    </row>
    <row r="8778" spans="1:1" x14ac:dyDescent="0.25">
      <c r="A8778" s="17"/>
    </row>
    <row r="8779" spans="1:1" x14ac:dyDescent="0.25">
      <c r="A8779" s="17"/>
    </row>
    <row r="8780" spans="1:1" x14ac:dyDescent="0.25">
      <c r="A8780" s="17"/>
    </row>
    <row r="8781" spans="1:1" x14ac:dyDescent="0.25">
      <c r="A8781" s="17"/>
    </row>
    <row r="8782" spans="1:1" x14ac:dyDescent="0.25">
      <c r="A8782" s="17"/>
    </row>
    <row r="8783" spans="1:1" x14ac:dyDescent="0.25">
      <c r="A8783" s="17"/>
    </row>
    <row r="8784" spans="1:1" x14ac:dyDescent="0.25">
      <c r="A8784" s="17"/>
    </row>
    <row r="8785" spans="1:1" x14ac:dyDescent="0.25">
      <c r="A8785" s="17"/>
    </row>
    <row r="8786" spans="1:1" x14ac:dyDescent="0.25">
      <c r="A8786" s="17"/>
    </row>
    <row r="8787" spans="1:1" x14ac:dyDescent="0.25">
      <c r="A8787" s="17"/>
    </row>
    <row r="8788" spans="1:1" x14ac:dyDescent="0.25">
      <c r="A8788" s="17"/>
    </row>
    <row r="8789" spans="1:1" x14ac:dyDescent="0.25">
      <c r="A8789" s="17"/>
    </row>
    <row r="8790" spans="1:1" x14ac:dyDescent="0.25">
      <c r="A8790" s="17"/>
    </row>
    <row r="8791" spans="1:1" x14ac:dyDescent="0.25">
      <c r="A8791" s="17"/>
    </row>
    <row r="8792" spans="1:1" x14ac:dyDescent="0.25">
      <c r="A8792" s="17"/>
    </row>
    <row r="8793" spans="1:1" x14ac:dyDescent="0.25">
      <c r="A8793" s="17"/>
    </row>
    <row r="8794" spans="1:1" x14ac:dyDescent="0.25">
      <c r="A8794" s="17"/>
    </row>
    <row r="8795" spans="1:1" x14ac:dyDescent="0.25">
      <c r="A8795" s="17"/>
    </row>
    <row r="8796" spans="1:1" x14ac:dyDescent="0.25">
      <c r="A8796" s="17"/>
    </row>
    <row r="8797" spans="1:1" x14ac:dyDescent="0.25">
      <c r="A8797" s="17"/>
    </row>
    <row r="8798" spans="1:1" x14ac:dyDescent="0.25">
      <c r="A8798" s="17"/>
    </row>
    <row r="8799" spans="1:1" x14ac:dyDescent="0.25">
      <c r="A8799" s="17"/>
    </row>
    <row r="8800" spans="1:1" x14ac:dyDescent="0.25">
      <c r="A8800" s="17"/>
    </row>
    <row r="8801" spans="1:1" x14ac:dyDescent="0.25">
      <c r="A8801" s="17"/>
    </row>
    <row r="8802" spans="1:1" x14ac:dyDescent="0.25">
      <c r="A8802" s="17"/>
    </row>
    <row r="8803" spans="1:1" x14ac:dyDescent="0.25">
      <c r="A8803" s="17"/>
    </row>
    <row r="8804" spans="1:1" x14ac:dyDescent="0.25">
      <c r="A8804" s="17"/>
    </row>
    <row r="8805" spans="1:1" x14ac:dyDescent="0.25">
      <c r="A8805" s="17"/>
    </row>
    <row r="8806" spans="1:1" x14ac:dyDescent="0.25">
      <c r="A8806" s="17"/>
    </row>
    <row r="8807" spans="1:1" x14ac:dyDescent="0.25">
      <c r="A8807" s="17"/>
    </row>
    <row r="8808" spans="1:1" x14ac:dyDescent="0.25">
      <c r="A8808" s="17"/>
    </row>
    <row r="8809" spans="1:1" x14ac:dyDescent="0.25">
      <c r="A8809" s="17"/>
    </row>
    <row r="8810" spans="1:1" x14ac:dyDescent="0.25">
      <c r="A8810" s="17"/>
    </row>
    <row r="8811" spans="1:1" x14ac:dyDescent="0.25">
      <c r="A8811" s="17"/>
    </row>
    <row r="8812" spans="1:1" x14ac:dyDescent="0.25">
      <c r="A8812" s="17"/>
    </row>
    <row r="8813" spans="1:1" x14ac:dyDescent="0.25">
      <c r="A8813" s="17"/>
    </row>
    <row r="8814" spans="1:1" x14ac:dyDescent="0.25">
      <c r="A8814" s="17"/>
    </row>
    <row r="8815" spans="1:1" x14ac:dyDescent="0.25">
      <c r="A8815" s="17"/>
    </row>
    <row r="8816" spans="1:1" x14ac:dyDescent="0.25">
      <c r="A8816" s="17"/>
    </row>
    <row r="8817" spans="1:1" x14ac:dyDescent="0.25">
      <c r="A8817" s="17"/>
    </row>
    <row r="8818" spans="1:1" x14ac:dyDescent="0.25">
      <c r="A8818" s="17"/>
    </row>
    <row r="8819" spans="1:1" x14ac:dyDescent="0.25">
      <c r="A8819" s="17"/>
    </row>
    <row r="8820" spans="1:1" x14ac:dyDescent="0.25">
      <c r="A8820" s="17"/>
    </row>
    <row r="8821" spans="1:1" x14ac:dyDescent="0.25">
      <c r="A8821" s="17"/>
    </row>
    <row r="8822" spans="1:1" x14ac:dyDescent="0.25">
      <c r="A8822" s="17"/>
    </row>
    <row r="8823" spans="1:1" x14ac:dyDescent="0.25">
      <c r="A8823" s="17"/>
    </row>
    <row r="8824" spans="1:1" x14ac:dyDescent="0.25">
      <c r="A8824" s="17"/>
    </row>
    <row r="8825" spans="1:1" x14ac:dyDescent="0.25">
      <c r="A8825" s="17"/>
    </row>
    <row r="8826" spans="1:1" x14ac:dyDescent="0.25">
      <c r="A8826" s="17"/>
    </row>
    <row r="8827" spans="1:1" x14ac:dyDescent="0.25">
      <c r="A8827" s="17"/>
    </row>
    <row r="8828" spans="1:1" x14ac:dyDescent="0.25">
      <c r="A8828" s="17"/>
    </row>
    <row r="8829" spans="1:1" x14ac:dyDescent="0.25">
      <c r="A8829" s="17"/>
    </row>
    <row r="8830" spans="1:1" x14ac:dyDescent="0.25">
      <c r="A8830" s="17"/>
    </row>
    <row r="8831" spans="1:1" x14ac:dyDescent="0.25">
      <c r="A8831" s="17"/>
    </row>
    <row r="8832" spans="1:1" x14ac:dyDescent="0.25">
      <c r="A8832" s="17"/>
    </row>
    <row r="8833" spans="1:1" x14ac:dyDescent="0.25">
      <c r="A8833" s="17"/>
    </row>
    <row r="8834" spans="1:1" x14ac:dyDescent="0.25">
      <c r="A8834" s="17"/>
    </row>
    <row r="8835" spans="1:1" x14ac:dyDescent="0.25">
      <c r="A8835" s="17"/>
    </row>
    <row r="8836" spans="1:1" x14ac:dyDescent="0.25">
      <c r="A8836" s="17"/>
    </row>
    <row r="8837" spans="1:1" x14ac:dyDescent="0.25">
      <c r="A8837" s="17"/>
    </row>
    <row r="8838" spans="1:1" x14ac:dyDescent="0.25">
      <c r="A8838" s="17"/>
    </row>
    <row r="8839" spans="1:1" x14ac:dyDescent="0.25">
      <c r="A8839" s="17"/>
    </row>
    <row r="8840" spans="1:1" x14ac:dyDescent="0.25">
      <c r="A8840" s="17"/>
    </row>
    <row r="8841" spans="1:1" x14ac:dyDescent="0.25">
      <c r="A8841" s="17"/>
    </row>
    <row r="8842" spans="1:1" x14ac:dyDescent="0.25">
      <c r="A8842" s="17"/>
    </row>
    <row r="8843" spans="1:1" x14ac:dyDescent="0.25">
      <c r="A8843" s="17"/>
    </row>
    <row r="8844" spans="1:1" x14ac:dyDescent="0.25">
      <c r="A8844" s="17"/>
    </row>
    <row r="8845" spans="1:1" x14ac:dyDescent="0.25">
      <c r="A8845" s="17"/>
    </row>
    <row r="8846" spans="1:1" x14ac:dyDescent="0.25">
      <c r="A8846" s="17"/>
    </row>
    <row r="8847" spans="1:1" x14ac:dyDescent="0.25">
      <c r="A8847" s="17"/>
    </row>
    <row r="8848" spans="1:1" x14ac:dyDescent="0.25">
      <c r="A8848" s="17"/>
    </row>
    <row r="8849" spans="1:1" x14ac:dyDescent="0.25">
      <c r="A8849" s="17"/>
    </row>
    <row r="8850" spans="1:1" x14ac:dyDescent="0.25">
      <c r="A8850" s="17"/>
    </row>
    <row r="8851" spans="1:1" x14ac:dyDescent="0.25">
      <c r="A8851" s="17"/>
    </row>
    <row r="8852" spans="1:1" x14ac:dyDescent="0.25">
      <c r="A8852" s="17"/>
    </row>
    <row r="8853" spans="1:1" x14ac:dyDescent="0.25">
      <c r="A8853" s="17"/>
    </row>
    <row r="8854" spans="1:1" x14ac:dyDescent="0.25">
      <c r="A8854" s="17"/>
    </row>
    <row r="8855" spans="1:1" x14ac:dyDescent="0.25">
      <c r="A8855" s="17"/>
    </row>
    <row r="8856" spans="1:1" x14ac:dyDescent="0.25">
      <c r="A8856" s="17"/>
    </row>
    <row r="8857" spans="1:1" x14ac:dyDescent="0.25">
      <c r="A8857" s="17"/>
    </row>
    <row r="8858" spans="1:1" x14ac:dyDescent="0.25">
      <c r="A8858" s="17"/>
    </row>
    <row r="8859" spans="1:1" x14ac:dyDescent="0.25">
      <c r="A8859" s="17"/>
    </row>
    <row r="8860" spans="1:1" x14ac:dyDescent="0.25">
      <c r="A8860" s="17"/>
    </row>
    <row r="8861" spans="1:1" x14ac:dyDescent="0.25">
      <c r="A8861" s="17"/>
    </row>
    <row r="8862" spans="1:1" x14ac:dyDescent="0.25">
      <c r="A8862" s="17"/>
    </row>
    <row r="8863" spans="1:1" x14ac:dyDescent="0.25">
      <c r="A8863" s="17"/>
    </row>
    <row r="8864" spans="1:1" x14ac:dyDescent="0.25">
      <c r="A8864" s="17"/>
    </row>
    <row r="8865" spans="1:1" x14ac:dyDescent="0.25">
      <c r="A8865" s="17"/>
    </row>
    <row r="8866" spans="1:1" x14ac:dyDescent="0.25">
      <c r="A8866" s="17"/>
    </row>
    <row r="8867" spans="1:1" x14ac:dyDescent="0.25">
      <c r="A8867" s="17"/>
    </row>
    <row r="8868" spans="1:1" x14ac:dyDescent="0.25">
      <c r="A8868" s="17"/>
    </row>
    <row r="8869" spans="1:1" x14ac:dyDescent="0.25">
      <c r="A8869" s="17"/>
    </row>
    <row r="8870" spans="1:1" x14ac:dyDescent="0.25">
      <c r="A8870" s="17"/>
    </row>
    <row r="8871" spans="1:1" x14ac:dyDescent="0.25">
      <c r="A8871" s="17"/>
    </row>
    <row r="8872" spans="1:1" x14ac:dyDescent="0.25">
      <c r="A8872" s="17"/>
    </row>
    <row r="8873" spans="1:1" x14ac:dyDescent="0.25">
      <c r="A8873" s="17"/>
    </row>
    <row r="8874" spans="1:1" x14ac:dyDescent="0.25">
      <c r="A8874" s="17"/>
    </row>
    <row r="8875" spans="1:1" x14ac:dyDescent="0.25">
      <c r="A8875" s="17"/>
    </row>
    <row r="8876" spans="1:1" x14ac:dyDescent="0.25">
      <c r="A8876" s="17"/>
    </row>
    <row r="8877" spans="1:1" x14ac:dyDescent="0.25">
      <c r="A8877" s="17"/>
    </row>
    <row r="8878" spans="1:1" x14ac:dyDescent="0.25">
      <c r="A8878" s="17"/>
    </row>
    <row r="8879" spans="1:1" x14ac:dyDescent="0.25">
      <c r="A8879" s="17"/>
    </row>
    <row r="8880" spans="1:1" x14ac:dyDescent="0.25">
      <c r="A8880" s="17"/>
    </row>
    <row r="8881" spans="1:1" x14ac:dyDescent="0.25">
      <c r="A8881" s="17"/>
    </row>
    <row r="8882" spans="1:1" x14ac:dyDescent="0.25">
      <c r="A8882" s="17"/>
    </row>
    <row r="8883" spans="1:1" x14ac:dyDescent="0.25">
      <c r="A8883" s="17"/>
    </row>
    <row r="8884" spans="1:1" x14ac:dyDescent="0.25">
      <c r="A8884" s="17"/>
    </row>
    <row r="8885" spans="1:1" x14ac:dyDescent="0.25">
      <c r="A8885" s="17"/>
    </row>
    <row r="8886" spans="1:1" x14ac:dyDescent="0.25">
      <c r="A8886" s="17"/>
    </row>
    <row r="8887" spans="1:1" x14ac:dyDescent="0.25">
      <c r="A8887" s="17"/>
    </row>
    <row r="8888" spans="1:1" x14ac:dyDescent="0.25">
      <c r="A8888" s="17"/>
    </row>
    <row r="8889" spans="1:1" x14ac:dyDescent="0.25">
      <c r="A8889" s="17"/>
    </row>
    <row r="8890" spans="1:1" x14ac:dyDescent="0.25">
      <c r="A8890" s="17"/>
    </row>
    <row r="8891" spans="1:1" x14ac:dyDescent="0.25">
      <c r="A8891" s="17"/>
    </row>
    <row r="8892" spans="1:1" x14ac:dyDescent="0.25">
      <c r="A8892" s="17"/>
    </row>
    <row r="8893" spans="1:1" x14ac:dyDescent="0.25">
      <c r="A8893" s="17"/>
    </row>
    <row r="8894" spans="1:1" x14ac:dyDescent="0.25">
      <c r="A8894" s="17"/>
    </row>
    <row r="8895" spans="1:1" x14ac:dyDescent="0.25">
      <c r="A8895" s="17"/>
    </row>
    <row r="8896" spans="1:1" x14ac:dyDescent="0.25">
      <c r="A8896" s="17"/>
    </row>
    <row r="8897" spans="1:1" x14ac:dyDescent="0.25">
      <c r="A8897" s="17"/>
    </row>
    <row r="8898" spans="1:1" x14ac:dyDescent="0.25">
      <c r="A8898" s="17"/>
    </row>
    <row r="8899" spans="1:1" x14ac:dyDescent="0.25">
      <c r="A8899" s="17"/>
    </row>
    <row r="8900" spans="1:1" x14ac:dyDescent="0.25">
      <c r="A8900" s="17"/>
    </row>
    <row r="8901" spans="1:1" x14ac:dyDescent="0.25">
      <c r="A8901" s="17"/>
    </row>
    <row r="8902" spans="1:1" x14ac:dyDescent="0.25">
      <c r="A8902" s="17"/>
    </row>
    <row r="8903" spans="1:1" x14ac:dyDescent="0.25">
      <c r="A8903" s="17"/>
    </row>
    <row r="8904" spans="1:1" x14ac:dyDescent="0.25">
      <c r="A8904" s="17"/>
    </row>
    <row r="8905" spans="1:1" x14ac:dyDescent="0.25">
      <c r="A8905" s="17"/>
    </row>
    <row r="8906" spans="1:1" x14ac:dyDescent="0.25">
      <c r="A8906" s="17"/>
    </row>
    <row r="8907" spans="1:1" x14ac:dyDescent="0.25">
      <c r="A8907" s="17"/>
    </row>
    <row r="8908" spans="1:1" x14ac:dyDescent="0.25">
      <c r="A8908" s="17"/>
    </row>
    <row r="8909" spans="1:1" x14ac:dyDescent="0.25">
      <c r="A8909" s="17"/>
    </row>
    <row r="8910" spans="1:1" x14ac:dyDescent="0.25">
      <c r="A8910" s="17"/>
    </row>
    <row r="8911" spans="1:1" x14ac:dyDescent="0.25">
      <c r="A8911" s="17"/>
    </row>
    <row r="8912" spans="1:1" x14ac:dyDescent="0.25">
      <c r="A8912" s="17"/>
    </row>
    <row r="8913" spans="1:1" x14ac:dyDescent="0.25">
      <c r="A8913" s="17"/>
    </row>
    <row r="8914" spans="1:1" x14ac:dyDescent="0.25">
      <c r="A8914" s="17"/>
    </row>
    <row r="8915" spans="1:1" x14ac:dyDescent="0.25">
      <c r="A8915" s="17"/>
    </row>
    <row r="8916" spans="1:1" x14ac:dyDescent="0.25">
      <c r="A8916" s="17"/>
    </row>
    <row r="8917" spans="1:1" x14ac:dyDescent="0.25">
      <c r="A8917" s="17"/>
    </row>
    <row r="8918" spans="1:1" x14ac:dyDescent="0.25">
      <c r="A8918" s="17"/>
    </row>
    <row r="8919" spans="1:1" x14ac:dyDescent="0.25">
      <c r="A8919" s="17"/>
    </row>
    <row r="8920" spans="1:1" x14ac:dyDescent="0.25">
      <c r="A8920" s="17"/>
    </row>
    <row r="8921" spans="1:1" x14ac:dyDescent="0.25">
      <c r="A8921" s="17"/>
    </row>
    <row r="8922" spans="1:1" x14ac:dyDescent="0.25">
      <c r="A8922" s="17"/>
    </row>
    <row r="8923" spans="1:1" x14ac:dyDescent="0.25">
      <c r="A8923" s="17"/>
    </row>
    <row r="8924" spans="1:1" x14ac:dyDescent="0.25">
      <c r="A8924" s="17"/>
    </row>
    <row r="8925" spans="1:1" x14ac:dyDescent="0.25">
      <c r="A8925" s="17"/>
    </row>
    <row r="8926" spans="1:1" x14ac:dyDescent="0.25">
      <c r="A8926" s="17"/>
    </row>
    <row r="8927" spans="1:1" x14ac:dyDescent="0.25">
      <c r="A8927" s="17"/>
    </row>
    <row r="8928" spans="1:1" x14ac:dyDescent="0.25">
      <c r="A8928" s="17"/>
    </row>
    <row r="8929" spans="1:1" x14ac:dyDescent="0.25">
      <c r="A8929" s="17"/>
    </row>
    <row r="8930" spans="1:1" x14ac:dyDescent="0.25">
      <c r="A8930" s="17"/>
    </row>
    <row r="8931" spans="1:1" x14ac:dyDescent="0.25">
      <c r="A8931" s="17"/>
    </row>
    <row r="8932" spans="1:1" x14ac:dyDescent="0.25">
      <c r="A8932" s="17"/>
    </row>
    <row r="8933" spans="1:1" x14ac:dyDescent="0.25">
      <c r="A8933" s="17"/>
    </row>
    <row r="8934" spans="1:1" x14ac:dyDescent="0.25">
      <c r="A8934" s="17"/>
    </row>
    <row r="8935" spans="1:1" x14ac:dyDescent="0.25">
      <c r="A8935" s="17"/>
    </row>
    <row r="8936" spans="1:1" x14ac:dyDescent="0.25">
      <c r="A8936" s="17"/>
    </row>
    <row r="8937" spans="1:1" x14ac:dyDescent="0.25">
      <c r="A8937" s="17"/>
    </row>
    <row r="8938" spans="1:1" x14ac:dyDescent="0.25">
      <c r="A8938" s="17"/>
    </row>
    <row r="8939" spans="1:1" x14ac:dyDescent="0.25">
      <c r="A8939" s="17"/>
    </row>
    <row r="8940" spans="1:1" x14ac:dyDescent="0.25">
      <c r="A8940" s="17"/>
    </row>
    <row r="8941" spans="1:1" x14ac:dyDescent="0.25">
      <c r="A8941" s="17"/>
    </row>
    <row r="8942" spans="1:1" x14ac:dyDescent="0.25">
      <c r="A8942" s="17"/>
    </row>
    <row r="8943" spans="1:1" x14ac:dyDescent="0.25">
      <c r="A8943" s="17"/>
    </row>
    <row r="8944" spans="1:1" x14ac:dyDescent="0.25">
      <c r="A8944" s="17"/>
    </row>
    <row r="8945" spans="1:1" x14ac:dyDescent="0.25">
      <c r="A8945" s="17"/>
    </row>
    <row r="8946" spans="1:1" x14ac:dyDescent="0.25">
      <c r="A8946" s="17"/>
    </row>
    <row r="8947" spans="1:1" x14ac:dyDescent="0.25">
      <c r="A8947" s="17"/>
    </row>
    <row r="8948" spans="1:1" x14ac:dyDescent="0.25">
      <c r="A8948" s="17"/>
    </row>
    <row r="8949" spans="1:1" x14ac:dyDescent="0.25">
      <c r="A8949" s="17"/>
    </row>
    <row r="8950" spans="1:1" x14ac:dyDescent="0.25">
      <c r="A8950" s="17"/>
    </row>
    <row r="8951" spans="1:1" x14ac:dyDescent="0.25">
      <c r="A8951" s="17"/>
    </row>
    <row r="8952" spans="1:1" x14ac:dyDescent="0.25">
      <c r="A8952" s="17"/>
    </row>
    <row r="8953" spans="1:1" x14ac:dyDescent="0.25">
      <c r="A8953" s="17"/>
    </row>
    <row r="8954" spans="1:1" x14ac:dyDescent="0.25">
      <c r="A8954" s="17"/>
    </row>
    <row r="8955" spans="1:1" x14ac:dyDescent="0.25">
      <c r="A8955" s="17"/>
    </row>
    <row r="8956" spans="1:1" x14ac:dyDescent="0.25">
      <c r="A8956" s="17"/>
    </row>
    <row r="8957" spans="1:1" x14ac:dyDescent="0.25">
      <c r="A8957" s="17"/>
    </row>
    <row r="8958" spans="1:1" x14ac:dyDescent="0.25">
      <c r="A8958" s="17"/>
    </row>
    <row r="8959" spans="1:1" x14ac:dyDescent="0.25">
      <c r="A8959" s="17"/>
    </row>
    <row r="8960" spans="1:1" x14ac:dyDescent="0.25">
      <c r="A8960" s="17"/>
    </row>
    <row r="8961" spans="1:1" x14ac:dyDescent="0.25">
      <c r="A8961" s="17"/>
    </row>
    <row r="8962" spans="1:1" x14ac:dyDescent="0.25">
      <c r="A8962" s="17"/>
    </row>
    <row r="8963" spans="1:1" x14ac:dyDescent="0.25">
      <c r="A8963" s="17"/>
    </row>
    <row r="8964" spans="1:1" x14ac:dyDescent="0.25">
      <c r="A8964" s="17"/>
    </row>
    <row r="8965" spans="1:1" x14ac:dyDescent="0.25">
      <c r="A8965" s="17"/>
    </row>
    <row r="8966" spans="1:1" x14ac:dyDescent="0.25">
      <c r="A8966" s="17"/>
    </row>
    <row r="8967" spans="1:1" x14ac:dyDescent="0.25">
      <c r="A8967" s="17"/>
    </row>
    <row r="8968" spans="1:1" x14ac:dyDescent="0.25">
      <c r="A8968" s="17"/>
    </row>
    <row r="8969" spans="1:1" x14ac:dyDescent="0.25">
      <c r="A8969" s="17"/>
    </row>
    <row r="8970" spans="1:1" x14ac:dyDescent="0.25">
      <c r="A8970" s="17"/>
    </row>
    <row r="8971" spans="1:1" x14ac:dyDescent="0.25">
      <c r="A8971" s="17"/>
    </row>
    <row r="8972" spans="1:1" x14ac:dyDescent="0.25">
      <c r="A8972" s="17"/>
    </row>
    <row r="8973" spans="1:1" x14ac:dyDescent="0.25">
      <c r="A8973" s="17"/>
    </row>
    <row r="8974" spans="1:1" x14ac:dyDescent="0.25">
      <c r="A8974" s="17"/>
    </row>
    <row r="8975" spans="1:1" x14ac:dyDescent="0.25">
      <c r="A8975" s="17"/>
    </row>
    <row r="8976" spans="1:1" x14ac:dyDescent="0.25">
      <c r="A8976" s="17"/>
    </row>
    <row r="8977" spans="1:1" x14ac:dyDescent="0.25">
      <c r="A8977" s="17"/>
    </row>
    <row r="8978" spans="1:1" x14ac:dyDescent="0.25">
      <c r="A8978" s="17"/>
    </row>
    <row r="8979" spans="1:1" x14ac:dyDescent="0.25">
      <c r="A8979" s="17"/>
    </row>
    <row r="8980" spans="1:1" x14ac:dyDescent="0.25">
      <c r="A8980" s="17"/>
    </row>
    <row r="8981" spans="1:1" x14ac:dyDescent="0.25">
      <c r="A8981" s="17"/>
    </row>
    <row r="8982" spans="1:1" x14ac:dyDescent="0.25">
      <c r="A8982" s="17"/>
    </row>
    <row r="8983" spans="1:1" x14ac:dyDescent="0.25">
      <c r="A8983" s="17"/>
    </row>
    <row r="8984" spans="1:1" x14ac:dyDescent="0.25">
      <c r="A8984" s="17"/>
    </row>
    <row r="8985" spans="1:1" x14ac:dyDescent="0.25">
      <c r="A8985" s="17"/>
    </row>
    <row r="8986" spans="1:1" x14ac:dyDescent="0.25">
      <c r="A8986" s="17"/>
    </row>
    <row r="8987" spans="1:1" x14ac:dyDescent="0.25">
      <c r="A8987" s="17"/>
    </row>
    <row r="8988" spans="1:1" x14ac:dyDescent="0.25">
      <c r="A8988" s="17"/>
    </row>
    <row r="8989" spans="1:1" x14ac:dyDescent="0.25">
      <c r="A8989" s="17"/>
    </row>
    <row r="8990" spans="1:1" x14ac:dyDescent="0.25">
      <c r="A8990" s="17"/>
    </row>
    <row r="8991" spans="1:1" x14ac:dyDescent="0.25">
      <c r="A8991" s="17"/>
    </row>
    <row r="8992" spans="1:1" x14ac:dyDescent="0.25">
      <c r="A8992" s="17"/>
    </row>
    <row r="8993" spans="1:1" x14ac:dyDescent="0.25">
      <c r="A8993" s="17"/>
    </row>
    <row r="8994" spans="1:1" x14ac:dyDescent="0.25">
      <c r="A8994" s="17"/>
    </row>
    <row r="8995" spans="1:1" x14ac:dyDescent="0.25">
      <c r="A8995" s="17"/>
    </row>
    <row r="8996" spans="1:1" x14ac:dyDescent="0.25">
      <c r="A8996" s="17"/>
    </row>
    <row r="8997" spans="1:1" x14ac:dyDescent="0.25">
      <c r="A8997" s="17"/>
    </row>
    <row r="8998" spans="1:1" x14ac:dyDescent="0.25">
      <c r="A8998" s="17"/>
    </row>
    <row r="8999" spans="1:1" x14ac:dyDescent="0.25">
      <c r="A8999" s="17"/>
    </row>
    <row r="9000" spans="1:1" x14ac:dyDescent="0.25">
      <c r="A9000" s="17"/>
    </row>
    <row r="9001" spans="1:1" x14ac:dyDescent="0.25">
      <c r="A9001" s="17"/>
    </row>
    <row r="9002" spans="1:1" x14ac:dyDescent="0.25">
      <c r="A9002" s="17"/>
    </row>
    <row r="9003" spans="1:1" x14ac:dyDescent="0.25">
      <c r="A9003" s="17"/>
    </row>
    <row r="9004" spans="1:1" x14ac:dyDescent="0.25">
      <c r="A9004" s="17"/>
    </row>
    <row r="9005" spans="1:1" x14ac:dyDescent="0.25">
      <c r="A9005" s="17"/>
    </row>
    <row r="9006" spans="1:1" x14ac:dyDescent="0.25">
      <c r="A9006" s="17"/>
    </row>
    <row r="9007" spans="1:1" x14ac:dyDescent="0.25">
      <c r="A9007" s="17"/>
    </row>
    <row r="9008" spans="1:1" x14ac:dyDescent="0.25">
      <c r="A9008" s="17"/>
    </row>
    <row r="9009" spans="1:1" x14ac:dyDescent="0.25">
      <c r="A9009" s="17"/>
    </row>
    <row r="9010" spans="1:1" x14ac:dyDescent="0.25">
      <c r="A9010" s="17"/>
    </row>
    <row r="9011" spans="1:1" x14ac:dyDescent="0.25">
      <c r="A9011" s="17"/>
    </row>
    <row r="9012" spans="1:1" x14ac:dyDescent="0.25">
      <c r="A9012" s="17"/>
    </row>
    <row r="9013" spans="1:1" x14ac:dyDescent="0.25">
      <c r="A9013" s="17"/>
    </row>
    <row r="9014" spans="1:1" x14ac:dyDescent="0.25">
      <c r="A9014" s="17"/>
    </row>
    <row r="9015" spans="1:1" x14ac:dyDescent="0.25">
      <c r="A9015" s="17"/>
    </row>
    <row r="9016" spans="1:1" x14ac:dyDescent="0.25">
      <c r="A9016" s="17"/>
    </row>
    <row r="9017" spans="1:1" x14ac:dyDescent="0.25">
      <c r="A9017" s="17"/>
    </row>
    <row r="9018" spans="1:1" x14ac:dyDescent="0.25">
      <c r="A9018" s="17"/>
    </row>
    <row r="9019" spans="1:1" x14ac:dyDescent="0.25">
      <c r="A9019" s="17"/>
    </row>
    <row r="9020" spans="1:1" x14ac:dyDescent="0.25">
      <c r="A9020" s="17"/>
    </row>
    <row r="9021" spans="1:1" x14ac:dyDescent="0.25">
      <c r="A9021" s="17"/>
    </row>
    <row r="9022" spans="1:1" x14ac:dyDescent="0.25">
      <c r="A9022" s="17"/>
    </row>
    <row r="9023" spans="1:1" x14ac:dyDescent="0.25">
      <c r="A9023" s="17"/>
    </row>
    <row r="9024" spans="1:1" x14ac:dyDescent="0.25">
      <c r="A9024" s="17"/>
    </row>
    <row r="9025" spans="1:1" x14ac:dyDescent="0.25">
      <c r="A9025" s="17"/>
    </row>
    <row r="9026" spans="1:1" x14ac:dyDescent="0.25">
      <c r="A9026" s="17"/>
    </row>
    <row r="9027" spans="1:1" x14ac:dyDescent="0.25">
      <c r="A9027" s="17"/>
    </row>
    <row r="9028" spans="1:1" x14ac:dyDescent="0.25">
      <c r="A9028" s="17"/>
    </row>
    <row r="9029" spans="1:1" x14ac:dyDescent="0.25">
      <c r="A9029" s="17"/>
    </row>
    <row r="9030" spans="1:1" x14ac:dyDescent="0.25">
      <c r="A9030" s="17"/>
    </row>
    <row r="9031" spans="1:1" x14ac:dyDescent="0.25">
      <c r="A9031" s="17"/>
    </row>
    <row r="9032" spans="1:1" x14ac:dyDescent="0.25">
      <c r="A9032" s="17"/>
    </row>
    <row r="9033" spans="1:1" x14ac:dyDescent="0.25">
      <c r="A9033" s="17"/>
    </row>
    <row r="9034" spans="1:1" x14ac:dyDescent="0.25">
      <c r="A9034" s="17"/>
    </row>
    <row r="9035" spans="1:1" x14ac:dyDescent="0.25">
      <c r="A9035" s="17"/>
    </row>
    <row r="9036" spans="1:1" x14ac:dyDescent="0.25">
      <c r="A9036" s="17"/>
    </row>
    <row r="9037" spans="1:1" x14ac:dyDescent="0.25">
      <c r="A9037" s="17"/>
    </row>
    <row r="9038" spans="1:1" x14ac:dyDescent="0.25">
      <c r="A9038" s="17"/>
    </row>
    <row r="9039" spans="1:1" x14ac:dyDescent="0.25">
      <c r="A9039" s="17"/>
    </row>
    <row r="9040" spans="1:1" x14ac:dyDescent="0.25">
      <c r="A9040" s="17"/>
    </row>
    <row r="9041" spans="1:1" x14ac:dyDescent="0.25">
      <c r="A9041" s="17"/>
    </row>
    <row r="9042" spans="1:1" x14ac:dyDescent="0.25">
      <c r="A9042" s="17"/>
    </row>
    <row r="9043" spans="1:1" x14ac:dyDescent="0.25">
      <c r="A9043" s="17"/>
    </row>
    <row r="9044" spans="1:1" x14ac:dyDescent="0.25">
      <c r="A9044" s="17"/>
    </row>
    <row r="9045" spans="1:1" x14ac:dyDescent="0.25">
      <c r="A9045" s="17"/>
    </row>
    <row r="9046" spans="1:1" x14ac:dyDescent="0.25">
      <c r="A9046" s="17"/>
    </row>
    <row r="9047" spans="1:1" x14ac:dyDescent="0.25">
      <c r="A9047" s="17"/>
    </row>
    <row r="9048" spans="1:1" x14ac:dyDescent="0.25">
      <c r="A9048" s="17"/>
    </row>
    <row r="9049" spans="1:1" x14ac:dyDescent="0.25">
      <c r="A9049" s="17"/>
    </row>
    <row r="9050" spans="1:1" x14ac:dyDescent="0.25">
      <c r="A9050" s="17"/>
    </row>
    <row r="9051" spans="1:1" x14ac:dyDescent="0.25">
      <c r="A9051" s="17"/>
    </row>
    <row r="9052" spans="1:1" x14ac:dyDescent="0.25">
      <c r="A9052" s="17"/>
    </row>
    <row r="9053" spans="1:1" x14ac:dyDescent="0.25">
      <c r="A9053" s="17"/>
    </row>
    <row r="9054" spans="1:1" x14ac:dyDescent="0.25">
      <c r="A9054" s="17"/>
    </row>
    <row r="9055" spans="1:1" x14ac:dyDescent="0.25">
      <c r="A9055" s="17"/>
    </row>
    <row r="9056" spans="1:1" x14ac:dyDescent="0.25">
      <c r="A9056" s="17"/>
    </row>
    <row r="9057" spans="1:1" x14ac:dyDescent="0.25">
      <c r="A9057" s="17"/>
    </row>
    <row r="9058" spans="1:1" x14ac:dyDescent="0.25">
      <c r="A9058" s="17"/>
    </row>
    <row r="9059" spans="1:1" x14ac:dyDescent="0.25">
      <c r="A9059" s="17"/>
    </row>
    <row r="9060" spans="1:1" x14ac:dyDescent="0.25">
      <c r="A9060" s="17"/>
    </row>
    <row r="9061" spans="1:1" x14ac:dyDescent="0.25">
      <c r="A9061" s="17"/>
    </row>
    <row r="9062" spans="1:1" x14ac:dyDescent="0.25">
      <c r="A9062" s="17"/>
    </row>
    <row r="9063" spans="1:1" x14ac:dyDescent="0.25">
      <c r="A9063" s="17"/>
    </row>
    <row r="9064" spans="1:1" x14ac:dyDescent="0.25">
      <c r="A9064" s="17"/>
    </row>
    <row r="9065" spans="1:1" x14ac:dyDescent="0.25">
      <c r="A9065" s="17"/>
    </row>
    <row r="9066" spans="1:1" x14ac:dyDescent="0.25">
      <c r="A9066" s="17"/>
    </row>
    <row r="9067" spans="1:1" x14ac:dyDescent="0.25">
      <c r="A9067" s="17"/>
    </row>
    <row r="9068" spans="1:1" x14ac:dyDescent="0.25">
      <c r="A9068" s="17"/>
    </row>
    <row r="9069" spans="1:1" x14ac:dyDescent="0.25">
      <c r="A9069" s="17"/>
    </row>
    <row r="9070" spans="1:1" x14ac:dyDescent="0.25">
      <c r="A9070" s="17"/>
    </row>
    <row r="9071" spans="1:1" x14ac:dyDescent="0.25">
      <c r="A9071" s="17"/>
    </row>
    <row r="9072" spans="1:1" x14ac:dyDescent="0.25">
      <c r="A9072" s="17"/>
    </row>
    <row r="9073" spans="1:1" x14ac:dyDescent="0.25">
      <c r="A9073" s="17"/>
    </row>
    <row r="9074" spans="1:1" x14ac:dyDescent="0.25">
      <c r="A9074" s="17"/>
    </row>
    <row r="9075" spans="1:1" x14ac:dyDescent="0.25">
      <c r="A9075" s="17"/>
    </row>
    <row r="9076" spans="1:1" x14ac:dyDescent="0.25">
      <c r="A9076" s="17"/>
    </row>
    <row r="9077" spans="1:1" x14ac:dyDescent="0.25">
      <c r="A9077" s="17"/>
    </row>
    <row r="9078" spans="1:1" x14ac:dyDescent="0.25">
      <c r="A9078" s="17"/>
    </row>
    <row r="9079" spans="1:1" x14ac:dyDescent="0.25">
      <c r="A9079" s="17"/>
    </row>
    <row r="9080" spans="1:1" x14ac:dyDescent="0.25">
      <c r="A9080" s="17"/>
    </row>
    <row r="9081" spans="1:1" x14ac:dyDescent="0.25">
      <c r="A9081" s="17"/>
    </row>
    <row r="9082" spans="1:1" x14ac:dyDescent="0.25">
      <c r="A9082" s="17"/>
    </row>
    <row r="9083" spans="1:1" x14ac:dyDescent="0.25">
      <c r="A9083" s="17"/>
    </row>
    <row r="9084" spans="1:1" x14ac:dyDescent="0.25">
      <c r="A9084" s="17"/>
    </row>
    <row r="9085" spans="1:1" x14ac:dyDescent="0.25">
      <c r="A9085" s="17"/>
    </row>
    <row r="9086" spans="1:1" x14ac:dyDescent="0.25">
      <c r="A9086" s="17"/>
    </row>
    <row r="9087" spans="1:1" x14ac:dyDescent="0.25">
      <c r="A9087" s="17"/>
    </row>
    <row r="9088" spans="1:1" x14ac:dyDescent="0.25">
      <c r="A9088" s="17"/>
    </row>
    <row r="9089" spans="1:1" x14ac:dyDescent="0.25">
      <c r="A9089" s="17"/>
    </row>
    <row r="9090" spans="1:1" x14ac:dyDescent="0.25">
      <c r="A9090" s="17"/>
    </row>
    <row r="9091" spans="1:1" x14ac:dyDescent="0.25">
      <c r="A9091" s="17"/>
    </row>
    <row r="9092" spans="1:1" x14ac:dyDescent="0.25">
      <c r="A9092" s="17"/>
    </row>
    <row r="9093" spans="1:1" x14ac:dyDescent="0.25">
      <c r="A9093" s="17"/>
    </row>
    <row r="9094" spans="1:1" x14ac:dyDescent="0.25">
      <c r="A9094" s="17"/>
    </row>
    <row r="9095" spans="1:1" x14ac:dyDescent="0.25">
      <c r="A9095" s="17"/>
    </row>
    <row r="9096" spans="1:1" x14ac:dyDescent="0.25">
      <c r="A9096" s="17"/>
    </row>
    <row r="9097" spans="1:1" x14ac:dyDescent="0.25">
      <c r="A9097" s="17"/>
    </row>
    <row r="9098" spans="1:1" x14ac:dyDescent="0.25">
      <c r="A9098" s="17"/>
    </row>
    <row r="9099" spans="1:1" x14ac:dyDescent="0.25">
      <c r="A9099" s="17"/>
    </row>
    <row r="9100" spans="1:1" x14ac:dyDescent="0.25">
      <c r="A9100" s="17"/>
    </row>
    <row r="9101" spans="1:1" x14ac:dyDescent="0.25">
      <c r="A9101" s="17"/>
    </row>
    <row r="9102" spans="1:1" x14ac:dyDescent="0.25">
      <c r="A9102" s="17"/>
    </row>
    <row r="9103" spans="1:1" x14ac:dyDescent="0.25">
      <c r="A9103" s="17"/>
    </row>
    <row r="9104" spans="1:1" x14ac:dyDescent="0.25">
      <c r="A9104" s="17"/>
    </row>
    <row r="9105" spans="1:1" x14ac:dyDescent="0.25">
      <c r="A9105" s="17"/>
    </row>
    <row r="9106" spans="1:1" x14ac:dyDescent="0.25">
      <c r="A9106" s="17"/>
    </row>
    <row r="9107" spans="1:1" x14ac:dyDescent="0.25">
      <c r="A9107" s="17"/>
    </row>
    <row r="9108" spans="1:1" x14ac:dyDescent="0.25">
      <c r="A9108" s="17"/>
    </row>
    <row r="9109" spans="1:1" x14ac:dyDescent="0.25">
      <c r="A9109" s="17"/>
    </row>
    <row r="9110" spans="1:1" x14ac:dyDescent="0.25">
      <c r="A9110" s="17"/>
    </row>
    <row r="9111" spans="1:1" x14ac:dyDescent="0.25">
      <c r="A9111" s="17"/>
    </row>
    <row r="9112" spans="1:1" x14ac:dyDescent="0.25">
      <c r="A9112" s="17"/>
    </row>
    <row r="9113" spans="1:1" x14ac:dyDescent="0.25">
      <c r="A9113" s="17"/>
    </row>
    <row r="9114" spans="1:1" x14ac:dyDescent="0.25">
      <c r="A9114" s="17"/>
    </row>
    <row r="9115" spans="1:1" x14ac:dyDescent="0.25">
      <c r="A9115" s="17"/>
    </row>
    <row r="9116" spans="1:1" x14ac:dyDescent="0.25">
      <c r="A9116" s="17"/>
    </row>
    <row r="9117" spans="1:1" x14ac:dyDescent="0.25">
      <c r="A9117" s="17"/>
    </row>
    <row r="9118" spans="1:1" x14ac:dyDescent="0.25">
      <c r="A9118" s="17"/>
    </row>
    <row r="9119" spans="1:1" x14ac:dyDescent="0.25">
      <c r="A9119" s="17"/>
    </row>
    <row r="9120" spans="1:1" x14ac:dyDescent="0.25">
      <c r="A9120" s="17"/>
    </row>
    <row r="9121" spans="1:1" x14ac:dyDescent="0.25">
      <c r="A9121" s="17"/>
    </row>
    <row r="9122" spans="1:1" x14ac:dyDescent="0.25">
      <c r="A9122" s="17"/>
    </row>
    <row r="9123" spans="1:1" x14ac:dyDescent="0.25">
      <c r="A9123" s="17"/>
    </row>
    <row r="9124" spans="1:1" x14ac:dyDescent="0.25">
      <c r="A9124" s="17"/>
    </row>
    <row r="9125" spans="1:1" x14ac:dyDescent="0.25">
      <c r="A9125" s="17"/>
    </row>
    <row r="9126" spans="1:1" x14ac:dyDescent="0.25">
      <c r="A9126" s="17"/>
    </row>
    <row r="9127" spans="1:1" x14ac:dyDescent="0.25">
      <c r="A9127" s="17"/>
    </row>
    <row r="9128" spans="1:1" x14ac:dyDescent="0.25">
      <c r="A9128" s="17"/>
    </row>
    <row r="9129" spans="1:1" x14ac:dyDescent="0.25">
      <c r="A9129" s="17"/>
    </row>
    <row r="9130" spans="1:1" x14ac:dyDescent="0.25">
      <c r="A9130" s="17"/>
    </row>
    <row r="9131" spans="1:1" x14ac:dyDescent="0.25">
      <c r="A9131" s="17"/>
    </row>
    <row r="9132" spans="1:1" x14ac:dyDescent="0.25">
      <c r="A9132" s="17"/>
    </row>
    <row r="9133" spans="1:1" x14ac:dyDescent="0.25">
      <c r="A9133" s="17"/>
    </row>
    <row r="9134" spans="1:1" x14ac:dyDescent="0.25">
      <c r="A9134" s="17"/>
    </row>
    <row r="9135" spans="1:1" x14ac:dyDescent="0.25">
      <c r="A9135" s="17"/>
    </row>
    <row r="9136" spans="1:1" x14ac:dyDescent="0.25">
      <c r="A9136" s="17"/>
    </row>
    <row r="9137" spans="1:1" x14ac:dyDescent="0.25">
      <c r="A9137" s="17"/>
    </row>
    <row r="9138" spans="1:1" x14ac:dyDescent="0.25">
      <c r="A9138" s="17"/>
    </row>
    <row r="9139" spans="1:1" x14ac:dyDescent="0.25">
      <c r="A9139" s="17"/>
    </row>
    <row r="9140" spans="1:1" x14ac:dyDescent="0.25">
      <c r="A9140" s="17"/>
    </row>
    <row r="9141" spans="1:1" x14ac:dyDescent="0.25">
      <c r="A9141" s="17"/>
    </row>
    <row r="9142" spans="1:1" x14ac:dyDescent="0.25">
      <c r="A9142" s="17"/>
    </row>
    <row r="9143" spans="1:1" x14ac:dyDescent="0.25">
      <c r="A9143" s="17"/>
    </row>
    <row r="9144" spans="1:1" x14ac:dyDescent="0.25">
      <c r="A9144" s="17"/>
    </row>
    <row r="9145" spans="1:1" x14ac:dyDescent="0.25">
      <c r="A9145" s="17"/>
    </row>
    <row r="9146" spans="1:1" x14ac:dyDescent="0.25">
      <c r="A9146" s="17"/>
    </row>
    <row r="9147" spans="1:1" x14ac:dyDescent="0.25">
      <c r="A9147" s="17"/>
    </row>
    <row r="9148" spans="1:1" x14ac:dyDescent="0.25">
      <c r="A9148" s="17"/>
    </row>
    <row r="9149" spans="1:1" x14ac:dyDescent="0.25">
      <c r="A9149" s="17"/>
    </row>
    <row r="9150" spans="1:1" x14ac:dyDescent="0.25">
      <c r="A9150" s="17"/>
    </row>
    <row r="9151" spans="1:1" x14ac:dyDescent="0.25">
      <c r="A9151" s="17"/>
    </row>
    <row r="9152" spans="1:1" x14ac:dyDescent="0.25">
      <c r="A9152" s="17"/>
    </row>
    <row r="9153" spans="1:1" x14ac:dyDescent="0.25">
      <c r="A9153" s="17"/>
    </row>
    <row r="9154" spans="1:1" x14ac:dyDescent="0.25">
      <c r="A9154" s="17"/>
    </row>
    <row r="9155" spans="1:1" x14ac:dyDescent="0.25">
      <c r="A9155" s="17"/>
    </row>
    <row r="9156" spans="1:1" x14ac:dyDescent="0.25">
      <c r="A9156" s="17"/>
    </row>
    <row r="9157" spans="1:1" x14ac:dyDescent="0.25">
      <c r="A9157" s="17"/>
    </row>
    <row r="9158" spans="1:1" x14ac:dyDescent="0.25">
      <c r="A9158" s="17"/>
    </row>
    <row r="9159" spans="1:1" x14ac:dyDescent="0.25">
      <c r="A9159" s="17"/>
    </row>
    <row r="9160" spans="1:1" x14ac:dyDescent="0.25">
      <c r="A9160" s="17"/>
    </row>
    <row r="9161" spans="1:1" x14ac:dyDescent="0.25">
      <c r="A9161" s="17"/>
    </row>
    <row r="9162" spans="1:1" x14ac:dyDescent="0.25">
      <c r="A9162" s="17"/>
    </row>
    <row r="9163" spans="1:1" x14ac:dyDescent="0.25">
      <c r="A9163" s="17"/>
    </row>
    <row r="9164" spans="1:1" x14ac:dyDescent="0.25">
      <c r="A9164" s="17"/>
    </row>
    <row r="9165" spans="1:1" x14ac:dyDescent="0.25">
      <c r="A9165" s="17"/>
    </row>
    <row r="9166" spans="1:1" x14ac:dyDescent="0.25">
      <c r="A9166" s="17"/>
    </row>
    <row r="9167" spans="1:1" x14ac:dyDescent="0.25">
      <c r="A9167" s="17"/>
    </row>
    <row r="9168" spans="1:1" x14ac:dyDescent="0.25">
      <c r="A9168" s="17"/>
    </row>
    <row r="9169" spans="1:1" x14ac:dyDescent="0.25">
      <c r="A9169" s="17"/>
    </row>
    <row r="9170" spans="1:1" x14ac:dyDescent="0.25">
      <c r="A9170" s="17"/>
    </row>
    <row r="9171" spans="1:1" x14ac:dyDescent="0.25">
      <c r="A9171" s="17"/>
    </row>
    <row r="9172" spans="1:1" x14ac:dyDescent="0.25">
      <c r="A9172" s="17"/>
    </row>
    <row r="9173" spans="1:1" x14ac:dyDescent="0.25">
      <c r="A9173" s="17"/>
    </row>
    <row r="9174" spans="1:1" x14ac:dyDescent="0.25">
      <c r="A9174" s="17"/>
    </row>
    <row r="9175" spans="1:1" x14ac:dyDescent="0.25">
      <c r="A9175" s="17"/>
    </row>
    <row r="9176" spans="1:1" x14ac:dyDescent="0.25">
      <c r="A9176" s="17"/>
    </row>
    <row r="9177" spans="1:1" x14ac:dyDescent="0.25">
      <c r="A9177" s="17"/>
    </row>
    <row r="9178" spans="1:1" x14ac:dyDescent="0.25">
      <c r="A9178" s="17"/>
    </row>
    <row r="9179" spans="1:1" x14ac:dyDescent="0.25">
      <c r="A9179" s="17"/>
    </row>
    <row r="9180" spans="1:1" x14ac:dyDescent="0.25">
      <c r="A9180" s="17"/>
    </row>
    <row r="9181" spans="1:1" x14ac:dyDescent="0.25">
      <c r="A9181" s="17"/>
    </row>
    <row r="9182" spans="1:1" x14ac:dyDescent="0.25">
      <c r="A9182" s="17"/>
    </row>
    <row r="9183" spans="1:1" x14ac:dyDescent="0.25">
      <c r="A9183" s="17"/>
    </row>
    <row r="9184" spans="1:1" x14ac:dyDescent="0.25">
      <c r="A9184" s="17"/>
    </row>
    <row r="9185" spans="1:1" x14ac:dyDescent="0.25">
      <c r="A9185" s="17"/>
    </row>
    <row r="9186" spans="1:1" x14ac:dyDescent="0.25">
      <c r="A9186" s="17"/>
    </row>
    <row r="9187" spans="1:1" x14ac:dyDescent="0.25">
      <c r="A9187" s="17"/>
    </row>
    <row r="9188" spans="1:1" x14ac:dyDescent="0.25">
      <c r="A9188" s="17"/>
    </row>
    <row r="9189" spans="1:1" x14ac:dyDescent="0.25">
      <c r="A9189" s="17"/>
    </row>
    <row r="9190" spans="1:1" x14ac:dyDescent="0.25">
      <c r="A9190" s="17"/>
    </row>
    <row r="9191" spans="1:1" x14ac:dyDescent="0.25">
      <c r="A9191" s="17"/>
    </row>
    <row r="9192" spans="1:1" x14ac:dyDescent="0.25">
      <c r="A9192" s="17"/>
    </row>
    <row r="9193" spans="1:1" x14ac:dyDescent="0.25">
      <c r="A9193" s="17"/>
    </row>
    <row r="9194" spans="1:1" x14ac:dyDescent="0.25">
      <c r="A9194" s="17"/>
    </row>
    <row r="9195" spans="1:1" x14ac:dyDescent="0.25">
      <c r="A9195" s="17"/>
    </row>
    <row r="9196" spans="1:1" x14ac:dyDescent="0.25">
      <c r="A9196" s="17"/>
    </row>
    <row r="9197" spans="1:1" x14ac:dyDescent="0.25">
      <c r="A9197" s="17"/>
    </row>
    <row r="9198" spans="1:1" x14ac:dyDescent="0.25">
      <c r="A9198" s="17"/>
    </row>
    <row r="9199" spans="1:1" x14ac:dyDescent="0.25">
      <c r="A9199" s="17"/>
    </row>
    <row r="9200" spans="1:1" x14ac:dyDescent="0.25">
      <c r="A9200" s="17"/>
    </row>
    <row r="9201" spans="1:1" x14ac:dyDescent="0.25">
      <c r="A9201" s="17"/>
    </row>
    <row r="9202" spans="1:1" x14ac:dyDescent="0.25">
      <c r="A9202" s="17"/>
    </row>
    <row r="9203" spans="1:1" x14ac:dyDescent="0.25">
      <c r="A9203" s="17"/>
    </row>
    <row r="9204" spans="1:1" x14ac:dyDescent="0.25">
      <c r="A9204" s="17"/>
    </row>
    <row r="9205" spans="1:1" x14ac:dyDescent="0.25">
      <c r="A9205" s="17"/>
    </row>
    <row r="9206" spans="1:1" x14ac:dyDescent="0.25">
      <c r="A9206" s="17"/>
    </row>
    <row r="9207" spans="1:1" x14ac:dyDescent="0.25">
      <c r="A9207" s="17"/>
    </row>
    <row r="9208" spans="1:1" x14ac:dyDescent="0.25">
      <c r="A9208" s="17"/>
    </row>
    <row r="9209" spans="1:1" x14ac:dyDescent="0.25">
      <c r="A9209" s="17"/>
    </row>
    <row r="9210" spans="1:1" x14ac:dyDescent="0.25">
      <c r="A9210" s="17"/>
    </row>
    <row r="9211" spans="1:1" x14ac:dyDescent="0.25">
      <c r="A9211" s="17"/>
    </row>
    <row r="9212" spans="1:1" x14ac:dyDescent="0.25">
      <c r="A9212" s="17"/>
    </row>
    <row r="9213" spans="1:1" x14ac:dyDescent="0.25">
      <c r="A9213" s="17"/>
    </row>
    <row r="9214" spans="1:1" x14ac:dyDescent="0.25">
      <c r="A9214" s="17"/>
    </row>
    <row r="9215" spans="1:1" x14ac:dyDescent="0.25">
      <c r="A9215" s="17"/>
    </row>
    <row r="9216" spans="1:1" x14ac:dyDescent="0.25">
      <c r="A9216" s="17"/>
    </row>
    <row r="9217" spans="1:1" x14ac:dyDescent="0.25">
      <c r="A9217" s="17"/>
    </row>
    <row r="9218" spans="1:1" x14ac:dyDescent="0.25">
      <c r="A9218" s="17"/>
    </row>
    <row r="9219" spans="1:1" x14ac:dyDescent="0.25">
      <c r="A9219" s="17"/>
    </row>
    <row r="9220" spans="1:1" x14ac:dyDescent="0.25">
      <c r="A9220" s="17"/>
    </row>
    <row r="9221" spans="1:1" x14ac:dyDescent="0.25">
      <c r="A9221" s="17"/>
    </row>
    <row r="9222" spans="1:1" x14ac:dyDescent="0.25">
      <c r="A9222" s="17"/>
    </row>
    <row r="9223" spans="1:1" x14ac:dyDescent="0.25">
      <c r="A9223" s="17"/>
    </row>
    <row r="9224" spans="1:1" x14ac:dyDescent="0.25">
      <c r="A9224" s="17"/>
    </row>
    <row r="9225" spans="1:1" x14ac:dyDescent="0.25">
      <c r="A9225" s="17"/>
    </row>
    <row r="9226" spans="1:1" x14ac:dyDescent="0.25">
      <c r="A9226" s="17"/>
    </row>
    <row r="9227" spans="1:1" x14ac:dyDescent="0.25">
      <c r="A9227" s="17"/>
    </row>
    <row r="9228" spans="1:1" x14ac:dyDescent="0.25">
      <c r="A9228" s="17"/>
    </row>
    <row r="9229" spans="1:1" x14ac:dyDescent="0.25">
      <c r="A9229" s="17"/>
    </row>
    <row r="9230" spans="1:1" x14ac:dyDescent="0.25">
      <c r="A9230" s="17"/>
    </row>
    <row r="9231" spans="1:1" x14ac:dyDescent="0.25">
      <c r="A9231" s="17"/>
    </row>
    <row r="9232" spans="1:1" x14ac:dyDescent="0.25">
      <c r="A9232" s="17"/>
    </row>
    <row r="9233" spans="1:1" x14ac:dyDescent="0.25">
      <c r="A9233" s="17"/>
    </row>
    <row r="9234" spans="1:1" x14ac:dyDescent="0.25">
      <c r="A9234" s="17"/>
    </row>
    <row r="9235" spans="1:1" x14ac:dyDescent="0.25">
      <c r="A9235" s="17"/>
    </row>
    <row r="9236" spans="1:1" x14ac:dyDescent="0.25">
      <c r="A9236" s="17"/>
    </row>
    <row r="9237" spans="1:1" x14ac:dyDescent="0.25">
      <c r="A9237" s="17"/>
    </row>
    <row r="9238" spans="1:1" x14ac:dyDescent="0.25">
      <c r="A9238" s="17"/>
    </row>
    <row r="9239" spans="1:1" x14ac:dyDescent="0.25">
      <c r="A9239" s="17"/>
    </row>
    <row r="9240" spans="1:1" x14ac:dyDescent="0.25">
      <c r="A9240" s="17"/>
    </row>
    <row r="9241" spans="1:1" x14ac:dyDescent="0.25">
      <c r="A9241" s="17"/>
    </row>
    <row r="9242" spans="1:1" x14ac:dyDescent="0.25">
      <c r="A9242" s="17"/>
    </row>
    <row r="9243" spans="1:1" x14ac:dyDescent="0.25">
      <c r="A9243" s="17"/>
    </row>
    <row r="9244" spans="1:1" x14ac:dyDescent="0.25">
      <c r="A9244" s="17"/>
    </row>
    <row r="9245" spans="1:1" x14ac:dyDescent="0.25">
      <c r="A9245" s="17"/>
    </row>
    <row r="9246" spans="1:1" x14ac:dyDescent="0.25">
      <c r="A9246" s="17"/>
    </row>
    <row r="9247" spans="1:1" x14ac:dyDescent="0.25">
      <c r="A9247" s="17"/>
    </row>
    <row r="9248" spans="1:1" x14ac:dyDescent="0.25">
      <c r="A9248" s="17"/>
    </row>
    <row r="9249" spans="1:1" x14ac:dyDescent="0.25">
      <c r="A9249" s="17"/>
    </row>
    <row r="9250" spans="1:1" x14ac:dyDescent="0.25">
      <c r="A9250" s="17"/>
    </row>
    <row r="9251" spans="1:1" x14ac:dyDescent="0.25">
      <c r="A9251" s="17"/>
    </row>
    <row r="9252" spans="1:1" x14ac:dyDescent="0.25">
      <c r="A9252" s="17"/>
    </row>
    <row r="9253" spans="1:1" x14ac:dyDescent="0.25">
      <c r="A9253" s="17"/>
    </row>
    <row r="9254" spans="1:1" x14ac:dyDescent="0.25">
      <c r="A9254" s="17"/>
    </row>
    <row r="9255" spans="1:1" x14ac:dyDescent="0.25">
      <c r="A9255" s="17"/>
    </row>
    <row r="9256" spans="1:1" x14ac:dyDescent="0.25">
      <c r="A9256" s="17"/>
    </row>
    <row r="9257" spans="1:1" x14ac:dyDescent="0.25">
      <c r="A9257" s="17"/>
    </row>
    <row r="9258" spans="1:1" x14ac:dyDescent="0.25">
      <c r="A9258" s="17"/>
    </row>
    <row r="9259" spans="1:1" x14ac:dyDescent="0.25">
      <c r="A9259" s="17"/>
    </row>
    <row r="9260" spans="1:1" x14ac:dyDescent="0.25">
      <c r="A9260" s="17"/>
    </row>
    <row r="9261" spans="1:1" x14ac:dyDescent="0.25">
      <c r="A9261" s="17"/>
    </row>
    <row r="9262" spans="1:1" x14ac:dyDescent="0.25">
      <c r="A9262" s="17"/>
    </row>
    <row r="9263" spans="1:1" x14ac:dyDescent="0.25">
      <c r="A9263" s="17"/>
    </row>
    <row r="9264" spans="1:1" x14ac:dyDescent="0.25">
      <c r="A9264" s="17"/>
    </row>
    <row r="9265" spans="1:1" x14ac:dyDescent="0.25">
      <c r="A9265" s="17"/>
    </row>
    <row r="9266" spans="1:1" x14ac:dyDescent="0.25">
      <c r="A9266" s="17"/>
    </row>
    <row r="9267" spans="1:1" x14ac:dyDescent="0.25">
      <c r="A9267" s="17"/>
    </row>
    <row r="9268" spans="1:1" x14ac:dyDescent="0.25">
      <c r="A9268" s="17"/>
    </row>
    <row r="9269" spans="1:1" x14ac:dyDescent="0.25">
      <c r="A9269" s="17"/>
    </row>
    <row r="9270" spans="1:1" x14ac:dyDescent="0.25">
      <c r="A9270" s="17"/>
    </row>
    <row r="9271" spans="1:1" x14ac:dyDescent="0.25">
      <c r="A9271" s="17"/>
    </row>
    <row r="9272" spans="1:1" x14ac:dyDescent="0.25">
      <c r="A9272" s="17"/>
    </row>
    <row r="9273" spans="1:1" x14ac:dyDescent="0.25">
      <c r="A9273" s="17"/>
    </row>
    <row r="9274" spans="1:1" x14ac:dyDescent="0.25">
      <c r="A9274" s="17"/>
    </row>
    <row r="9275" spans="1:1" x14ac:dyDescent="0.25">
      <c r="A9275" s="17"/>
    </row>
    <row r="9276" spans="1:1" x14ac:dyDescent="0.25">
      <c r="A9276" s="17"/>
    </row>
    <row r="9277" spans="1:1" x14ac:dyDescent="0.25">
      <c r="A9277" s="17"/>
    </row>
    <row r="9278" spans="1:1" x14ac:dyDescent="0.25">
      <c r="A9278" s="17"/>
    </row>
    <row r="9279" spans="1:1" x14ac:dyDescent="0.25">
      <c r="A9279" s="17"/>
    </row>
    <row r="9280" spans="1:1" x14ac:dyDescent="0.25">
      <c r="A9280" s="17"/>
    </row>
    <row r="9281" spans="1:1" x14ac:dyDescent="0.25">
      <c r="A9281" s="17"/>
    </row>
    <row r="9282" spans="1:1" x14ac:dyDescent="0.25">
      <c r="A9282" s="17"/>
    </row>
    <row r="9283" spans="1:1" x14ac:dyDescent="0.25">
      <c r="A9283" s="17"/>
    </row>
    <row r="9284" spans="1:1" x14ac:dyDescent="0.25">
      <c r="A9284" s="17"/>
    </row>
    <row r="9285" spans="1:1" x14ac:dyDescent="0.25">
      <c r="A9285" s="17"/>
    </row>
    <row r="9286" spans="1:1" x14ac:dyDescent="0.25">
      <c r="A9286" s="17"/>
    </row>
    <row r="9287" spans="1:1" x14ac:dyDescent="0.25">
      <c r="A9287" s="17"/>
    </row>
    <row r="9288" spans="1:1" x14ac:dyDescent="0.25">
      <c r="A9288" s="17"/>
    </row>
    <row r="9289" spans="1:1" x14ac:dyDescent="0.25">
      <c r="A9289" s="17"/>
    </row>
    <row r="9290" spans="1:1" x14ac:dyDescent="0.25">
      <c r="A9290" s="17"/>
    </row>
    <row r="9291" spans="1:1" x14ac:dyDescent="0.25">
      <c r="A9291" s="17"/>
    </row>
    <row r="9292" spans="1:1" x14ac:dyDescent="0.25">
      <c r="A9292" s="17"/>
    </row>
    <row r="9293" spans="1:1" x14ac:dyDescent="0.25">
      <c r="A9293" s="17"/>
    </row>
    <row r="9294" spans="1:1" x14ac:dyDescent="0.25">
      <c r="A9294" s="17"/>
    </row>
    <row r="9295" spans="1:1" x14ac:dyDescent="0.25">
      <c r="A9295" s="17"/>
    </row>
    <row r="9296" spans="1:1" x14ac:dyDescent="0.25">
      <c r="A9296" s="17"/>
    </row>
    <row r="9297" spans="1:1" x14ac:dyDescent="0.25">
      <c r="A9297" s="17"/>
    </row>
    <row r="9298" spans="1:1" x14ac:dyDescent="0.25">
      <c r="A9298" s="17"/>
    </row>
    <row r="9299" spans="1:1" x14ac:dyDescent="0.25">
      <c r="A9299" s="17"/>
    </row>
    <row r="9300" spans="1:1" x14ac:dyDescent="0.25">
      <c r="A9300" s="17"/>
    </row>
    <row r="9301" spans="1:1" x14ac:dyDescent="0.25">
      <c r="A9301" s="17"/>
    </row>
    <row r="9302" spans="1:1" x14ac:dyDescent="0.25">
      <c r="A9302" s="17"/>
    </row>
    <row r="9303" spans="1:1" x14ac:dyDescent="0.25">
      <c r="A9303" s="17"/>
    </row>
    <row r="9304" spans="1:1" x14ac:dyDescent="0.25">
      <c r="A9304" s="17"/>
    </row>
    <row r="9305" spans="1:1" x14ac:dyDescent="0.25">
      <c r="A9305" s="17"/>
    </row>
    <row r="9306" spans="1:1" x14ac:dyDescent="0.25">
      <c r="A9306" s="17"/>
    </row>
    <row r="9307" spans="1:1" x14ac:dyDescent="0.25">
      <c r="A9307" s="17"/>
    </row>
    <row r="9308" spans="1:1" x14ac:dyDescent="0.25">
      <c r="A9308" s="17"/>
    </row>
    <row r="9309" spans="1:1" x14ac:dyDescent="0.25">
      <c r="A9309" s="17"/>
    </row>
    <row r="9310" spans="1:1" x14ac:dyDescent="0.25">
      <c r="A9310" s="17"/>
    </row>
    <row r="9311" spans="1:1" x14ac:dyDescent="0.25">
      <c r="A9311" s="17"/>
    </row>
    <row r="9312" spans="1:1" x14ac:dyDescent="0.25">
      <c r="A9312" s="17"/>
    </row>
    <row r="9313" spans="1:1" x14ac:dyDescent="0.25">
      <c r="A9313" s="17"/>
    </row>
    <row r="9314" spans="1:1" x14ac:dyDescent="0.25">
      <c r="A9314" s="17"/>
    </row>
    <row r="9315" spans="1:1" x14ac:dyDescent="0.25">
      <c r="A9315" s="17"/>
    </row>
    <row r="9316" spans="1:1" x14ac:dyDescent="0.25">
      <c r="A9316" s="17"/>
    </row>
    <row r="9317" spans="1:1" x14ac:dyDescent="0.25">
      <c r="A9317" s="17"/>
    </row>
    <row r="9318" spans="1:1" x14ac:dyDescent="0.25">
      <c r="A9318" s="17"/>
    </row>
    <row r="9319" spans="1:1" x14ac:dyDescent="0.25">
      <c r="A9319" s="17"/>
    </row>
    <row r="9320" spans="1:1" x14ac:dyDescent="0.25">
      <c r="A9320" s="17"/>
    </row>
    <row r="9321" spans="1:1" x14ac:dyDescent="0.25">
      <c r="A9321" s="17"/>
    </row>
    <row r="9322" spans="1:1" x14ac:dyDescent="0.25">
      <c r="A9322" s="17"/>
    </row>
    <row r="9323" spans="1:1" x14ac:dyDescent="0.25">
      <c r="A9323" s="17"/>
    </row>
    <row r="9324" spans="1:1" x14ac:dyDescent="0.25">
      <c r="A9324" s="17"/>
    </row>
    <row r="9325" spans="1:1" x14ac:dyDescent="0.25">
      <c r="A9325" s="17"/>
    </row>
    <row r="9326" spans="1:1" x14ac:dyDescent="0.25">
      <c r="A9326" s="17"/>
    </row>
    <row r="9327" spans="1:1" x14ac:dyDescent="0.25">
      <c r="A9327" s="17"/>
    </row>
    <row r="9328" spans="1:1" x14ac:dyDescent="0.25">
      <c r="A9328" s="17"/>
    </row>
    <row r="9329" spans="1:1" x14ac:dyDescent="0.25">
      <c r="A9329" s="17"/>
    </row>
    <row r="9330" spans="1:1" x14ac:dyDescent="0.25">
      <c r="A9330" s="17"/>
    </row>
    <row r="9331" spans="1:1" x14ac:dyDescent="0.25">
      <c r="A9331" s="17"/>
    </row>
    <row r="9332" spans="1:1" x14ac:dyDescent="0.25">
      <c r="A9332" s="17"/>
    </row>
    <row r="9333" spans="1:1" x14ac:dyDescent="0.25">
      <c r="A9333" s="17"/>
    </row>
    <row r="9334" spans="1:1" x14ac:dyDescent="0.25">
      <c r="A9334" s="17"/>
    </row>
    <row r="9335" spans="1:1" x14ac:dyDescent="0.25">
      <c r="A9335" s="17"/>
    </row>
    <row r="9336" spans="1:1" x14ac:dyDescent="0.25">
      <c r="A9336" s="17"/>
    </row>
    <row r="9337" spans="1:1" x14ac:dyDescent="0.25">
      <c r="A9337" s="17"/>
    </row>
    <row r="9338" spans="1:1" x14ac:dyDescent="0.25">
      <c r="A9338" s="17"/>
    </row>
    <row r="9339" spans="1:1" x14ac:dyDescent="0.25">
      <c r="A9339" s="17"/>
    </row>
    <row r="9340" spans="1:1" x14ac:dyDescent="0.25">
      <c r="A9340" s="17"/>
    </row>
    <row r="9341" spans="1:1" x14ac:dyDescent="0.25">
      <c r="A9341" s="17"/>
    </row>
    <row r="9342" spans="1:1" x14ac:dyDescent="0.25">
      <c r="A9342" s="17"/>
    </row>
    <row r="9343" spans="1:1" x14ac:dyDescent="0.25">
      <c r="A9343" s="17"/>
    </row>
    <row r="9344" spans="1:1" x14ac:dyDescent="0.25">
      <c r="A9344" s="17"/>
    </row>
    <row r="9345" spans="1:1" x14ac:dyDescent="0.25">
      <c r="A9345" s="17"/>
    </row>
    <row r="9346" spans="1:1" x14ac:dyDescent="0.25">
      <c r="A9346" s="17"/>
    </row>
    <row r="9347" spans="1:1" x14ac:dyDescent="0.25">
      <c r="A9347" s="17"/>
    </row>
    <row r="9348" spans="1:1" x14ac:dyDescent="0.25">
      <c r="A9348" s="17"/>
    </row>
    <row r="9349" spans="1:1" x14ac:dyDescent="0.25">
      <c r="A9349" s="17"/>
    </row>
    <row r="9350" spans="1:1" x14ac:dyDescent="0.25">
      <c r="A9350" s="17"/>
    </row>
    <row r="9351" spans="1:1" x14ac:dyDescent="0.25">
      <c r="A9351" s="17"/>
    </row>
    <row r="9352" spans="1:1" x14ac:dyDescent="0.25">
      <c r="A9352" s="17"/>
    </row>
    <row r="9353" spans="1:1" x14ac:dyDescent="0.25">
      <c r="A9353" s="17"/>
    </row>
    <row r="9354" spans="1:1" x14ac:dyDescent="0.25">
      <c r="A9354" s="17"/>
    </row>
    <row r="9355" spans="1:1" x14ac:dyDescent="0.25">
      <c r="A9355" s="17"/>
    </row>
    <row r="9356" spans="1:1" x14ac:dyDescent="0.25">
      <c r="A9356" s="17"/>
    </row>
    <row r="9357" spans="1:1" x14ac:dyDescent="0.25">
      <c r="A9357" s="17"/>
    </row>
    <row r="9358" spans="1:1" x14ac:dyDescent="0.25">
      <c r="A9358" s="17"/>
    </row>
    <row r="9359" spans="1:1" x14ac:dyDescent="0.25">
      <c r="A9359" s="17"/>
    </row>
    <row r="9360" spans="1:1" x14ac:dyDescent="0.25">
      <c r="A9360" s="17"/>
    </row>
    <row r="9361" spans="1:1" x14ac:dyDescent="0.25">
      <c r="A9361" s="17"/>
    </row>
    <row r="9362" spans="1:1" x14ac:dyDescent="0.25">
      <c r="A9362" s="17"/>
    </row>
    <row r="9363" spans="1:1" x14ac:dyDescent="0.25">
      <c r="A9363" s="17"/>
    </row>
    <row r="9364" spans="1:1" x14ac:dyDescent="0.25">
      <c r="A9364" s="17"/>
    </row>
    <row r="9365" spans="1:1" x14ac:dyDescent="0.25">
      <c r="A9365" s="17"/>
    </row>
    <row r="9366" spans="1:1" x14ac:dyDescent="0.25">
      <c r="A9366" s="17"/>
    </row>
    <row r="9367" spans="1:1" x14ac:dyDescent="0.25">
      <c r="A9367" s="17"/>
    </row>
    <row r="9368" spans="1:1" x14ac:dyDescent="0.25">
      <c r="A9368" s="17"/>
    </row>
    <row r="9369" spans="1:1" x14ac:dyDescent="0.25">
      <c r="A9369" s="17"/>
    </row>
    <row r="9370" spans="1:1" x14ac:dyDescent="0.25">
      <c r="A9370" s="17"/>
    </row>
    <row r="9371" spans="1:1" x14ac:dyDescent="0.25">
      <c r="A9371" s="17"/>
    </row>
    <row r="9372" spans="1:1" x14ac:dyDescent="0.25">
      <c r="A9372" s="17"/>
    </row>
    <row r="9373" spans="1:1" x14ac:dyDescent="0.25">
      <c r="A9373" s="17"/>
    </row>
    <row r="9374" spans="1:1" x14ac:dyDescent="0.25">
      <c r="A9374" s="17"/>
    </row>
    <row r="9375" spans="1:1" x14ac:dyDescent="0.25">
      <c r="A9375" s="17"/>
    </row>
    <row r="9376" spans="1:1" x14ac:dyDescent="0.25">
      <c r="A9376" s="17"/>
    </row>
    <row r="9377" spans="1:1" x14ac:dyDescent="0.25">
      <c r="A9377" s="17"/>
    </row>
    <row r="9378" spans="1:1" x14ac:dyDescent="0.25">
      <c r="A9378" s="17"/>
    </row>
    <row r="9379" spans="1:1" x14ac:dyDescent="0.25">
      <c r="A9379" s="17"/>
    </row>
    <row r="9380" spans="1:1" x14ac:dyDescent="0.25">
      <c r="A9380" s="17"/>
    </row>
    <row r="9381" spans="1:1" x14ac:dyDescent="0.25">
      <c r="A9381" s="17"/>
    </row>
    <row r="9382" spans="1:1" x14ac:dyDescent="0.25">
      <c r="A9382" s="17"/>
    </row>
    <row r="9383" spans="1:1" x14ac:dyDescent="0.25">
      <c r="A9383" s="17"/>
    </row>
    <row r="9384" spans="1:1" x14ac:dyDescent="0.25">
      <c r="A9384" s="17"/>
    </row>
    <row r="9385" spans="1:1" x14ac:dyDescent="0.25">
      <c r="A9385" s="17"/>
    </row>
    <row r="9386" spans="1:1" x14ac:dyDescent="0.25">
      <c r="A9386" s="17"/>
    </row>
    <row r="9387" spans="1:1" x14ac:dyDescent="0.25">
      <c r="A9387" s="17"/>
    </row>
    <row r="9388" spans="1:1" x14ac:dyDescent="0.25">
      <c r="A9388" s="17"/>
    </row>
    <row r="9389" spans="1:1" x14ac:dyDescent="0.25">
      <c r="A9389" s="17"/>
    </row>
    <row r="9390" spans="1:1" x14ac:dyDescent="0.25">
      <c r="A9390" s="17"/>
    </row>
    <row r="9391" spans="1:1" x14ac:dyDescent="0.25">
      <c r="A9391" s="17"/>
    </row>
    <row r="9392" spans="1:1" x14ac:dyDescent="0.25">
      <c r="A9392" s="17"/>
    </row>
    <row r="9393" spans="1:1" x14ac:dyDescent="0.25">
      <c r="A9393" s="17"/>
    </row>
    <row r="9394" spans="1:1" x14ac:dyDescent="0.25">
      <c r="A9394" s="17"/>
    </row>
    <row r="9395" spans="1:1" x14ac:dyDescent="0.25">
      <c r="A9395" s="17"/>
    </row>
    <row r="9396" spans="1:1" x14ac:dyDescent="0.25">
      <c r="A9396" s="17"/>
    </row>
    <row r="9397" spans="1:1" x14ac:dyDescent="0.25">
      <c r="A9397" s="17"/>
    </row>
    <row r="9398" spans="1:1" x14ac:dyDescent="0.25">
      <c r="A9398" s="17"/>
    </row>
    <row r="9399" spans="1:1" x14ac:dyDescent="0.25">
      <c r="A9399" s="17"/>
    </row>
    <row r="9400" spans="1:1" x14ac:dyDescent="0.25">
      <c r="A9400" s="17"/>
    </row>
    <row r="9401" spans="1:1" x14ac:dyDescent="0.25">
      <c r="A9401" s="17"/>
    </row>
    <row r="9402" spans="1:1" x14ac:dyDescent="0.25">
      <c r="A9402" s="17"/>
    </row>
    <row r="9403" spans="1:1" x14ac:dyDescent="0.25">
      <c r="A9403" s="17"/>
    </row>
    <row r="9404" spans="1:1" x14ac:dyDescent="0.25">
      <c r="A9404" s="17"/>
    </row>
    <row r="9405" spans="1:1" x14ac:dyDescent="0.25">
      <c r="A9405" s="17"/>
    </row>
    <row r="9406" spans="1:1" x14ac:dyDescent="0.25">
      <c r="A9406" s="17"/>
    </row>
    <row r="9407" spans="1:1" x14ac:dyDescent="0.25">
      <c r="A9407" s="17"/>
    </row>
    <row r="9408" spans="1:1" x14ac:dyDescent="0.25">
      <c r="A9408" s="17"/>
    </row>
    <row r="9409" spans="1:1" x14ac:dyDescent="0.25">
      <c r="A9409" s="17"/>
    </row>
    <row r="9410" spans="1:1" x14ac:dyDescent="0.25">
      <c r="A9410" s="17"/>
    </row>
    <row r="9411" spans="1:1" x14ac:dyDescent="0.25">
      <c r="A9411" s="17"/>
    </row>
    <row r="9412" spans="1:1" x14ac:dyDescent="0.25">
      <c r="A9412" s="17"/>
    </row>
    <row r="9413" spans="1:1" x14ac:dyDescent="0.25">
      <c r="A9413" s="17"/>
    </row>
    <row r="9414" spans="1:1" x14ac:dyDescent="0.25">
      <c r="A9414" s="17"/>
    </row>
    <row r="9415" spans="1:1" x14ac:dyDescent="0.25">
      <c r="A9415" s="17"/>
    </row>
    <row r="9416" spans="1:1" x14ac:dyDescent="0.25">
      <c r="A9416" s="17"/>
    </row>
    <row r="9417" spans="1:1" x14ac:dyDescent="0.25">
      <c r="A9417" s="17"/>
    </row>
    <row r="9418" spans="1:1" x14ac:dyDescent="0.25">
      <c r="A9418" s="17"/>
    </row>
    <row r="9419" spans="1:1" x14ac:dyDescent="0.25">
      <c r="A9419" s="17"/>
    </row>
    <row r="9420" spans="1:1" x14ac:dyDescent="0.25">
      <c r="A9420" s="17"/>
    </row>
    <row r="9421" spans="1:1" x14ac:dyDescent="0.25">
      <c r="A9421" s="17"/>
    </row>
    <row r="9422" spans="1:1" x14ac:dyDescent="0.25">
      <c r="A9422" s="17"/>
    </row>
    <row r="9423" spans="1:1" x14ac:dyDescent="0.25">
      <c r="A9423" s="17"/>
    </row>
    <row r="9424" spans="1:1" x14ac:dyDescent="0.25">
      <c r="A9424" s="17"/>
    </row>
    <row r="9425" spans="1:1" x14ac:dyDescent="0.25">
      <c r="A9425" s="17"/>
    </row>
    <row r="9426" spans="1:1" x14ac:dyDescent="0.25">
      <c r="A9426" s="17"/>
    </row>
    <row r="9427" spans="1:1" x14ac:dyDescent="0.25">
      <c r="A9427" s="17"/>
    </row>
    <row r="9428" spans="1:1" x14ac:dyDescent="0.25">
      <c r="A9428" s="17"/>
    </row>
    <row r="9429" spans="1:1" x14ac:dyDescent="0.25">
      <c r="A9429" s="17"/>
    </row>
    <row r="9430" spans="1:1" x14ac:dyDescent="0.25">
      <c r="A9430" s="17"/>
    </row>
    <row r="9431" spans="1:1" x14ac:dyDescent="0.25">
      <c r="A9431" s="17"/>
    </row>
    <row r="9432" spans="1:1" x14ac:dyDescent="0.25">
      <c r="A9432" s="17"/>
    </row>
    <row r="9433" spans="1:1" x14ac:dyDescent="0.25">
      <c r="A9433" s="17"/>
    </row>
    <row r="9434" spans="1:1" x14ac:dyDescent="0.25">
      <c r="A9434" s="17"/>
    </row>
    <row r="9435" spans="1:1" x14ac:dyDescent="0.25">
      <c r="A9435" s="17"/>
    </row>
    <row r="9436" spans="1:1" x14ac:dyDescent="0.25">
      <c r="A9436" s="17"/>
    </row>
    <row r="9437" spans="1:1" x14ac:dyDescent="0.25">
      <c r="A9437" s="17"/>
    </row>
    <row r="9438" spans="1:1" x14ac:dyDescent="0.25">
      <c r="A9438" s="17"/>
    </row>
    <row r="9439" spans="1:1" x14ac:dyDescent="0.25">
      <c r="A9439" s="17"/>
    </row>
    <row r="9440" spans="1:1" x14ac:dyDescent="0.25">
      <c r="A9440" s="17"/>
    </row>
    <row r="9441" spans="1:1" x14ac:dyDescent="0.25">
      <c r="A9441" s="17"/>
    </row>
    <row r="9442" spans="1:1" x14ac:dyDescent="0.25">
      <c r="A9442" s="17"/>
    </row>
    <row r="9443" spans="1:1" x14ac:dyDescent="0.25">
      <c r="A9443" s="17"/>
    </row>
    <row r="9444" spans="1:1" x14ac:dyDescent="0.25">
      <c r="A9444" s="17"/>
    </row>
    <row r="9445" spans="1:1" x14ac:dyDescent="0.25">
      <c r="A9445" s="17"/>
    </row>
    <row r="9446" spans="1:1" x14ac:dyDescent="0.25">
      <c r="A9446" s="17"/>
    </row>
    <row r="9447" spans="1:1" x14ac:dyDescent="0.25">
      <c r="A9447" s="17"/>
    </row>
    <row r="9448" spans="1:1" x14ac:dyDescent="0.25">
      <c r="A9448" s="17"/>
    </row>
    <row r="9449" spans="1:1" x14ac:dyDescent="0.25">
      <c r="A9449" s="17"/>
    </row>
    <row r="9450" spans="1:1" x14ac:dyDescent="0.25">
      <c r="A9450" s="17"/>
    </row>
    <row r="9451" spans="1:1" x14ac:dyDescent="0.25">
      <c r="A9451" s="17"/>
    </row>
    <row r="9452" spans="1:1" x14ac:dyDescent="0.25">
      <c r="A9452" s="17"/>
    </row>
    <row r="9453" spans="1:1" x14ac:dyDescent="0.25">
      <c r="A9453" s="17"/>
    </row>
    <row r="9454" spans="1:1" x14ac:dyDescent="0.25">
      <c r="A9454" s="17"/>
    </row>
    <row r="9455" spans="1:1" x14ac:dyDescent="0.25">
      <c r="A9455" s="17"/>
    </row>
    <row r="9456" spans="1:1" x14ac:dyDescent="0.25">
      <c r="A9456" s="17"/>
    </row>
    <row r="9457" spans="1:1" x14ac:dyDescent="0.25">
      <c r="A9457" s="17"/>
    </row>
    <row r="9458" spans="1:1" x14ac:dyDescent="0.25">
      <c r="A9458" s="17"/>
    </row>
    <row r="9459" spans="1:1" x14ac:dyDescent="0.25">
      <c r="A9459" s="17"/>
    </row>
    <row r="9460" spans="1:1" x14ac:dyDescent="0.25">
      <c r="A9460" s="17"/>
    </row>
    <row r="9461" spans="1:1" x14ac:dyDescent="0.25">
      <c r="A9461" s="17"/>
    </row>
    <row r="9462" spans="1:1" x14ac:dyDescent="0.25">
      <c r="A9462" s="17"/>
    </row>
    <row r="9463" spans="1:1" x14ac:dyDescent="0.25">
      <c r="A9463" s="17"/>
    </row>
    <row r="9464" spans="1:1" x14ac:dyDescent="0.25">
      <c r="A9464" s="17"/>
    </row>
    <row r="9465" spans="1:1" x14ac:dyDescent="0.25">
      <c r="A9465" s="17"/>
    </row>
    <row r="9466" spans="1:1" x14ac:dyDescent="0.25">
      <c r="A9466" s="17"/>
    </row>
    <row r="9467" spans="1:1" x14ac:dyDescent="0.25">
      <c r="A9467" s="17"/>
    </row>
    <row r="9468" spans="1:1" x14ac:dyDescent="0.25">
      <c r="A9468" s="17"/>
    </row>
    <row r="9469" spans="1:1" x14ac:dyDescent="0.25">
      <c r="A9469" s="17"/>
    </row>
    <row r="9470" spans="1:1" x14ac:dyDescent="0.25">
      <c r="A9470" s="17"/>
    </row>
    <row r="9471" spans="1:1" x14ac:dyDescent="0.25">
      <c r="A9471" s="17"/>
    </row>
    <row r="9472" spans="1:1" x14ac:dyDescent="0.25">
      <c r="A9472" s="17"/>
    </row>
    <row r="9473" spans="1:1" x14ac:dyDescent="0.25">
      <c r="A9473" s="17"/>
    </row>
    <row r="9474" spans="1:1" x14ac:dyDescent="0.25">
      <c r="A9474" s="17"/>
    </row>
    <row r="9475" spans="1:1" x14ac:dyDescent="0.25">
      <c r="A9475" s="17"/>
    </row>
    <row r="9476" spans="1:1" x14ac:dyDescent="0.25">
      <c r="A9476" s="17"/>
    </row>
    <row r="9477" spans="1:1" x14ac:dyDescent="0.25">
      <c r="A9477" s="17"/>
    </row>
    <row r="9478" spans="1:1" x14ac:dyDescent="0.25">
      <c r="A9478" s="17"/>
    </row>
    <row r="9479" spans="1:1" x14ac:dyDescent="0.25">
      <c r="A9479" s="17"/>
    </row>
    <row r="9480" spans="1:1" x14ac:dyDescent="0.25">
      <c r="A9480" s="17"/>
    </row>
    <row r="9481" spans="1:1" x14ac:dyDescent="0.25">
      <c r="A9481" s="17"/>
    </row>
    <row r="9482" spans="1:1" x14ac:dyDescent="0.25">
      <c r="A9482" s="17"/>
    </row>
    <row r="9483" spans="1:1" x14ac:dyDescent="0.25">
      <c r="A9483" s="17"/>
    </row>
    <row r="9484" spans="1:1" x14ac:dyDescent="0.25">
      <c r="A9484" s="17"/>
    </row>
    <row r="9485" spans="1:1" x14ac:dyDescent="0.25">
      <c r="A9485" s="17"/>
    </row>
    <row r="9486" spans="1:1" x14ac:dyDescent="0.25">
      <c r="A9486" s="17"/>
    </row>
    <row r="9487" spans="1:1" x14ac:dyDescent="0.25">
      <c r="A9487" s="17"/>
    </row>
    <row r="9488" spans="1:1" x14ac:dyDescent="0.25">
      <c r="A9488" s="17"/>
    </row>
    <row r="9489" spans="1:1" x14ac:dyDescent="0.25">
      <c r="A9489" s="17"/>
    </row>
    <row r="9490" spans="1:1" x14ac:dyDescent="0.25">
      <c r="A9490" s="17"/>
    </row>
    <row r="9491" spans="1:1" x14ac:dyDescent="0.25">
      <c r="A9491" s="17"/>
    </row>
    <row r="9492" spans="1:1" x14ac:dyDescent="0.25">
      <c r="A9492" s="17"/>
    </row>
    <row r="9493" spans="1:1" x14ac:dyDescent="0.25">
      <c r="A9493" s="17"/>
    </row>
    <row r="9494" spans="1:1" x14ac:dyDescent="0.25">
      <c r="A9494" s="17"/>
    </row>
    <row r="9495" spans="1:1" x14ac:dyDescent="0.25">
      <c r="A9495" s="17"/>
    </row>
    <row r="9496" spans="1:1" x14ac:dyDescent="0.25">
      <c r="A9496" s="17"/>
    </row>
    <row r="9497" spans="1:1" x14ac:dyDescent="0.25">
      <c r="A9497" s="17"/>
    </row>
    <row r="9498" spans="1:1" x14ac:dyDescent="0.25">
      <c r="A9498" s="17"/>
    </row>
    <row r="9499" spans="1:1" x14ac:dyDescent="0.25">
      <c r="A9499" s="17"/>
    </row>
    <row r="9500" spans="1:1" x14ac:dyDescent="0.25">
      <c r="A9500" s="17"/>
    </row>
    <row r="9501" spans="1:1" x14ac:dyDescent="0.25">
      <c r="A9501" s="17"/>
    </row>
    <row r="9502" spans="1:1" x14ac:dyDescent="0.25">
      <c r="A9502" s="17"/>
    </row>
    <row r="9503" spans="1:1" x14ac:dyDescent="0.25">
      <c r="A9503" s="17"/>
    </row>
    <row r="9504" spans="1:1" x14ac:dyDescent="0.25">
      <c r="A9504" s="17"/>
    </row>
    <row r="9505" spans="1:1" x14ac:dyDescent="0.25">
      <c r="A9505" s="17"/>
    </row>
    <row r="9506" spans="1:1" x14ac:dyDescent="0.25">
      <c r="A9506" s="17"/>
    </row>
    <row r="9507" spans="1:1" x14ac:dyDescent="0.25">
      <c r="A9507" s="17"/>
    </row>
    <row r="9508" spans="1:1" x14ac:dyDescent="0.25">
      <c r="A9508" s="17"/>
    </row>
    <row r="9509" spans="1:1" x14ac:dyDescent="0.25">
      <c r="A9509" s="17"/>
    </row>
    <row r="9510" spans="1:1" x14ac:dyDescent="0.25">
      <c r="A9510" s="17"/>
    </row>
    <row r="9511" spans="1:1" x14ac:dyDescent="0.25">
      <c r="A9511" s="17"/>
    </row>
    <row r="9512" spans="1:1" x14ac:dyDescent="0.25">
      <c r="A9512" s="17"/>
    </row>
    <row r="9513" spans="1:1" x14ac:dyDescent="0.25">
      <c r="A9513" s="17"/>
    </row>
    <row r="9514" spans="1:1" x14ac:dyDescent="0.25">
      <c r="A9514" s="17"/>
    </row>
    <row r="9515" spans="1:1" x14ac:dyDescent="0.25">
      <c r="A9515" s="17"/>
    </row>
    <row r="9516" spans="1:1" x14ac:dyDescent="0.25">
      <c r="A9516" s="17"/>
    </row>
    <row r="9517" spans="1:1" x14ac:dyDescent="0.25">
      <c r="A9517" s="17"/>
    </row>
    <row r="9518" spans="1:1" x14ac:dyDescent="0.25">
      <c r="A9518" s="17"/>
    </row>
    <row r="9519" spans="1:1" x14ac:dyDescent="0.25">
      <c r="A9519" s="17"/>
    </row>
    <row r="9520" spans="1:1" x14ac:dyDescent="0.25">
      <c r="A9520" s="17"/>
    </row>
    <row r="9521" spans="1:1" x14ac:dyDescent="0.25">
      <c r="A9521" s="17"/>
    </row>
    <row r="9522" spans="1:1" x14ac:dyDescent="0.25">
      <c r="A9522" s="17"/>
    </row>
    <row r="9523" spans="1:1" x14ac:dyDescent="0.25">
      <c r="A9523" s="17"/>
    </row>
    <row r="9524" spans="1:1" x14ac:dyDescent="0.25">
      <c r="A9524" s="17"/>
    </row>
    <row r="9525" spans="1:1" x14ac:dyDescent="0.25">
      <c r="A9525" s="17"/>
    </row>
    <row r="9526" spans="1:1" x14ac:dyDescent="0.25">
      <c r="A9526" s="17"/>
    </row>
    <row r="9527" spans="1:1" x14ac:dyDescent="0.25">
      <c r="A9527" s="17"/>
    </row>
    <row r="9528" spans="1:1" x14ac:dyDescent="0.25">
      <c r="A9528" s="17"/>
    </row>
    <row r="9529" spans="1:1" x14ac:dyDescent="0.25">
      <c r="A9529" s="17"/>
    </row>
    <row r="9530" spans="1:1" x14ac:dyDescent="0.25">
      <c r="A9530" s="17"/>
    </row>
    <row r="9531" spans="1:1" x14ac:dyDescent="0.25">
      <c r="A9531" s="17"/>
    </row>
    <row r="9532" spans="1:1" x14ac:dyDescent="0.25">
      <c r="A9532" s="17"/>
    </row>
    <row r="9533" spans="1:1" x14ac:dyDescent="0.25">
      <c r="A9533" s="17"/>
    </row>
    <row r="9534" spans="1:1" x14ac:dyDescent="0.25">
      <c r="A9534" s="17"/>
    </row>
    <row r="9535" spans="1:1" x14ac:dyDescent="0.25">
      <c r="A9535" s="17"/>
    </row>
    <row r="9536" spans="1:1" x14ac:dyDescent="0.25">
      <c r="A9536" s="17"/>
    </row>
    <row r="9537" spans="1:1" x14ac:dyDescent="0.25">
      <c r="A9537" s="17"/>
    </row>
    <row r="9538" spans="1:1" x14ac:dyDescent="0.25">
      <c r="A9538" s="17"/>
    </row>
    <row r="9539" spans="1:1" x14ac:dyDescent="0.25">
      <c r="A9539" s="17"/>
    </row>
    <row r="9540" spans="1:1" x14ac:dyDescent="0.25">
      <c r="A9540" s="17"/>
    </row>
    <row r="9541" spans="1:1" x14ac:dyDescent="0.25">
      <c r="A9541" s="17"/>
    </row>
    <row r="9542" spans="1:1" x14ac:dyDescent="0.25">
      <c r="A9542" s="17"/>
    </row>
    <row r="9543" spans="1:1" x14ac:dyDescent="0.25">
      <c r="A9543" s="17"/>
    </row>
    <row r="9544" spans="1:1" x14ac:dyDescent="0.25">
      <c r="A9544" s="17"/>
    </row>
    <row r="9545" spans="1:1" x14ac:dyDescent="0.25">
      <c r="A9545" s="17"/>
    </row>
    <row r="9546" spans="1:1" x14ac:dyDescent="0.25">
      <c r="A9546" s="17"/>
    </row>
    <row r="9547" spans="1:1" x14ac:dyDescent="0.25">
      <c r="A9547" s="17"/>
    </row>
    <row r="9548" spans="1:1" x14ac:dyDescent="0.25">
      <c r="A9548" s="17"/>
    </row>
    <row r="9549" spans="1:1" x14ac:dyDescent="0.25">
      <c r="A9549" s="17"/>
    </row>
    <row r="9550" spans="1:1" x14ac:dyDescent="0.25">
      <c r="A9550" s="17"/>
    </row>
    <row r="9551" spans="1:1" x14ac:dyDescent="0.25">
      <c r="A9551" s="17"/>
    </row>
    <row r="9552" spans="1:1" x14ac:dyDescent="0.25">
      <c r="A9552" s="17"/>
    </row>
    <row r="9553" spans="1:1" x14ac:dyDescent="0.25">
      <c r="A9553" s="17"/>
    </row>
    <row r="9554" spans="1:1" x14ac:dyDescent="0.25">
      <c r="A9554" s="17"/>
    </row>
    <row r="9555" spans="1:1" x14ac:dyDescent="0.25">
      <c r="A9555" s="17"/>
    </row>
    <row r="9556" spans="1:1" x14ac:dyDescent="0.25">
      <c r="A9556" s="17"/>
    </row>
    <row r="9557" spans="1:1" x14ac:dyDescent="0.25">
      <c r="A9557" s="17"/>
    </row>
    <row r="9558" spans="1:1" x14ac:dyDescent="0.25">
      <c r="A9558" s="17"/>
    </row>
    <row r="9559" spans="1:1" x14ac:dyDescent="0.25">
      <c r="A9559" s="17"/>
    </row>
    <row r="9560" spans="1:1" x14ac:dyDescent="0.25">
      <c r="A9560" s="17"/>
    </row>
    <row r="9561" spans="1:1" x14ac:dyDescent="0.25">
      <c r="A9561" s="17"/>
    </row>
    <row r="9562" spans="1:1" x14ac:dyDescent="0.25">
      <c r="A9562" s="17"/>
    </row>
    <row r="9563" spans="1:1" x14ac:dyDescent="0.25">
      <c r="A9563" s="17"/>
    </row>
    <row r="9564" spans="1:1" x14ac:dyDescent="0.25">
      <c r="A9564" s="17"/>
    </row>
    <row r="9565" spans="1:1" x14ac:dyDescent="0.25">
      <c r="A9565" s="17"/>
    </row>
    <row r="9566" spans="1:1" x14ac:dyDescent="0.25">
      <c r="A9566" s="17"/>
    </row>
    <row r="9567" spans="1:1" x14ac:dyDescent="0.25">
      <c r="A9567" s="17"/>
    </row>
    <row r="9568" spans="1:1" x14ac:dyDescent="0.25">
      <c r="A9568" s="17"/>
    </row>
    <row r="9569" spans="1:1" x14ac:dyDescent="0.25">
      <c r="A9569" s="17"/>
    </row>
    <row r="9570" spans="1:1" x14ac:dyDescent="0.25">
      <c r="A9570" s="17"/>
    </row>
    <row r="9571" spans="1:1" x14ac:dyDescent="0.25">
      <c r="A9571" s="17"/>
    </row>
    <row r="9572" spans="1:1" x14ac:dyDescent="0.25">
      <c r="A9572" s="17"/>
    </row>
    <row r="9573" spans="1:1" x14ac:dyDescent="0.25">
      <c r="A9573" s="17"/>
    </row>
    <row r="9574" spans="1:1" x14ac:dyDescent="0.25">
      <c r="A9574" s="17"/>
    </row>
    <row r="9575" spans="1:1" x14ac:dyDescent="0.25">
      <c r="A9575" s="17"/>
    </row>
    <row r="9576" spans="1:1" x14ac:dyDescent="0.25">
      <c r="A9576" s="17"/>
    </row>
    <row r="9577" spans="1:1" x14ac:dyDescent="0.25">
      <c r="A9577" s="17"/>
    </row>
    <row r="9578" spans="1:1" x14ac:dyDescent="0.25">
      <c r="A9578" s="17"/>
    </row>
    <row r="9579" spans="1:1" x14ac:dyDescent="0.25">
      <c r="A9579" s="17"/>
    </row>
    <row r="9580" spans="1:1" x14ac:dyDescent="0.25">
      <c r="A9580" s="17"/>
    </row>
    <row r="9581" spans="1:1" x14ac:dyDescent="0.25">
      <c r="A9581" s="17"/>
    </row>
    <row r="9582" spans="1:1" x14ac:dyDescent="0.25">
      <c r="A9582" s="17"/>
    </row>
    <row r="9583" spans="1:1" x14ac:dyDescent="0.25">
      <c r="A9583" s="17"/>
    </row>
    <row r="9584" spans="1:1" x14ac:dyDescent="0.25">
      <c r="A9584" s="17"/>
    </row>
    <row r="9585" spans="1:1" x14ac:dyDescent="0.25">
      <c r="A9585" s="17"/>
    </row>
    <row r="9586" spans="1:1" x14ac:dyDescent="0.25">
      <c r="A9586" s="17"/>
    </row>
    <row r="9587" spans="1:1" x14ac:dyDescent="0.25">
      <c r="A9587" s="17"/>
    </row>
    <row r="9588" spans="1:1" x14ac:dyDescent="0.25">
      <c r="A9588" s="17"/>
    </row>
    <row r="9589" spans="1:1" x14ac:dyDescent="0.25">
      <c r="A9589" s="17"/>
    </row>
    <row r="9590" spans="1:1" x14ac:dyDescent="0.25">
      <c r="A9590" s="17"/>
    </row>
    <row r="9591" spans="1:1" x14ac:dyDescent="0.25">
      <c r="A9591" s="17"/>
    </row>
    <row r="9592" spans="1:1" x14ac:dyDescent="0.25">
      <c r="A9592" s="17"/>
    </row>
    <row r="9593" spans="1:1" x14ac:dyDescent="0.25">
      <c r="A9593" s="17"/>
    </row>
    <row r="9594" spans="1:1" x14ac:dyDescent="0.25">
      <c r="A9594" s="17"/>
    </row>
    <row r="9595" spans="1:1" x14ac:dyDescent="0.25">
      <c r="A9595" s="17"/>
    </row>
    <row r="9596" spans="1:1" x14ac:dyDescent="0.25">
      <c r="A9596" s="17"/>
    </row>
    <row r="9597" spans="1:1" x14ac:dyDescent="0.25">
      <c r="A9597" s="17"/>
    </row>
    <row r="9598" spans="1:1" x14ac:dyDescent="0.25">
      <c r="A9598" s="17"/>
    </row>
    <row r="9599" spans="1:1" x14ac:dyDescent="0.25">
      <c r="A9599" s="17"/>
    </row>
    <row r="9600" spans="1:1" x14ac:dyDescent="0.25">
      <c r="A9600" s="17"/>
    </row>
    <row r="9601" spans="1:1" x14ac:dyDescent="0.25">
      <c r="A9601" s="17"/>
    </row>
    <row r="9602" spans="1:1" x14ac:dyDescent="0.25">
      <c r="A9602" s="17"/>
    </row>
    <row r="9603" spans="1:1" x14ac:dyDescent="0.25">
      <c r="A9603" s="17"/>
    </row>
    <row r="9604" spans="1:1" x14ac:dyDescent="0.25">
      <c r="A9604" s="17"/>
    </row>
    <row r="9605" spans="1:1" x14ac:dyDescent="0.25">
      <c r="A9605" s="17"/>
    </row>
    <row r="9606" spans="1:1" x14ac:dyDescent="0.25">
      <c r="A9606" s="17"/>
    </row>
    <row r="9607" spans="1:1" x14ac:dyDescent="0.25">
      <c r="A9607" s="17"/>
    </row>
    <row r="9608" spans="1:1" x14ac:dyDescent="0.25">
      <c r="A9608" s="17"/>
    </row>
    <row r="9609" spans="1:1" x14ac:dyDescent="0.25">
      <c r="A9609" s="17"/>
    </row>
    <row r="9610" spans="1:1" x14ac:dyDescent="0.25">
      <c r="A9610" s="17"/>
    </row>
    <row r="9611" spans="1:1" x14ac:dyDescent="0.25">
      <c r="A9611" s="17"/>
    </row>
    <row r="9612" spans="1:1" x14ac:dyDescent="0.25">
      <c r="A9612" s="17"/>
    </row>
    <row r="9613" spans="1:1" x14ac:dyDescent="0.25">
      <c r="A9613" s="17"/>
    </row>
    <row r="9614" spans="1:1" x14ac:dyDescent="0.25">
      <c r="A9614" s="17"/>
    </row>
    <row r="9615" spans="1:1" x14ac:dyDescent="0.25">
      <c r="A9615" s="17"/>
    </row>
    <row r="9616" spans="1:1" x14ac:dyDescent="0.25">
      <c r="A9616" s="17"/>
    </row>
    <row r="9617" spans="1:1" x14ac:dyDescent="0.25">
      <c r="A9617" s="17"/>
    </row>
    <row r="9618" spans="1:1" x14ac:dyDescent="0.25">
      <c r="A9618" s="17"/>
    </row>
    <row r="9619" spans="1:1" x14ac:dyDescent="0.25">
      <c r="A9619" s="17"/>
    </row>
    <row r="9620" spans="1:1" x14ac:dyDescent="0.25">
      <c r="A9620" s="17"/>
    </row>
    <row r="9621" spans="1:1" x14ac:dyDescent="0.25">
      <c r="A9621" s="17"/>
    </row>
    <row r="9622" spans="1:1" x14ac:dyDescent="0.25">
      <c r="A9622" s="17"/>
    </row>
    <row r="9623" spans="1:1" x14ac:dyDescent="0.25">
      <c r="A9623" s="17"/>
    </row>
    <row r="9624" spans="1:1" x14ac:dyDescent="0.25">
      <c r="A9624" s="17"/>
    </row>
    <row r="9625" spans="1:1" x14ac:dyDescent="0.25">
      <c r="A9625" s="17"/>
    </row>
    <row r="9626" spans="1:1" x14ac:dyDescent="0.25">
      <c r="A9626" s="17"/>
    </row>
    <row r="9627" spans="1:1" x14ac:dyDescent="0.25">
      <c r="A9627" s="17"/>
    </row>
    <row r="9628" spans="1:1" x14ac:dyDescent="0.25">
      <c r="A9628" s="17"/>
    </row>
    <row r="9629" spans="1:1" x14ac:dyDescent="0.25">
      <c r="A9629" s="17"/>
    </row>
    <row r="9630" spans="1:1" x14ac:dyDescent="0.25">
      <c r="A9630" s="17"/>
    </row>
    <row r="9631" spans="1:1" x14ac:dyDescent="0.25">
      <c r="A9631" s="17"/>
    </row>
    <row r="9632" spans="1:1" x14ac:dyDescent="0.25">
      <c r="A9632" s="17"/>
    </row>
    <row r="9633" spans="1:1" x14ac:dyDescent="0.25">
      <c r="A9633" s="17"/>
    </row>
    <row r="9634" spans="1:1" x14ac:dyDescent="0.25">
      <c r="A9634" s="17"/>
    </row>
    <row r="9635" spans="1:1" x14ac:dyDescent="0.25">
      <c r="A9635" s="17"/>
    </row>
    <row r="9636" spans="1:1" x14ac:dyDescent="0.25">
      <c r="A9636" s="17"/>
    </row>
    <row r="9637" spans="1:1" x14ac:dyDescent="0.25">
      <c r="A9637" s="17"/>
    </row>
    <row r="9638" spans="1:1" x14ac:dyDescent="0.25">
      <c r="A9638" s="17"/>
    </row>
    <row r="9639" spans="1:1" x14ac:dyDescent="0.25">
      <c r="A9639" s="17"/>
    </row>
    <row r="9640" spans="1:1" x14ac:dyDescent="0.25">
      <c r="A9640" s="17"/>
    </row>
    <row r="9641" spans="1:1" x14ac:dyDescent="0.25">
      <c r="A9641" s="17"/>
    </row>
    <row r="9642" spans="1:1" x14ac:dyDescent="0.25">
      <c r="A9642" s="17"/>
    </row>
    <row r="9643" spans="1:1" x14ac:dyDescent="0.25">
      <c r="A9643" s="17"/>
    </row>
    <row r="9644" spans="1:1" x14ac:dyDescent="0.25">
      <c r="A9644" s="17"/>
    </row>
    <row r="9645" spans="1:1" x14ac:dyDescent="0.25">
      <c r="A9645" s="17"/>
    </row>
    <row r="9646" spans="1:1" x14ac:dyDescent="0.25">
      <c r="A9646" s="17"/>
    </row>
    <row r="9647" spans="1:1" x14ac:dyDescent="0.25">
      <c r="A9647" s="17"/>
    </row>
    <row r="9648" spans="1:1" x14ac:dyDescent="0.25">
      <c r="A9648" s="17"/>
    </row>
    <row r="9649" spans="1:1" x14ac:dyDescent="0.25">
      <c r="A9649" s="17"/>
    </row>
    <row r="9650" spans="1:1" x14ac:dyDescent="0.25">
      <c r="A9650" s="17"/>
    </row>
    <row r="9651" spans="1:1" x14ac:dyDescent="0.25">
      <c r="A9651" s="17"/>
    </row>
    <row r="9652" spans="1:1" x14ac:dyDescent="0.25">
      <c r="A9652" s="17"/>
    </row>
    <row r="9653" spans="1:1" x14ac:dyDescent="0.25">
      <c r="A9653" s="17"/>
    </row>
    <row r="9654" spans="1:1" x14ac:dyDescent="0.25">
      <c r="A9654" s="17"/>
    </row>
    <row r="9655" spans="1:1" x14ac:dyDescent="0.25">
      <c r="A9655" s="17"/>
    </row>
    <row r="9656" spans="1:1" x14ac:dyDescent="0.25">
      <c r="A9656" s="17"/>
    </row>
    <row r="9657" spans="1:1" x14ac:dyDescent="0.25">
      <c r="A9657" s="17"/>
    </row>
    <row r="9658" spans="1:1" x14ac:dyDescent="0.25">
      <c r="A9658" s="17"/>
    </row>
    <row r="9659" spans="1:1" x14ac:dyDescent="0.25">
      <c r="A9659" s="17"/>
    </row>
    <row r="9660" spans="1:1" x14ac:dyDescent="0.25">
      <c r="A9660" s="17"/>
    </row>
    <row r="9661" spans="1:1" x14ac:dyDescent="0.25">
      <c r="A9661" s="17"/>
    </row>
    <row r="9662" spans="1:1" x14ac:dyDescent="0.25">
      <c r="A9662" s="17"/>
    </row>
    <row r="9663" spans="1:1" x14ac:dyDescent="0.25">
      <c r="A9663" s="17"/>
    </row>
    <row r="9664" spans="1:1" x14ac:dyDescent="0.25">
      <c r="A9664" s="17"/>
    </row>
    <row r="9665" spans="1:1" x14ac:dyDescent="0.25">
      <c r="A9665" s="17"/>
    </row>
    <row r="9666" spans="1:1" x14ac:dyDescent="0.25">
      <c r="A9666" s="17"/>
    </row>
    <row r="9667" spans="1:1" x14ac:dyDescent="0.25">
      <c r="A9667" s="17"/>
    </row>
    <row r="9668" spans="1:1" x14ac:dyDescent="0.25">
      <c r="A9668" s="17"/>
    </row>
    <row r="9669" spans="1:1" x14ac:dyDescent="0.25">
      <c r="A9669" s="17"/>
    </row>
    <row r="9670" spans="1:1" x14ac:dyDescent="0.25">
      <c r="A9670" s="17"/>
    </row>
    <row r="9671" spans="1:1" x14ac:dyDescent="0.25">
      <c r="A9671" s="17"/>
    </row>
    <row r="9672" spans="1:1" x14ac:dyDescent="0.25">
      <c r="A9672" s="17"/>
    </row>
    <row r="9673" spans="1:1" x14ac:dyDescent="0.25">
      <c r="A9673" s="17"/>
    </row>
    <row r="9674" spans="1:1" x14ac:dyDescent="0.25">
      <c r="A9674" s="17"/>
    </row>
    <row r="9675" spans="1:1" x14ac:dyDescent="0.25">
      <c r="A9675" s="17"/>
    </row>
    <row r="9676" spans="1:1" x14ac:dyDescent="0.25">
      <c r="A9676" s="17"/>
    </row>
    <row r="9677" spans="1:1" x14ac:dyDescent="0.25">
      <c r="A9677" s="17"/>
    </row>
    <row r="9678" spans="1:1" x14ac:dyDescent="0.25">
      <c r="A9678" s="17"/>
    </row>
    <row r="9679" spans="1:1" x14ac:dyDescent="0.25">
      <c r="A9679" s="17"/>
    </row>
    <row r="9680" spans="1:1" x14ac:dyDescent="0.25">
      <c r="A9680" s="17"/>
    </row>
    <row r="9681" spans="1:1" x14ac:dyDescent="0.25">
      <c r="A9681" s="17"/>
    </row>
    <row r="9682" spans="1:1" x14ac:dyDescent="0.25">
      <c r="A9682" s="17"/>
    </row>
    <row r="9683" spans="1:1" x14ac:dyDescent="0.25">
      <c r="A9683" s="17"/>
    </row>
    <row r="9684" spans="1:1" x14ac:dyDescent="0.25">
      <c r="A9684" s="17"/>
    </row>
    <row r="9685" spans="1:1" x14ac:dyDescent="0.25">
      <c r="A9685" s="17"/>
    </row>
    <row r="9686" spans="1:1" x14ac:dyDescent="0.25">
      <c r="A9686" s="17"/>
    </row>
    <row r="9687" spans="1:1" x14ac:dyDescent="0.25">
      <c r="A9687" s="17"/>
    </row>
    <row r="9688" spans="1:1" x14ac:dyDescent="0.25">
      <c r="A9688" s="17"/>
    </row>
    <row r="9689" spans="1:1" x14ac:dyDescent="0.25">
      <c r="A9689" s="17"/>
    </row>
    <row r="9690" spans="1:1" x14ac:dyDescent="0.25">
      <c r="A9690" s="17"/>
    </row>
    <row r="9691" spans="1:1" x14ac:dyDescent="0.25">
      <c r="A9691" s="17"/>
    </row>
    <row r="9692" spans="1:1" x14ac:dyDescent="0.25">
      <c r="A9692" s="17"/>
    </row>
    <row r="9693" spans="1:1" x14ac:dyDescent="0.25">
      <c r="A9693" s="17"/>
    </row>
    <row r="9694" spans="1:1" x14ac:dyDescent="0.25">
      <c r="A9694" s="17"/>
    </row>
    <row r="9695" spans="1:1" x14ac:dyDescent="0.25">
      <c r="A9695" s="17"/>
    </row>
    <row r="9696" spans="1:1" x14ac:dyDescent="0.25">
      <c r="A9696" s="17"/>
    </row>
    <row r="9697" spans="1:1" x14ac:dyDescent="0.25">
      <c r="A9697" s="17"/>
    </row>
    <row r="9698" spans="1:1" x14ac:dyDescent="0.25">
      <c r="A9698" s="17"/>
    </row>
    <row r="9699" spans="1:1" x14ac:dyDescent="0.25">
      <c r="A9699" s="17"/>
    </row>
    <row r="9700" spans="1:1" x14ac:dyDescent="0.25">
      <c r="A9700" s="17"/>
    </row>
    <row r="9701" spans="1:1" x14ac:dyDescent="0.25">
      <c r="A9701" s="17"/>
    </row>
    <row r="9702" spans="1:1" x14ac:dyDescent="0.25">
      <c r="A9702" s="17"/>
    </row>
    <row r="9703" spans="1:1" x14ac:dyDescent="0.25">
      <c r="A9703" s="17"/>
    </row>
    <row r="9704" spans="1:1" x14ac:dyDescent="0.25">
      <c r="A9704" s="17"/>
    </row>
    <row r="9705" spans="1:1" x14ac:dyDescent="0.25">
      <c r="A9705" s="17"/>
    </row>
    <row r="9706" spans="1:1" x14ac:dyDescent="0.25">
      <c r="A9706" s="17"/>
    </row>
    <row r="9707" spans="1:1" x14ac:dyDescent="0.25">
      <c r="A9707" s="17"/>
    </row>
    <row r="9708" spans="1:1" x14ac:dyDescent="0.25">
      <c r="A9708" s="17"/>
    </row>
    <row r="9709" spans="1:1" x14ac:dyDescent="0.25">
      <c r="A9709" s="17"/>
    </row>
    <row r="9710" spans="1:1" x14ac:dyDescent="0.25">
      <c r="A9710" s="17"/>
    </row>
    <row r="9711" spans="1:1" x14ac:dyDescent="0.25">
      <c r="A9711" s="17"/>
    </row>
    <row r="9712" spans="1:1" x14ac:dyDescent="0.25">
      <c r="A9712" s="17"/>
    </row>
    <row r="9713" spans="1:1" x14ac:dyDescent="0.25">
      <c r="A9713" s="17"/>
    </row>
    <row r="9714" spans="1:1" x14ac:dyDescent="0.25">
      <c r="A9714" s="17"/>
    </row>
    <row r="9715" spans="1:1" x14ac:dyDescent="0.25">
      <c r="A9715" s="17"/>
    </row>
    <row r="9716" spans="1:1" x14ac:dyDescent="0.25">
      <c r="A9716" s="17"/>
    </row>
    <row r="9717" spans="1:1" x14ac:dyDescent="0.25">
      <c r="A9717" s="17"/>
    </row>
    <row r="9718" spans="1:1" x14ac:dyDescent="0.25">
      <c r="A9718" s="17"/>
    </row>
    <row r="9719" spans="1:1" x14ac:dyDescent="0.25">
      <c r="A9719" s="17"/>
    </row>
    <row r="9720" spans="1:1" x14ac:dyDescent="0.25">
      <c r="A9720" s="17"/>
    </row>
    <row r="9721" spans="1:1" x14ac:dyDescent="0.25">
      <c r="A9721" s="17"/>
    </row>
    <row r="9722" spans="1:1" x14ac:dyDescent="0.25">
      <c r="A9722" s="17"/>
    </row>
    <row r="9723" spans="1:1" x14ac:dyDescent="0.25">
      <c r="A9723" s="17"/>
    </row>
    <row r="9724" spans="1:1" x14ac:dyDescent="0.25">
      <c r="A9724" s="17"/>
    </row>
    <row r="9725" spans="1:1" x14ac:dyDescent="0.25">
      <c r="A9725" s="17"/>
    </row>
    <row r="9726" spans="1:1" x14ac:dyDescent="0.25">
      <c r="A9726" s="17"/>
    </row>
    <row r="9727" spans="1:1" x14ac:dyDescent="0.25">
      <c r="A9727" s="17"/>
    </row>
    <row r="9728" spans="1:1" x14ac:dyDescent="0.25">
      <c r="A9728" s="17"/>
    </row>
    <row r="9729" spans="1:1" x14ac:dyDescent="0.25">
      <c r="A9729" s="17"/>
    </row>
    <row r="9730" spans="1:1" x14ac:dyDescent="0.25">
      <c r="A9730" s="17"/>
    </row>
    <row r="9731" spans="1:1" x14ac:dyDescent="0.25">
      <c r="A9731" s="17"/>
    </row>
    <row r="9732" spans="1:1" x14ac:dyDescent="0.25">
      <c r="A9732" s="17"/>
    </row>
    <row r="9733" spans="1:1" x14ac:dyDescent="0.25">
      <c r="A9733" s="17"/>
    </row>
    <row r="9734" spans="1:1" x14ac:dyDescent="0.25">
      <c r="A9734" s="17"/>
    </row>
    <row r="9735" spans="1:1" x14ac:dyDescent="0.25">
      <c r="A9735" s="17"/>
    </row>
    <row r="9736" spans="1:1" x14ac:dyDescent="0.25">
      <c r="A9736" s="17"/>
    </row>
    <row r="9737" spans="1:1" x14ac:dyDescent="0.25">
      <c r="A9737" s="17"/>
    </row>
    <row r="9738" spans="1:1" x14ac:dyDescent="0.25">
      <c r="A9738" s="17"/>
    </row>
    <row r="9739" spans="1:1" x14ac:dyDescent="0.25">
      <c r="A9739" s="17"/>
    </row>
    <row r="9740" spans="1:1" x14ac:dyDescent="0.25">
      <c r="A9740" s="17"/>
    </row>
    <row r="9741" spans="1:1" x14ac:dyDescent="0.25">
      <c r="A9741" s="17"/>
    </row>
    <row r="9742" spans="1:1" x14ac:dyDescent="0.25">
      <c r="A9742" s="17"/>
    </row>
    <row r="9743" spans="1:1" x14ac:dyDescent="0.25">
      <c r="A9743" s="17"/>
    </row>
    <row r="9744" spans="1:1" x14ac:dyDescent="0.25">
      <c r="A9744" s="17"/>
    </row>
    <row r="9745" spans="1:1" x14ac:dyDescent="0.25">
      <c r="A9745" s="17"/>
    </row>
    <row r="9746" spans="1:1" x14ac:dyDescent="0.25">
      <c r="A9746" s="17"/>
    </row>
    <row r="9747" spans="1:1" x14ac:dyDescent="0.25">
      <c r="A9747" s="17"/>
    </row>
    <row r="9748" spans="1:1" x14ac:dyDescent="0.25">
      <c r="A9748" s="17"/>
    </row>
    <row r="9749" spans="1:1" x14ac:dyDescent="0.25">
      <c r="A9749" s="17"/>
    </row>
    <row r="9750" spans="1:1" x14ac:dyDescent="0.25">
      <c r="A9750" s="17"/>
    </row>
    <row r="9751" spans="1:1" x14ac:dyDescent="0.25">
      <c r="A9751" s="17"/>
    </row>
    <row r="9752" spans="1:1" x14ac:dyDescent="0.25">
      <c r="A9752" s="17"/>
    </row>
    <row r="9753" spans="1:1" x14ac:dyDescent="0.25">
      <c r="A9753" s="17"/>
    </row>
    <row r="9754" spans="1:1" x14ac:dyDescent="0.25">
      <c r="A9754" s="17"/>
    </row>
    <row r="9755" spans="1:1" x14ac:dyDescent="0.25">
      <c r="A9755" s="17"/>
    </row>
    <row r="9756" spans="1:1" x14ac:dyDescent="0.25">
      <c r="A9756" s="17"/>
    </row>
    <row r="9757" spans="1:1" x14ac:dyDescent="0.25">
      <c r="A9757" s="17"/>
    </row>
    <row r="9758" spans="1:1" x14ac:dyDescent="0.25">
      <c r="A9758" s="17"/>
    </row>
    <row r="9759" spans="1:1" x14ac:dyDescent="0.25">
      <c r="A9759" s="17"/>
    </row>
    <row r="9760" spans="1:1" x14ac:dyDescent="0.25">
      <c r="A9760" s="17"/>
    </row>
    <row r="9761" spans="1:1" x14ac:dyDescent="0.25">
      <c r="A9761" s="17"/>
    </row>
    <row r="9762" spans="1:1" x14ac:dyDescent="0.25">
      <c r="A9762" s="17"/>
    </row>
    <row r="9763" spans="1:1" x14ac:dyDescent="0.25">
      <c r="A9763" s="17"/>
    </row>
    <row r="9764" spans="1:1" x14ac:dyDescent="0.25">
      <c r="A9764" s="17"/>
    </row>
    <row r="9765" spans="1:1" x14ac:dyDescent="0.25">
      <c r="A9765" s="17"/>
    </row>
    <row r="9766" spans="1:1" x14ac:dyDescent="0.25">
      <c r="A9766" s="17"/>
    </row>
    <row r="9767" spans="1:1" x14ac:dyDescent="0.25">
      <c r="A9767" s="17"/>
    </row>
    <row r="9768" spans="1:1" x14ac:dyDescent="0.25">
      <c r="A9768" s="17"/>
    </row>
    <row r="9769" spans="1:1" x14ac:dyDescent="0.25">
      <c r="A9769" s="17"/>
    </row>
    <row r="9770" spans="1:1" x14ac:dyDescent="0.25">
      <c r="A9770" s="17"/>
    </row>
    <row r="9771" spans="1:1" x14ac:dyDescent="0.25">
      <c r="A9771" s="17"/>
    </row>
    <row r="9772" spans="1:1" x14ac:dyDescent="0.25">
      <c r="A9772" s="17"/>
    </row>
    <row r="9773" spans="1:1" x14ac:dyDescent="0.25">
      <c r="A9773" s="17"/>
    </row>
    <row r="9774" spans="1:1" x14ac:dyDescent="0.25">
      <c r="A9774" s="17"/>
    </row>
    <row r="9775" spans="1:1" x14ac:dyDescent="0.25">
      <c r="A9775" s="17"/>
    </row>
    <row r="9776" spans="1:1" x14ac:dyDescent="0.25">
      <c r="A9776" s="17"/>
    </row>
    <row r="9777" spans="1:1" x14ac:dyDescent="0.25">
      <c r="A9777" s="17"/>
    </row>
    <row r="9778" spans="1:1" x14ac:dyDescent="0.25">
      <c r="A9778" s="17"/>
    </row>
    <row r="9779" spans="1:1" x14ac:dyDescent="0.25">
      <c r="A9779" s="17"/>
    </row>
    <row r="9780" spans="1:1" x14ac:dyDescent="0.25">
      <c r="A9780" s="17"/>
    </row>
    <row r="9781" spans="1:1" x14ac:dyDescent="0.25">
      <c r="A9781" s="17"/>
    </row>
    <row r="9782" spans="1:1" x14ac:dyDescent="0.25">
      <c r="A9782" s="17"/>
    </row>
    <row r="9783" spans="1:1" x14ac:dyDescent="0.25">
      <c r="A9783" s="17"/>
    </row>
    <row r="9784" spans="1:1" x14ac:dyDescent="0.25">
      <c r="A9784" s="17"/>
    </row>
    <row r="9785" spans="1:1" x14ac:dyDescent="0.25">
      <c r="A9785" s="17"/>
    </row>
    <row r="9786" spans="1:1" x14ac:dyDescent="0.25">
      <c r="A9786" s="17"/>
    </row>
    <row r="9787" spans="1:1" x14ac:dyDescent="0.25">
      <c r="A9787" s="17"/>
    </row>
    <row r="9788" spans="1:1" x14ac:dyDescent="0.25">
      <c r="A9788" s="17"/>
    </row>
    <row r="9789" spans="1:1" x14ac:dyDescent="0.25">
      <c r="A9789" s="17"/>
    </row>
    <row r="9790" spans="1:1" x14ac:dyDescent="0.25">
      <c r="A9790" s="17"/>
    </row>
    <row r="9791" spans="1:1" x14ac:dyDescent="0.25">
      <c r="A9791" s="17"/>
    </row>
    <row r="9792" spans="1:1" x14ac:dyDescent="0.25">
      <c r="A9792" s="17"/>
    </row>
    <row r="9793" spans="1:1" x14ac:dyDescent="0.25">
      <c r="A9793" s="17"/>
    </row>
    <row r="9794" spans="1:1" x14ac:dyDescent="0.25">
      <c r="A9794" s="17"/>
    </row>
    <row r="9795" spans="1:1" x14ac:dyDescent="0.25">
      <c r="A9795" s="17"/>
    </row>
    <row r="9796" spans="1:1" x14ac:dyDescent="0.25">
      <c r="A9796" s="17"/>
    </row>
    <row r="9797" spans="1:1" x14ac:dyDescent="0.25">
      <c r="A9797" s="17"/>
    </row>
    <row r="9798" spans="1:1" x14ac:dyDescent="0.25">
      <c r="A9798" s="17"/>
    </row>
    <row r="9799" spans="1:1" x14ac:dyDescent="0.25">
      <c r="A9799" s="17"/>
    </row>
    <row r="9800" spans="1:1" x14ac:dyDescent="0.25">
      <c r="A9800" s="17"/>
    </row>
    <row r="9801" spans="1:1" x14ac:dyDescent="0.25">
      <c r="A9801" s="17"/>
    </row>
    <row r="9802" spans="1:1" x14ac:dyDescent="0.25">
      <c r="A9802" s="17"/>
    </row>
    <row r="9803" spans="1:1" x14ac:dyDescent="0.25">
      <c r="A9803" s="17"/>
    </row>
    <row r="9804" spans="1:1" x14ac:dyDescent="0.25">
      <c r="A9804" s="17"/>
    </row>
    <row r="9805" spans="1:1" x14ac:dyDescent="0.25">
      <c r="A9805" s="17"/>
    </row>
    <row r="9806" spans="1:1" x14ac:dyDescent="0.25">
      <c r="A9806" s="17"/>
    </row>
    <row r="9807" spans="1:1" x14ac:dyDescent="0.25">
      <c r="A9807" s="17"/>
    </row>
    <row r="9808" spans="1:1" x14ac:dyDescent="0.25">
      <c r="A9808" s="17"/>
    </row>
    <row r="9809" spans="1:1" x14ac:dyDescent="0.25">
      <c r="A9809" s="17"/>
    </row>
    <row r="9810" spans="1:1" x14ac:dyDescent="0.25">
      <c r="A9810" s="17"/>
    </row>
    <row r="9811" spans="1:1" x14ac:dyDescent="0.25">
      <c r="A9811" s="17"/>
    </row>
    <row r="9812" spans="1:1" x14ac:dyDescent="0.25">
      <c r="A9812" s="17"/>
    </row>
    <row r="9813" spans="1:1" x14ac:dyDescent="0.25">
      <c r="A9813" s="17"/>
    </row>
    <row r="9814" spans="1:1" x14ac:dyDescent="0.25">
      <c r="A9814" s="17"/>
    </row>
    <row r="9815" spans="1:1" x14ac:dyDescent="0.25">
      <c r="A9815" s="17"/>
    </row>
    <row r="9816" spans="1:1" x14ac:dyDescent="0.25">
      <c r="A9816" s="17"/>
    </row>
    <row r="9817" spans="1:1" x14ac:dyDescent="0.25">
      <c r="A9817" s="17"/>
    </row>
    <row r="9818" spans="1:1" x14ac:dyDescent="0.25">
      <c r="A9818" s="17"/>
    </row>
    <row r="9819" spans="1:1" x14ac:dyDescent="0.25">
      <c r="A9819" s="17"/>
    </row>
    <row r="9820" spans="1:1" x14ac:dyDescent="0.25">
      <c r="A9820" s="17"/>
    </row>
    <row r="9821" spans="1:1" x14ac:dyDescent="0.25">
      <c r="A9821" s="17"/>
    </row>
    <row r="9822" spans="1:1" x14ac:dyDescent="0.25">
      <c r="A9822" s="17"/>
    </row>
    <row r="9823" spans="1:1" x14ac:dyDescent="0.25">
      <c r="A9823" s="17"/>
    </row>
    <row r="9824" spans="1:1" x14ac:dyDescent="0.25">
      <c r="A9824" s="17"/>
    </row>
    <row r="9825" spans="1:1" x14ac:dyDescent="0.25">
      <c r="A9825" s="17"/>
    </row>
    <row r="9826" spans="1:1" x14ac:dyDescent="0.25">
      <c r="A9826" s="17"/>
    </row>
    <row r="9827" spans="1:1" x14ac:dyDescent="0.25">
      <c r="A9827" s="17"/>
    </row>
    <row r="9828" spans="1:1" x14ac:dyDescent="0.25">
      <c r="A9828" s="17"/>
    </row>
    <row r="9829" spans="1:1" x14ac:dyDescent="0.25">
      <c r="A9829" s="17"/>
    </row>
    <row r="9830" spans="1:1" x14ac:dyDescent="0.25">
      <c r="A9830" s="17"/>
    </row>
    <row r="9831" spans="1:1" x14ac:dyDescent="0.25">
      <c r="A9831" s="17"/>
    </row>
    <row r="9832" spans="1:1" x14ac:dyDescent="0.25">
      <c r="A9832" s="17"/>
    </row>
    <row r="9833" spans="1:1" x14ac:dyDescent="0.25">
      <c r="A9833" s="17"/>
    </row>
    <row r="9834" spans="1:1" x14ac:dyDescent="0.25">
      <c r="A9834" s="17"/>
    </row>
    <row r="9835" spans="1:1" x14ac:dyDescent="0.25">
      <c r="A9835" s="17"/>
    </row>
    <row r="9836" spans="1:1" x14ac:dyDescent="0.25">
      <c r="A9836" s="17"/>
    </row>
    <row r="9837" spans="1:1" x14ac:dyDescent="0.25">
      <c r="A9837" s="17"/>
    </row>
    <row r="9838" spans="1:1" x14ac:dyDescent="0.25">
      <c r="A9838" s="17"/>
    </row>
    <row r="9839" spans="1:1" x14ac:dyDescent="0.25">
      <c r="A9839" s="17"/>
    </row>
    <row r="9840" spans="1:1" x14ac:dyDescent="0.25">
      <c r="A9840" s="17"/>
    </row>
    <row r="9841" spans="1:1" x14ac:dyDescent="0.25">
      <c r="A9841" s="17"/>
    </row>
    <row r="9842" spans="1:1" x14ac:dyDescent="0.25">
      <c r="A9842" s="17"/>
    </row>
    <row r="9843" spans="1:1" x14ac:dyDescent="0.25">
      <c r="A9843" s="17"/>
    </row>
    <row r="9844" spans="1:1" x14ac:dyDescent="0.25">
      <c r="A9844" s="17"/>
    </row>
    <row r="9845" spans="1:1" x14ac:dyDescent="0.25">
      <c r="A9845" s="17"/>
    </row>
    <row r="9846" spans="1:1" x14ac:dyDescent="0.25">
      <c r="A9846" s="17"/>
    </row>
    <row r="9847" spans="1:1" x14ac:dyDescent="0.25">
      <c r="A9847" s="17"/>
    </row>
    <row r="9848" spans="1:1" x14ac:dyDescent="0.25">
      <c r="A9848" s="17"/>
    </row>
    <row r="9849" spans="1:1" x14ac:dyDescent="0.25">
      <c r="A9849" s="17"/>
    </row>
    <row r="9850" spans="1:1" x14ac:dyDescent="0.25">
      <c r="A9850" s="17"/>
    </row>
    <row r="9851" spans="1:1" x14ac:dyDescent="0.25">
      <c r="A9851" s="17"/>
    </row>
    <row r="9852" spans="1:1" x14ac:dyDescent="0.25">
      <c r="A9852" s="17"/>
    </row>
    <row r="9853" spans="1:1" x14ac:dyDescent="0.25">
      <c r="A9853" s="17"/>
    </row>
    <row r="9854" spans="1:1" x14ac:dyDescent="0.25">
      <c r="A9854" s="17"/>
    </row>
    <row r="9855" spans="1:1" x14ac:dyDescent="0.25">
      <c r="A9855" s="17"/>
    </row>
    <row r="9856" spans="1:1" x14ac:dyDescent="0.25">
      <c r="A9856" s="17"/>
    </row>
    <row r="9857" spans="1:1" x14ac:dyDescent="0.25">
      <c r="A9857" s="17"/>
    </row>
    <row r="9858" spans="1:1" x14ac:dyDescent="0.25">
      <c r="A9858" s="17"/>
    </row>
    <row r="9859" spans="1:1" x14ac:dyDescent="0.25">
      <c r="A9859" s="17"/>
    </row>
    <row r="9860" spans="1:1" x14ac:dyDescent="0.25">
      <c r="A9860" s="17"/>
    </row>
    <row r="9861" spans="1:1" x14ac:dyDescent="0.25">
      <c r="A9861" s="17"/>
    </row>
    <row r="9862" spans="1:1" x14ac:dyDescent="0.25">
      <c r="A9862" s="17"/>
    </row>
    <row r="9863" spans="1:1" x14ac:dyDescent="0.25">
      <c r="A9863" s="17"/>
    </row>
    <row r="9864" spans="1:1" x14ac:dyDescent="0.25">
      <c r="A9864" s="17"/>
    </row>
    <row r="9865" spans="1:1" x14ac:dyDescent="0.25">
      <c r="A9865" s="17"/>
    </row>
    <row r="9866" spans="1:1" x14ac:dyDescent="0.25">
      <c r="A9866" s="17"/>
    </row>
    <row r="9867" spans="1:1" x14ac:dyDescent="0.25">
      <c r="A9867" s="17"/>
    </row>
    <row r="9868" spans="1:1" x14ac:dyDescent="0.25">
      <c r="A9868" s="17"/>
    </row>
    <row r="9869" spans="1:1" x14ac:dyDescent="0.25">
      <c r="A9869" s="17"/>
    </row>
    <row r="9870" spans="1:1" x14ac:dyDescent="0.25">
      <c r="A9870" s="17"/>
    </row>
    <row r="9871" spans="1:1" x14ac:dyDescent="0.25">
      <c r="A9871" s="17"/>
    </row>
    <row r="9872" spans="1:1" x14ac:dyDescent="0.25">
      <c r="A9872" s="17"/>
    </row>
    <row r="9873" spans="1:1" x14ac:dyDescent="0.25">
      <c r="A9873" s="17"/>
    </row>
    <row r="9874" spans="1:1" x14ac:dyDescent="0.25">
      <c r="A9874" s="17"/>
    </row>
    <row r="9875" spans="1:1" x14ac:dyDescent="0.25">
      <c r="A9875" s="17"/>
    </row>
    <row r="9876" spans="1:1" x14ac:dyDescent="0.25">
      <c r="A9876" s="17"/>
    </row>
    <row r="9877" spans="1:1" x14ac:dyDescent="0.25">
      <c r="A9877" s="17"/>
    </row>
    <row r="9878" spans="1:1" x14ac:dyDescent="0.25">
      <c r="A9878" s="17"/>
    </row>
    <row r="9879" spans="1:1" x14ac:dyDescent="0.25">
      <c r="A9879" s="17"/>
    </row>
    <row r="9880" spans="1:1" x14ac:dyDescent="0.25">
      <c r="A9880" s="17"/>
    </row>
    <row r="9881" spans="1:1" x14ac:dyDescent="0.25">
      <c r="A9881" s="17"/>
    </row>
    <row r="9882" spans="1:1" x14ac:dyDescent="0.25">
      <c r="A9882" s="17"/>
    </row>
    <row r="9883" spans="1:1" x14ac:dyDescent="0.25">
      <c r="A9883" s="17"/>
    </row>
    <row r="9884" spans="1:1" x14ac:dyDescent="0.25">
      <c r="A9884" s="17"/>
    </row>
    <row r="9885" spans="1:1" x14ac:dyDescent="0.25">
      <c r="A9885" s="17"/>
    </row>
    <row r="9886" spans="1:1" x14ac:dyDescent="0.25">
      <c r="A9886" s="17"/>
    </row>
    <row r="9887" spans="1:1" x14ac:dyDescent="0.25">
      <c r="A9887" s="17"/>
    </row>
    <row r="9888" spans="1:1" x14ac:dyDescent="0.25">
      <c r="A9888" s="17"/>
    </row>
    <row r="9889" spans="1:1" x14ac:dyDescent="0.25">
      <c r="A9889" s="17"/>
    </row>
    <row r="9890" spans="1:1" x14ac:dyDescent="0.25">
      <c r="A9890" s="17"/>
    </row>
    <row r="9891" spans="1:1" x14ac:dyDescent="0.25">
      <c r="A9891" s="17"/>
    </row>
    <row r="9892" spans="1:1" x14ac:dyDescent="0.25">
      <c r="A9892" s="17"/>
    </row>
    <row r="9893" spans="1:1" x14ac:dyDescent="0.25">
      <c r="A9893" s="17"/>
    </row>
    <row r="9894" spans="1:1" x14ac:dyDescent="0.25">
      <c r="A9894" s="17"/>
    </row>
    <row r="9895" spans="1:1" x14ac:dyDescent="0.25">
      <c r="A9895" s="17"/>
    </row>
    <row r="9896" spans="1:1" x14ac:dyDescent="0.25">
      <c r="A9896" s="17"/>
    </row>
    <row r="9897" spans="1:1" x14ac:dyDescent="0.25">
      <c r="A9897" s="17"/>
    </row>
    <row r="9898" spans="1:1" x14ac:dyDescent="0.25">
      <c r="A9898" s="17"/>
    </row>
    <row r="9899" spans="1:1" x14ac:dyDescent="0.25">
      <c r="A9899" s="17"/>
    </row>
    <row r="9900" spans="1:1" x14ac:dyDescent="0.25">
      <c r="A9900" s="17"/>
    </row>
    <row r="9901" spans="1:1" x14ac:dyDescent="0.25">
      <c r="A9901" s="17"/>
    </row>
    <row r="9902" spans="1:1" x14ac:dyDescent="0.25">
      <c r="A9902" s="17"/>
    </row>
    <row r="9903" spans="1:1" x14ac:dyDescent="0.25">
      <c r="A9903" s="17"/>
    </row>
    <row r="9904" spans="1:1" x14ac:dyDescent="0.25">
      <c r="A9904" s="17"/>
    </row>
    <row r="9905" spans="1:1" x14ac:dyDescent="0.25">
      <c r="A9905" s="17"/>
    </row>
    <row r="9906" spans="1:1" x14ac:dyDescent="0.25">
      <c r="A9906" s="17"/>
    </row>
    <row r="9907" spans="1:1" x14ac:dyDescent="0.25">
      <c r="A9907" s="17"/>
    </row>
    <row r="9908" spans="1:1" x14ac:dyDescent="0.25">
      <c r="A9908" s="17"/>
    </row>
    <row r="9909" spans="1:1" x14ac:dyDescent="0.25">
      <c r="A9909" s="17"/>
    </row>
    <row r="9910" spans="1:1" x14ac:dyDescent="0.25">
      <c r="A9910" s="17"/>
    </row>
    <row r="9911" spans="1:1" x14ac:dyDescent="0.25">
      <c r="A9911" s="17"/>
    </row>
    <row r="9912" spans="1:1" x14ac:dyDescent="0.25">
      <c r="A9912" s="17"/>
    </row>
    <row r="9913" spans="1:1" x14ac:dyDescent="0.25">
      <c r="A9913" s="17"/>
    </row>
    <row r="9914" spans="1:1" x14ac:dyDescent="0.25">
      <c r="A9914" s="17"/>
    </row>
    <row r="9915" spans="1:1" x14ac:dyDescent="0.25">
      <c r="A9915" s="17"/>
    </row>
    <row r="9916" spans="1:1" x14ac:dyDescent="0.25">
      <c r="A9916" s="17"/>
    </row>
    <row r="9917" spans="1:1" x14ac:dyDescent="0.25">
      <c r="A9917" s="17"/>
    </row>
    <row r="9918" spans="1:1" x14ac:dyDescent="0.25">
      <c r="A9918" s="17"/>
    </row>
    <row r="9919" spans="1:1" x14ac:dyDescent="0.25">
      <c r="A9919" s="17"/>
    </row>
    <row r="9920" spans="1:1" x14ac:dyDescent="0.25">
      <c r="A9920" s="17"/>
    </row>
    <row r="9921" spans="1:1" x14ac:dyDescent="0.25">
      <c r="A9921" s="17"/>
    </row>
    <row r="9922" spans="1:1" x14ac:dyDescent="0.25">
      <c r="A9922" s="17"/>
    </row>
    <row r="9923" spans="1:1" x14ac:dyDescent="0.25">
      <c r="A9923" s="17"/>
    </row>
    <row r="9924" spans="1:1" x14ac:dyDescent="0.25">
      <c r="A9924" s="17"/>
    </row>
    <row r="9925" spans="1:1" x14ac:dyDescent="0.25">
      <c r="A9925" s="17"/>
    </row>
    <row r="9926" spans="1:1" x14ac:dyDescent="0.25">
      <c r="A9926" s="17"/>
    </row>
    <row r="9927" spans="1:1" x14ac:dyDescent="0.25">
      <c r="A9927" s="17"/>
    </row>
    <row r="9928" spans="1:1" x14ac:dyDescent="0.25">
      <c r="A9928" s="17"/>
    </row>
    <row r="9929" spans="1:1" x14ac:dyDescent="0.25">
      <c r="A9929" s="17"/>
    </row>
    <row r="9930" spans="1:1" x14ac:dyDescent="0.25">
      <c r="A9930" s="17"/>
    </row>
    <row r="9931" spans="1:1" x14ac:dyDescent="0.25">
      <c r="A9931" s="17"/>
    </row>
    <row r="9932" spans="1:1" x14ac:dyDescent="0.25">
      <c r="A9932" s="17"/>
    </row>
    <row r="9933" spans="1:1" x14ac:dyDescent="0.25">
      <c r="A9933" s="17"/>
    </row>
    <row r="9934" spans="1:1" x14ac:dyDescent="0.25">
      <c r="A9934" s="17"/>
    </row>
    <row r="9935" spans="1:1" x14ac:dyDescent="0.25">
      <c r="A9935" s="17"/>
    </row>
    <row r="9936" spans="1:1" x14ac:dyDescent="0.25">
      <c r="A9936" s="17"/>
    </row>
    <row r="9937" spans="1:1" x14ac:dyDescent="0.25">
      <c r="A9937" s="17"/>
    </row>
    <row r="9938" spans="1:1" x14ac:dyDescent="0.25">
      <c r="A9938" s="17"/>
    </row>
    <row r="9939" spans="1:1" x14ac:dyDescent="0.25">
      <c r="A9939" s="17"/>
    </row>
    <row r="9940" spans="1:1" x14ac:dyDescent="0.25">
      <c r="A9940" s="17"/>
    </row>
    <row r="9941" spans="1:1" x14ac:dyDescent="0.25">
      <c r="A9941" s="17"/>
    </row>
    <row r="9942" spans="1:1" x14ac:dyDescent="0.25">
      <c r="A9942" s="17"/>
    </row>
    <row r="9943" spans="1:1" x14ac:dyDescent="0.25">
      <c r="A9943" s="17"/>
    </row>
    <row r="9944" spans="1:1" x14ac:dyDescent="0.25">
      <c r="A9944" s="17"/>
    </row>
    <row r="9945" spans="1:1" x14ac:dyDescent="0.25">
      <c r="A9945" s="17"/>
    </row>
    <row r="9946" spans="1:1" x14ac:dyDescent="0.25">
      <c r="A9946" s="17"/>
    </row>
    <row r="9947" spans="1:1" x14ac:dyDescent="0.25">
      <c r="A9947" s="17"/>
    </row>
    <row r="9948" spans="1:1" x14ac:dyDescent="0.25">
      <c r="A9948" s="17"/>
    </row>
    <row r="9949" spans="1:1" x14ac:dyDescent="0.25">
      <c r="A9949" s="17"/>
    </row>
    <row r="9950" spans="1:1" x14ac:dyDescent="0.25">
      <c r="A9950" s="17"/>
    </row>
    <row r="9951" spans="1:1" x14ac:dyDescent="0.25">
      <c r="A9951" s="17"/>
    </row>
    <row r="9952" spans="1:1" x14ac:dyDescent="0.25">
      <c r="A9952" s="17"/>
    </row>
    <row r="9953" spans="1:1" x14ac:dyDescent="0.25">
      <c r="A9953" s="17"/>
    </row>
    <row r="9954" spans="1:1" x14ac:dyDescent="0.25">
      <c r="A9954" s="17"/>
    </row>
    <row r="9955" spans="1:1" x14ac:dyDescent="0.25">
      <c r="A9955" s="17"/>
    </row>
    <row r="9956" spans="1:1" x14ac:dyDescent="0.25">
      <c r="A9956" s="17"/>
    </row>
    <row r="9957" spans="1:1" x14ac:dyDescent="0.25">
      <c r="A9957" s="17"/>
    </row>
    <row r="9958" spans="1:1" x14ac:dyDescent="0.25">
      <c r="A9958" s="17"/>
    </row>
    <row r="9959" spans="1:1" x14ac:dyDescent="0.25">
      <c r="A9959" s="17"/>
    </row>
    <row r="9960" spans="1:1" x14ac:dyDescent="0.25">
      <c r="A9960" s="17"/>
    </row>
    <row r="9961" spans="1:1" x14ac:dyDescent="0.25">
      <c r="A9961" s="17"/>
    </row>
    <row r="9962" spans="1:1" x14ac:dyDescent="0.25">
      <c r="A9962" s="17"/>
    </row>
    <row r="9963" spans="1:1" x14ac:dyDescent="0.25">
      <c r="A9963" s="17"/>
    </row>
    <row r="9964" spans="1:1" x14ac:dyDescent="0.25">
      <c r="A9964" s="17"/>
    </row>
    <row r="9965" spans="1:1" x14ac:dyDescent="0.25">
      <c r="A9965" s="17"/>
    </row>
    <row r="9966" spans="1:1" x14ac:dyDescent="0.25">
      <c r="A9966" s="17"/>
    </row>
    <row r="9967" spans="1:1" x14ac:dyDescent="0.25">
      <c r="A9967" s="17"/>
    </row>
    <row r="9968" spans="1:1" x14ac:dyDescent="0.25">
      <c r="A9968" s="17"/>
    </row>
    <row r="9969" spans="1:1" x14ac:dyDescent="0.25">
      <c r="A9969" s="17"/>
    </row>
    <row r="9970" spans="1:1" x14ac:dyDescent="0.25">
      <c r="A9970" s="17"/>
    </row>
    <row r="9971" spans="1:1" x14ac:dyDescent="0.25">
      <c r="A9971" s="17"/>
    </row>
    <row r="9972" spans="1:1" x14ac:dyDescent="0.25">
      <c r="A9972" s="17"/>
    </row>
    <row r="9973" spans="1:1" x14ac:dyDescent="0.25">
      <c r="A9973" s="17"/>
    </row>
    <row r="9974" spans="1:1" x14ac:dyDescent="0.25">
      <c r="A9974" s="17"/>
    </row>
    <row r="9975" spans="1:1" x14ac:dyDescent="0.25">
      <c r="A9975" s="17"/>
    </row>
    <row r="9976" spans="1:1" x14ac:dyDescent="0.25">
      <c r="A9976" s="17"/>
    </row>
    <row r="9977" spans="1:1" x14ac:dyDescent="0.25">
      <c r="A9977" s="17"/>
    </row>
    <row r="9978" spans="1:1" x14ac:dyDescent="0.25">
      <c r="A9978" s="17"/>
    </row>
    <row r="9979" spans="1:1" x14ac:dyDescent="0.25">
      <c r="A9979" s="17"/>
    </row>
    <row r="9980" spans="1:1" x14ac:dyDescent="0.25">
      <c r="A9980" s="17"/>
    </row>
    <row r="9981" spans="1:1" x14ac:dyDescent="0.25">
      <c r="A9981" s="17"/>
    </row>
    <row r="9982" spans="1:1" x14ac:dyDescent="0.25">
      <c r="A9982" s="17"/>
    </row>
    <row r="9983" spans="1:1" x14ac:dyDescent="0.25">
      <c r="A9983" s="17"/>
    </row>
    <row r="9984" spans="1:1" x14ac:dyDescent="0.25">
      <c r="A9984" s="17"/>
    </row>
    <row r="9985" spans="1:1" x14ac:dyDescent="0.25">
      <c r="A9985" s="17"/>
    </row>
    <row r="9986" spans="1:1" x14ac:dyDescent="0.25">
      <c r="A9986" s="17"/>
    </row>
    <row r="9987" spans="1:1" x14ac:dyDescent="0.25">
      <c r="A9987" s="17"/>
    </row>
    <row r="9988" spans="1:1" x14ac:dyDescent="0.25">
      <c r="A9988" s="17"/>
    </row>
    <row r="9989" spans="1:1" x14ac:dyDescent="0.25">
      <c r="A9989" s="17"/>
    </row>
    <row r="9990" spans="1:1" x14ac:dyDescent="0.25">
      <c r="A9990" s="17"/>
    </row>
    <row r="9991" spans="1:1" x14ac:dyDescent="0.25">
      <c r="A9991" s="17"/>
    </row>
    <row r="9992" spans="1:1" x14ac:dyDescent="0.25">
      <c r="A9992" s="17"/>
    </row>
    <row r="9993" spans="1:1" x14ac:dyDescent="0.25">
      <c r="A9993" s="17"/>
    </row>
    <row r="9994" spans="1:1" x14ac:dyDescent="0.25">
      <c r="A9994" s="17"/>
    </row>
    <row r="9995" spans="1:1" x14ac:dyDescent="0.25">
      <c r="A9995" s="17"/>
    </row>
    <row r="9996" spans="1:1" x14ac:dyDescent="0.25">
      <c r="A9996" s="17"/>
    </row>
    <row r="9997" spans="1:1" x14ac:dyDescent="0.25">
      <c r="A9997" s="17"/>
    </row>
    <row r="9998" spans="1:1" x14ac:dyDescent="0.25">
      <c r="A9998" s="17"/>
    </row>
    <row r="9999" spans="1:1" x14ac:dyDescent="0.25">
      <c r="A9999" s="17"/>
    </row>
    <row r="10000" spans="1:1" x14ac:dyDescent="0.25">
      <c r="A10000" s="17"/>
    </row>
    <row r="10001" spans="1:1" x14ac:dyDescent="0.25">
      <c r="A10001" s="17"/>
    </row>
    <row r="10002" spans="1:1" x14ac:dyDescent="0.25">
      <c r="A10002" s="17"/>
    </row>
    <row r="10003" spans="1:1" x14ac:dyDescent="0.25">
      <c r="A10003" s="17"/>
    </row>
    <row r="10004" spans="1:1" x14ac:dyDescent="0.25">
      <c r="A10004" s="17"/>
    </row>
    <row r="10005" spans="1:1" x14ac:dyDescent="0.25">
      <c r="A10005" s="17"/>
    </row>
    <row r="10006" spans="1:1" x14ac:dyDescent="0.25">
      <c r="A10006" s="17"/>
    </row>
    <row r="10007" spans="1:1" x14ac:dyDescent="0.25">
      <c r="A10007" s="17"/>
    </row>
    <row r="10008" spans="1:1" x14ac:dyDescent="0.25">
      <c r="A10008" s="17"/>
    </row>
    <row r="10009" spans="1:1" x14ac:dyDescent="0.25">
      <c r="A10009" s="17"/>
    </row>
    <row r="10010" spans="1:1" x14ac:dyDescent="0.25">
      <c r="A10010" s="17"/>
    </row>
    <row r="10011" spans="1:1" x14ac:dyDescent="0.25">
      <c r="A10011" s="17"/>
    </row>
    <row r="10012" spans="1:1" x14ac:dyDescent="0.25">
      <c r="A10012" s="17"/>
    </row>
    <row r="10013" spans="1:1" x14ac:dyDescent="0.25">
      <c r="A10013" s="17"/>
    </row>
    <row r="10014" spans="1:1" x14ac:dyDescent="0.25">
      <c r="A10014" s="17"/>
    </row>
    <row r="10015" spans="1:1" x14ac:dyDescent="0.25">
      <c r="A10015" s="17"/>
    </row>
    <row r="10016" spans="1:1" x14ac:dyDescent="0.25">
      <c r="A10016" s="17"/>
    </row>
    <row r="10017" spans="1:1" x14ac:dyDescent="0.25">
      <c r="A10017" s="17"/>
    </row>
    <row r="10018" spans="1:1" x14ac:dyDescent="0.25">
      <c r="A10018" s="17"/>
    </row>
    <row r="10019" spans="1:1" x14ac:dyDescent="0.25">
      <c r="A10019" s="17"/>
    </row>
    <row r="10020" spans="1:1" x14ac:dyDescent="0.25">
      <c r="A10020" s="17"/>
    </row>
    <row r="10021" spans="1:1" x14ac:dyDescent="0.25">
      <c r="A10021" s="17"/>
    </row>
    <row r="10022" spans="1:1" x14ac:dyDescent="0.25">
      <c r="A10022" s="17"/>
    </row>
    <row r="10023" spans="1:1" x14ac:dyDescent="0.25">
      <c r="A10023" s="17"/>
    </row>
    <row r="10024" spans="1:1" x14ac:dyDescent="0.25">
      <c r="A10024" s="17"/>
    </row>
    <row r="10025" spans="1:1" x14ac:dyDescent="0.25">
      <c r="A10025" s="17"/>
    </row>
    <row r="10026" spans="1:1" x14ac:dyDescent="0.25">
      <c r="A10026" s="17"/>
    </row>
    <row r="10027" spans="1:1" x14ac:dyDescent="0.25">
      <c r="A10027" s="17"/>
    </row>
    <row r="10028" spans="1:1" x14ac:dyDescent="0.25">
      <c r="A10028" s="17"/>
    </row>
    <row r="10029" spans="1:1" x14ac:dyDescent="0.25">
      <c r="A10029" s="17"/>
    </row>
    <row r="10030" spans="1:1" x14ac:dyDescent="0.25">
      <c r="A10030" s="17"/>
    </row>
    <row r="10031" spans="1:1" x14ac:dyDescent="0.25">
      <c r="A10031" s="17"/>
    </row>
    <row r="10032" spans="1:1" x14ac:dyDescent="0.25">
      <c r="A10032" s="17"/>
    </row>
    <row r="10033" spans="1:1" x14ac:dyDescent="0.25">
      <c r="A10033" s="17"/>
    </row>
    <row r="10034" spans="1:1" x14ac:dyDescent="0.25">
      <c r="A10034" s="17"/>
    </row>
    <row r="10035" spans="1:1" x14ac:dyDescent="0.25">
      <c r="A10035" s="17"/>
    </row>
    <row r="10036" spans="1:1" x14ac:dyDescent="0.25">
      <c r="A10036" s="17"/>
    </row>
    <row r="10037" spans="1:1" x14ac:dyDescent="0.25">
      <c r="A10037" s="17"/>
    </row>
    <row r="10038" spans="1:1" x14ac:dyDescent="0.25">
      <c r="A10038" s="17"/>
    </row>
    <row r="10039" spans="1:1" x14ac:dyDescent="0.25">
      <c r="A10039" s="17"/>
    </row>
    <row r="10040" spans="1:1" x14ac:dyDescent="0.25">
      <c r="A10040" s="17"/>
    </row>
    <row r="10041" spans="1:1" x14ac:dyDescent="0.25">
      <c r="A10041" s="17"/>
    </row>
    <row r="10042" spans="1:1" x14ac:dyDescent="0.25">
      <c r="A10042" s="17"/>
    </row>
    <row r="10043" spans="1:1" x14ac:dyDescent="0.25">
      <c r="A10043" s="17"/>
    </row>
    <row r="10044" spans="1:1" x14ac:dyDescent="0.25">
      <c r="A10044" s="17"/>
    </row>
    <row r="10045" spans="1:1" x14ac:dyDescent="0.25">
      <c r="A10045" s="17"/>
    </row>
    <row r="10046" spans="1:1" x14ac:dyDescent="0.25">
      <c r="A10046" s="17"/>
    </row>
    <row r="10047" spans="1:1" x14ac:dyDescent="0.25">
      <c r="A10047" s="17"/>
    </row>
    <row r="10048" spans="1:1" x14ac:dyDescent="0.25">
      <c r="A10048" s="17"/>
    </row>
    <row r="10049" spans="1:1" x14ac:dyDescent="0.25">
      <c r="A10049" s="17"/>
    </row>
    <row r="10050" spans="1:1" x14ac:dyDescent="0.25">
      <c r="A10050" s="17"/>
    </row>
    <row r="10051" spans="1:1" x14ac:dyDescent="0.25">
      <c r="A10051" s="17"/>
    </row>
    <row r="10052" spans="1:1" x14ac:dyDescent="0.25">
      <c r="A10052" s="17"/>
    </row>
    <row r="10053" spans="1:1" x14ac:dyDescent="0.25">
      <c r="A10053" s="17"/>
    </row>
    <row r="10054" spans="1:1" x14ac:dyDescent="0.25">
      <c r="A10054" s="17"/>
    </row>
    <row r="10055" spans="1:1" x14ac:dyDescent="0.25">
      <c r="A10055" s="17"/>
    </row>
    <row r="10056" spans="1:1" x14ac:dyDescent="0.25">
      <c r="A10056" s="17"/>
    </row>
    <row r="10057" spans="1:1" x14ac:dyDescent="0.25">
      <c r="A10057" s="17"/>
    </row>
    <row r="10058" spans="1:1" x14ac:dyDescent="0.25">
      <c r="A10058" s="17"/>
    </row>
    <row r="10059" spans="1:1" x14ac:dyDescent="0.25">
      <c r="A10059" s="17"/>
    </row>
    <row r="10060" spans="1:1" x14ac:dyDescent="0.25">
      <c r="A10060" s="17"/>
    </row>
    <row r="10061" spans="1:1" x14ac:dyDescent="0.25">
      <c r="A10061" s="17"/>
    </row>
    <row r="10062" spans="1:1" x14ac:dyDescent="0.25">
      <c r="A10062" s="17"/>
    </row>
    <row r="10063" spans="1:1" x14ac:dyDescent="0.25">
      <c r="A10063" s="17"/>
    </row>
    <row r="10064" spans="1:1" x14ac:dyDescent="0.25">
      <c r="A10064" s="17"/>
    </row>
    <row r="10065" spans="1:1" x14ac:dyDescent="0.25">
      <c r="A10065" s="17"/>
    </row>
    <row r="10066" spans="1:1" x14ac:dyDescent="0.25">
      <c r="A10066" s="17"/>
    </row>
    <row r="10067" spans="1:1" x14ac:dyDescent="0.25">
      <c r="A10067" s="17"/>
    </row>
    <row r="10068" spans="1:1" x14ac:dyDescent="0.25">
      <c r="A10068" s="17"/>
    </row>
    <row r="10069" spans="1:1" x14ac:dyDescent="0.25">
      <c r="A10069" s="17"/>
    </row>
    <row r="10070" spans="1:1" x14ac:dyDescent="0.25">
      <c r="A10070" s="17"/>
    </row>
    <row r="10071" spans="1:1" x14ac:dyDescent="0.25">
      <c r="A10071" s="17"/>
    </row>
    <row r="10072" spans="1:1" x14ac:dyDescent="0.25">
      <c r="A10072" s="17"/>
    </row>
    <row r="10073" spans="1:1" x14ac:dyDescent="0.25">
      <c r="A10073" s="17"/>
    </row>
    <row r="10074" spans="1:1" x14ac:dyDescent="0.25">
      <c r="A10074" s="17"/>
    </row>
    <row r="10075" spans="1:1" x14ac:dyDescent="0.25">
      <c r="A10075" s="17"/>
    </row>
    <row r="10076" spans="1:1" x14ac:dyDescent="0.25">
      <c r="A10076" s="17"/>
    </row>
    <row r="10077" spans="1:1" x14ac:dyDescent="0.25">
      <c r="A10077" s="17"/>
    </row>
    <row r="10078" spans="1:1" x14ac:dyDescent="0.25">
      <c r="A10078" s="17"/>
    </row>
    <row r="10079" spans="1:1" x14ac:dyDescent="0.25">
      <c r="A10079" s="17"/>
    </row>
    <row r="10080" spans="1:1" x14ac:dyDescent="0.25">
      <c r="A10080" s="17"/>
    </row>
    <row r="10081" spans="1:1" x14ac:dyDescent="0.25">
      <c r="A10081" s="17"/>
    </row>
    <row r="10082" spans="1:1" x14ac:dyDescent="0.25">
      <c r="A10082" s="17"/>
    </row>
    <row r="10083" spans="1:1" x14ac:dyDescent="0.25">
      <c r="A10083" s="17"/>
    </row>
    <row r="10084" spans="1:1" x14ac:dyDescent="0.25">
      <c r="A10084" s="17"/>
    </row>
    <row r="10085" spans="1:1" x14ac:dyDescent="0.25">
      <c r="A10085" s="17"/>
    </row>
    <row r="10086" spans="1:1" x14ac:dyDescent="0.25">
      <c r="A10086" s="17"/>
    </row>
    <row r="10087" spans="1:1" x14ac:dyDescent="0.25">
      <c r="A10087" s="17"/>
    </row>
    <row r="10088" spans="1:1" x14ac:dyDescent="0.25">
      <c r="A10088" s="17"/>
    </row>
    <row r="10089" spans="1:1" x14ac:dyDescent="0.25">
      <c r="A10089" s="17"/>
    </row>
    <row r="10090" spans="1:1" x14ac:dyDescent="0.25">
      <c r="A10090" s="17"/>
    </row>
    <row r="10091" spans="1:1" x14ac:dyDescent="0.25">
      <c r="A10091" s="17"/>
    </row>
    <row r="10092" spans="1:1" x14ac:dyDescent="0.25">
      <c r="A10092" s="17"/>
    </row>
    <row r="10093" spans="1:1" x14ac:dyDescent="0.25">
      <c r="A10093" s="17"/>
    </row>
    <row r="10094" spans="1:1" x14ac:dyDescent="0.25">
      <c r="A10094" s="17"/>
    </row>
    <row r="10095" spans="1:1" x14ac:dyDescent="0.25">
      <c r="A10095" s="17"/>
    </row>
    <row r="10096" spans="1:1" x14ac:dyDescent="0.25">
      <c r="A10096" s="17"/>
    </row>
    <row r="10097" spans="1:1" x14ac:dyDescent="0.25">
      <c r="A10097" s="17"/>
    </row>
    <row r="10098" spans="1:1" x14ac:dyDescent="0.25">
      <c r="A10098" s="17"/>
    </row>
    <row r="10099" spans="1:1" x14ac:dyDescent="0.25">
      <c r="A10099" s="17"/>
    </row>
    <row r="10100" spans="1:1" x14ac:dyDescent="0.25">
      <c r="A10100" s="17"/>
    </row>
    <row r="10101" spans="1:1" x14ac:dyDescent="0.25">
      <c r="A10101" s="17"/>
    </row>
    <row r="10102" spans="1:1" x14ac:dyDescent="0.25">
      <c r="A10102" s="17"/>
    </row>
    <row r="10103" spans="1:1" x14ac:dyDescent="0.25">
      <c r="A10103" s="17"/>
    </row>
    <row r="10104" spans="1:1" x14ac:dyDescent="0.25">
      <c r="A10104" s="17"/>
    </row>
    <row r="10105" spans="1:1" x14ac:dyDescent="0.25">
      <c r="A10105" s="17"/>
    </row>
    <row r="10106" spans="1:1" x14ac:dyDescent="0.25">
      <c r="A10106" s="17"/>
    </row>
    <row r="10107" spans="1:1" x14ac:dyDescent="0.25">
      <c r="A10107" s="17"/>
    </row>
    <row r="10108" spans="1:1" x14ac:dyDescent="0.25">
      <c r="A10108" s="17"/>
    </row>
    <row r="10109" spans="1:1" x14ac:dyDescent="0.25">
      <c r="A10109" s="17"/>
    </row>
    <row r="10110" spans="1:1" x14ac:dyDescent="0.25">
      <c r="A10110" s="17"/>
    </row>
    <row r="10111" spans="1:1" x14ac:dyDescent="0.25">
      <c r="A10111" s="17"/>
    </row>
    <row r="10112" spans="1:1" x14ac:dyDescent="0.25">
      <c r="A10112" s="17"/>
    </row>
    <row r="10113" spans="1:1" x14ac:dyDescent="0.25">
      <c r="A10113" s="17"/>
    </row>
    <row r="10114" spans="1:1" x14ac:dyDescent="0.25">
      <c r="A10114" s="17"/>
    </row>
    <row r="10115" spans="1:1" x14ac:dyDescent="0.25">
      <c r="A10115" s="17"/>
    </row>
    <row r="10116" spans="1:1" x14ac:dyDescent="0.25">
      <c r="A10116" s="17"/>
    </row>
    <row r="10117" spans="1:1" x14ac:dyDescent="0.25">
      <c r="A10117" s="17"/>
    </row>
    <row r="10118" spans="1:1" x14ac:dyDescent="0.25">
      <c r="A10118" s="17"/>
    </row>
    <row r="10119" spans="1:1" x14ac:dyDescent="0.25">
      <c r="A10119" s="17"/>
    </row>
    <row r="10120" spans="1:1" x14ac:dyDescent="0.25">
      <c r="A10120" s="17"/>
    </row>
    <row r="10121" spans="1:1" x14ac:dyDescent="0.25">
      <c r="A10121" s="17"/>
    </row>
    <row r="10122" spans="1:1" x14ac:dyDescent="0.25">
      <c r="A10122" s="17"/>
    </row>
    <row r="10123" spans="1:1" x14ac:dyDescent="0.25">
      <c r="A10123" s="17"/>
    </row>
    <row r="10124" spans="1:1" x14ac:dyDescent="0.25">
      <c r="A10124" s="17"/>
    </row>
    <row r="10125" spans="1:1" x14ac:dyDescent="0.25">
      <c r="A10125" s="17"/>
    </row>
    <row r="10126" spans="1:1" x14ac:dyDescent="0.25">
      <c r="A10126" s="17"/>
    </row>
    <row r="10127" spans="1:1" x14ac:dyDescent="0.25">
      <c r="A10127" s="17"/>
    </row>
    <row r="10128" spans="1:1" x14ac:dyDescent="0.25">
      <c r="A10128" s="17"/>
    </row>
    <row r="10129" spans="1:1" x14ac:dyDescent="0.25">
      <c r="A10129" s="17"/>
    </row>
    <row r="10130" spans="1:1" x14ac:dyDescent="0.25">
      <c r="A10130" s="17"/>
    </row>
    <row r="10131" spans="1:1" x14ac:dyDescent="0.25">
      <c r="A10131" s="17"/>
    </row>
    <row r="10132" spans="1:1" x14ac:dyDescent="0.25">
      <c r="A10132" s="17"/>
    </row>
    <row r="10133" spans="1:1" x14ac:dyDescent="0.25">
      <c r="A10133" s="17"/>
    </row>
    <row r="10134" spans="1:1" x14ac:dyDescent="0.25">
      <c r="A10134" s="17"/>
    </row>
    <row r="10135" spans="1:1" x14ac:dyDescent="0.25">
      <c r="A10135" s="17"/>
    </row>
    <row r="10136" spans="1:1" x14ac:dyDescent="0.25">
      <c r="A10136" s="17"/>
    </row>
    <row r="10137" spans="1:1" x14ac:dyDescent="0.25">
      <c r="A10137" s="17"/>
    </row>
    <row r="10138" spans="1:1" x14ac:dyDescent="0.25">
      <c r="A10138" s="17"/>
    </row>
    <row r="10139" spans="1:1" x14ac:dyDescent="0.25">
      <c r="A10139" s="17"/>
    </row>
    <row r="10140" spans="1:1" x14ac:dyDescent="0.25">
      <c r="A10140" s="17"/>
    </row>
    <row r="10141" spans="1:1" x14ac:dyDescent="0.25">
      <c r="A10141" s="17"/>
    </row>
    <row r="10142" spans="1:1" x14ac:dyDescent="0.25">
      <c r="A10142" s="17"/>
    </row>
    <row r="10143" spans="1:1" x14ac:dyDescent="0.25">
      <c r="A10143" s="17"/>
    </row>
    <row r="10144" spans="1:1" x14ac:dyDescent="0.25">
      <c r="A10144" s="17"/>
    </row>
    <row r="10145" spans="1:1" x14ac:dyDescent="0.25">
      <c r="A10145" s="17"/>
    </row>
    <row r="10146" spans="1:1" x14ac:dyDescent="0.25">
      <c r="A10146" s="17"/>
    </row>
    <row r="10147" spans="1:1" x14ac:dyDescent="0.25">
      <c r="A10147" s="17"/>
    </row>
    <row r="10148" spans="1:1" x14ac:dyDescent="0.25">
      <c r="A10148" s="17"/>
    </row>
    <row r="10149" spans="1:1" x14ac:dyDescent="0.25">
      <c r="A10149" s="17"/>
    </row>
    <row r="10150" spans="1:1" x14ac:dyDescent="0.25">
      <c r="A10150" s="17"/>
    </row>
    <row r="10151" spans="1:1" x14ac:dyDescent="0.25">
      <c r="A10151" s="17"/>
    </row>
    <row r="10152" spans="1:1" x14ac:dyDescent="0.25">
      <c r="A10152" s="17"/>
    </row>
    <row r="10153" spans="1:1" x14ac:dyDescent="0.25">
      <c r="A10153" s="17"/>
    </row>
    <row r="10154" spans="1:1" x14ac:dyDescent="0.25">
      <c r="A10154" s="17"/>
    </row>
    <row r="10155" spans="1:1" x14ac:dyDescent="0.25">
      <c r="A10155" s="17"/>
    </row>
    <row r="10156" spans="1:1" x14ac:dyDescent="0.25">
      <c r="A10156" s="17"/>
    </row>
    <row r="10157" spans="1:1" x14ac:dyDescent="0.25">
      <c r="A10157" s="17"/>
    </row>
    <row r="10158" spans="1:1" x14ac:dyDescent="0.25">
      <c r="A10158" s="17"/>
    </row>
    <row r="10159" spans="1:1" x14ac:dyDescent="0.25">
      <c r="A10159" s="17"/>
    </row>
    <row r="10160" spans="1:1" x14ac:dyDescent="0.25">
      <c r="A10160" s="17"/>
    </row>
    <row r="10161" spans="1:1" x14ac:dyDescent="0.25">
      <c r="A10161" s="17"/>
    </row>
    <row r="10162" spans="1:1" x14ac:dyDescent="0.25">
      <c r="A10162" s="17"/>
    </row>
    <row r="10163" spans="1:1" x14ac:dyDescent="0.25">
      <c r="A10163" s="17"/>
    </row>
    <row r="10164" spans="1:1" x14ac:dyDescent="0.25">
      <c r="A10164" s="17"/>
    </row>
    <row r="10165" spans="1:1" x14ac:dyDescent="0.25">
      <c r="A10165" s="17"/>
    </row>
    <row r="10166" spans="1:1" x14ac:dyDescent="0.25">
      <c r="A10166" s="17"/>
    </row>
    <row r="10167" spans="1:1" x14ac:dyDescent="0.25">
      <c r="A10167" s="17"/>
    </row>
    <row r="10168" spans="1:1" x14ac:dyDescent="0.25">
      <c r="A10168" s="17"/>
    </row>
    <row r="10169" spans="1:1" x14ac:dyDescent="0.25">
      <c r="A10169" s="17"/>
    </row>
    <row r="10170" spans="1:1" x14ac:dyDescent="0.25">
      <c r="A10170" s="17"/>
    </row>
    <row r="10171" spans="1:1" x14ac:dyDescent="0.25">
      <c r="A10171" s="17"/>
    </row>
    <row r="10172" spans="1:1" x14ac:dyDescent="0.25">
      <c r="A10172" s="17"/>
    </row>
    <row r="10173" spans="1:1" x14ac:dyDescent="0.25">
      <c r="A10173" s="17"/>
    </row>
    <row r="10174" spans="1:1" x14ac:dyDescent="0.25">
      <c r="A10174" s="17"/>
    </row>
    <row r="10175" spans="1:1" x14ac:dyDescent="0.25">
      <c r="A10175" s="17"/>
    </row>
    <row r="10176" spans="1:1" x14ac:dyDescent="0.25">
      <c r="A10176" s="17"/>
    </row>
    <row r="10177" spans="1:1" x14ac:dyDescent="0.25">
      <c r="A10177" s="17"/>
    </row>
    <row r="10178" spans="1:1" x14ac:dyDescent="0.25">
      <c r="A10178" s="17"/>
    </row>
    <row r="10179" spans="1:1" x14ac:dyDescent="0.25">
      <c r="A10179" s="17"/>
    </row>
    <row r="10180" spans="1:1" x14ac:dyDescent="0.25">
      <c r="A10180" s="17"/>
    </row>
    <row r="10181" spans="1:1" x14ac:dyDescent="0.25">
      <c r="A10181" s="17"/>
    </row>
    <row r="10182" spans="1:1" x14ac:dyDescent="0.25">
      <c r="A10182" s="17"/>
    </row>
    <row r="10183" spans="1:1" x14ac:dyDescent="0.25">
      <c r="A10183" s="17"/>
    </row>
    <row r="10184" spans="1:1" x14ac:dyDescent="0.25">
      <c r="A10184" s="17"/>
    </row>
    <row r="10185" spans="1:1" x14ac:dyDescent="0.25">
      <c r="A10185" s="17"/>
    </row>
    <row r="10186" spans="1:1" x14ac:dyDescent="0.25">
      <c r="A10186" s="17"/>
    </row>
    <row r="10187" spans="1:1" x14ac:dyDescent="0.25">
      <c r="A10187" s="17"/>
    </row>
    <row r="10188" spans="1:1" x14ac:dyDescent="0.25">
      <c r="A10188" s="17"/>
    </row>
    <row r="10189" spans="1:1" x14ac:dyDescent="0.25">
      <c r="A10189" s="17"/>
    </row>
    <row r="10190" spans="1:1" x14ac:dyDescent="0.25">
      <c r="A10190" s="17"/>
    </row>
    <row r="10191" spans="1:1" x14ac:dyDescent="0.25">
      <c r="A10191" s="17"/>
    </row>
    <row r="10192" spans="1:1" x14ac:dyDescent="0.25">
      <c r="A10192" s="17"/>
    </row>
    <row r="10193" spans="1:1" x14ac:dyDescent="0.25">
      <c r="A10193" s="17"/>
    </row>
    <row r="10194" spans="1:1" x14ac:dyDescent="0.25">
      <c r="A10194" s="17"/>
    </row>
    <row r="10195" spans="1:1" x14ac:dyDescent="0.25">
      <c r="A10195" s="17"/>
    </row>
    <row r="10196" spans="1:1" x14ac:dyDescent="0.25">
      <c r="A10196" s="17"/>
    </row>
    <row r="10197" spans="1:1" x14ac:dyDescent="0.25">
      <c r="A10197" s="17"/>
    </row>
    <row r="10198" spans="1:1" x14ac:dyDescent="0.25">
      <c r="A10198" s="17"/>
    </row>
    <row r="10199" spans="1:1" x14ac:dyDescent="0.25">
      <c r="A10199" s="17"/>
    </row>
    <row r="10200" spans="1:1" x14ac:dyDescent="0.25">
      <c r="A10200" s="17"/>
    </row>
    <row r="10201" spans="1:1" x14ac:dyDescent="0.25">
      <c r="A10201" s="17"/>
    </row>
    <row r="10202" spans="1:1" x14ac:dyDescent="0.25">
      <c r="A10202" s="17"/>
    </row>
    <row r="10203" spans="1:1" x14ac:dyDescent="0.25">
      <c r="A10203" s="17"/>
    </row>
    <row r="10204" spans="1:1" x14ac:dyDescent="0.25">
      <c r="A10204" s="17"/>
    </row>
    <row r="10205" spans="1:1" x14ac:dyDescent="0.25">
      <c r="A10205" s="17"/>
    </row>
    <row r="10206" spans="1:1" x14ac:dyDescent="0.25">
      <c r="A10206" s="17"/>
    </row>
    <row r="10207" spans="1:1" x14ac:dyDescent="0.25">
      <c r="A10207" s="17"/>
    </row>
    <row r="10208" spans="1:1" x14ac:dyDescent="0.25">
      <c r="A10208" s="17"/>
    </row>
    <row r="10209" spans="1:1" x14ac:dyDescent="0.25">
      <c r="A10209" s="17"/>
    </row>
    <row r="10210" spans="1:1" x14ac:dyDescent="0.25">
      <c r="A10210" s="17"/>
    </row>
    <row r="10211" spans="1:1" x14ac:dyDescent="0.25">
      <c r="A10211" s="17"/>
    </row>
    <row r="10212" spans="1:1" x14ac:dyDescent="0.25">
      <c r="A10212" s="17"/>
    </row>
    <row r="10213" spans="1:1" x14ac:dyDescent="0.25">
      <c r="A10213" s="17"/>
    </row>
    <row r="10214" spans="1:1" x14ac:dyDescent="0.25">
      <c r="A10214" s="17"/>
    </row>
    <row r="10215" spans="1:1" x14ac:dyDescent="0.25">
      <c r="A10215" s="17"/>
    </row>
    <row r="10216" spans="1:1" x14ac:dyDescent="0.25">
      <c r="A10216" s="17"/>
    </row>
    <row r="10217" spans="1:1" x14ac:dyDescent="0.25">
      <c r="A10217" s="17"/>
    </row>
    <row r="10218" spans="1:1" x14ac:dyDescent="0.25">
      <c r="A10218" s="17"/>
    </row>
    <row r="10219" spans="1:1" x14ac:dyDescent="0.25">
      <c r="A10219" s="17"/>
    </row>
    <row r="10220" spans="1:1" x14ac:dyDescent="0.25">
      <c r="A10220" s="17"/>
    </row>
    <row r="10221" spans="1:1" x14ac:dyDescent="0.25">
      <c r="A10221" s="17"/>
    </row>
    <row r="10222" spans="1:1" x14ac:dyDescent="0.25">
      <c r="A10222" s="17"/>
    </row>
    <row r="10223" spans="1:1" x14ac:dyDescent="0.25">
      <c r="A10223" s="17"/>
    </row>
    <row r="10224" spans="1:1" x14ac:dyDescent="0.25">
      <c r="A10224" s="17"/>
    </row>
    <row r="10225" spans="1:1" x14ac:dyDescent="0.25">
      <c r="A10225" s="17"/>
    </row>
    <row r="10226" spans="1:1" x14ac:dyDescent="0.25">
      <c r="A10226" s="17"/>
    </row>
    <row r="10227" spans="1:1" x14ac:dyDescent="0.25">
      <c r="A10227" s="17"/>
    </row>
    <row r="10228" spans="1:1" x14ac:dyDescent="0.25">
      <c r="A10228" s="17"/>
    </row>
    <row r="10229" spans="1:1" x14ac:dyDescent="0.25">
      <c r="A10229" s="17"/>
    </row>
    <row r="10230" spans="1:1" x14ac:dyDescent="0.25">
      <c r="A10230" s="17"/>
    </row>
    <row r="10231" spans="1:1" x14ac:dyDescent="0.25">
      <c r="A10231" s="17"/>
    </row>
    <row r="10232" spans="1:1" x14ac:dyDescent="0.25">
      <c r="A10232" s="17"/>
    </row>
    <row r="10233" spans="1:1" x14ac:dyDescent="0.25">
      <c r="A10233" s="17"/>
    </row>
    <row r="10234" spans="1:1" x14ac:dyDescent="0.25">
      <c r="A10234" s="17"/>
    </row>
    <row r="10235" spans="1:1" x14ac:dyDescent="0.25">
      <c r="A10235" s="17"/>
    </row>
    <row r="10236" spans="1:1" x14ac:dyDescent="0.25">
      <c r="A10236" s="17"/>
    </row>
    <row r="10237" spans="1:1" x14ac:dyDescent="0.25">
      <c r="A10237" s="17"/>
    </row>
    <row r="10238" spans="1:1" x14ac:dyDescent="0.25">
      <c r="A10238" s="17"/>
    </row>
    <row r="10239" spans="1:1" x14ac:dyDescent="0.25">
      <c r="A10239" s="17"/>
    </row>
    <row r="10240" spans="1:1" x14ac:dyDescent="0.25">
      <c r="A10240" s="17"/>
    </row>
    <row r="10241" spans="1:1" x14ac:dyDescent="0.25">
      <c r="A10241" s="17"/>
    </row>
    <row r="10242" spans="1:1" x14ac:dyDescent="0.25">
      <c r="A10242" s="17"/>
    </row>
    <row r="10243" spans="1:1" x14ac:dyDescent="0.25">
      <c r="A10243" s="17"/>
    </row>
    <row r="10244" spans="1:1" x14ac:dyDescent="0.25">
      <c r="A10244" s="17"/>
    </row>
    <row r="10245" spans="1:1" x14ac:dyDescent="0.25">
      <c r="A10245" s="17"/>
    </row>
    <row r="10246" spans="1:1" x14ac:dyDescent="0.25">
      <c r="A10246" s="17"/>
    </row>
    <row r="10247" spans="1:1" x14ac:dyDescent="0.25">
      <c r="A10247" s="17"/>
    </row>
    <row r="10248" spans="1:1" x14ac:dyDescent="0.25">
      <c r="A10248" s="17"/>
    </row>
    <row r="10249" spans="1:1" x14ac:dyDescent="0.25">
      <c r="A10249" s="17"/>
    </row>
    <row r="10250" spans="1:1" x14ac:dyDescent="0.25">
      <c r="A10250" s="17"/>
    </row>
    <row r="10251" spans="1:1" x14ac:dyDescent="0.25">
      <c r="A10251" s="17"/>
    </row>
    <row r="10252" spans="1:1" x14ac:dyDescent="0.25">
      <c r="A10252" s="17"/>
    </row>
    <row r="10253" spans="1:1" x14ac:dyDescent="0.25">
      <c r="A10253" s="17"/>
    </row>
    <row r="10254" spans="1:1" x14ac:dyDescent="0.25">
      <c r="A10254" s="17"/>
    </row>
    <row r="10255" spans="1:1" x14ac:dyDescent="0.25">
      <c r="A10255" s="17"/>
    </row>
    <row r="10256" spans="1:1" x14ac:dyDescent="0.25">
      <c r="A10256" s="17"/>
    </row>
    <row r="10257" spans="1:1" x14ac:dyDescent="0.25">
      <c r="A10257" s="17"/>
    </row>
    <row r="10258" spans="1:1" x14ac:dyDescent="0.25">
      <c r="A10258" s="17"/>
    </row>
    <row r="10259" spans="1:1" x14ac:dyDescent="0.25">
      <c r="A10259" s="17"/>
    </row>
    <row r="10260" spans="1:1" x14ac:dyDescent="0.25">
      <c r="A10260" s="17"/>
    </row>
    <row r="10261" spans="1:1" x14ac:dyDescent="0.25">
      <c r="A10261" s="17"/>
    </row>
    <row r="10262" spans="1:1" x14ac:dyDescent="0.25">
      <c r="A10262" s="17"/>
    </row>
    <row r="10263" spans="1:1" x14ac:dyDescent="0.25">
      <c r="A10263" s="17"/>
    </row>
    <row r="10264" spans="1:1" x14ac:dyDescent="0.25">
      <c r="A10264" s="17"/>
    </row>
    <row r="10265" spans="1:1" x14ac:dyDescent="0.25">
      <c r="A10265" s="17"/>
    </row>
    <row r="10266" spans="1:1" x14ac:dyDescent="0.25">
      <c r="A10266" s="17"/>
    </row>
    <row r="10267" spans="1:1" x14ac:dyDescent="0.25">
      <c r="A10267" s="17"/>
    </row>
    <row r="10268" spans="1:1" x14ac:dyDescent="0.25">
      <c r="A10268" s="17"/>
    </row>
    <row r="10269" spans="1:1" x14ac:dyDescent="0.25">
      <c r="A10269" s="17"/>
    </row>
    <row r="10270" spans="1:1" x14ac:dyDescent="0.25">
      <c r="A10270" s="17"/>
    </row>
    <row r="10271" spans="1:1" x14ac:dyDescent="0.25">
      <c r="A10271" s="17"/>
    </row>
    <row r="10272" spans="1:1" x14ac:dyDescent="0.25">
      <c r="A10272" s="17"/>
    </row>
    <row r="10273" spans="1:1" x14ac:dyDescent="0.25">
      <c r="A10273" s="17"/>
    </row>
    <row r="10274" spans="1:1" x14ac:dyDescent="0.25">
      <c r="A10274" s="17"/>
    </row>
    <row r="10275" spans="1:1" x14ac:dyDescent="0.25">
      <c r="A10275" s="17"/>
    </row>
    <row r="10276" spans="1:1" x14ac:dyDescent="0.25">
      <c r="A10276" s="17"/>
    </row>
    <row r="10277" spans="1:1" x14ac:dyDescent="0.25">
      <c r="A10277" s="17"/>
    </row>
    <row r="10278" spans="1:1" x14ac:dyDescent="0.25">
      <c r="A10278" s="17"/>
    </row>
    <row r="10279" spans="1:1" x14ac:dyDescent="0.25">
      <c r="A10279" s="17"/>
    </row>
    <row r="10280" spans="1:1" x14ac:dyDescent="0.25">
      <c r="A10280" s="17"/>
    </row>
    <row r="10281" spans="1:1" x14ac:dyDescent="0.25">
      <c r="A10281" s="17"/>
    </row>
    <row r="10282" spans="1:1" x14ac:dyDescent="0.25">
      <c r="A10282" s="17"/>
    </row>
    <row r="10283" spans="1:1" x14ac:dyDescent="0.25">
      <c r="A10283" s="17"/>
    </row>
    <row r="10284" spans="1:1" x14ac:dyDescent="0.25">
      <c r="A10284" s="17"/>
    </row>
    <row r="10285" spans="1:1" x14ac:dyDescent="0.25">
      <c r="A10285" s="17"/>
    </row>
    <row r="10286" spans="1:1" x14ac:dyDescent="0.25">
      <c r="A10286" s="17"/>
    </row>
    <row r="10287" spans="1:1" x14ac:dyDescent="0.25">
      <c r="A10287" s="17"/>
    </row>
    <row r="10288" spans="1:1" x14ac:dyDescent="0.25">
      <c r="A10288" s="17"/>
    </row>
    <row r="10289" spans="1:1" x14ac:dyDescent="0.25">
      <c r="A10289" s="17"/>
    </row>
    <row r="10290" spans="1:1" x14ac:dyDescent="0.25">
      <c r="A10290" s="17"/>
    </row>
    <row r="10291" spans="1:1" x14ac:dyDescent="0.25">
      <c r="A10291" s="17"/>
    </row>
    <row r="10292" spans="1:1" x14ac:dyDescent="0.25">
      <c r="A10292" s="17"/>
    </row>
    <row r="10293" spans="1:1" x14ac:dyDescent="0.25">
      <c r="A10293" s="17"/>
    </row>
    <row r="10294" spans="1:1" x14ac:dyDescent="0.25">
      <c r="A10294" s="17"/>
    </row>
    <row r="10295" spans="1:1" x14ac:dyDescent="0.25">
      <c r="A10295" s="17"/>
    </row>
    <row r="10296" spans="1:1" x14ac:dyDescent="0.25">
      <c r="A10296" s="17"/>
    </row>
    <row r="10297" spans="1:1" x14ac:dyDescent="0.25">
      <c r="A10297" s="17"/>
    </row>
    <row r="10298" spans="1:1" x14ac:dyDescent="0.25">
      <c r="A10298" s="17"/>
    </row>
    <row r="10299" spans="1:1" x14ac:dyDescent="0.25">
      <c r="A10299" s="17"/>
    </row>
    <row r="10300" spans="1:1" x14ac:dyDescent="0.25">
      <c r="A10300" s="17"/>
    </row>
    <row r="10301" spans="1:1" x14ac:dyDescent="0.25">
      <c r="A10301" s="17"/>
    </row>
    <row r="10302" spans="1:1" x14ac:dyDescent="0.25">
      <c r="A10302" s="17"/>
    </row>
    <row r="10303" spans="1:1" x14ac:dyDescent="0.25">
      <c r="A10303" s="17"/>
    </row>
    <row r="10304" spans="1:1" x14ac:dyDescent="0.25">
      <c r="A10304" s="17"/>
    </row>
    <row r="10305" spans="1:1" x14ac:dyDescent="0.25">
      <c r="A10305" s="17"/>
    </row>
    <row r="10306" spans="1:1" x14ac:dyDescent="0.25">
      <c r="A10306" s="17"/>
    </row>
    <row r="10307" spans="1:1" x14ac:dyDescent="0.25">
      <c r="A10307" s="17"/>
    </row>
    <row r="10308" spans="1:1" x14ac:dyDescent="0.25">
      <c r="A10308" s="17"/>
    </row>
    <row r="10309" spans="1:1" x14ac:dyDescent="0.25">
      <c r="A10309" s="17"/>
    </row>
    <row r="10310" spans="1:1" x14ac:dyDescent="0.25">
      <c r="A10310" s="17"/>
    </row>
    <row r="10311" spans="1:1" x14ac:dyDescent="0.25">
      <c r="A10311" s="17"/>
    </row>
    <row r="10312" spans="1:1" x14ac:dyDescent="0.25">
      <c r="A10312" s="17"/>
    </row>
    <row r="10313" spans="1:1" x14ac:dyDescent="0.25">
      <c r="A10313" s="17"/>
    </row>
    <row r="10314" spans="1:1" x14ac:dyDescent="0.25">
      <c r="A10314" s="17"/>
    </row>
    <row r="10315" spans="1:1" x14ac:dyDescent="0.25">
      <c r="A10315" s="17"/>
    </row>
    <row r="10316" spans="1:1" x14ac:dyDescent="0.25">
      <c r="A10316" s="17"/>
    </row>
    <row r="10317" spans="1:1" x14ac:dyDescent="0.25">
      <c r="A10317" s="17"/>
    </row>
    <row r="10318" spans="1:1" x14ac:dyDescent="0.25">
      <c r="A10318" s="17"/>
    </row>
    <row r="10319" spans="1:1" x14ac:dyDescent="0.25">
      <c r="A10319" s="17"/>
    </row>
    <row r="10320" spans="1:1" x14ac:dyDescent="0.25">
      <c r="A10320" s="17"/>
    </row>
    <row r="10321" spans="1:1" x14ac:dyDescent="0.25">
      <c r="A10321" s="17"/>
    </row>
    <row r="10322" spans="1:1" x14ac:dyDescent="0.25">
      <c r="A10322" s="17"/>
    </row>
    <row r="10323" spans="1:1" x14ac:dyDescent="0.25">
      <c r="A10323" s="17"/>
    </row>
    <row r="10324" spans="1:1" x14ac:dyDescent="0.25">
      <c r="A10324" s="17"/>
    </row>
    <row r="10325" spans="1:1" x14ac:dyDescent="0.25">
      <c r="A10325" s="17"/>
    </row>
    <row r="10326" spans="1:1" x14ac:dyDescent="0.25">
      <c r="A10326" s="17"/>
    </row>
    <row r="10327" spans="1:1" x14ac:dyDescent="0.25">
      <c r="A10327" s="17"/>
    </row>
    <row r="10328" spans="1:1" x14ac:dyDescent="0.25">
      <c r="A10328" s="17"/>
    </row>
    <row r="10329" spans="1:1" x14ac:dyDescent="0.25">
      <c r="A10329" s="17"/>
    </row>
    <row r="10330" spans="1:1" x14ac:dyDescent="0.25">
      <c r="A10330" s="17"/>
    </row>
    <row r="10331" spans="1:1" x14ac:dyDescent="0.25">
      <c r="A10331" s="17"/>
    </row>
    <row r="10332" spans="1:1" x14ac:dyDescent="0.25">
      <c r="A10332" s="17"/>
    </row>
    <row r="10333" spans="1:1" x14ac:dyDescent="0.25">
      <c r="A10333" s="17"/>
    </row>
    <row r="10334" spans="1:1" x14ac:dyDescent="0.25">
      <c r="A10334" s="17"/>
    </row>
    <row r="10335" spans="1:1" x14ac:dyDescent="0.25">
      <c r="A10335" s="17"/>
    </row>
    <row r="10336" spans="1:1" x14ac:dyDescent="0.25">
      <c r="A10336" s="17"/>
    </row>
    <row r="10337" spans="1:1" x14ac:dyDescent="0.25">
      <c r="A10337" s="17"/>
    </row>
    <row r="10338" spans="1:1" x14ac:dyDescent="0.25">
      <c r="A10338" s="17"/>
    </row>
    <row r="10339" spans="1:1" x14ac:dyDescent="0.25">
      <c r="A10339" s="17"/>
    </row>
    <row r="10340" spans="1:1" x14ac:dyDescent="0.25">
      <c r="A10340" s="17"/>
    </row>
    <row r="10341" spans="1:1" x14ac:dyDescent="0.25">
      <c r="A10341" s="17"/>
    </row>
    <row r="10342" spans="1:1" x14ac:dyDescent="0.25">
      <c r="A10342" s="17"/>
    </row>
    <row r="10343" spans="1:1" x14ac:dyDescent="0.25">
      <c r="A10343" s="17"/>
    </row>
    <row r="10344" spans="1:1" x14ac:dyDescent="0.25">
      <c r="A10344" s="17"/>
    </row>
    <row r="10345" spans="1:1" x14ac:dyDescent="0.25">
      <c r="A10345" s="17"/>
    </row>
    <row r="10346" spans="1:1" x14ac:dyDescent="0.25">
      <c r="A10346" s="17"/>
    </row>
    <row r="10347" spans="1:1" x14ac:dyDescent="0.25">
      <c r="A10347" s="17"/>
    </row>
    <row r="10348" spans="1:1" x14ac:dyDescent="0.25">
      <c r="A10348" s="17"/>
    </row>
    <row r="10349" spans="1:1" x14ac:dyDescent="0.25">
      <c r="A10349" s="17"/>
    </row>
    <row r="10350" spans="1:1" x14ac:dyDescent="0.25">
      <c r="A10350" s="17"/>
    </row>
    <row r="10351" spans="1:1" x14ac:dyDescent="0.25">
      <c r="A10351" s="17"/>
    </row>
    <row r="10352" spans="1:1" x14ac:dyDescent="0.25">
      <c r="A10352" s="17"/>
    </row>
    <row r="10353" spans="1:1" x14ac:dyDescent="0.25">
      <c r="A10353" s="17"/>
    </row>
    <row r="10354" spans="1:1" x14ac:dyDescent="0.25">
      <c r="A10354" s="17"/>
    </row>
    <row r="10355" spans="1:1" x14ac:dyDescent="0.25">
      <c r="A10355" s="17"/>
    </row>
    <row r="10356" spans="1:1" x14ac:dyDescent="0.25">
      <c r="A10356" s="17"/>
    </row>
    <row r="10357" spans="1:1" x14ac:dyDescent="0.25">
      <c r="A10357" s="17"/>
    </row>
    <row r="10358" spans="1:1" x14ac:dyDescent="0.25">
      <c r="A10358" s="17"/>
    </row>
    <row r="10359" spans="1:1" x14ac:dyDescent="0.25">
      <c r="A10359" s="17"/>
    </row>
    <row r="10360" spans="1:1" x14ac:dyDescent="0.25">
      <c r="A10360" s="17"/>
    </row>
    <row r="10361" spans="1:1" x14ac:dyDescent="0.25">
      <c r="A10361" s="17"/>
    </row>
    <row r="10362" spans="1:1" x14ac:dyDescent="0.25">
      <c r="A10362" s="17"/>
    </row>
    <row r="10363" spans="1:1" x14ac:dyDescent="0.25">
      <c r="A10363" s="17"/>
    </row>
    <row r="10364" spans="1:1" x14ac:dyDescent="0.25">
      <c r="A10364" s="17"/>
    </row>
    <row r="10365" spans="1:1" x14ac:dyDescent="0.25">
      <c r="A10365" s="17"/>
    </row>
    <row r="10366" spans="1:1" x14ac:dyDescent="0.25">
      <c r="A10366" s="17"/>
    </row>
    <row r="10367" spans="1:1" x14ac:dyDescent="0.25">
      <c r="A10367" s="17"/>
    </row>
    <row r="10368" spans="1:1" x14ac:dyDescent="0.25">
      <c r="A10368" s="17"/>
    </row>
    <row r="10369" spans="1:1" x14ac:dyDescent="0.25">
      <c r="A10369" s="17"/>
    </row>
    <row r="10370" spans="1:1" x14ac:dyDescent="0.25">
      <c r="A10370" s="17"/>
    </row>
    <row r="10371" spans="1:1" x14ac:dyDescent="0.25">
      <c r="A10371" s="17"/>
    </row>
    <row r="10372" spans="1:1" x14ac:dyDescent="0.25">
      <c r="A10372" s="17"/>
    </row>
    <row r="10373" spans="1:1" x14ac:dyDescent="0.25">
      <c r="A10373" s="17"/>
    </row>
    <row r="10374" spans="1:1" x14ac:dyDescent="0.25">
      <c r="A10374" s="17"/>
    </row>
    <row r="10375" spans="1:1" x14ac:dyDescent="0.25">
      <c r="A10375" s="17"/>
    </row>
    <row r="10376" spans="1:1" x14ac:dyDescent="0.25">
      <c r="A10376" s="17"/>
    </row>
    <row r="10377" spans="1:1" x14ac:dyDescent="0.25">
      <c r="A10377" s="17"/>
    </row>
    <row r="10378" spans="1:1" x14ac:dyDescent="0.25">
      <c r="A10378" s="17"/>
    </row>
    <row r="10379" spans="1:1" x14ac:dyDescent="0.25">
      <c r="A10379" s="17"/>
    </row>
    <row r="10380" spans="1:1" x14ac:dyDescent="0.25">
      <c r="A10380" s="17"/>
    </row>
    <row r="10381" spans="1:1" x14ac:dyDescent="0.25">
      <c r="A10381" s="17"/>
    </row>
    <row r="10382" spans="1:1" x14ac:dyDescent="0.25">
      <c r="A10382" s="17"/>
    </row>
    <row r="10383" spans="1:1" x14ac:dyDescent="0.25">
      <c r="A10383" s="17"/>
    </row>
    <row r="10384" spans="1:1" x14ac:dyDescent="0.25">
      <c r="A10384" s="17"/>
    </row>
    <row r="10385" spans="1:1" x14ac:dyDescent="0.25">
      <c r="A10385" s="17"/>
    </row>
    <row r="10386" spans="1:1" x14ac:dyDescent="0.25">
      <c r="A10386" s="17"/>
    </row>
    <row r="10387" spans="1:1" x14ac:dyDescent="0.25">
      <c r="A10387" s="17"/>
    </row>
    <row r="10388" spans="1:1" x14ac:dyDescent="0.25">
      <c r="A10388" s="17"/>
    </row>
    <row r="10389" spans="1:1" x14ac:dyDescent="0.25">
      <c r="A10389" s="17"/>
    </row>
    <row r="10390" spans="1:1" x14ac:dyDescent="0.25">
      <c r="A10390" s="17"/>
    </row>
    <row r="10391" spans="1:1" x14ac:dyDescent="0.25">
      <c r="A10391" s="17"/>
    </row>
    <row r="10392" spans="1:1" x14ac:dyDescent="0.25">
      <c r="A10392" s="17"/>
    </row>
    <row r="10393" spans="1:1" x14ac:dyDescent="0.25">
      <c r="A10393" s="17"/>
    </row>
    <row r="10394" spans="1:1" x14ac:dyDescent="0.25">
      <c r="A10394" s="17"/>
    </row>
    <row r="10395" spans="1:1" x14ac:dyDescent="0.25">
      <c r="A10395" s="17"/>
    </row>
    <row r="10396" spans="1:1" x14ac:dyDescent="0.25">
      <c r="A10396" s="17"/>
    </row>
    <row r="10397" spans="1:1" x14ac:dyDescent="0.25">
      <c r="A10397" s="17"/>
    </row>
    <row r="10398" spans="1:1" x14ac:dyDescent="0.25">
      <c r="A10398" s="17"/>
    </row>
    <row r="10399" spans="1:1" x14ac:dyDescent="0.25">
      <c r="A10399" s="17"/>
    </row>
    <row r="10400" spans="1:1" x14ac:dyDescent="0.25">
      <c r="A10400" s="17"/>
    </row>
    <row r="10401" spans="1:1" x14ac:dyDescent="0.25">
      <c r="A10401" s="17"/>
    </row>
    <row r="10402" spans="1:1" x14ac:dyDescent="0.25">
      <c r="A10402" s="17"/>
    </row>
    <row r="10403" spans="1:1" x14ac:dyDescent="0.25">
      <c r="A10403" s="17"/>
    </row>
    <row r="10404" spans="1:1" x14ac:dyDescent="0.25">
      <c r="A10404" s="17"/>
    </row>
    <row r="10405" spans="1:1" x14ac:dyDescent="0.25">
      <c r="A10405" s="17"/>
    </row>
    <row r="10406" spans="1:1" x14ac:dyDescent="0.25">
      <c r="A10406" s="17"/>
    </row>
    <row r="10407" spans="1:1" x14ac:dyDescent="0.25">
      <c r="A10407" s="17"/>
    </row>
    <row r="10408" spans="1:1" x14ac:dyDescent="0.25">
      <c r="A10408" s="17"/>
    </row>
    <row r="10409" spans="1:1" x14ac:dyDescent="0.25">
      <c r="A10409" s="17"/>
    </row>
    <row r="10410" spans="1:1" x14ac:dyDescent="0.25">
      <c r="A10410" s="17"/>
    </row>
    <row r="10411" spans="1:1" x14ac:dyDescent="0.25">
      <c r="A10411" s="17"/>
    </row>
    <row r="10412" spans="1:1" x14ac:dyDescent="0.25">
      <c r="A10412" s="17"/>
    </row>
    <row r="10413" spans="1:1" x14ac:dyDescent="0.25">
      <c r="A10413" s="17"/>
    </row>
    <row r="10414" spans="1:1" x14ac:dyDescent="0.25">
      <c r="A10414" s="17"/>
    </row>
    <row r="10415" spans="1:1" x14ac:dyDescent="0.25">
      <c r="A10415" s="17"/>
    </row>
    <row r="10416" spans="1:1" x14ac:dyDescent="0.25">
      <c r="A10416" s="17"/>
    </row>
    <row r="10417" spans="1:1" x14ac:dyDescent="0.25">
      <c r="A10417" s="17"/>
    </row>
    <row r="10418" spans="1:1" x14ac:dyDescent="0.25">
      <c r="A10418" s="17"/>
    </row>
    <row r="10419" spans="1:1" x14ac:dyDescent="0.25">
      <c r="A10419" s="17"/>
    </row>
    <row r="10420" spans="1:1" x14ac:dyDescent="0.25">
      <c r="A10420" s="17"/>
    </row>
    <row r="10421" spans="1:1" x14ac:dyDescent="0.25">
      <c r="A10421" s="17"/>
    </row>
    <row r="10422" spans="1:1" x14ac:dyDescent="0.25">
      <c r="A10422" s="17"/>
    </row>
    <row r="10423" spans="1:1" x14ac:dyDescent="0.25">
      <c r="A10423" s="17"/>
    </row>
    <row r="10424" spans="1:1" x14ac:dyDescent="0.25">
      <c r="A10424" s="17"/>
    </row>
    <row r="10425" spans="1:1" x14ac:dyDescent="0.25">
      <c r="A10425" s="17"/>
    </row>
    <row r="10426" spans="1:1" x14ac:dyDescent="0.25">
      <c r="A10426" s="17"/>
    </row>
    <row r="10427" spans="1:1" x14ac:dyDescent="0.25">
      <c r="A10427" s="17"/>
    </row>
    <row r="10428" spans="1:1" x14ac:dyDescent="0.25">
      <c r="A10428" s="17"/>
    </row>
    <row r="10429" spans="1:1" x14ac:dyDescent="0.25">
      <c r="A10429" s="17"/>
    </row>
    <row r="10430" spans="1:1" x14ac:dyDescent="0.25">
      <c r="A10430" s="17"/>
    </row>
    <row r="10431" spans="1:1" x14ac:dyDescent="0.25">
      <c r="A10431" s="17"/>
    </row>
    <row r="10432" spans="1:1" x14ac:dyDescent="0.25">
      <c r="A10432" s="17"/>
    </row>
    <row r="10433" spans="1:1" x14ac:dyDescent="0.25">
      <c r="A10433" s="17"/>
    </row>
    <row r="10434" spans="1:1" x14ac:dyDescent="0.25">
      <c r="A10434" s="17"/>
    </row>
    <row r="10435" spans="1:1" x14ac:dyDescent="0.25">
      <c r="A10435" s="17"/>
    </row>
    <row r="10436" spans="1:1" x14ac:dyDescent="0.25">
      <c r="A10436" s="17"/>
    </row>
    <row r="10437" spans="1:1" x14ac:dyDescent="0.25">
      <c r="A10437" s="17"/>
    </row>
    <row r="10438" spans="1:1" x14ac:dyDescent="0.25">
      <c r="A10438" s="17"/>
    </row>
    <row r="10439" spans="1:1" x14ac:dyDescent="0.25">
      <c r="A10439" s="17"/>
    </row>
    <row r="10440" spans="1:1" x14ac:dyDescent="0.25">
      <c r="A10440" s="17"/>
    </row>
    <row r="10441" spans="1:1" x14ac:dyDescent="0.25">
      <c r="A10441" s="17"/>
    </row>
    <row r="10442" spans="1:1" x14ac:dyDescent="0.25">
      <c r="A10442" s="17"/>
    </row>
    <row r="10443" spans="1:1" x14ac:dyDescent="0.25">
      <c r="A10443" s="17"/>
    </row>
    <row r="10444" spans="1:1" x14ac:dyDescent="0.25">
      <c r="A10444" s="17"/>
    </row>
    <row r="10445" spans="1:1" x14ac:dyDescent="0.25">
      <c r="A10445" s="17"/>
    </row>
    <row r="10446" spans="1:1" x14ac:dyDescent="0.25">
      <c r="A10446" s="17"/>
    </row>
    <row r="10447" spans="1:1" x14ac:dyDescent="0.25">
      <c r="A10447" s="17"/>
    </row>
    <row r="10448" spans="1:1" x14ac:dyDescent="0.25">
      <c r="A10448" s="17"/>
    </row>
    <row r="10449" spans="1:1" x14ac:dyDescent="0.25">
      <c r="A10449" s="17"/>
    </row>
    <row r="10450" spans="1:1" x14ac:dyDescent="0.25">
      <c r="A10450" s="17"/>
    </row>
    <row r="10451" spans="1:1" x14ac:dyDescent="0.25">
      <c r="A10451" s="17"/>
    </row>
    <row r="10452" spans="1:1" x14ac:dyDescent="0.25">
      <c r="A10452" s="17"/>
    </row>
    <row r="10453" spans="1:1" x14ac:dyDescent="0.25">
      <c r="A10453" s="17"/>
    </row>
    <row r="10454" spans="1:1" x14ac:dyDescent="0.25">
      <c r="A10454" s="17"/>
    </row>
    <row r="10455" spans="1:1" x14ac:dyDescent="0.25">
      <c r="A10455" s="17"/>
    </row>
    <row r="10456" spans="1:1" x14ac:dyDescent="0.25">
      <c r="A10456" s="17"/>
    </row>
    <row r="10457" spans="1:1" x14ac:dyDescent="0.25">
      <c r="A10457" s="17"/>
    </row>
    <row r="10458" spans="1:1" x14ac:dyDescent="0.25">
      <c r="A10458" s="17"/>
    </row>
    <row r="10459" spans="1:1" x14ac:dyDescent="0.25">
      <c r="A10459" s="17"/>
    </row>
    <row r="10460" spans="1:1" x14ac:dyDescent="0.25">
      <c r="A10460" s="17"/>
    </row>
    <row r="10461" spans="1:1" x14ac:dyDescent="0.25">
      <c r="A10461" s="17"/>
    </row>
    <row r="10462" spans="1:1" x14ac:dyDescent="0.25">
      <c r="A10462" s="17"/>
    </row>
    <row r="10463" spans="1:1" x14ac:dyDescent="0.25">
      <c r="A10463" s="17"/>
    </row>
    <row r="10464" spans="1:1" x14ac:dyDescent="0.25">
      <c r="A10464" s="17"/>
    </row>
    <row r="10465" spans="1:1" x14ac:dyDescent="0.25">
      <c r="A10465" s="17"/>
    </row>
    <row r="10466" spans="1:1" x14ac:dyDescent="0.25">
      <c r="A10466" s="17"/>
    </row>
    <row r="10467" spans="1:1" x14ac:dyDescent="0.25">
      <c r="A10467" s="17"/>
    </row>
    <row r="10468" spans="1:1" x14ac:dyDescent="0.25">
      <c r="A10468" s="17"/>
    </row>
    <row r="10469" spans="1:1" x14ac:dyDescent="0.25">
      <c r="A10469" s="17"/>
    </row>
    <row r="10470" spans="1:1" x14ac:dyDescent="0.25">
      <c r="A10470" s="17"/>
    </row>
    <row r="10471" spans="1:1" x14ac:dyDescent="0.25">
      <c r="A10471" s="17"/>
    </row>
    <row r="10472" spans="1:1" x14ac:dyDescent="0.25">
      <c r="A10472" s="17"/>
    </row>
    <row r="10473" spans="1:1" x14ac:dyDescent="0.25">
      <c r="A10473" s="17"/>
    </row>
    <row r="10474" spans="1:1" x14ac:dyDescent="0.25">
      <c r="A10474" s="17"/>
    </row>
    <row r="10475" spans="1:1" x14ac:dyDescent="0.25">
      <c r="A10475" s="17"/>
    </row>
    <row r="10476" spans="1:1" x14ac:dyDescent="0.25">
      <c r="A10476" s="17"/>
    </row>
    <row r="10477" spans="1:1" x14ac:dyDescent="0.25">
      <c r="A10477" s="17"/>
    </row>
    <row r="10478" spans="1:1" x14ac:dyDescent="0.25">
      <c r="A10478" s="17"/>
    </row>
    <row r="10479" spans="1:1" x14ac:dyDescent="0.25">
      <c r="A10479" s="17"/>
    </row>
    <row r="10480" spans="1:1" x14ac:dyDescent="0.25">
      <c r="A10480" s="17"/>
    </row>
    <row r="10481" spans="1:1" x14ac:dyDescent="0.25">
      <c r="A10481" s="17"/>
    </row>
    <row r="10482" spans="1:1" x14ac:dyDescent="0.25">
      <c r="A10482" s="17"/>
    </row>
    <row r="10483" spans="1:1" x14ac:dyDescent="0.25">
      <c r="A10483" s="17"/>
    </row>
    <row r="10484" spans="1:1" x14ac:dyDescent="0.25">
      <c r="A10484" s="17"/>
    </row>
    <row r="10485" spans="1:1" x14ac:dyDescent="0.25">
      <c r="A10485" s="17"/>
    </row>
    <row r="10486" spans="1:1" x14ac:dyDescent="0.25">
      <c r="A10486" s="17"/>
    </row>
    <row r="10487" spans="1:1" x14ac:dyDescent="0.25">
      <c r="A10487" s="17"/>
    </row>
    <row r="10488" spans="1:1" x14ac:dyDescent="0.25">
      <c r="A10488" s="17"/>
    </row>
    <row r="10489" spans="1:1" x14ac:dyDescent="0.25">
      <c r="A10489" s="17"/>
    </row>
    <row r="10490" spans="1:1" x14ac:dyDescent="0.25">
      <c r="A10490" s="17"/>
    </row>
    <row r="10491" spans="1:1" x14ac:dyDescent="0.25">
      <c r="A10491" s="17"/>
    </row>
    <row r="10492" spans="1:1" x14ac:dyDescent="0.25">
      <c r="A10492" s="17"/>
    </row>
    <row r="10493" spans="1:1" x14ac:dyDescent="0.25">
      <c r="A10493" s="17"/>
    </row>
    <row r="10494" spans="1:1" x14ac:dyDescent="0.25">
      <c r="A10494" s="17"/>
    </row>
    <row r="10495" spans="1:1" x14ac:dyDescent="0.25">
      <c r="A10495" s="17"/>
    </row>
    <row r="10496" spans="1:1" x14ac:dyDescent="0.25">
      <c r="A10496" s="17"/>
    </row>
    <row r="10497" spans="1:1" x14ac:dyDescent="0.25">
      <c r="A10497" s="17"/>
    </row>
    <row r="10498" spans="1:1" x14ac:dyDescent="0.25">
      <c r="A10498" s="17"/>
    </row>
    <row r="10499" spans="1:1" x14ac:dyDescent="0.25">
      <c r="A10499" s="17"/>
    </row>
    <row r="10500" spans="1:1" x14ac:dyDescent="0.25">
      <c r="A10500" s="17"/>
    </row>
    <row r="10501" spans="1:1" x14ac:dyDescent="0.25">
      <c r="A10501" s="17"/>
    </row>
    <row r="10502" spans="1:1" x14ac:dyDescent="0.25">
      <c r="A10502" s="17"/>
    </row>
    <row r="10503" spans="1:1" x14ac:dyDescent="0.25">
      <c r="A10503" s="17"/>
    </row>
    <row r="10504" spans="1:1" x14ac:dyDescent="0.25">
      <c r="A10504" s="17"/>
    </row>
    <row r="10505" spans="1:1" x14ac:dyDescent="0.25">
      <c r="A10505" s="17"/>
    </row>
    <row r="10506" spans="1:1" x14ac:dyDescent="0.25">
      <c r="A10506" s="17"/>
    </row>
    <row r="10507" spans="1:1" x14ac:dyDescent="0.25">
      <c r="A10507" s="17"/>
    </row>
    <row r="10508" spans="1:1" x14ac:dyDescent="0.25">
      <c r="A10508" s="17"/>
    </row>
    <row r="10509" spans="1:1" x14ac:dyDescent="0.25">
      <c r="A10509" s="17"/>
    </row>
    <row r="10510" spans="1:1" x14ac:dyDescent="0.25">
      <c r="A10510" s="17"/>
    </row>
    <row r="10511" spans="1:1" x14ac:dyDescent="0.25">
      <c r="A10511" s="17"/>
    </row>
    <row r="10512" spans="1:1" x14ac:dyDescent="0.25">
      <c r="A10512" s="17"/>
    </row>
    <row r="10513" spans="1:1" x14ac:dyDescent="0.25">
      <c r="A10513" s="17"/>
    </row>
    <row r="10514" spans="1:1" x14ac:dyDescent="0.25">
      <c r="A10514" s="17"/>
    </row>
    <row r="10515" spans="1:1" x14ac:dyDescent="0.25">
      <c r="A10515" s="17"/>
    </row>
    <row r="10516" spans="1:1" x14ac:dyDescent="0.25">
      <c r="A10516" s="17"/>
    </row>
    <row r="10517" spans="1:1" x14ac:dyDescent="0.25">
      <c r="A10517" s="17"/>
    </row>
    <row r="10518" spans="1:1" x14ac:dyDescent="0.25">
      <c r="A10518" s="17"/>
    </row>
    <row r="10519" spans="1:1" x14ac:dyDescent="0.25">
      <c r="A10519" s="17"/>
    </row>
    <row r="10520" spans="1:1" x14ac:dyDescent="0.25">
      <c r="A10520" s="17"/>
    </row>
    <row r="10521" spans="1:1" x14ac:dyDescent="0.25">
      <c r="A10521" s="17"/>
    </row>
    <row r="10522" spans="1:1" x14ac:dyDescent="0.25">
      <c r="A10522" s="17"/>
    </row>
    <row r="10523" spans="1:1" x14ac:dyDescent="0.25">
      <c r="A10523" s="17"/>
    </row>
    <row r="10524" spans="1:1" x14ac:dyDescent="0.25">
      <c r="A10524" s="17"/>
    </row>
    <row r="10525" spans="1:1" x14ac:dyDescent="0.25">
      <c r="A10525" s="17"/>
    </row>
    <row r="10526" spans="1:1" x14ac:dyDescent="0.25">
      <c r="A10526" s="17"/>
    </row>
    <row r="10527" spans="1:1" x14ac:dyDescent="0.25">
      <c r="A10527" s="17"/>
    </row>
    <row r="10528" spans="1:1" x14ac:dyDescent="0.25">
      <c r="A10528" s="17"/>
    </row>
    <row r="10529" spans="1:1" x14ac:dyDescent="0.25">
      <c r="A10529" s="17"/>
    </row>
    <row r="10530" spans="1:1" x14ac:dyDescent="0.25">
      <c r="A10530" s="17"/>
    </row>
    <row r="10531" spans="1:1" x14ac:dyDescent="0.25">
      <c r="A10531" s="17"/>
    </row>
    <row r="10532" spans="1:1" x14ac:dyDescent="0.25">
      <c r="A10532" s="17"/>
    </row>
    <row r="10533" spans="1:1" x14ac:dyDescent="0.25">
      <c r="A10533" s="17"/>
    </row>
    <row r="10534" spans="1:1" x14ac:dyDescent="0.25">
      <c r="A10534" s="17"/>
    </row>
    <row r="10535" spans="1:1" x14ac:dyDescent="0.25">
      <c r="A10535" s="17"/>
    </row>
    <row r="10536" spans="1:1" x14ac:dyDescent="0.25">
      <c r="A10536" s="17"/>
    </row>
    <row r="10537" spans="1:1" x14ac:dyDescent="0.25">
      <c r="A10537" s="17"/>
    </row>
    <row r="10538" spans="1:1" x14ac:dyDescent="0.25">
      <c r="A10538" s="17"/>
    </row>
    <row r="10539" spans="1:1" x14ac:dyDescent="0.25">
      <c r="A10539" s="17"/>
    </row>
    <row r="10540" spans="1:1" x14ac:dyDescent="0.25">
      <c r="A10540" s="17"/>
    </row>
    <row r="10541" spans="1:1" x14ac:dyDescent="0.25">
      <c r="A10541" s="17"/>
    </row>
    <row r="10542" spans="1:1" x14ac:dyDescent="0.25">
      <c r="A10542" s="17"/>
    </row>
    <row r="10543" spans="1:1" x14ac:dyDescent="0.25">
      <c r="A10543" s="17"/>
    </row>
    <row r="10544" spans="1:1" x14ac:dyDescent="0.25">
      <c r="A10544" s="17"/>
    </row>
    <row r="10545" spans="1:1" x14ac:dyDescent="0.25">
      <c r="A10545" s="17"/>
    </row>
    <row r="10546" spans="1:1" x14ac:dyDescent="0.25">
      <c r="A10546" s="17"/>
    </row>
    <row r="10547" spans="1:1" x14ac:dyDescent="0.25">
      <c r="A10547" s="17"/>
    </row>
    <row r="10548" spans="1:1" x14ac:dyDescent="0.25">
      <c r="A10548" s="17"/>
    </row>
    <row r="10549" spans="1:1" x14ac:dyDescent="0.25">
      <c r="A10549" s="17"/>
    </row>
    <row r="10550" spans="1:1" x14ac:dyDescent="0.25">
      <c r="A10550" s="17"/>
    </row>
    <row r="10551" spans="1:1" x14ac:dyDescent="0.25">
      <c r="A10551" s="17"/>
    </row>
    <row r="10552" spans="1:1" x14ac:dyDescent="0.25">
      <c r="A10552" s="17"/>
    </row>
    <row r="10553" spans="1:1" x14ac:dyDescent="0.25">
      <c r="A10553" s="17"/>
    </row>
    <row r="10554" spans="1:1" x14ac:dyDescent="0.25">
      <c r="A10554" s="17"/>
    </row>
    <row r="10555" spans="1:1" x14ac:dyDescent="0.25">
      <c r="A10555" s="17"/>
    </row>
    <row r="10556" spans="1:1" x14ac:dyDescent="0.25">
      <c r="A10556" s="17"/>
    </row>
    <row r="10557" spans="1:1" x14ac:dyDescent="0.25">
      <c r="A10557" s="17"/>
    </row>
    <row r="10558" spans="1:1" x14ac:dyDescent="0.25">
      <c r="A10558" s="17"/>
    </row>
    <row r="10559" spans="1:1" x14ac:dyDescent="0.25">
      <c r="A10559" s="17"/>
    </row>
    <row r="10560" spans="1:1" x14ac:dyDescent="0.25">
      <c r="A10560" s="17"/>
    </row>
    <row r="10561" spans="1:1" x14ac:dyDescent="0.25">
      <c r="A10561" s="17"/>
    </row>
    <row r="10562" spans="1:1" x14ac:dyDescent="0.25">
      <c r="A10562" s="17"/>
    </row>
    <row r="10563" spans="1:1" x14ac:dyDescent="0.25">
      <c r="A10563" s="17"/>
    </row>
    <row r="10564" spans="1:1" x14ac:dyDescent="0.25">
      <c r="A10564" s="17"/>
    </row>
    <row r="10565" spans="1:1" x14ac:dyDescent="0.25">
      <c r="A10565" s="17"/>
    </row>
    <row r="10566" spans="1:1" x14ac:dyDescent="0.25">
      <c r="A10566" s="17"/>
    </row>
    <row r="10567" spans="1:1" x14ac:dyDescent="0.25">
      <c r="A10567" s="17"/>
    </row>
    <row r="10568" spans="1:1" x14ac:dyDescent="0.25">
      <c r="A10568" s="17"/>
    </row>
    <row r="10569" spans="1:1" x14ac:dyDescent="0.25">
      <c r="A10569" s="17"/>
    </row>
    <row r="10570" spans="1:1" x14ac:dyDescent="0.25">
      <c r="A10570" s="17"/>
    </row>
    <row r="10571" spans="1:1" x14ac:dyDescent="0.25">
      <c r="A10571" s="17"/>
    </row>
    <row r="10572" spans="1:1" x14ac:dyDescent="0.25">
      <c r="A10572" s="17"/>
    </row>
    <row r="10573" spans="1:1" x14ac:dyDescent="0.25">
      <c r="A10573" s="17"/>
    </row>
    <row r="10574" spans="1:1" x14ac:dyDescent="0.25">
      <c r="A10574" s="17"/>
    </row>
    <row r="10575" spans="1:1" x14ac:dyDescent="0.25">
      <c r="A10575" s="17"/>
    </row>
    <row r="10576" spans="1:1" x14ac:dyDescent="0.25">
      <c r="A10576" s="17"/>
    </row>
    <row r="10577" spans="1:1" x14ac:dyDescent="0.25">
      <c r="A10577" s="17"/>
    </row>
    <row r="10578" spans="1:1" x14ac:dyDescent="0.25">
      <c r="A10578" s="17"/>
    </row>
    <row r="10579" spans="1:1" x14ac:dyDescent="0.25">
      <c r="A10579" s="17"/>
    </row>
    <row r="10580" spans="1:1" x14ac:dyDescent="0.25">
      <c r="A10580" s="17"/>
    </row>
    <row r="10581" spans="1:1" x14ac:dyDescent="0.25">
      <c r="A10581" s="17"/>
    </row>
    <row r="10582" spans="1:1" x14ac:dyDescent="0.25">
      <c r="A10582" s="17"/>
    </row>
    <row r="10583" spans="1:1" x14ac:dyDescent="0.25">
      <c r="A10583" s="17"/>
    </row>
    <row r="10584" spans="1:1" x14ac:dyDescent="0.25">
      <c r="A10584" s="17"/>
    </row>
    <row r="10585" spans="1:1" x14ac:dyDescent="0.25">
      <c r="A10585" s="17"/>
    </row>
    <row r="10586" spans="1:1" x14ac:dyDescent="0.25">
      <c r="A10586" s="17"/>
    </row>
    <row r="10587" spans="1:1" x14ac:dyDescent="0.25">
      <c r="A10587" s="17"/>
    </row>
    <row r="10588" spans="1:1" x14ac:dyDescent="0.25">
      <c r="A10588" s="17"/>
    </row>
    <row r="10589" spans="1:1" x14ac:dyDescent="0.25">
      <c r="A10589" s="17"/>
    </row>
    <row r="10590" spans="1:1" x14ac:dyDescent="0.25">
      <c r="A10590" s="17"/>
    </row>
    <row r="10591" spans="1:1" x14ac:dyDescent="0.25">
      <c r="A10591" s="17"/>
    </row>
    <row r="10592" spans="1:1" x14ac:dyDescent="0.25">
      <c r="A10592" s="17"/>
    </row>
    <row r="10593" spans="1:1" x14ac:dyDescent="0.25">
      <c r="A10593" s="17"/>
    </row>
    <row r="10594" spans="1:1" x14ac:dyDescent="0.25">
      <c r="A10594" s="17"/>
    </row>
    <row r="10595" spans="1:1" x14ac:dyDescent="0.25">
      <c r="A10595" s="17"/>
    </row>
    <row r="10596" spans="1:1" x14ac:dyDescent="0.25">
      <c r="A10596" s="17"/>
    </row>
    <row r="10597" spans="1:1" x14ac:dyDescent="0.25">
      <c r="A10597" s="17"/>
    </row>
    <row r="10598" spans="1:1" x14ac:dyDescent="0.25">
      <c r="A10598" s="17"/>
    </row>
    <row r="10599" spans="1:1" x14ac:dyDescent="0.25">
      <c r="A10599" s="17"/>
    </row>
    <row r="10600" spans="1:1" x14ac:dyDescent="0.25">
      <c r="A10600" s="17"/>
    </row>
    <row r="10601" spans="1:1" x14ac:dyDescent="0.25">
      <c r="A10601" s="17"/>
    </row>
    <row r="10602" spans="1:1" x14ac:dyDescent="0.25">
      <c r="A10602" s="17"/>
    </row>
    <row r="10603" spans="1:1" x14ac:dyDescent="0.25">
      <c r="A10603" s="17"/>
    </row>
    <row r="10604" spans="1:1" x14ac:dyDescent="0.25">
      <c r="A10604" s="17"/>
    </row>
    <row r="10605" spans="1:1" x14ac:dyDescent="0.25">
      <c r="A10605" s="17"/>
    </row>
    <row r="10606" spans="1:1" x14ac:dyDescent="0.25">
      <c r="A10606" s="17"/>
    </row>
    <row r="10607" spans="1:1" x14ac:dyDescent="0.25">
      <c r="A10607" s="17"/>
    </row>
    <row r="10608" spans="1:1" x14ac:dyDescent="0.25">
      <c r="A10608" s="17"/>
    </row>
    <row r="10609" spans="1:1" x14ac:dyDescent="0.25">
      <c r="A10609" s="17"/>
    </row>
    <row r="10610" spans="1:1" x14ac:dyDescent="0.25">
      <c r="A10610" s="17"/>
    </row>
    <row r="10611" spans="1:1" x14ac:dyDescent="0.25">
      <c r="A10611" s="17"/>
    </row>
    <row r="10612" spans="1:1" x14ac:dyDescent="0.25">
      <c r="A10612" s="17"/>
    </row>
    <row r="10613" spans="1:1" x14ac:dyDescent="0.25">
      <c r="A10613" s="17"/>
    </row>
    <row r="10614" spans="1:1" x14ac:dyDescent="0.25">
      <c r="A10614" s="17"/>
    </row>
    <row r="10615" spans="1:1" x14ac:dyDescent="0.25">
      <c r="A10615" s="17"/>
    </row>
    <row r="10616" spans="1:1" x14ac:dyDescent="0.25">
      <c r="A10616" s="17"/>
    </row>
    <row r="10617" spans="1:1" x14ac:dyDescent="0.25">
      <c r="A10617" s="17"/>
    </row>
    <row r="10618" spans="1:1" x14ac:dyDescent="0.25">
      <c r="A10618" s="17"/>
    </row>
    <row r="10619" spans="1:1" x14ac:dyDescent="0.25">
      <c r="A10619" s="17"/>
    </row>
    <row r="10620" spans="1:1" x14ac:dyDescent="0.25">
      <c r="A10620" s="17"/>
    </row>
    <row r="10621" spans="1:1" x14ac:dyDescent="0.25">
      <c r="A10621" s="17"/>
    </row>
    <row r="10622" spans="1:1" x14ac:dyDescent="0.25">
      <c r="A10622" s="17"/>
    </row>
    <row r="10623" spans="1:1" x14ac:dyDescent="0.25">
      <c r="A10623" s="17"/>
    </row>
    <row r="10624" spans="1:1" x14ac:dyDescent="0.25">
      <c r="A10624" s="17"/>
    </row>
    <row r="10625" spans="1:1" x14ac:dyDescent="0.25">
      <c r="A10625" s="17"/>
    </row>
    <row r="10626" spans="1:1" x14ac:dyDescent="0.25">
      <c r="A10626" s="17"/>
    </row>
    <row r="10627" spans="1:1" x14ac:dyDescent="0.25">
      <c r="A10627" s="17"/>
    </row>
    <row r="10628" spans="1:1" x14ac:dyDescent="0.25">
      <c r="A10628" s="17"/>
    </row>
    <row r="10629" spans="1:1" x14ac:dyDescent="0.25">
      <c r="A10629" s="17"/>
    </row>
    <row r="10630" spans="1:1" x14ac:dyDescent="0.25">
      <c r="A10630" s="17"/>
    </row>
    <row r="10631" spans="1:1" x14ac:dyDescent="0.25">
      <c r="A10631" s="17"/>
    </row>
    <row r="10632" spans="1:1" x14ac:dyDescent="0.25">
      <c r="A10632" s="17"/>
    </row>
    <row r="10633" spans="1:1" x14ac:dyDescent="0.25">
      <c r="A10633" s="17"/>
    </row>
    <row r="10634" spans="1:1" x14ac:dyDescent="0.25">
      <c r="A10634" s="17"/>
    </row>
    <row r="10635" spans="1:1" x14ac:dyDescent="0.25">
      <c r="A10635" s="17"/>
    </row>
    <row r="10636" spans="1:1" x14ac:dyDescent="0.25">
      <c r="A10636" s="17"/>
    </row>
    <row r="10637" spans="1:1" x14ac:dyDescent="0.25">
      <c r="A10637" s="17"/>
    </row>
    <row r="10638" spans="1:1" x14ac:dyDescent="0.25">
      <c r="A10638" s="17"/>
    </row>
    <row r="10639" spans="1:1" x14ac:dyDescent="0.25">
      <c r="A10639" s="17"/>
    </row>
    <row r="10640" spans="1:1" x14ac:dyDescent="0.25">
      <c r="A10640" s="17"/>
    </row>
    <row r="10641" spans="1:1" x14ac:dyDescent="0.25">
      <c r="A10641" s="17"/>
    </row>
    <row r="10642" spans="1:1" x14ac:dyDescent="0.25">
      <c r="A10642" s="17"/>
    </row>
    <row r="10643" spans="1:1" x14ac:dyDescent="0.25">
      <c r="A10643" s="17"/>
    </row>
    <row r="10644" spans="1:1" x14ac:dyDescent="0.25">
      <c r="A10644" s="17"/>
    </row>
    <row r="10645" spans="1:1" x14ac:dyDescent="0.25">
      <c r="A10645" s="17"/>
    </row>
    <row r="10646" spans="1:1" x14ac:dyDescent="0.25">
      <c r="A10646" s="17"/>
    </row>
    <row r="10647" spans="1:1" x14ac:dyDescent="0.25">
      <c r="A10647" s="17"/>
    </row>
    <row r="10648" spans="1:1" x14ac:dyDescent="0.25">
      <c r="A10648" s="17"/>
    </row>
    <row r="10649" spans="1:1" x14ac:dyDescent="0.25">
      <c r="A10649" s="17"/>
    </row>
    <row r="10650" spans="1:1" x14ac:dyDescent="0.25">
      <c r="A10650" s="17"/>
    </row>
    <row r="10651" spans="1:1" x14ac:dyDescent="0.25">
      <c r="A10651" s="17"/>
    </row>
    <row r="10652" spans="1:1" x14ac:dyDescent="0.25">
      <c r="A10652" s="17"/>
    </row>
    <row r="10653" spans="1:1" x14ac:dyDescent="0.25">
      <c r="A10653" s="17"/>
    </row>
    <row r="10654" spans="1:1" x14ac:dyDescent="0.25">
      <c r="A10654" s="17"/>
    </row>
    <row r="10655" spans="1:1" x14ac:dyDescent="0.25">
      <c r="A10655" s="17"/>
    </row>
    <row r="10656" spans="1:1" x14ac:dyDescent="0.25">
      <c r="A10656" s="17"/>
    </row>
    <row r="10657" spans="1:1" x14ac:dyDescent="0.25">
      <c r="A10657" s="17"/>
    </row>
    <row r="10658" spans="1:1" x14ac:dyDescent="0.25">
      <c r="A10658" s="17"/>
    </row>
    <row r="10659" spans="1:1" x14ac:dyDescent="0.25">
      <c r="A10659" s="17"/>
    </row>
    <row r="10660" spans="1:1" x14ac:dyDescent="0.25">
      <c r="A10660" s="17"/>
    </row>
    <row r="10661" spans="1:1" x14ac:dyDescent="0.25">
      <c r="A10661" s="17"/>
    </row>
    <row r="10662" spans="1:1" x14ac:dyDescent="0.25">
      <c r="A10662" s="17"/>
    </row>
    <row r="10663" spans="1:1" x14ac:dyDescent="0.25">
      <c r="A10663" s="17"/>
    </row>
    <row r="10664" spans="1:1" x14ac:dyDescent="0.25">
      <c r="A10664" s="17"/>
    </row>
    <row r="10665" spans="1:1" x14ac:dyDescent="0.25">
      <c r="A10665" s="17"/>
    </row>
    <row r="10666" spans="1:1" x14ac:dyDescent="0.25">
      <c r="A10666" s="17"/>
    </row>
    <row r="10667" spans="1:1" x14ac:dyDescent="0.25">
      <c r="A10667" s="17"/>
    </row>
    <row r="10668" spans="1:1" x14ac:dyDescent="0.25">
      <c r="A10668" s="17"/>
    </row>
    <row r="10669" spans="1:1" x14ac:dyDescent="0.25">
      <c r="A10669" s="17"/>
    </row>
    <row r="10670" spans="1:1" x14ac:dyDescent="0.25">
      <c r="A10670" s="17"/>
    </row>
    <row r="10671" spans="1:1" x14ac:dyDescent="0.25">
      <c r="A10671" s="17"/>
    </row>
    <row r="10672" spans="1:1" x14ac:dyDescent="0.25">
      <c r="A10672" s="17"/>
    </row>
    <row r="10673" spans="1:1" x14ac:dyDescent="0.25">
      <c r="A10673" s="17"/>
    </row>
    <row r="10674" spans="1:1" x14ac:dyDescent="0.25">
      <c r="A10674" s="17"/>
    </row>
    <row r="10675" spans="1:1" x14ac:dyDescent="0.25">
      <c r="A10675" s="17"/>
    </row>
    <row r="10676" spans="1:1" x14ac:dyDescent="0.25">
      <c r="A10676" s="17"/>
    </row>
    <row r="10677" spans="1:1" x14ac:dyDescent="0.25">
      <c r="A10677" s="17"/>
    </row>
    <row r="10678" spans="1:1" x14ac:dyDescent="0.25">
      <c r="A10678" s="17"/>
    </row>
    <row r="10679" spans="1:1" x14ac:dyDescent="0.25">
      <c r="A10679" s="17"/>
    </row>
    <row r="10680" spans="1:1" x14ac:dyDescent="0.25">
      <c r="A10680" s="17"/>
    </row>
    <row r="10681" spans="1:1" x14ac:dyDescent="0.25">
      <c r="A10681" s="17"/>
    </row>
    <row r="10682" spans="1:1" x14ac:dyDescent="0.25">
      <c r="A10682" s="17"/>
    </row>
    <row r="10683" spans="1:1" x14ac:dyDescent="0.25">
      <c r="A10683" s="17"/>
    </row>
    <row r="10684" spans="1:1" x14ac:dyDescent="0.25">
      <c r="A10684" s="17"/>
    </row>
    <row r="10685" spans="1:1" x14ac:dyDescent="0.25">
      <c r="A10685" s="17"/>
    </row>
    <row r="10686" spans="1:1" x14ac:dyDescent="0.25">
      <c r="A10686" s="17"/>
    </row>
    <row r="10687" spans="1:1" x14ac:dyDescent="0.25">
      <c r="A10687" s="17"/>
    </row>
    <row r="10688" spans="1:1" x14ac:dyDescent="0.25">
      <c r="A10688" s="17"/>
    </row>
    <row r="10689" spans="1:1" x14ac:dyDescent="0.25">
      <c r="A10689" s="17"/>
    </row>
    <row r="10690" spans="1:1" x14ac:dyDescent="0.25">
      <c r="A10690" s="17"/>
    </row>
    <row r="10691" spans="1:1" x14ac:dyDescent="0.25">
      <c r="A10691" s="17"/>
    </row>
    <row r="10692" spans="1:1" x14ac:dyDescent="0.25">
      <c r="A10692" s="17"/>
    </row>
    <row r="10693" spans="1:1" x14ac:dyDescent="0.25">
      <c r="A10693" s="17"/>
    </row>
    <row r="10694" spans="1:1" x14ac:dyDescent="0.25">
      <c r="A10694" s="17"/>
    </row>
    <row r="10695" spans="1:1" x14ac:dyDescent="0.25">
      <c r="A10695" s="17"/>
    </row>
    <row r="10696" spans="1:1" x14ac:dyDescent="0.25">
      <c r="A10696" s="17"/>
    </row>
    <row r="10697" spans="1:1" x14ac:dyDescent="0.25">
      <c r="A10697" s="17"/>
    </row>
    <row r="10698" spans="1:1" x14ac:dyDescent="0.25">
      <c r="A10698" s="17"/>
    </row>
    <row r="10699" spans="1:1" x14ac:dyDescent="0.25">
      <c r="A10699" s="17"/>
    </row>
    <row r="10700" spans="1:1" x14ac:dyDescent="0.25">
      <c r="A10700" s="17"/>
    </row>
    <row r="10701" spans="1:1" x14ac:dyDescent="0.25">
      <c r="A10701" s="17"/>
    </row>
    <row r="10702" spans="1:1" x14ac:dyDescent="0.25">
      <c r="A10702" s="17"/>
    </row>
    <row r="10703" spans="1:1" x14ac:dyDescent="0.25">
      <c r="A10703" s="17"/>
    </row>
    <row r="10704" spans="1:1" x14ac:dyDescent="0.25">
      <c r="A10704" s="17"/>
    </row>
    <row r="10705" spans="1:1" x14ac:dyDescent="0.25">
      <c r="A10705" s="17"/>
    </row>
    <row r="10706" spans="1:1" x14ac:dyDescent="0.25">
      <c r="A10706" s="17"/>
    </row>
    <row r="10707" spans="1:1" x14ac:dyDescent="0.25">
      <c r="A10707" s="17"/>
    </row>
    <row r="10708" spans="1:1" x14ac:dyDescent="0.25">
      <c r="A10708" s="17"/>
    </row>
    <row r="10709" spans="1:1" x14ac:dyDescent="0.25">
      <c r="A10709" s="17"/>
    </row>
    <row r="10710" spans="1:1" x14ac:dyDescent="0.25">
      <c r="A10710" s="17"/>
    </row>
    <row r="10711" spans="1:1" x14ac:dyDescent="0.25">
      <c r="A10711" s="17"/>
    </row>
    <row r="10712" spans="1:1" x14ac:dyDescent="0.25">
      <c r="A10712" s="17"/>
    </row>
    <row r="10713" spans="1:1" x14ac:dyDescent="0.25">
      <c r="A10713" s="17"/>
    </row>
    <row r="10714" spans="1:1" x14ac:dyDescent="0.25">
      <c r="A10714" s="17"/>
    </row>
    <row r="10715" spans="1:1" x14ac:dyDescent="0.25">
      <c r="A10715" s="17"/>
    </row>
    <row r="10716" spans="1:1" x14ac:dyDescent="0.25">
      <c r="A10716" s="17"/>
    </row>
    <row r="10717" spans="1:1" x14ac:dyDescent="0.25">
      <c r="A10717" s="17"/>
    </row>
    <row r="10718" spans="1:1" x14ac:dyDescent="0.25">
      <c r="A10718" s="17"/>
    </row>
    <row r="10719" spans="1:1" x14ac:dyDescent="0.25">
      <c r="A10719" s="17"/>
    </row>
    <row r="10720" spans="1:1" x14ac:dyDescent="0.25">
      <c r="A10720" s="17"/>
    </row>
    <row r="10721" spans="1:1" x14ac:dyDescent="0.25">
      <c r="A10721" s="17"/>
    </row>
    <row r="10722" spans="1:1" x14ac:dyDescent="0.25">
      <c r="A10722" s="17"/>
    </row>
    <row r="10723" spans="1:1" x14ac:dyDescent="0.25">
      <c r="A10723" s="17"/>
    </row>
    <row r="10724" spans="1:1" x14ac:dyDescent="0.25">
      <c r="A10724" s="17"/>
    </row>
    <row r="10725" spans="1:1" x14ac:dyDescent="0.25">
      <c r="A10725" s="17"/>
    </row>
    <row r="10726" spans="1:1" x14ac:dyDescent="0.25">
      <c r="A10726" s="17"/>
    </row>
    <row r="10727" spans="1:1" x14ac:dyDescent="0.25">
      <c r="A10727" s="17"/>
    </row>
    <row r="10728" spans="1:1" x14ac:dyDescent="0.25">
      <c r="A10728" s="17"/>
    </row>
    <row r="10729" spans="1:1" x14ac:dyDescent="0.25">
      <c r="A10729" s="17"/>
    </row>
    <row r="10730" spans="1:1" x14ac:dyDescent="0.25">
      <c r="A10730" s="17"/>
    </row>
    <row r="10731" spans="1:1" x14ac:dyDescent="0.25">
      <c r="A10731" s="17"/>
    </row>
    <row r="10732" spans="1:1" x14ac:dyDescent="0.25">
      <c r="A10732" s="17"/>
    </row>
    <row r="10733" spans="1:1" x14ac:dyDescent="0.25">
      <c r="A10733" s="17"/>
    </row>
    <row r="10734" spans="1:1" x14ac:dyDescent="0.25">
      <c r="A10734" s="17"/>
    </row>
    <row r="10735" spans="1:1" x14ac:dyDescent="0.25">
      <c r="A10735" s="17"/>
    </row>
    <row r="10736" spans="1:1" x14ac:dyDescent="0.25">
      <c r="A10736" s="17"/>
    </row>
    <row r="10737" spans="1:1" x14ac:dyDescent="0.25">
      <c r="A10737" s="17"/>
    </row>
    <row r="10738" spans="1:1" x14ac:dyDescent="0.25">
      <c r="A10738" s="17"/>
    </row>
    <row r="10739" spans="1:1" x14ac:dyDescent="0.25">
      <c r="A10739" s="17"/>
    </row>
    <row r="10740" spans="1:1" x14ac:dyDescent="0.25">
      <c r="A10740" s="17"/>
    </row>
    <row r="10741" spans="1:1" x14ac:dyDescent="0.25">
      <c r="A10741" s="17"/>
    </row>
    <row r="10742" spans="1:1" x14ac:dyDescent="0.25">
      <c r="A10742" s="17"/>
    </row>
    <row r="10743" spans="1:1" x14ac:dyDescent="0.25">
      <c r="A10743" s="17"/>
    </row>
    <row r="10744" spans="1:1" x14ac:dyDescent="0.25">
      <c r="A10744" s="17"/>
    </row>
    <row r="10745" spans="1:1" x14ac:dyDescent="0.25">
      <c r="A10745" s="17"/>
    </row>
    <row r="10746" spans="1:1" x14ac:dyDescent="0.25">
      <c r="A10746" s="17"/>
    </row>
    <row r="10747" spans="1:1" x14ac:dyDescent="0.25">
      <c r="A10747" s="17"/>
    </row>
    <row r="10748" spans="1:1" x14ac:dyDescent="0.25">
      <c r="A10748" s="17"/>
    </row>
    <row r="10749" spans="1:1" x14ac:dyDescent="0.25">
      <c r="A10749" s="17"/>
    </row>
    <row r="10750" spans="1:1" x14ac:dyDescent="0.25">
      <c r="A10750" s="17"/>
    </row>
    <row r="10751" spans="1:1" x14ac:dyDescent="0.25">
      <c r="A10751" s="17"/>
    </row>
    <row r="10752" spans="1:1" x14ac:dyDescent="0.25">
      <c r="A10752" s="17"/>
    </row>
    <row r="10753" spans="1:1" x14ac:dyDescent="0.25">
      <c r="A10753" s="17"/>
    </row>
    <row r="10754" spans="1:1" x14ac:dyDescent="0.25">
      <c r="A10754" s="17"/>
    </row>
    <row r="10755" spans="1:1" x14ac:dyDescent="0.25">
      <c r="A10755" s="17"/>
    </row>
    <row r="10756" spans="1:1" x14ac:dyDescent="0.25">
      <c r="A10756" s="17"/>
    </row>
    <row r="10757" spans="1:1" x14ac:dyDescent="0.25">
      <c r="A10757" s="17"/>
    </row>
    <row r="10758" spans="1:1" x14ac:dyDescent="0.25">
      <c r="A10758" s="17"/>
    </row>
    <row r="10759" spans="1:1" x14ac:dyDescent="0.25">
      <c r="A10759" s="17"/>
    </row>
    <row r="10760" spans="1:1" x14ac:dyDescent="0.25">
      <c r="A10760" s="17"/>
    </row>
    <row r="10761" spans="1:1" x14ac:dyDescent="0.25">
      <c r="A10761" s="17"/>
    </row>
    <row r="10762" spans="1:1" x14ac:dyDescent="0.25">
      <c r="A10762" s="17"/>
    </row>
    <row r="10763" spans="1:1" x14ac:dyDescent="0.25">
      <c r="A10763" s="17"/>
    </row>
    <row r="10764" spans="1:1" x14ac:dyDescent="0.25">
      <c r="A10764" s="17"/>
    </row>
    <row r="10765" spans="1:1" x14ac:dyDescent="0.25">
      <c r="A10765" s="17"/>
    </row>
    <row r="10766" spans="1:1" x14ac:dyDescent="0.25">
      <c r="A10766" s="17"/>
    </row>
    <row r="10767" spans="1:1" x14ac:dyDescent="0.25">
      <c r="A10767" s="17"/>
    </row>
    <row r="10768" spans="1:1" x14ac:dyDescent="0.25">
      <c r="A10768" s="17"/>
    </row>
    <row r="10769" spans="1:1" x14ac:dyDescent="0.25">
      <c r="A10769" s="17"/>
    </row>
    <row r="10770" spans="1:1" x14ac:dyDescent="0.25">
      <c r="A10770" s="17"/>
    </row>
    <row r="10771" spans="1:1" x14ac:dyDescent="0.25">
      <c r="A10771" s="17"/>
    </row>
    <row r="10772" spans="1:1" x14ac:dyDescent="0.25">
      <c r="A10772" s="17"/>
    </row>
    <row r="10773" spans="1:1" x14ac:dyDescent="0.25">
      <c r="A10773" s="17"/>
    </row>
    <row r="10774" spans="1:1" x14ac:dyDescent="0.25">
      <c r="A10774" s="17"/>
    </row>
    <row r="10775" spans="1:1" x14ac:dyDescent="0.25">
      <c r="A10775" s="17"/>
    </row>
    <row r="10776" spans="1:1" x14ac:dyDescent="0.25">
      <c r="A10776" s="17"/>
    </row>
    <row r="10777" spans="1:1" x14ac:dyDescent="0.25">
      <c r="A10777" s="17"/>
    </row>
    <row r="10778" spans="1:1" x14ac:dyDescent="0.25">
      <c r="A10778" s="17"/>
    </row>
    <row r="10779" spans="1:1" x14ac:dyDescent="0.25">
      <c r="A10779" s="17"/>
    </row>
    <row r="10780" spans="1:1" x14ac:dyDescent="0.25">
      <c r="A10780" s="17"/>
    </row>
    <row r="10781" spans="1:1" x14ac:dyDescent="0.25">
      <c r="A10781" s="17"/>
    </row>
    <row r="10782" spans="1:1" x14ac:dyDescent="0.25">
      <c r="A10782" s="17"/>
    </row>
    <row r="10783" spans="1:1" x14ac:dyDescent="0.25">
      <c r="A10783" s="17"/>
    </row>
    <row r="10784" spans="1:1" x14ac:dyDescent="0.25">
      <c r="A10784" s="17"/>
    </row>
    <row r="10785" spans="1:1" x14ac:dyDescent="0.25">
      <c r="A10785" s="17"/>
    </row>
    <row r="10786" spans="1:1" x14ac:dyDescent="0.25">
      <c r="A10786" s="17"/>
    </row>
    <row r="10787" spans="1:1" x14ac:dyDescent="0.25">
      <c r="A10787" s="17"/>
    </row>
    <row r="10788" spans="1:1" x14ac:dyDescent="0.25">
      <c r="A10788" s="17"/>
    </row>
    <row r="10789" spans="1:1" x14ac:dyDescent="0.25">
      <c r="A10789" s="17"/>
    </row>
    <row r="10790" spans="1:1" x14ac:dyDescent="0.25">
      <c r="A10790" s="17"/>
    </row>
    <row r="10791" spans="1:1" x14ac:dyDescent="0.25">
      <c r="A10791" s="17"/>
    </row>
    <row r="10792" spans="1:1" x14ac:dyDescent="0.25">
      <c r="A10792" s="17"/>
    </row>
    <row r="10793" spans="1:1" x14ac:dyDescent="0.25">
      <c r="A10793" s="17"/>
    </row>
    <row r="10794" spans="1:1" x14ac:dyDescent="0.25">
      <c r="A10794" s="17"/>
    </row>
    <row r="10795" spans="1:1" x14ac:dyDescent="0.25">
      <c r="A10795" s="17"/>
    </row>
    <row r="10796" spans="1:1" x14ac:dyDescent="0.25">
      <c r="A10796" s="17"/>
    </row>
    <row r="10797" spans="1:1" x14ac:dyDescent="0.25">
      <c r="A10797" s="17"/>
    </row>
    <row r="10798" spans="1:1" x14ac:dyDescent="0.25">
      <c r="A10798" s="17"/>
    </row>
    <row r="10799" spans="1:1" x14ac:dyDescent="0.25">
      <c r="A10799" s="17"/>
    </row>
    <row r="10800" spans="1:1" x14ac:dyDescent="0.25">
      <c r="A10800" s="17"/>
    </row>
    <row r="10801" spans="1:1" x14ac:dyDescent="0.25">
      <c r="A10801" s="17"/>
    </row>
    <row r="10802" spans="1:1" x14ac:dyDescent="0.25">
      <c r="A10802" s="17"/>
    </row>
    <row r="10803" spans="1:1" x14ac:dyDescent="0.25">
      <c r="A10803" s="17"/>
    </row>
    <row r="10804" spans="1:1" x14ac:dyDescent="0.25">
      <c r="A10804" s="17"/>
    </row>
    <row r="10805" spans="1:1" x14ac:dyDescent="0.25">
      <c r="A10805" s="17"/>
    </row>
    <row r="10806" spans="1:1" x14ac:dyDescent="0.25">
      <c r="A10806" s="17"/>
    </row>
    <row r="10807" spans="1:1" x14ac:dyDescent="0.25">
      <c r="A10807" s="17"/>
    </row>
    <row r="10808" spans="1:1" x14ac:dyDescent="0.25">
      <c r="A10808" s="17"/>
    </row>
    <row r="10809" spans="1:1" x14ac:dyDescent="0.25">
      <c r="A10809" s="17"/>
    </row>
    <row r="10810" spans="1:1" x14ac:dyDescent="0.25">
      <c r="A10810" s="17"/>
    </row>
    <row r="10811" spans="1:1" x14ac:dyDescent="0.25">
      <c r="A10811" s="17"/>
    </row>
    <row r="10812" spans="1:1" x14ac:dyDescent="0.25">
      <c r="A10812" s="17"/>
    </row>
    <row r="10813" spans="1:1" x14ac:dyDescent="0.25">
      <c r="A10813" s="17"/>
    </row>
    <row r="10814" spans="1:1" x14ac:dyDescent="0.25">
      <c r="A10814" s="17"/>
    </row>
    <row r="10815" spans="1:1" x14ac:dyDescent="0.25">
      <c r="A10815" s="17"/>
    </row>
    <row r="10816" spans="1:1" x14ac:dyDescent="0.25">
      <c r="A10816" s="17"/>
    </row>
    <row r="10817" spans="1:1" x14ac:dyDescent="0.25">
      <c r="A10817" s="17"/>
    </row>
    <row r="10818" spans="1:1" x14ac:dyDescent="0.25">
      <c r="A10818" s="17"/>
    </row>
    <row r="10819" spans="1:1" x14ac:dyDescent="0.25">
      <c r="A10819" s="17"/>
    </row>
    <row r="10820" spans="1:1" x14ac:dyDescent="0.25">
      <c r="A10820" s="17"/>
    </row>
    <row r="10821" spans="1:1" x14ac:dyDescent="0.25">
      <c r="A10821" s="17"/>
    </row>
    <row r="10822" spans="1:1" x14ac:dyDescent="0.25">
      <c r="A10822" s="17"/>
    </row>
    <row r="10823" spans="1:1" x14ac:dyDescent="0.25">
      <c r="A10823" s="17"/>
    </row>
    <row r="10824" spans="1:1" x14ac:dyDescent="0.25">
      <c r="A10824" s="17"/>
    </row>
    <row r="10825" spans="1:1" x14ac:dyDescent="0.25">
      <c r="A10825" s="17"/>
    </row>
    <row r="10826" spans="1:1" x14ac:dyDescent="0.25">
      <c r="A10826" s="17"/>
    </row>
    <row r="10827" spans="1:1" x14ac:dyDescent="0.25">
      <c r="A10827" s="17"/>
    </row>
    <row r="10828" spans="1:1" x14ac:dyDescent="0.25">
      <c r="A10828" s="17"/>
    </row>
    <row r="10829" spans="1:1" x14ac:dyDescent="0.25">
      <c r="A10829" s="17"/>
    </row>
    <row r="10830" spans="1:1" x14ac:dyDescent="0.25">
      <c r="A10830" s="17"/>
    </row>
    <row r="10831" spans="1:1" x14ac:dyDescent="0.25">
      <c r="A10831" s="17"/>
    </row>
    <row r="10832" spans="1:1" x14ac:dyDescent="0.25">
      <c r="A10832" s="17"/>
    </row>
    <row r="10833" spans="1:1" x14ac:dyDescent="0.25">
      <c r="A10833" s="17"/>
    </row>
    <row r="10834" spans="1:1" x14ac:dyDescent="0.25">
      <c r="A10834" s="17"/>
    </row>
    <row r="10835" spans="1:1" x14ac:dyDescent="0.25">
      <c r="A10835" s="17"/>
    </row>
    <row r="10836" spans="1:1" x14ac:dyDescent="0.25">
      <c r="A10836" s="17"/>
    </row>
    <row r="10837" spans="1:1" x14ac:dyDescent="0.25">
      <c r="A10837" s="17"/>
    </row>
    <row r="10838" spans="1:1" x14ac:dyDescent="0.25">
      <c r="A10838" s="17"/>
    </row>
    <row r="10839" spans="1:1" x14ac:dyDescent="0.25">
      <c r="A10839" s="17"/>
    </row>
    <row r="10840" spans="1:1" x14ac:dyDescent="0.25">
      <c r="A10840" s="17"/>
    </row>
    <row r="10841" spans="1:1" x14ac:dyDescent="0.25">
      <c r="A10841" s="17"/>
    </row>
    <row r="10842" spans="1:1" x14ac:dyDescent="0.25">
      <c r="A10842" s="17"/>
    </row>
    <row r="10843" spans="1:1" x14ac:dyDescent="0.25">
      <c r="A10843" s="17"/>
    </row>
    <row r="10844" spans="1:1" x14ac:dyDescent="0.25">
      <c r="A10844" s="17"/>
    </row>
    <row r="10845" spans="1:1" x14ac:dyDescent="0.25">
      <c r="A10845" s="17"/>
    </row>
    <row r="10846" spans="1:1" x14ac:dyDescent="0.25">
      <c r="A10846" s="17"/>
    </row>
    <row r="10847" spans="1:1" x14ac:dyDescent="0.25">
      <c r="A10847" s="17"/>
    </row>
    <row r="10848" spans="1:1" x14ac:dyDescent="0.25">
      <c r="A10848" s="17"/>
    </row>
    <row r="10849" spans="1:1" x14ac:dyDescent="0.25">
      <c r="A10849" s="17"/>
    </row>
    <row r="10850" spans="1:1" x14ac:dyDescent="0.25">
      <c r="A10850" s="17"/>
    </row>
    <row r="10851" spans="1:1" x14ac:dyDescent="0.25">
      <c r="A10851" s="17"/>
    </row>
    <row r="10852" spans="1:1" x14ac:dyDescent="0.25">
      <c r="A10852" s="17"/>
    </row>
    <row r="10853" spans="1:1" x14ac:dyDescent="0.25">
      <c r="A10853" s="17"/>
    </row>
    <row r="10854" spans="1:1" x14ac:dyDescent="0.25">
      <c r="A10854" s="17"/>
    </row>
    <row r="10855" spans="1:1" x14ac:dyDescent="0.25">
      <c r="A10855" s="17"/>
    </row>
    <row r="10856" spans="1:1" x14ac:dyDescent="0.25">
      <c r="A10856" s="17"/>
    </row>
    <row r="10857" spans="1:1" x14ac:dyDescent="0.25">
      <c r="A10857" s="17"/>
    </row>
    <row r="10858" spans="1:1" x14ac:dyDescent="0.25">
      <c r="A10858" s="17"/>
    </row>
    <row r="10859" spans="1:1" x14ac:dyDescent="0.25">
      <c r="A10859" s="17"/>
    </row>
    <row r="10860" spans="1:1" x14ac:dyDescent="0.25">
      <c r="A10860" s="17"/>
    </row>
    <row r="10861" spans="1:1" x14ac:dyDescent="0.25">
      <c r="A10861" s="17"/>
    </row>
    <row r="10862" spans="1:1" x14ac:dyDescent="0.25">
      <c r="A10862" s="17"/>
    </row>
    <row r="10863" spans="1:1" x14ac:dyDescent="0.25">
      <c r="A10863" s="17"/>
    </row>
    <row r="10864" spans="1:1" x14ac:dyDescent="0.25">
      <c r="A10864" s="17"/>
    </row>
    <row r="10865" spans="1:1" x14ac:dyDescent="0.25">
      <c r="A10865" s="17"/>
    </row>
    <row r="10866" spans="1:1" x14ac:dyDescent="0.25">
      <c r="A10866" s="17"/>
    </row>
    <row r="10867" spans="1:1" x14ac:dyDescent="0.25">
      <c r="A10867" s="17"/>
    </row>
    <row r="10868" spans="1:1" x14ac:dyDescent="0.25">
      <c r="A10868" s="17"/>
    </row>
    <row r="10869" spans="1:1" x14ac:dyDescent="0.25">
      <c r="A10869" s="17"/>
    </row>
    <row r="10870" spans="1:1" x14ac:dyDescent="0.25">
      <c r="A10870" s="17"/>
    </row>
    <row r="10871" spans="1:1" x14ac:dyDescent="0.25">
      <c r="A10871" s="17"/>
    </row>
    <row r="10872" spans="1:1" x14ac:dyDescent="0.25">
      <c r="A10872" s="17"/>
    </row>
    <row r="10873" spans="1:1" x14ac:dyDescent="0.25">
      <c r="A10873" s="17"/>
    </row>
    <row r="10874" spans="1:1" x14ac:dyDescent="0.25">
      <c r="A10874" s="17"/>
    </row>
    <row r="10875" spans="1:1" x14ac:dyDescent="0.25">
      <c r="A10875" s="17"/>
    </row>
    <row r="10876" spans="1:1" x14ac:dyDescent="0.25">
      <c r="A10876" s="17"/>
    </row>
    <row r="10877" spans="1:1" x14ac:dyDescent="0.25">
      <c r="A10877" s="17"/>
    </row>
    <row r="10878" spans="1:1" x14ac:dyDescent="0.25">
      <c r="A10878" s="17"/>
    </row>
    <row r="10879" spans="1:1" x14ac:dyDescent="0.25">
      <c r="A10879" s="17"/>
    </row>
    <row r="10880" spans="1:1" x14ac:dyDescent="0.25">
      <c r="A10880" s="17"/>
    </row>
    <row r="10881" spans="1:1" x14ac:dyDescent="0.25">
      <c r="A10881" s="17"/>
    </row>
    <row r="10882" spans="1:1" x14ac:dyDescent="0.25">
      <c r="A10882" s="17"/>
    </row>
    <row r="10883" spans="1:1" x14ac:dyDescent="0.25">
      <c r="A10883" s="17"/>
    </row>
    <row r="10884" spans="1:1" x14ac:dyDescent="0.25">
      <c r="A10884" s="17"/>
    </row>
    <row r="10885" spans="1:1" x14ac:dyDescent="0.25">
      <c r="A10885" s="17"/>
    </row>
    <row r="10886" spans="1:1" x14ac:dyDescent="0.25">
      <c r="A10886" s="17"/>
    </row>
    <row r="10887" spans="1:1" x14ac:dyDescent="0.25">
      <c r="A10887" s="17"/>
    </row>
    <row r="10888" spans="1:1" x14ac:dyDescent="0.25">
      <c r="A10888" s="17"/>
    </row>
    <row r="10889" spans="1:1" x14ac:dyDescent="0.25">
      <c r="A10889" s="17"/>
    </row>
    <row r="10890" spans="1:1" x14ac:dyDescent="0.25">
      <c r="A10890" s="17"/>
    </row>
    <row r="10891" spans="1:1" x14ac:dyDescent="0.25">
      <c r="A10891" s="17"/>
    </row>
    <row r="10892" spans="1:1" x14ac:dyDescent="0.25">
      <c r="A10892" s="17"/>
    </row>
    <row r="10893" spans="1:1" x14ac:dyDescent="0.25">
      <c r="A10893" s="17"/>
    </row>
    <row r="10894" spans="1:1" x14ac:dyDescent="0.25">
      <c r="A10894" s="17"/>
    </row>
    <row r="10895" spans="1:1" x14ac:dyDescent="0.25">
      <c r="A10895" s="17"/>
    </row>
    <row r="10896" spans="1:1" x14ac:dyDescent="0.25">
      <c r="A10896" s="17"/>
    </row>
    <row r="10897" spans="1:1" x14ac:dyDescent="0.25">
      <c r="A10897" s="17"/>
    </row>
    <row r="10898" spans="1:1" x14ac:dyDescent="0.25">
      <c r="A10898" s="17"/>
    </row>
    <row r="10899" spans="1:1" x14ac:dyDescent="0.25">
      <c r="A10899" s="17"/>
    </row>
    <row r="10900" spans="1:1" x14ac:dyDescent="0.25">
      <c r="A10900" s="17"/>
    </row>
    <row r="10901" spans="1:1" x14ac:dyDescent="0.25">
      <c r="A10901" s="17"/>
    </row>
    <row r="10902" spans="1:1" x14ac:dyDescent="0.25">
      <c r="A10902" s="17"/>
    </row>
    <row r="10903" spans="1:1" x14ac:dyDescent="0.25">
      <c r="A10903" s="17"/>
    </row>
    <row r="10904" spans="1:1" x14ac:dyDescent="0.25">
      <c r="A10904" s="17"/>
    </row>
    <row r="10905" spans="1:1" x14ac:dyDescent="0.25">
      <c r="A10905" s="17"/>
    </row>
    <row r="10906" spans="1:1" x14ac:dyDescent="0.25">
      <c r="A10906" s="17"/>
    </row>
    <row r="10907" spans="1:1" x14ac:dyDescent="0.25">
      <c r="A10907" s="17"/>
    </row>
    <row r="10908" spans="1:1" x14ac:dyDescent="0.25">
      <c r="A10908" s="17"/>
    </row>
    <row r="10909" spans="1:1" x14ac:dyDescent="0.25">
      <c r="A10909" s="17"/>
    </row>
    <row r="10910" spans="1:1" x14ac:dyDescent="0.25">
      <c r="A10910" s="17"/>
    </row>
    <row r="10911" spans="1:1" x14ac:dyDescent="0.25">
      <c r="A10911" s="17"/>
    </row>
    <row r="10912" spans="1:1" x14ac:dyDescent="0.25">
      <c r="A10912" s="17"/>
    </row>
    <row r="10913" spans="1:1" x14ac:dyDescent="0.25">
      <c r="A10913" s="17"/>
    </row>
    <row r="10914" spans="1:1" x14ac:dyDescent="0.25">
      <c r="A10914" s="17"/>
    </row>
    <row r="10915" spans="1:1" x14ac:dyDescent="0.25">
      <c r="A10915" s="17"/>
    </row>
    <row r="10916" spans="1:1" x14ac:dyDescent="0.25">
      <c r="A10916" s="17"/>
    </row>
    <row r="10917" spans="1:1" x14ac:dyDescent="0.25">
      <c r="A10917" s="17"/>
    </row>
    <row r="10918" spans="1:1" x14ac:dyDescent="0.25">
      <c r="A10918" s="17"/>
    </row>
    <row r="10919" spans="1:1" x14ac:dyDescent="0.25">
      <c r="A10919" s="17"/>
    </row>
    <row r="10920" spans="1:1" x14ac:dyDescent="0.25">
      <c r="A10920" s="17"/>
    </row>
    <row r="10921" spans="1:1" x14ac:dyDescent="0.25">
      <c r="A10921" s="17"/>
    </row>
    <row r="10922" spans="1:1" x14ac:dyDescent="0.25">
      <c r="A10922" s="17"/>
    </row>
    <row r="10923" spans="1:1" x14ac:dyDescent="0.25">
      <c r="A10923" s="17"/>
    </row>
    <row r="10924" spans="1:1" x14ac:dyDescent="0.25">
      <c r="A10924" s="17"/>
    </row>
    <row r="10925" spans="1:1" x14ac:dyDescent="0.25">
      <c r="A10925" s="17"/>
    </row>
    <row r="10926" spans="1:1" x14ac:dyDescent="0.25">
      <c r="A10926" s="17"/>
    </row>
    <row r="10927" spans="1:1" x14ac:dyDescent="0.25">
      <c r="A10927" s="17"/>
    </row>
    <row r="10928" spans="1:1" x14ac:dyDescent="0.25">
      <c r="A10928" s="17"/>
    </row>
    <row r="10929" spans="1:1" x14ac:dyDescent="0.25">
      <c r="A10929" s="17"/>
    </row>
    <row r="10930" spans="1:1" x14ac:dyDescent="0.25">
      <c r="A10930" s="17"/>
    </row>
    <row r="10931" spans="1:1" x14ac:dyDescent="0.25">
      <c r="A10931" s="17"/>
    </row>
    <row r="10932" spans="1:1" x14ac:dyDescent="0.25">
      <c r="A10932" s="17"/>
    </row>
    <row r="10933" spans="1:1" x14ac:dyDescent="0.25">
      <c r="A10933" s="17"/>
    </row>
    <row r="10934" spans="1:1" x14ac:dyDescent="0.25">
      <c r="A10934" s="17"/>
    </row>
    <row r="10935" spans="1:1" x14ac:dyDescent="0.25">
      <c r="A10935" s="17"/>
    </row>
    <row r="10936" spans="1:1" x14ac:dyDescent="0.25">
      <c r="A10936" s="17"/>
    </row>
    <row r="10937" spans="1:1" x14ac:dyDescent="0.25">
      <c r="A10937" s="17"/>
    </row>
    <row r="10938" spans="1:1" x14ac:dyDescent="0.25">
      <c r="A10938" s="17"/>
    </row>
    <row r="10939" spans="1:1" x14ac:dyDescent="0.25">
      <c r="A10939" s="17"/>
    </row>
    <row r="10940" spans="1:1" x14ac:dyDescent="0.25">
      <c r="A10940" s="17"/>
    </row>
    <row r="10941" spans="1:1" x14ac:dyDescent="0.25">
      <c r="A10941" s="17"/>
    </row>
    <row r="10942" spans="1:1" x14ac:dyDescent="0.25">
      <c r="A10942" s="17"/>
    </row>
    <row r="10943" spans="1:1" x14ac:dyDescent="0.25">
      <c r="A10943" s="17"/>
    </row>
    <row r="10944" spans="1:1" x14ac:dyDescent="0.25">
      <c r="A10944" s="17"/>
    </row>
    <row r="10945" spans="1:1" x14ac:dyDescent="0.25">
      <c r="A10945" s="17"/>
    </row>
    <row r="10946" spans="1:1" x14ac:dyDescent="0.25">
      <c r="A10946" s="17"/>
    </row>
    <row r="10947" spans="1:1" x14ac:dyDescent="0.25">
      <c r="A10947" s="17"/>
    </row>
    <row r="10948" spans="1:1" x14ac:dyDescent="0.25">
      <c r="A10948" s="17"/>
    </row>
    <row r="10949" spans="1:1" x14ac:dyDescent="0.25">
      <c r="A10949" s="17"/>
    </row>
    <row r="10950" spans="1:1" x14ac:dyDescent="0.25">
      <c r="A10950" s="17"/>
    </row>
    <row r="10951" spans="1:1" x14ac:dyDescent="0.25">
      <c r="A10951" s="17"/>
    </row>
    <row r="10952" spans="1:1" x14ac:dyDescent="0.25">
      <c r="A10952" s="17"/>
    </row>
    <row r="10953" spans="1:1" x14ac:dyDescent="0.25">
      <c r="A10953" s="17"/>
    </row>
    <row r="10954" spans="1:1" x14ac:dyDescent="0.25">
      <c r="A10954" s="17"/>
    </row>
    <row r="10955" spans="1:1" x14ac:dyDescent="0.25">
      <c r="A10955" s="17"/>
    </row>
    <row r="10956" spans="1:1" x14ac:dyDescent="0.25">
      <c r="A10956" s="17"/>
    </row>
    <row r="10957" spans="1:1" x14ac:dyDescent="0.25">
      <c r="A10957" s="17"/>
    </row>
    <row r="10958" spans="1:1" x14ac:dyDescent="0.25">
      <c r="A10958" s="17"/>
    </row>
    <row r="10959" spans="1:1" x14ac:dyDescent="0.25">
      <c r="A10959" s="17"/>
    </row>
    <row r="10960" spans="1:1" x14ac:dyDescent="0.25">
      <c r="A10960" s="17"/>
    </row>
    <row r="10961" spans="1:1" x14ac:dyDescent="0.25">
      <c r="A10961" s="17"/>
    </row>
    <row r="10962" spans="1:1" x14ac:dyDescent="0.25">
      <c r="A10962" s="17"/>
    </row>
    <row r="10963" spans="1:1" x14ac:dyDescent="0.25">
      <c r="A10963" s="17"/>
    </row>
    <row r="10964" spans="1:1" x14ac:dyDescent="0.25">
      <c r="A10964" s="17"/>
    </row>
    <row r="10965" spans="1:1" x14ac:dyDescent="0.25">
      <c r="A10965" s="17"/>
    </row>
    <row r="10966" spans="1:1" x14ac:dyDescent="0.25">
      <c r="A10966" s="17"/>
    </row>
    <row r="10967" spans="1:1" x14ac:dyDescent="0.25">
      <c r="A10967" s="17"/>
    </row>
    <row r="10968" spans="1:1" x14ac:dyDescent="0.25">
      <c r="A10968" s="17"/>
    </row>
    <row r="10969" spans="1:1" x14ac:dyDescent="0.25">
      <c r="A10969" s="17"/>
    </row>
    <row r="10970" spans="1:1" x14ac:dyDescent="0.25">
      <c r="A10970" s="17"/>
    </row>
    <row r="10971" spans="1:1" x14ac:dyDescent="0.25">
      <c r="A10971" s="17"/>
    </row>
    <row r="10972" spans="1:1" x14ac:dyDescent="0.25">
      <c r="A10972" s="17"/>
    </row>
    <row r="10973" spans="1:1" x14ac:dyDescent="0.25">
      <c r="A10973" s="17"/>
    </row>
    <row r="10974" spans="1:1" x14ac:dyDescent="0.25">
      <c r="A10974" s="17"/>
    </row>
    <row r="10975" spans="1:1" x14ac:dyDescent="0.25">
      <c r="A10975" s="17"/>
    </row>
    <row r="10976" spans="1:1" x14ac:dyDescent="0.25">
      <c r="A10976" s="17"/>
    </row>
    <row r="10977" spans="1:1" x14ac:dyDescent="0.25">
      <c r="A10977" s="17"/>
    </row>
    <row r="10978" spans="1:1" x14ac:dyDescent="0.25">
      <c r="A10978" s="17"/>
    </row>
    <row r="10979" spans="1:1" x14ac:dyDescent="0.25">
      <c r="A10979" s="17"/>
    </row>
    <row r="10980" spans="1:1" x14ac:dyDescent="0.25">
      <c r="A10980" s="17"/>
    </row>
    <row r="10981" spans="1:1" x14ac:dyDescent="0.25">
      <c r="A10981" s="17"/>
    </row>
    <row r="10982" spans="1:1" x14ac:dyDescent="0.25">
      <c r="A10982" s="17"/>
    </row>
    <row r="10983" spans="1:1" x14ac:dyDescent="0.25">
      <c r="A10983" s="17"/>
    </row>
    <row r="10984" spans="1:1" x14ac:dyDescent="0.25">
      <c r="A10984" s="17"/>
    </row>
    <row r="10985" spans="1:1" x14ac:dyDescent="0.25">
      <c r="A10985" s="17"/>
    </row>
    <row r="10986" spans="1:1" x14ac:dyDescent="0.25">
      <c r="A10986" s="17"/>
    </row>
    <row r="10987" spans="1:1" x14ac:dyDescent="0.25">
      <c r="A10987" s="17"/>
    </row>
    <row r="10988" spans="1:1" x14ac:dyDescent="0.25">
      <c r="A10988" s="17"/>
    </row>
    <row r="10989" spans="1:1" x14ac:dyDescent="0.25">
      <c r="A10989" s="17"/>
    </row>
    <row r="10990" spans="1:1" x14ac:dyDescent="0.25">
      <c r="A10990" s="17"/>
    </row>
    <row r="10991" spans="1:1" x14ac:dyDescent="0.25">
      <c r="A10991" s="17"/>
    </row>
    <row r="10992" spans="1:1" x14ac:dyDescent="0.25">
      <c r="A10992" s="17"/>
    </row>
    <row r="10993" spans="1:1" x14ac:dyDescent="0.25">
      <c r="A10993" s="17"/>
    </row>
    <row r="10994" spans="1:1" x14ac:dyDescent="0.25">
      <c r="A10994" s="17"/>
    </row>
    <row r="10995" spans="1:1" x14ac:dyDescent="0.25">
      <c r="A10995" s="17"/>
    </row>
    <row r="10996" spans="1:1" x14ac:dyDescent="0.25">
      <c r="A10996" s="17"/>
    </row>
    <row r="10997" spans="1:1" x14ac:dyDescent="0.25">
      <c r="A10997" s="17"/>
    </row>
    <row r="10998" spans="1:1" x14ac:dyDescent="0.25">
      <c r="A10998" s="17"/>
    </row>
    <row r="10999" spans="1:1" x14ac:dyDescent="0.25">
      <c r="A10999" s="17"/>
    </row>
    <row r="11000" spans="1:1" x14ac:dyDescent="0.25">
      <c r="A11000" s="17"/>
    </row>
    <row r="11001" spans="1:1" x14ac:dyDescent="0.25">
      <c r="A11001" s="17"/>
    </row>
    <row r="11002" spans="1:1" x14ac:dyDescent="0.25">
      <c r="A11002" s="17"/>
    </row>
    <row r="11003" spans="1:1" x14ac:dyDescent="0.25">
      <c r="A11003" s="17"/>
    </row>
    <row r="11004" spans="1:1" x14ac:dyDescent="0.25">
      <c r="A11004" s="17"/>
    </row>
    <row r="11005" spans="1:1" x14ac:dyDescent="0.25">
      <c r="A11005" s="17"/>
    </row>
    <row r="11006" spans="1:1" x14ac:dyDescent="0.25">
      <c r="A11006" s="17"/>
    </row>
    <row r="11007" spans="1:1" x14ac:dyDescent="0.25">
      <c r="A11007" s="17"/>
    </row>
    <row r="11008" spans="1:1" x14ac:dyDescent="0.25">
      <c r="A11008" s="17"/>
    </row>
    <row r="11009" spans="1:1" x14ac:dyDescent="0.25">
      <c r="A11009" s="17"/>
    </row>
    <row r="11010" spans="1:1" x14ac:dyDescent="0.25">
      <c r="A11010" s="17"/>
    </row>
    <row r="11011" spans="1:1" x14ac:dyDescent="0.25">
      <c r="A11011" s="17"/>
    </row>
    <row r="11012" spans="1:1" x14ac:dyDescent="0.25">
      <c r="A11012" s="17"/>
    </row>
    <row r="11013" spans="1:1" x14ac:dyDescent="0.25">
      <c r="A11013" s="17"/>
    </row>
    <row r="11014" spans="1:1" x14ac:dyDescent="0.25">
      <c r="A11014" s="17"/>
    </row>
    <row r="11015" spans="1:1" x14ac:dyDescent="0.25">
      <c r="A11015" s="17"/>
    </row>
    <row r="11016" spans="1:1" x14ac:dyDescent="0.25">
      <c r="A11016" s="17"/>
    </row>
    <row r="11017" spans="1:1" x14ac:dyDescent="0.25">
      <c r="A11017" s="17"/>
    </row>
    <row r="11018" spans="1:1" x14ac:dyDescent="0.25">
      <c r="A11018" s="17"/>
    </row>
    <row r="11019" spans="1:1" x14ac:dyDescent="0.25">
      <c r="A11019" s="17"/>
    </row>
    <row r="11020" spans="1:1" x14ac:dyDescent="0.25">
      <c r="A11020" s="17"/>
    </row>
    <row r="11021" spans="1:1" x14ac:dyDescent="0.25">
      <c r="A11021" s="17"/>
    </row>
    <row r="11022" spans="1:1" x14ac:dyDescent="0.25">
      <c r="A11022" s="17"/>
    </row>
    <row r="11023" spans="1:1" x14ac:dyDescent="0.25">
      <c r="A11023" s="17"/>
    </row>
    <row r="11024" spans="1:1" x14ac:dyDescent="0.25">
      <c r="A11024" s="17"/>
    </row>
    <row r="11025" spans="1:1" x14ac:dyDescent="0.25">
      <c r="A11025" s="17"/>
    </row>
    <row r="11026" spans="1:1" x14ac:dyDescent="0.25">
      <c r="A11026" s="17"/>
    </row>
    <row r="11027" spans="1:1" x14ac:dyDescent="0.25">
      <c r="A11027" s="17"/>
    </row>
    <row r="11028" spans="1:1" x14ac:dyDescent="0.25">
      <c r="A11028" s="17"/>
    </row>
    <row r="11029" spans="1:1" x14ac:dyDescent="0.25">
      <c r="A11029" s="17"/>
    </row>
    <row r="11030" spans="1:1" x14ac:dyDescent="0.25">
      <c r="A11030" s="17"/>
    </row>
    <row r="11031" spans="1:1" x14ac:dyDescent="0.25">
      <c r="A11031" s="17"/>
    </row>
    <row r="11032" spans="1:1" x14ac:dyDescent="0.25">
      <c r="A11032" s="17"/>
    </row>
    <row r="11033" spans="1:1" x14ac:dyDescent="0.25">
      <c r="A11033" s="17"/>
    </row>
    <row r="11034" spans="1:1" x14ac:dyDescent="0.25">
      <c r="A11034" s="17"/>
    </row>
    <row r="11035" spans="1:1" x14ac:dyDescent="0.25">
      <c r="A11035" s="17"/>
    </row>
    <row r="11036" spans="1:1" x14ac:dyDescent="0.25">
      <c r="A11036" s="17"/>
    </row>
    <row r="11037" spans="1:1" x14ac:dyDescent="0.25">
      <c r="A11037" s="17"/>
    </row>
    <row r="11038" spans="1:1" x14ac:dyDescent="0.25">
      <c r="A11038" s="17"/>
    </row>
    <row r="11039" spans="1:1" x14ac:dyDescent="0.25">
      <c r="A11039" s="17"/>
    </row>
    <row r="11040" spans="1:1" x14ac:dyDescent="0.25">
      <c r="A11040" s="17"/>
    </row>
    <row r="11041" spans="1:1" x14ac:dyDescent="0.25">
      <c r="A11041" s="17"/>
    </row>
    <row r="11042" spans="1:1" x14ac:dyDescent="0.25">
      <c r="A11042" s="17"/>
    </row>
    <row r="11043" spans="1:1" x14ac:dyDescent="0.25">
      <c r="A11043" s="17"/>
    </row>
    <row r="11044" spans="1:1" x14ac:dyDescent="0.25">
      <c r="A11044" s="17"/>
    </row>
    <row r="11045" spans="1:1" x14ac:dyDescent="0.25">
      <c r="A11045" s="17"/>
    </row>
    <row r="11046" spans="1:1" x14ac:dyDescent="0.25">
      <c r="A11046" s="17"/>
    </row>
    <row r="11047" spans="1:1" x14ac:dyDescent="0.25">
      <c r="A11047" s="17"/>
    </row>
    <row r="11048" spans="1:1" x14ac:dyDescent="0.25">
      <c r="A11048" s="17"/>
    </row>
    <row r="11049" spans="1:1" x14ac:dyDescent="0.25">
      <c r="A11049" s="17"/>
    </row>
    <row r="11050" spans="1:1" x14ac:dyDescent="0.25">
      <c r="A11050" s="17"/>
    </row>
    <row r="11051" spans="1:1" x14ac:dyDescent="0.25">
      <c r="A11051" s="17"/>
    </row>
    <row r="11052" spans="1:1" x14ac:dyDescent="0.25">
      <c r="A11052" s="17"/>
    </row>
    <row r="11053" spans="1:1" x14ac:dyDescent="0.25">
      <c r="A11053" s="17"/>
    </row>
    <row r="11054" spans="1:1" x14ac:dyDescent="0.25">
      <c r="A11054" s="17"/>
    </row>
    <row r="11055" spans="1:1" x14ac:dyDescent="0.25">
      <c r="A11055" s="17"/>
    </row>
    <row r="11056" spans="1:1" x14ac:dyDescent="0.25">
      <c r="A11056" s="17"/>
    </row>
    <row r="11057" spans="1:1" x14ac:dyDescent="0.25">
      <c r="A11057" s="17"/>
    </row>
    <row r="11058" spans="1:1" x14ac:dyDescent="0.25">
      <c r="A11058" s="17"/>
    </row>
    <row r="11059" spans="1:1" x14ac:dyDescent="0.25">
      <c r="A11059" s="17"/>
    </row>
    <row r="11060" spans="1:1" x14ac:dyDescent="0.25">
      <c r="A11060" s="17"/>
    </row>
    <row r="11061" spans="1:1" x14ac:dyDescent="0.25">
      <c r="A11061" s="17"/>
    </row>
    <row r="11062" spans="1:1" x14ac:dyDescent="0.25">
      <c r="A11062" s="17"/>
    </row>
    <row r="11063" spans="1:1" x14ac:dyDescent="0.25">
      <c r="A11063" s="17"/>
    </row>
    <row r="11064" spans="1:1" x14ac:dyDescent="0.25">
      <c r="A11064" s="17"/>
    </row>
    <row r="11065" spans="1:1" x14ac:dyDescent="0.25">
      <c r="A11065" s="17"/>
    </row>
    <row r="11066" spans="1:1" x14ac:dyDescent="0.25">
      <c r="A11066" s="17"/>
    </row>
    <row r="11067" spans="1:1" x14ac:dyDescent="0.25">
      <c r="A11067" s="17"/>
    </row>
    <row r="11068" spans="1:1" x14ac:dyDescent="0.25">
      <c r="A11068" s="17"/>
    </row>
    <row r="11069" spans="1:1" x14ac:dyDescent="0.25">
      <c r="A11069" s="17"/>
    </row>
    <row r="11070" spans="1:1" x14ac:dyDescent="0.25">
      <c r="A11070" s="17"/>
    </row>
    <row r="11071" spans="1:1" x14ac:dyDescent="0.25">
      <c r="A11071" s="17"/>
    </row>
    <row r="11072" spans="1:1" x14ac:dyDescent="0.25">
      <c r="A11072" s="17"/>
    </row>
    <row r="11073" spans="1:1" x14ac:dyDescent="0.25">
      <c r="A11073" s="17"/>
    </row>
    <row r="11074" spans="1:1" x14ac:dyDescent="0.25">
      <c r="A11074" s="17"/>
    </row>
    <row r="11075" spans="1:1" x14ac:dyDescent="0.25">
      <c r="A11075" s="17"/>
    </row>
    <row r="11076" spans="1:1" x14ac:dyDescent="0.25">
      <c r="A11076" s="17"/>
    </row>
    <row r="11077" spans="1:1" x14ac:dyDescent="0.25">
      <c r="A11077" s="17"/>
    </row>
    <row r="11078" spans="1:1" x14ac:dyDescent="0.25">
      <c r="A11078" s="17"/>
    </row>
    <row r="11079" spans="1:1" x14ac:dyDescent="0.25">
      <c r="A11079" s="17"/>
    </row>
    <row r="11080" spans="1:1" x14ac:dyDescent="0.25">
      <c r="A11080" s="17"/>
    </row>
    <row r="11081" spans="1:1" x14ac:dyDescent="0.25">
      <c r="A11081" s="17"/>
    </row>
    <row r="11082" spans="1:1" x14ac:dyDescent="0.25">
      <c r="A11082" s="17"/>
    </row>
    <row r="11083" spans="1:1" x14ac:dyDescent="0.25">
      <c r="A11083" s="17"/>
    </row>
    <row r="11084" spans="1:1" x14ac:dyDescent="0.25">
      <c r="A11084" s="17"/>
    </row>
    <row r="11085" spans="1:1" x14ac:dyDescent="0.25">
      <c r="A11085" s="17"/>
    </row>
    <row r="11086" spans="1:1" x14ac:dyDescent="0.25">
      <c r="A11086" s="17"/>
    </row>
    <row r="11087" spans="1:1" x14ac:dyDescent="0.25">
      <c r="A11087" s="17"/>
    </row>
    <row r="11088" spans="1:1" x14ac:dyDescent="0.25">
      <c r="A11088" s="17"/>
    </row>
    <row r="11089" spans="1:1" x14ac:dyDescent="0.25">
      <c r="A11089" s="17"/>
    </row>
    <row r="11090" spans="1:1" x14ac:dyDescent="0.25">
      <c r="A11090" s="17"/>
    </row>
    <row r="11091" spans="1:1" x14ac:dyDescent="0.25">
      <c r="A11091" s="17"/>
    </row>
    <row r="11092" spans="1:1" x14ac:dyDescent="0.25">
      <c r="A11092" s="17"/>
    </row>
    <row r="11093" spans="1:1" x14ac:dyDescent="0.25">
      <c r="A11093" s="17"/>
    </row>
    <row r="11094" spans="1:1" x14ac:dyDescent="0.25">
      <c r="A11094" s="17"/>
    </row>
    <row r="11095" spans="1:1" x14ac:dyDescent="0.25">
      <c r="A11095" s="17"/>
    </row>
    <row r="11096" spans="1:1" x14ac:dyDescent="0.25">
      <c r="A11096" s="17"/>
    </row>
    <row r="11097" spans="1:1" x14ac:dyDescent="0.25">
      <c r="A11097" s="17"/>
    </row>
    <row r="11098" spans="1:1" x14ac:dyDescent="0.25">
      <c r="A11098" s="17"/>
    </row>
    <row r="11099" spans="1:1" x14ac:dyDescent="0.25">
      <c r="A11099" s="17"/>
    </row>
    <row r="11100" spans="1:1" x14ac:dyDescent="0.25">
      <c r="A11100" s="17"/>
    </row>
    <row r="11101" spans="1:1" x14ac:dyDescent="0.25">
      <c r="A11101" s="17"/>
    </row>
    <row r="11102" spans="1:1" x14ac:dyDescent="0.25">
      <c r="A11102" s="17"/>
    </row>
    <row r="11103" spans="1:1" x14ac:dyDescent="0.25">
      <c r="A11103" s="17"/>
    </row>
    <row r="11104" spans="1:1" x14ac:dyDescent="0.25">
      <c r="A11104" s="17"/>
    </row>
    <row r="11105" spans="1:1" x14ac:dyDescent="0.25">
      <c r="A11105" s="17"/>
    </row>
    <row r="11106" spans="1:1" x14ac:dyDescent="0.25">
      <c r="A11106" s="17"/>
    </row>
    <row r="11107" spans="1:1" x14ac:dyDescent="0.25">
      <c r="A11107" s="17"/>
    </row>
    <row r="11108" spans="1:1" x14ac:dyDescent="0.25">
      <c r="A11108" s="17"/>
    </row>
    <row r="11109" spans="1:1" x14ac:dyDescent="0.25">
      <c r="A11109" s="17"/>
    </row>
    <row r="11110" spans="1:1" x14ac:dyDescent="0.25">
      <c r="A11110" s="17"/>
    </row>
    <row r="11111" spans="1:1" x14ac:dyDescent="0.25">
      <c r="A11111" s="17"/>
    </row>
    <row r="11112" spans="1:1" x14ac:dyDescent="0.25">
      <c r="A11112" s="17"/>
    </row>
    <row r="11113" spans="1:1" x14ac:dyDescent="0.25">
      <c r="A11113" s="17"/>
    </row>
    <row r="11114" spans="1:1" x14ac:dyDescent="0.25">
      <c r="A11114" s="17"/>
    </row>
    <row r="11115" spans="1:1" x14ac:dyDescent="0.25">
      <c r="A11115" s="17"/>
    </row>
    <row r="11116" spans="1:1" x14ac:dyDescent="0.25">
      <c r="A11116" s="17"/>
    </row>
    <row r="11117" spans="1:1" x14ac:dyDescent="0.25">
      <c r="A11117" s="17"/>
    </row>
    <row r="11118" spans="1:1" x14ac:dyDescent="0.25">
      <c r="A11118" s="17"/>
    </row>
    <row r="11119" spans="1:1" x14ac:dyDescent="0.25">
      <c r="A11119" s="17"/>
    </row>
    <row r="11120" spans="1:1" x14ac:dyDescent="0.25">
      <c r="A11120" s="17"/>
    </row>
    <row r="11121" spans="1:1" x14ac:dyDescent="0.25">
      <c r="A11121" s="17"/>
    </row>
    <row r="11122" spans="1:1" x14ac:dyDescent="0.25">
      <c r="A11122" s="17"/>
    </row>
    <row r="11123" spans="1:1" x14ac:dyDescent="0.25">
      <c r="A11123" s="17"/>
    </row>
    <row r="11124" spans="1:1" x14ac:dyDescent="0.25">
      <c r="A11124" s="17"/>
    </row>
    <row r="11125" spans="1:1" x14ac:dyDescent="0.25">
      <c r="A11125" s="17"/>
    </row>
    <row r="11126" spans="1:1" x14ac:dyDescent="0.25">
      <c r="A11126" s="17"/>
    </row>
    <row r="11127" spans="1:1" x14ac:dyDescent="0.25">
      <c r="A11127" s="17"/>
    </row>
    <row r="11128" spans="1:1" x14ac:dyDescent="0.25">
      <c r="A11128" s="17"/>
    </row>
    <row r="11129" spans="1:1" x14ac:dyDescent="0.25">
      <c r="A11129" s="17"/>
    </row>
    <row r="11130" spans="1:1" x14ac:dyDescent="0.25">
      <c r="A11130" s="17"/>
    </row>
    <row r="11131" spans="1:1" x14ac:dyDescent="0.25">
      <c r="A11131" s="17"/>
    </row>
    <row r="11132" spans="1:1" x14ac:dyDescent="0.25">
      <c r="A11132" s="17"/>
    </row>
    <row r="11133" spans="1:1" x14ac:dyDescent="0.25">
      <c r="A11133" s="17"/>
    </row>
    <row r="11134" spans="1:1" x14ac:dyDescent="0.25">
      <c r="A11134" s="17"/>
    </row>
    <row r="11135" spans="1:1" x14ac:dyDescent="0.25">
      <c r="A11135" s="17"/>
    </row>
    <row r="11136" spans="1:1" x14ac:dyDescent="0.25">
      <c r="A11136" s="17"/>
    </row>
    <row r="11137" spans="1:1" x14ac:dyDescent="0.25">
      <c r="A11137" s="17"/>
    </row>
    <row r="11138" spans="1:1" x14ac:dyDescent="0.25">
      <c r="A11138" s="17"/>
    </row>
    <row r="11139" spans="1:1" x14ac:dyDescent="0.25">
      <c r="A11139" s="17"/>
    </row>
    <row r="11140" spans="1:1" x14ac:dyDescent="0.25">
      <c r="A11140" s="17"/>
    </row>
    <row r="11141" spans="1:1" x14ac:dyDescent="0.25">
      <c r="A11141" s="17"/>
    </row>
    <row r="11142" spans="1:1" x14ac:dyDescent="0.25">
      <c r="A11142" s="17"/>
    </row>
    <row r="11143" spans="1:1" x14ac:dyDescent="0.25">
      <c r="A11143" s="17"/>
    </row>
    <row r="11144" spans="1:1" x14ac:dyDescent="0.25">
      <c r="A11144" s="17"/>
    </row>
    <row r="11145" spans="1:1" x14ac:dyDescent="0.25">
      <c r="A11145" s="17"/>
    </row>
    <row r="11146" spans="1:1" x14ac:dyDescent="0.25">
      <c r="A11146" s="17"/>
    </row>
    <row r="11147" spans="1:1" x14ac:dyDescent="0.25">
      <c r="A11147" s="17"/>
    </row>
    <row r="11148" spans="1:1" x14ac:dyDescent="0.25">
      <c r="A11148" s="17"/>
    </row>
    <row r="11149" spans="1:1" x14ac:dyDescent="0.25">
      <c r="A11149" s="17"/>
    </row>
    <row r="11150" spans="1:1" x14ac:dyDescent="0.25">
      <c r="A11150" s="17"/>
    </row>
    <row r="11151" spans="1:1" x14ac:dyDescent="0.25">
      <c r="A11151" s="17"/>
    </row>
    <row r="11152" spans="1:1" x14ac:dyDescent="0.25">
      <c r="A11152" s="17"/>
    </row>
    <row r="11153" spans="1:1" x14ac:dyDescent="0.25">
      <c r="A11153" s="17"/>
    </row>
    <row r="11154" spans="1:1" x14ac:dyDescent="0.25">
      <c r="A11154" s="17"/>
    </row>
    <row r="11155" spans="1:1" x14ac:dyDescent="0.25">
      <c r="A11155" s="17"/>
    </row>
    <row r="11156" spans="1:1" x14ac:dyDescent="0.25">
      <c r="A11156" s="17"/>
    </row>
    <row r="11157" spans="1:1" x14ac:dyDescent="0.25">
      <c r="A11157" s="17"/>
    </row>
    <row r="11158" spans="1:1" x14ac:dyDescent="0.25">
      <c r="A11158" s="17"/>
    </row>
    <row r="11159" spans="1:1" x14ac:dyDescent="0.25">
      <c r="A11159" s="17"/>
    </row>
    <row r="11160" spans="1:1" x14ac:dyDescent="0.25">
      <c r="A11160" s="17"/>
    </row>
    <row r="11161" spans="1:1" x14ac:dyDescent="0.25">
      <c r="A11161" s="17"/>
    </row>
    <row r="11162" spans="1:1" x14ac:dyDescent="0.25">
      <c r="A11162" s="17"/>
    </row>
    <row r="11163" spans="1:1" x14ac:dyDescent="0.25">
      <c r="A11163" s="17"/>
    </row>
    <row r="11164" spans="1:1" x14ac:dyDescent="0.25">
      <c r="A11164" s="17"/>
    </row>
    <row r="11165" spans="1:1" x14ac:dyDescent="0.25">
      <c r="A11165" s="17"/>
    </row>
    <row r="11166" spans="1:1" x14ac:dyDescent="0.25">
      <c r="A11166" s="17"/>
    </row>
    <row r="11167" spans="1:1" x14ac:dyDescent="0.25">
      <c r="A11167" s="17"/>
    </row>
    <row r="11168" spans="1:1" x14ac:dyDescent="0.25">
      <c r="A11168" s="17"/>
    </row>
    <row r="11169" spans="1:1" x14ac:dyDescent="0.25">
      <c r="A11169" s="17"/>
    </row>
    <row r="11170" spans="1:1" x14ac:dyDescent="0.25">
      <c r="A11170" s="17"/>
    </row>
    <row r="11171" spans="1:1" x14ac:dyDescent="0.25">
      <c r="A11171" s="17"/>
    </row>
    <row r="11172" spans="1:1" x14ac:dyDescent="0.25">
      <c r="A11172" s="17"/>
    </row>
    <row r="11173" spans="1:1" x14ac:dyDescent="0.25">
      <c r="A11173" s="17"/>
    </row>
    <row r="11174" spans="1:1" x14ac:dyDescent="0.25">
      <c r="A11174" s="17"/>
    </row>
    <row r="11175" spans="1:1" x14ac:dyDescent="0.25">
      <c r="A11175" s="17"/>
    </row>
    <row r="11176" spans="1:1" x14ac:dyDescent="0.25">
      <c r="A11176" s="17"/>
    </row>
    <row r="11177" spans="1:1" x14ac:dyDescent="0.25">
      <c r="A11177" s="17"/>
    </row>
    <row r="11178" spans="1:1" x14ac:dyDescent="0.25">
      <c r="A11178" s="17"/>
    </row>
    <row r="11179" spans="1:1" x14ac:dyDescent="0.25">
      <c r="A11179" s="17"/>
    </row>
    <row r="11180" spans="1:1" x14ac:dyDescent="0.25">
      <c r="A11180" s="17"/>
    </row>
    <row r="11181" spans="1:1" x14ac:dyDescent="0.25">
      <c r="A11181" s="17"/>
    </row>
    <row r="11182" spans="1:1" x14ac:dyDescent="0.25">
      <c r="A11182" s="17"/>
    </row>
    <row r="11183" spans="1:1" x14ac:dyDescent="0.25">
      <c r="A11183" s="17"/>
    </row>
    <row r="11184" spans="1:1" x14ac:dyDescent="0.25">
      <c r="A11184" s="17"/>
    </row>
    <row r="11185" spans="1:1" x14ac:dyDescent="0.25">
      <c r="A11185" s="17"/>
    </row>
    <row r="11186" spans="1:1" x14ac:dyDescent="0.25">
      <c r="A11186" s="17"/>
    </row>
    <row r="11187" spans="1:1" x14ac:dyDescent="0.25">
      <c r="A11187" s="17"/>
    </row>
    <row r="11188" spans="1:1" x14ac:dyDescent="0.25">
      <c r="A11188" s="17"/>
    </row>
    <row r="11189" spans="1:1" x14ac:dyDescent="0.25">
      <c r="A11189" s="17"/>
    </row>
    <row r="11190" spans="1:1" x14ac:dyDescent="0.25">
      <c r="A11190" s="17"/>
    </row>
    <row r="11191" spans="1:1" x14ac:dyDescent="0.25">
      <c r="A11191" s="17"/>
    </row>
    <row r="11192" spans="1:1" x14ac:dyDescent="0.25">
      <c r="A11192" s="17"/>
    </row>
    <row r="11193" spans="1:1" x14ac:dyDescent="0.25">
      <c r="A11193" s="17"/>
    </row>
    <row r="11194" spans="1:1" x14ac:dyDescent="0.25">
      <c r="A11194" s="17"/>
    </row>
    <row r="11195" spans="1:1" x14ac:dyDescent="0.25">
      <c r="A11195" s="17"/>
    </row>
    <row r="11196" spans="1:1" x14ac:dyDescent="0.25">
      <c r="A11196" s="17"/>
    </row>
    <row r="11197" spans="1:1" x14ac:dyDescent="0.25">
      <c r="A11197" s="17"/>
    </row>
    <row r="11198" spans="1:1" x14ac:dyDescent="0.25">
      <c r="A11198" s="17"/>
    </row>
    <row r="11199" spans="1:1" x14ac:dyDescent="0.25">
      <c r="A11199" s="17"/>
    </row>
    <row r="11200" spans="1:1" x14ac:dyDescent="0.25">
      <c r="A11200" s="17"/>
    </row>
    <row r="11201" spans="1:1" x14ac:dyDescent="0.25">
      <c r="A11201" s="17"/>
    </row>
    <row r="11202" spans="1:1" x14ac:dyDescent="0.25">
      <c r="A11202" s="17"/>
    </row>
    <row r="11203" spans="1:1" x14ac:dyDescent="0.25">
      <c r="A11203" s="17"/>
    </row>
    <row r="11204" spans="1:1" x14ac:dyDescent="0.25">
      <c r="A11204" s="17"/>
    </row>
    <row r="11205" spans="1:1" x14ac:dyDescent="0.25">
      <c r="A11205" s="17"/>
    </row>
    <row r="11206" spans="1:1" x14ac:dyDescent="0.25">
      <c r="A11206" s="17"/>
    </row>
    <row r="11207" spans="1:1" x14ac:dyDescent="0.25">
      <c r="A11207" s="17"/>
    </row>
    <row r="11208" spans="1:1" x14ac:dyDescent="0.25">
      <c r="A11208" s="17"/>
    </row>
    <row r="11209" spans="1:1" x14ac:dyDescent="0.25">
      <c r="A11209" s="17"/>
    </row>
    <row r="11210" spans="1:1" x14ac:dyDescent="0.25">
      <c r="A11210" s="17"/>
    </row>
    <row r="11211" spans="1:1" x14ac:dyDescent="0.25">
      <c r="A11211" s="17"/>
    </row>
    <row r="11212" spans="1:1" x14ac:dyDescent="0.25">
      <c r="A11212" s="17"/>
    </row>
    <row r="11213" spans="1:1" x14ac:dyDescent="0.25">
      <c r="A11213" s="17"/>
    </row>
    <row r="11214" spans="1:1" x14ac:dyDescent="0.25">
      <c r="A11214" s="17"/>
    </row>
    <row r="11215" spans="1:1" x14ac:dyDescent="0.25">
      <c r="A11215" s="17"/>
    </row>
    <row r="11216" spans="1:1" x14ac:dyDescent="0.25">
      <c r="A11216" s="17"/>
    </row>
    <row r="11217" spans="1:1" x14ac:dyDescent="0.25">
      <c r="A11217" s="17"/>
    </row>
    <row r="11218" spans="1:1" x14ac:dyDescent="0.25">
      <c r="A11218" s="17"/>
    </row>
    <row r="11219" spans="1:1" x14ac:dyDescent="0.25">
      <c r="A11219" s="17"/>
    </row>
    <row r="11220" spans="1:1" x14ac:dyDescent="0.25">
      <c r="A11220" s="17"/>
    </row>
    <row r="11221" spans="1:1" x14ac:dyDescent="0.25">
      <c r="A11221" s="17"/>
    </row>
    <row r="11222" spans="1:1" x14ac:dyDescent="0.25">
      <c r="A11222" s="17"/>
    </row>
    <row r="11223" spans="1:1" x14ac:dyDescent="0.25">
      <c r="A11223" s="17"/>
    </row>
    <row r="11224" spans="1:1" x14ac:dyDescent="0.25">
      <c r="A11224" s="17"/>
    </row>
    <row r="11225" spans="1:1" x14ac:dyDescent="0.25">
      <c r="A11225" s="17"/>
    </row>
    <row r="11226" spans="1:1" x14ac:dyDescent="0.25">
      <c r="A11226" s="17"/>
    </row>
    <row r="11227" spans="1:1" x14ac:dyDescent="0.25">
      <c r="A11227" s="17"/>
    </row>
    <row r="11228" spans="1:1" x14ac:dyDescent="0.25">
      <c r="A11228" s="17"/>
    </row>
    <row r="11229" spans="1:1" x14ac:dyDescent="0.25">
      <c r="A11229" s="17"/>
    </row>
    <row r="11230" spans="1:1" x14ac:dyDescent="0.25">
      <c r="A11230" s="17"/>
    </row>
    <row r="11231" spans="1:1" x14ac:dyDescent="0.25">
      <c r="A11231" s="17"/>
    </row>
    <row r="11232" spans="1:1" x14ac:dyDescent="0.25">
      <c r="A11232" s="17"/>
    </row>
    <row r="11233" spans="1:1" x14ac:dyDescent="0.25">
      <c r="A11233" s="17"/>
    </row>
    <row r="11234" spans="1:1" x14ac:dyDescent="0.25">
      <c r="A11234" s="17"/>
    </row>
    <row r="11235" spans="1:1" x14ac:dyDescent="0.25">
      <c r="A11235" s="17"/>
    </row>
    <row r="11236" spans="1:1" x14ac:dyDescent="0.25">
      <c r="A11236" s="17"/>
    </row>
    <row r="11237" spans="1:1" x14ac:dyDescent="0.25">
      <c r="A11237" s="17"/>
    </row>
    <row r="11238" spans="1:1" x14ac:dyDescent="0.25">
      <c r="A11238" s="17"/>
    </row>
    <row r="11239" spans="1:1" x14ac:dyDescent="0.25">
      <c r="A11239" s="17"/>
    </row>
    <row r="11240" spans="1:1" x14ac:dyDescent="0.25">
      <c r="A11240" s="17"/>
    </row>
    <row r="11241" spans="1:1" x14ac:dyDescent="0.25">
      <c r="A11241" s="17"/>
    </row>
    <row r="11242" spans="1:1" x14ac:dyDescent="0.25">
      <c r="A11242" s="17"/>
    </row>
    <row r="11243" spans="1:1" x14ac:dyDescent="0.25">
      <c r="A11243" s="17"/>
    </row>
    <row r="11244" spans="1:1" x14ac:dyDescent="0.25">
      <c r="A11244" s="17"/>
    </row>
    <row r="11245" spans="1:1" x14ac:dyDescent="0.25">
      <c r="A11245" s="17"/>
    </row>
    <row r="11246" spans="1:1" x14ac:dyDescent="0.25">
      <c r="A11246" s="17"/>
    </row>
    <row r="11247" spans="1:1" x14ac:dyDescent="0.25">
      <c r="A11247" s="17"/>
    </row>
    <row r="11248" spans="1:1" x14ac:dyDescent="0.25">
      <c r="A11248" s="17"/>
    </row>
    <row r="11249" spans="1:1" x14ac:dyDescent="0.25">
      <c r="A11249" s="17"/>
    </row>
    <row r="11250" spans="1:1" x14ac:dyDescent="0.25">
      <c r="A11250" s="17"/>
    </row>
    <row r="11251" spans="1:1" x14ac:dyDescent="0.25">
      <c r="A11251" s="17"/>
    </row>
    <row r="11252" spans="1:1" x14ac:dyDescent="0.25">
      <c r="A11252" s="17"/>
    </row>
    <row r="11253" spans="1:1" x14ac:dyDescent="0.25">
      <c r="A11253" s="17"/>
    </row>
    <row r="11254" spans="1:1" x14ac:dyDescent="0.25">
      <c r="A11254" s="17"/>
    </row>
    <row r="11255" spans="1:1" x14ac:dyDescent="0.25">
      <c r="A11255" s="17"/>
    </row>
    <row r="11256" spans="1:1" x14ac:dyDescent="0.25">
      <c r="A11256" s="17"/>
    </row>
    <row r="11257" spans="1:1" x14ac:dyDescent="0.25">
      <c r="A11257" s="17"/>
    </row>
    <row r="11258" spans="1:1" x14ac:dyDescent="0.25">
      <c r="A11258" s="17"/>
    </row>
    <row r="11259" spans="1:1" x14ac:dyDescent="0.25">
      <c r="A11259" s="17"/>
    </row>
    <row r="11260" spans="1:1" x14ac:dyDescent="0.25">
      <c r="A11260" s="17"/>
    </row>
    <row r="11261" spans="1:1" x14ac:dyDescent="0.25">
      <c r="A11261" s="17"/>
    </row>
    <row r="11262" spans="1:1" x14ac:dyDescent="0.25">
      <c r="A11262" s="17"/>
    </row>
    <row r="11263" spans="1:1" x14ac:dyDescent="0.25">
      <c r="A11263" s="17"/>
    </row>
    <row r="11264" spans="1:1" x14ac:dyDescent="0.25">
      <c r="A11264" s="17"/>
    </row>
    <row r="11265" spans="1:1" x14ac:dyDescent="0.25">
      <c r="A11265" s="17"/>
    </row>
    <row r="11266" spans="1:1" x14ac:dyDescent="0.25">
      <c r="A11266" s="17"/>
    </row>
    <row r="11267" spans="1:1" x14ac:dyDescent="0.25">
      <c r="A11267" s="17"/>
    </row>
    <row r="11268" spans="1:1" x14ac:dyDescent="0.25">
      <c r="A11268" s="17"/>
    </row>
    <row r="11269" spans="1:1" x14ac:dyDescent="0.25">
      <c r="A11269" s="17"/>
    </row>
    <row r="11270" spans="1:1" x14ac:dyDescent="0.25">
      <c r="A11270" s="17"/>
    </row>
    <row r="11271" spans="1:1" x14ac:dyDescent="0.25">
      <c r="A11271" s="17"/>
    </row>
    <row r="11272" spans="1:1" x14ac:dyDescent="0.25">
      <c r="A11272" s="17"/>
    </row>
    <row r="11273" spans="1:1" x14ac:dyDescent="0.25">
      <c r="A11273" s="17"/>
    </row>
    <row r="11274" spans="1:1" x14ac:dyDescent="0.25">
      <c r="A11274" s="17"/>
    </row>
    <row r="11275" spans="1:1" x14ac:dyDescent="0.25">
      <c r="A11275" s="17"/>
    </row>
    <row r="11276" spans="1:1" x14ac:dyDescent="0.25">
      <c r="A11276" s="17"/>
    </row>
    <row r="11277" spans="1:1" x14ac:dyDescent="0.25">
      <c r="A11277" s="17"/>
    </row>
    <row r="11278" spans="1:1" x14ac:dyDescent="0.25">
      <c r="A11278" s="17"/>
    </row>
    <row r="11279" spans="1:1" x14ac:dyDescent="0.25">
      <c r="A11279" s="17"/>
    </row>
    <row r="11280" spans="1:1" x14ac:dyDescent="0.25">
      <c r="A11280" s="17"/>
    </row>
    <row r="11281" spans="1:1" x14ac:dyDescent="0.25">
      <c r="A11281" s="17"/>
    </row>
    <row r="11282" spans="1:1" x14ac:dyDescent="0.25">
      <c r="A11282" s="17"/>
    </row>
    <row r="11283" spans="1:1" x14ac:dyDescent="0.25">
      <c r="A11283" s="17"/>
    </row>
    <row r="11284" spans="1:1" x14ac:dyDescent="0.25">
      <c r="A11284" s="17"/>
    </row>
    <row r="11285" spans="1:1" x14ac:dyDescent="0.25">
      <c r="A11285" s="17"/>
    </row>
    <row r="11286" spans="1:1" x14ac:dyDescent="0.25">
      <c r="A11286" s="17"/>
    </row>
    <row r="11287" spans="1:1" x14ac:dyDescent="0.25">
      <c r="A11287" s="17"/>
    </row>
    <row r="11288" spans="1:1" x14ac:dyDescent="0.25">
      <c r="A11288" s="17"/>
    </row>
    <row r="11289" spans="1:1" x14ac:dyDescent="0.25">
      <c r="A11289" s="17"/>
    </row>
    <row r="11290" spans="1:1" x14ac:dyDescent="0.25">
      <c r="A11290" s="17"/>
    </row>
    <row r="11291" spans="1:1" x14ac:dyDescent="0.25">
      <c r="A11291" s="17"/>
    </row>
    <row r="11292" spans="1:1" x14ac:dyDescent="0.25">
      <c r="A11292" s="17"/>
    </row>
    <row r="11293" spans="1:1" x14ac:dyDescent="0.25">
      <c r="A11293" s="17"/>
    </row>
    <row r="11294" spans="1:1" x14ac:dyDescent="0.25">
      <c r="A11294" s="17"/>
    </row>
    <row r="11295" spans="1:1" x14ac:dyDescent="0.25">
      <c r="A11295" s="17"/>
    </row>
    <row r="11296" spans="1:1" x14ac:dyDescent="0.25">
      <c r="A11296" s="17"/>
    </row>
    <row r="11297" spans="1:1" x14ac:dyDescent="0.25">
      <c r="A11297" s="17"/>
    </row>
    <row r="11298" spans="1:1" x14ac:dyDescent="0.25">
      <c r="A11298" s="17"/>
    </row>
    <row r="11299" spans="1:1" x14ac:dyDescent="0.25">
      <c r="A11299" s="17"/>
    </row>
    <row r="11300" spans="1:1" x14ac:dyDescent="0.25">
      <c r="A11300" s="17"/>
    </row>
    <row r="11301" spans="1:1" x14ac:dyDescent="0.25">
      <c r="A11301" s="17"/>
    </row>
    <row r="11302" spans="1:1" x14ac:dyDescent="0.25">
      <c r="A11302" s="17"/>
    </row>
    <row r="11303" spans="1:1" x14ac:dyDescent="0.25">
      <c r="A11303" s="17"/>
    </row>
    <row r="11304" spans="1:1" x14ac:dyDescent="0.25">
      <c r="A11304" s="17"/>
    </row>
    <row r="11305" spans="1:1" x14ac:dyDescent="0.25">
      <c r="A11305" s="17"/>
    </row>
    <row r="11306" spans="1:1" x14ac:dyDescent="0.25">
      <c r="A11306" s="17"/>
    </row>
    <row r="11307" spans="1:1" x14ac:dyDescent="0.25">
      <c r="A11307" s="17"/>
    </row>
    <row r="11308" spans="1:1" x14ac:dyDescent="0.25">
      <c r="A11308" s="17"/>
    </row>
    <row r="11309" spans="1:1" x14ac:dyDescent="0.25">
      <c r="A11309" s="17"/>
    </row>
    <row r="11310" spans="1:1" x14ac:dyDescent="0.25">
      <c r="A11310" s="17"/>
    </row>
    <row r="11311" spans="1:1" x14ac:dyDescent="0.25">
      <c r="A11311" s="17"/>
    </row>
    <row r="11312" spans="1:1" x14ac:dyDescent="0.25">
      <c r="A11312" s="17"/>
    </row>
    <row r="11313" spans="1:1" x14ac:dyDescent="0.25">
      <c r="A11313" s="17"/>
    </row>
    <row r="11314" spans="1:1" x14ac:dyDescent="0.25">
      <c r="A11314" s="17"/>
    </row>
    <row r="11315" spans="1:1" x14ac:dyDescent="0.25">
      <c r="A11315" s="17"/>
    </row>
    <row r="11316" spans="1:1" x14ac:dyDescent="0.25">
      <c r="A11316" s="17"/>
    </row>
    <row r="11317" spans="1:1" x14ac:dyDescent="0.25">
      <c r="A11317" s="17"/>
    </row>
    <row r="11318" spans="1:1" x14ac:dyDescent="0.25">
      <c r="A11318" s="17"/>
    </row>
    <row r="11319" spans="1:1" x14ac:dyDescent="0.25">
      <c r="A11319" s="17"/>
    </row>
    <row r="11320" spans="1:1" x14ac:dyDescent="0.25">
      <c r="A11320" s="17"/>
    </row>
    <row r="11321" spans="1:1" x14ac:dyDescent="0.25">
      <c r="A11321" s="17"/>
    </row>
    <row r="11322" spans="1:1" x14ac:dyDescent="0.25">
      <c r="A11322" s="17"/>
    </row>
    <row r="11323" spans="1:1" x14ac:dyDescent="0.25">
      <c r="A11323" s="17"/>
    </row>
    <row r="11324" spans="1:1" x14ac:dyDescent="0.25">
      <c r="A11324" s="17"/>
    </row>
    <row r="11325" spans="1:1" x14ac:dyDescent="0.25">
      <c r="A11325" s="17"/>
    </row>
    <row r="11326" spans="1:1" x14ac:dyDescent="0.25">
      <c r="A11326" s="17"/>
    </row>
    <row r="11327" spans="1:1" x14ac:dyDescent="0.25">
      <c r="A11327" s="17"/>
    </row>
    <row r="11328" spans="1:1" x14ac:dyDescent="0.25">
      <c r="A11328" s="17"/>
    </row>
    <row r="11329" spans="1:1" x14ac:dyDescent="0.25">
      <c r="A11329" s="17"/>
    </row>
    <row r="11330" spans="1:1" x14ac:dyDescent="0.25">
      <c r="A11330" s="17"/>
    </row>
    <row r="11331" spans="1:1" x14ac:dyDescent="0.25">
      <c r="A11331" s="17"/>
    </row>
    <row r="11332" spans="1:1" x14ac:dyDescent="0.25">
      <c r="A11332" s="17"/>
    </row>
    <row r="11333" spans="1:1" x14ac:dyDescent="0.25">
      <c r="A11333" s="17"/>
    </row>
    <row r="11334" spans="1:1" x14ac:dyDescent="0.25">
      <c r="A11334" s="17"/>
    </row>
    <row r="11335" spans="1:1" x14ac:dyDescent="0.25">
      <c r="A11335" s="17"/>
    </row>
    <row r="11336" spans="1:1" x14ac:dyDescent="0.25">
      <c r="A11336" s="17"/>
    </row>
    <row r="11337" spans="1:1" x14ac:dyDescent="0.25">
      <c r="A11337" s="17"/>
    </row>
    <row r="11338" spans="1:1" x14ac:dyDescent="0.25">
      <c r="A11338" s="17"/>
    </row>
    <row r="11339" spans="1:1" x14ac:dyDescent="0.25">
      <c r="A11339" s="17"/>
    </row>
    <row r="11340" spans="1:1" x14ac:dyDescent="0.25">
      <c r="A11340" s="17"/>
    </row>
    <row r="11341" spans="1:1" x14ac:dyDescent="0.25">
      <c r="A11341" s="17"/>
    </row>
    <row r="11342" spans="1:1" x14ac:dyDescent="0.25">
      <c r="A11342" s="17"/>
    </row>
    <row r="11343" spans="1:1" x14ac:dyDescent="0.25">
      <c r="A11343" s="17"/>
    </row>
    <row r="11344" spans="1:1" x14ac:dyDescent="0.25">
      <c r="A11344" s="17"/>
    </row>
    <row r="11345" spans="1:1" x14ac:dyDescent="0.25">
      <c r="A11345" s="17"/>
    </row>
    <row r="11346" spans="1:1" x14ac:dyDescent="0.25">
      <c r="A11346" s="17"/>
    </row>
    <row r="11347" spans="1:1" x14ac:dyDescent="0.25">
      <c r="A11347" s="17"/>
    </row>
    <row r="11348" spans="1:1" x14ac:dyDescent="0.25">
      <c r="A11348" s="17"/>
    </row>
    <row r="11349" spans="1:1" x14ac:dyDescent="0.25">
      <c r="A11349" s="17"/>
    </row>
    <row r="11350" spans="1:1" x14ac:dyDescent="0.25">
      <c r="A11350" s="17"/>
    </row>
    <row r="11351" spans="1:1" x14ac:dyDescent="0.25">
      <c r="A11351" s="17"/>
    </row>
    <row r="11352" spans="1:1" x14ac:dyDescent="0.25">
      <c r="A11352" s="17"/>
    </row>
    <row r="11353" spans="1:1" x14ac:dyDescent="0.25">
      <c r="A11353" s="17"/>
    </row>
    <row r="11354" spans="1:1" x14ac:dyDescent="0.25">
      <c r="A11354" s="17"/>
    </row>
    <row r="11355" spans="1:1" x14ac:dyDescent="0.25">
      <c r="A11355" s="17"/>
    </row>
    <row r="11356" spans="1:1" x14ac:dyDescent="0.25">
      <c r="A11356" s="17"/>
    </row>
    <row r="11357" spans="1:1" x14ac:dyDescent="0.25">
      <c r="A11357" s="17"/>
    </row>
    <row r="11358" spans="1:1" x14ac:dyDescent="0.25">
      <c r="A11358" s="17"/>
    </row>
    <row r="11359" spans="1:1" x14ac:dyDescent="0.25">
      <c r="A11359" s="17"/>
    </row>
    <row r="11360" spans="1:1" x14ac:dyDescent="0.25">
      <c r="A11360" s="17"/>
    </row>
    <row r="11361" spans="1:1" x14ac:dyDescent="0.25">
      <c r="A11361" s="17"/>
    </row>
    <row r="11362" spans="1:1" x14ac:dyDescent="0.25">
      <c r="A11362" s="17"/>
    </row>
    <row r="11363" spans="1:1" x14ac:dyDescent="0.25">
      <c r="A11363" s="17"/>
    </row>
    <row r="11364" spans="1:1" x14ac:dyDescent="0.25">
      <c r="A11364" s="17"/>
    </row>
    <row r="11365" spans="1:1" x14ac:dyDescent="0.25">
      <c r="A11365" s="17"/>
    </row>
    <row r="11366" spans="1:1" x14ac:dyDescent="0.25">
      <c r="A11366" s="17"/>
    </row>
    <row r="11367" spans="1:1" x14ac:dyDescent="0.25">
      <c r="A11367" s="17"/>
    </row>
    <row r="11368" spans="1:1" x14ac:dyDescent="0.25">
      <c r="A11368" s="17"/>
    </row>
    <row r="11369" spans="1:1" x14ac:dyDescent="0.25">
      <c r="A11369" s="17"/>
    </row>
    <row r="11370" spans="1:1" x14ac:dyDescent="0.25">
      <c r="A11370" s="17"/>
    </row>
    <row r="11371" spans="1:1" x14ac:dyDescent="0.25">
      <c r="A11371" s="17"/>
    </row>
    <row r="11372" spans="1:1" x14ac:dyDescent="0.25">
      <c r="A11372" s="17"/>
    </row>
    <row r="11373" spans="1:1" x14ac:dyDescent="0.25">
      <c r="A11373" s="17"/>
    </row>
    <row r="11374" spans="1:1" x14ac:dyDescent="0.25">
      <c r="A11374" s="17"/>
    </row>
    <row r="11375" spans="1:1" x14ac:dyDescent="0.25">
      <c r="A11375" s="17"/>
    </row>
    <row r="11376" spans="1:1" x14ac:dyDescent="0.25">
      <c r="A11376" s="17"/>
    </row>
    <row r="11377" spans="1:1" x14ac:dyDescent="0.25">
      <c r="A11377" s="17"/>
    </row>
    <row r="11378" spans="1:1" x14ac:dyDescent="0.25">
      <c r="A11378" s="17"/>
    </row>
    <row r="11379" spans="1:1" x14ac:dyDescent="0.25">
      <c r="A11379" s="17"/>
    </row>
    <row r="11380" spans="1:1" x14ac:dyDescent="0.25">
      <c r="A11380" s="17"/>
    </row>
    <row r="11381" spans="1:1" x14ac:dyDescent="0.25">
      <c r="A11381" s="17"/>
    </row>
    <row r="11382" spans="1:1" x14ac:dyDescent="0.25">
      <c r="A11382" s="17"/>
    </row>
    <row r="11383" spans="1:1" x14ac:dyDescent="0.25">
      <c r="A11383" s="17"/>
    </row>
    <row r="11384" spans="1:1" x14ac:dyDescent="0.25">
      <c r="A11384" s="17"/>
    </row>
    <row r="11385" spans="1:1" x14ac:dyDescent="0.25">
      <c r="A11385" s="17"/>
    </row>
    <row r="11386" spans="1:1" x14ac:dyDescent="0.25">
      <c r="A11386" s="17"/>
    </row>
    <row r="11387" spans="1:1" x14ac:dyDescent="0.25">
      <c r="A11387" s="17"/>
    </row>
    <row r="11388" spans="1:1" x14ac:dyDescent="0.25">
      <c r="A11388" s="17"/>
    </row>
    <row r="11389" spans="1:1" x14ac:dyDescent="0.25">
      <c r="A11389" s="17"/>
    </row>
    <row r="11390" spans="1:1" x14ac:dyDescent="0.25">
      <c r="A11390" s="17"/>
    </row>
    <row r="11391" spans="1:1" x14ac:dyDescent="0.25">
      <c r="A11391" s="17"/>
    </row>
    <row r="11392" spans="1:1" x14ac:dyDescent="0.25">
      <c r="A11392" s="17"/>
    </row>
    <row r="11393" spans="1:1" x14ac:dyDescent="0.25">
      <c r="A11393" s="17"/>
    </row>
    <row r="11394" spans="1:1" x14ac:dyDescent="0.25">
      <c r="A11394" s="17"/>
    </row>
    <row r="11395" spans="1:1" x14ac:dyDescent="0.25">
      <c r="A11395" s="17"/>
    </row>
    <row r="11396" spans="1:1" x14ac:dyDescent="0.25">
      <c r="A11396" s="17"/>
    </row>
    <row r="11397" spans="1:1" x14ac:dyDescent="0.25">
      <c r="A11397" s="17"/>
    </row>
    <row r="11398" spans="1:1" x14ac:dyDescent="0.25">
      <c r="A11398" s="17"/>
    </row>
    <row r="11399" spans="1:1" x14ac:dyDescent="0.25">
      <c r="A11399" s="17"/>
    </row>
    <row r="11400" spans="1:1" x14ac:dyDescent="0.25">
      <c r="A11400" s="17"/>
    </row>
    <row r="11401" spans="1:1" x14ac:dyDescent="0.25">
      <c r="A11401" s="17"/>
    </row>
    <row r="11402" spans="1:1" x14ac:dyDescent="0.25">
      <c r="A11402" s="17"/>
    </row>
    <row r="11403" spans="1:1" x14ac:dyDescent="0.25">
      <c r="A11403" s="17"/>
    </row>
    <row r="11404" spans="1:1" x14ac:dyDescent="0.25">
      <c r="A11404" s="17"/>
    </row>
    <row r="11405" spans="1:1" x14ac:dyDescent="0.25">
      <c r="A11405" s="17"/>
    </row>
    <row r="11406" spans="1:1" x14ac:dyDescent="0.25">
      <c r="A11406" s="17"/>
    </row>
    <row r="11407" spans="1:1" x14ac:dyDescent="0.25">
      <c r="A11407" s="17"/>
    </row>
    <row r="11408" spans="1:1" x14ac:dyDescent="0.25">
      <c r="A11408" s="17"/>
    </row>
    <row r="11409" spans="1:1" x14ac:dyDescent="0.25">
      <c r="A11409" s="17"/>
    </row>
    <row r="11410" spans="1:1" x14ac:dyDescent="0.25">
      <c r="A11410" s="17"/>
    </row>
    <row r="11411" spans="1:1" x14ac:dyDescent="0.25">
      <c r="A11411" s="17"/>
    </row>
    <row r="11412" spans="1:1" x14ac:dyDescent="0.25">
      <c r="A11412" s="17"/>
    </row>
    <row r="11413" spans="1:1" x14ac:dyDescent="0.25">
      <c r="A11413" s="17"/>
    </row>
    <row r="11414" spans="1:1" x14ac:dyDescent="0.25">
      <c r="A11414" s="17"/>
    </row>
    <row r="11415" spans="1:1" x14ac:dyDescent="0.25">
      <c r="A11415" s="17"/>
    </row>
    <row r="11416" spans="1:1" x14ac:dyDescent="0.25">
      <c r="A11416" s="17"/>
    </row>
    <row r="11417" spans="1:1" x14ac:dyDescent="0.25">
      <c r="A11417" s="17"/>
    </row>
    <row r="11418" spans="1:1" x14ac:dyDescent="0.25">
      <c r="A11418" s="17"/>
    </row>
    <row r="11419" spans="1:1" x14ac:dyDescent="0.25">
      <c r="A11419" s="17"/>
    </row>
    <row r="11420" spans="1:1" x14ac:dyDescent="0.25">
      <c r="A11420" s="17"/>
    </row>
    <row r="11421" spans="1:1" x14ac:dyDescent="0.25">
      <c r="A11421" s="17"/>
    </row>
    <row r="11422" spans="1:1" x14ac:dyDescent="0.25">
      <c r="A11422" s="17"/>
    </row>
    <row r="11423" spans="1:1" x14ac:dyDescent="0.25">
      <c r="A11423" s="17"/>
    </row>
    <row r="11424" spans="1:1" x14ac:dyDescent="0.25">
      <c r="A11424" s="17"/>
    </row>
    <row r="11425" spans="1:1" x14ac:dyDescent="0.25">
      <c r="A11425" s="17"/>
    </row>
    <row r="11426" spans="1:1" x14ac:dyDescent="0.25">
      <c r="A11426" s="17"/>
    </row>
    <row r="11427" spans="1:1" x14ac:dyDescent="0.25">
      <c r="A11427" s="17"/>
    </row>
    <row r="11428" spans="1:1" x14ac:dyDescent="0.25">
      <c r="A11428" s="17"/>
    </row>
    <row r="11429" spans="1:1" x14ac:dyDescent="0.25">
      <c r="A11429" s="17"/>
    </row>
    <row r="11430" spans="1:1" x14ac:dyDescent="0.25">
      <c r="A11430" s="17"/>
    </row>
    <row r="11431" spans="1:1" x14ac:dyDescent="0.25">
      <c r="A11431" s="17"/>
    </row>
    <row r="11432" spans="1:1" x14ac:dyDescent="0.25">
      <c r="A11432" s="17"/>
    </row>
    <row r="11433" spans="1:1" x14ac:dyDescent="0.25">
      <c r="A11433" s="17"/>
    </row>
    <row r="11434" spans="1:1" x14ac:dyDescent="0.25">
      <c r="A11434" s="17"/>
    </row>
    <row r="11435" spans="1:1" x14ac:dyDescent="0.25">
      <c r="A11435" s="17"/>
    </row>
    <row r="11436" spans="1:1" x14ac:dyDescent="0.25">
      <c r="A11436" s="17"/>
    </row>
    <row r="11437" spans="1:1" x14ac:dyDescent="0.25">
      <c r="A11437" s="17"/>
    </row>
    <row r="11438" spans="1:1" x14ac:dyDescent="0.25">
      <c r="A11438" s="17"/>
    </row>
    <row r="11439" spans="1:1" x14ac:dyDescent="0.25">
      <c r="A11439" s="17"/>
    </row>
    <row r="11440" spans="1:1" x14ac:dyDescent="0.25">
      <c r="A11440" s="17"/>
    </row>
    <row r="11441" spans="1:1" x14ac:dyDescent="0.25">
      <c r="A11441" s="17"/>
    </row>
    <row r="11442" spans="1:1" x14ac:dyDescent="0.25">
      <c r="A11442" s="17"/>
    </row>
    <row r="11443" spans="1:1" x14ac:dyDescent="0.25">
      <c r="A11443" s="17"/>
    </row>
    <row r="11444" spans="1:1" x14ac:dyDescent="0.25">
      <c r="A11444" s="17"/>
    </row>
    <row r="11445" spans="1:1" x14ac:dyDescent="0.25">
      <c r="A11445" s="17"/>
    </row>
    <row r="11446" spans="1:1" x14ac:dyDescent="0.25">
      <c r="A11446" s="17"/>
    </row>
    <row r="11447" spans="1:1" x14ac:dyDescent="0.25">
      <c r="A11447" s="17"/>
    </row>
    <row r="11448" spans="1:1" x14ac:dyDescent="0.25">
      <c r="A11448" s="17"/>
    </row>
    <row r="11449" spans="1:1" x14ac:dyDescent="0.25">
      <c r="A11449" s="17"/>
    </row>
    <row r="11450" spans="1:1" x14ac:dyDescent="0.25">
      <c r="A11450" s="17"/>
    </row>
    <row r="11451" spans="1:1" x14ac:dyDescent="0.25">
      <c r="A11451" s="17"/>
    </row>
    <row r="11452" spans="1:1" x14ac:dyDescent="0.25">
      <c r="A11452" s="17"/>
    </row>
    <row r="11453" spans="1:1" x14ac:dyDescent="0.25">
      <c r="A11453" s="17"/>
    </row>
    <row r="11454" spans="1:1" x14ac:dyDescent="0.25">
      <c r="A11454" s="17"/>
    </row>
    <row r="11455" spans="1:1" x14ac:dyDescent="0.25">
      <c r="A11455" s="17"/>
    </row>
    <row r="11456" spans="1:1" x14ac:dyDescent="0.25">
      <c r="A11456" s="17"/>
    </row>
    <row r="11457" spans="1:1" x14ac:dyDescent="0.25">
      <c r="A11457" s="17"/>
    </row>
    <row r="11458" spans="1:1" x14ac:dyDescent="0.25">
      <c r="A11458" s="17"/>
    </row>
    <row r="11459" spans="1:1" x14ac:dyDescent="0.25">
      <c r="A11459" s="17"/>
    </row>
    <row r="11460" spans="1:1" x14ac:dyDescent="0.25">
      <c r="A11460" s="17"/>
    </row>
    <row r="11461" spans="1:1" x14ac:dyDescent="0.25">
      <c r="A11461" s="17"/>
    </row>
    <row r="11462" spans="1:1" x14ac:dyDescent="0.25">
      <c r="A11462" s="17"/>
    </row>
    <row r="11463" spans="1:1" x14ac:dyDescent="0.25">
      <c r="A11463" s="17"/>
    </row>
    <row r="11464" spans="1:1" x14ac:dyDescent="0.25">
      <c r="A11464" s="17"/>
    </row>
    <row r="11465" spans="1:1" x14ac:dyDescent="0.25">
      <c r="A11465" s="17"/>
    </row>
    <row r="11466" spans="1:1" x14ac:dyDescent="0.25">
      <c r="A11466" s="17"/>
    </row>
    <row r="11467" spans="1:1" x14ac:dyDescent="0.25">
      <c r="A11467" s="17"/>
    </row>
    <row r="11468" spans="1:1" x14ac:dyDescent="0.25">
      <c r="A11468" s="17"/>
    </row>
    <row r="11469" spans="1:1" x14ac:dyDescent="0.25">
      <c r="A11469" s="17"/>
    </row>
    <row r="11470" spans="1:1" x14ac:dyDescent="0.25">
      <c r="A11470" s="17"/>
    </row>
    <row r="11471" spans="1:1" x14ac:dyDescent="0.25">
      <c r="A11471" s="17"/>
    </row>
    <row r="11472" spans="1:1" x14ac:dyDescent="0.25">
      <c r="A11472" s="17"/>
    </row>
    <row r="11473" spans="1:1" x14ac:dyDescent="0.25">
      <c r="A11473" s="17"/>
    </row>
    <row r="11474" spans="1:1" x14ac:dyDescent="0.25">
      <c r="A11474" s="17"/>
    </row>
    <row r="11475" spans="1:1" x14ac:dyDescent="0.25">
      <c r="A11475" s="17"/>
    </row>
    <row r="11476" spans="1:1" x14ac:dyDescent="0.25">
      <c r="A11476" s="17"/>
    </row>
    <row r="11477" spans="1:1" x14ac:dyDescent="0.25">
      <c r="A11477" s="17"/>
    </row>
    <row r="11478" spans="1:1" x14ac:dyDescent="0.25">
      <c r="A11478" s="17"/>
    </row>
    <row r="11479" spans="1:1" x14ac:dyDescent="0.25">
      <c r="A11479" s="17"/>
    </row>
    <row r="11480" spans="1:1" x14ac:dyDescent="0.25">
      <c r="A11480" s="17"/>
    </row>
    <row r="11481" spans="1:1" x14ac:dyDescent="0.25">
      <c r="A11481" s="17"/>
    </row>
    <row r="11482" spans="1:1" x14ac:dyDescent="0.25">
      <c r="A11482" s="17"/>
    </row>
    <row r="11483" spans="1:1" x14ac:dyDescent="0.25">
      <c r="A11483" s="17"/>
    </row>
    <row r="11484" spans="1:1" x14ac:dyDescent="0.25">
      <c r="A11484" s="17"/>
    </row>
    <row r="11485" spans="1:1" x14ac:dyDescent="0.25">
      <c r="A11485" s="17"/>
    </row>
    <row r="11486" spans="1:1" x14ac:dyDescent="0.25">
      <c r="A11486" s="17"/>
    </row>
    <row r="11487" spans="1:1" x14ac:dyDescent="0.25">
      <c r="A11487" s="17"/>
    </row>
    <row r="11488" spans="1:1" x14ac:dyDescent="0.25">
      <c r="A11488" s="17"/>
    </row>
    <row r="11489" spans="1:1" x14ac:dyDescent="0.25">
      <c r="A11489" s="17"/>
    </row>
    <row r="11490" spans="1:1" x14ac:dyDescent="0.25">
      <c r="A11490" s="17"/>
    </row>
    <row r="11491" spans="1:1" x14ac:dyDescent="0.25">
      <c r="A11491" s="17"/>
    </row>
    <row r="11492" spans="1:1" x14ac:dyDescent="0.25">
      <c r="A11492" s="17"/>
    </row>
    <row r="11493" spans="1:1" x14ac:dyDescent="0.25">
      <c r="A11493" s="17"/>
    </row>
    <row r="11494" spans="1:1" x14ac:dyDescent="0.25">
      <c r="A11494" s="17"/>
    </row>
    <row r="11495" spans="1:1" x14ac:dyDescent="0.25">
      <c r="A11495" s="17"/>
    </row>
    <row r="11496" spans="1:1" x14ac:dyDescent="0.25">
      <c r="A11496" s="17"/>
    </row>
    <row r="11497" spans="1:1" x14ac:dyDescent="0.25">
      <c r="A11497" s="17"/>
    </row>
    <row r="11498" spans="1:1" x14ac:dyDescent="0.25">
      <c r="A11498" s="17"/>
    </row>
    <row r="11499" spans="1:1" x14ac:dyDescent="0.25">
      <c r="A11499" s="17"/>
    </row>
    <row r="11500" spans="1:1" x14ac:dyDescent="0.25">
      <c r="A11500" s="17"/>
    </row>
    <row r="11501" spans="1:1" x14ac:dyDescent="0.25">
      <c r="A11501" s="17"/>
    </row>
    <row r="11502" spans="1:1" x14ac:dyDescent="0.25">
      <c r="A11502" s="17"/>
    </row>
    <row r="11503" spans="1:1" x14ac:dyDescent="0.25">
      <c r="A11503" s="17"/>
    </row>
    <row r="11504" spans="1:1" x14ac:dyDescent="0.25">
      <c r="A11504" s="17"/>
    </row>
    <row r="11505" spans="1:1" x14ac:dyDescent="0.25">
      <c r="A11505" s="17"/>
    </row>
    <row r="11506" spans="1:1" x14ac:dyDescent="0.25">
      <c r="A11506" s="17"/>
    </row>
    <row r="11507" spans="1:1" x14ac:dyDescent="0.25">
      <c r="A11507" s="17"/>
    </row>
    <row r="11508" spans="1:1" x14ac:dyDescent="0.25">
      <c r="A11508" s="17"/>
    </row>
    <row r="11509" spans="1:1" x14ac:dyDescent="0.25">
      <c r="A11509" s="17"/>
    </row>
    <row r="11510" spans="1:1" x14ac:dyDescent="0.25">
      <c r="A11510" s="17"/>
    </row>
    <row r="11511" spans="1:1" x14ac:dyDescent="0.25">
      <c r="A11511" s="17"/>
    </row>
    <row r="11512" spans="1:1" x14ac:dyDescent="0.25">
      <c r="A11512" s="17"/>
    </row>
    <row r="11513" spans="1:1" x14ac:dyDescent="0.25">
      <c r="A11513" s="17"/>
    </row>
    <row r="11514" spans="1:1" x14ac:dyDescent="0.25">
      <c r="A11514" s="17"/>
    </row>
    <row r="11515" spans="1:1" x14ac:dyDescent="0.25">
      <c r="A11515" s="17"/>
    </row>
    <row r="11516" spans="1:1" x14ac:dyDescent="0.25">
      <c r="A11516" s="17"/>
    </row>
    <row r="11517" spans="1:1" x14ac:dyDescent="0.25">
      <c r="A11517" s="17"/>
    </row>
    <row r="11518" spans="1:1" x14ac:dyDescent="0.25">
      <c r="A11518" s="17"/>
    </row>
    <row r="11519" spans="1:1" x14ac:dyDescent="0.25">
      <c r="A11519" s="17"/>
    </row>
    <row r="11520" spans="1:1" x14ac:dyDescent="0.25">
      <c r="A11520" s="17"/>
    </row>
    <row r="11521" spans="1:1" x14ac:dyDescent="0.25">
      <c r="A11521" s="17"/>
    </row>
    <row r="11522" spans="1:1" x14ac:dyDescent="0.25">
      <c r="A11522" s="17"/>
    </row>
    <row r="11523" spans="1:1" x14ac:dyDescent="0.25">
      <c r="A11523" s="17"/>
    </row>
    <row r="11524" spans="1:1" x14ac:dyDescent="0.25">
      <c r="A11524" s="17"/>
    </row>
    <row r="11525" spans="1:1" x14ac:dyDescent="0.25">
      <c r="A11525" s="17"/>
    </row>
    <row r="11526" spans="1:1" x14ac:dyDescent="0.25">
      <c r="A11526" s="17"/>
    </row>
    <row r="11527" spans="1:1" x14ac:dyDescent="0.25">
      <c r="A11527" s="17"/>
    </row>
    <row r="11528" spans="1:1" x14ac:dyDescent="0.25">
      <c r="A11528" s="17"/>
    </row>
    <row r="11529" spans="1:1" x14ac:dyDescent="0.25">
      <c r="A11529" s="17"/>
    </row>
    <row r="11530" spans="1:1" x14ac:dyDescent="0.25">
      <c r="A11530" s="17"/>
    </row>
    <row r="11531" spans="1:1" x14ac:dyDescent="0.25">
      <c r="A11531" s="17"/>
    </row>
    <row r="11532" spans="1:1" x14ac:dyDescent="0.25">
      <c r="A11532" s="17"/>
    </row>
    <row r="11533" spans="1:1" x14ac:dyDescent="0.25">
      <c r="A11533" s="17"/>
    </row>
    <row r="11534" spans="1:1" x14ac:dyDescent="0.25">
      <c r="A11534" s="17"/>
    </row>
    <row r="11535" spans="1:1" x14ac:dyDescent="0.25">
      <c r="A11535" s="17"/>
    </row>
    <row r="11536" spans="1:1" x14ac:dyDescent="0.25">
      <c r="A11536" s="17"/>
    </row>
    <row r="11537" spans="1:1" x14ac:dyDescent="0.25">
      <c r="A11537" s="17"/>
    </row>
    <row r="11538" spans="1:1" x14ac:dyDescent="0.25">
      <c r="A11538" s="17"/>
    </row>
    <row r="11539" spans="1:1" x14ac:dyDescent="0.25">
      <c r="A11539" s="17"/>
    </row>
    <row r="11540" spans="1:1" x14ac:dyDescent="0.25">
      <c r="A11540" s="17"/>
    </row>
    <row r="11541" spans="1:1" x14ac:dyDescent="0.25">
      <c r="A11541" s="17"/>
    </row>
    <row r="11542" spans="1:1" x14ac:dyDescent="0.25">
      <c r="A11542" s="17"/>
    </row>
    <row r="11543" spans="1:1" x14ac:dyDescent="0.25">
      <c r="A11543" s="17"/>
    </row>
    <row r="11544" spans="1:1" x14ac:dyDescent="0.25">
      <c r="A11544" s="17"/>
    </row>
    <row r="11545" spans="1:1" x14ac:dyDescent="0.25">
      <c r="A11545" s="17"/>
    </row>
    <row r="11546" spans="1:1" x14ac:dyDescent="0.25">
      <c r="A11546" s="17"/>
    </row>
    <row r="11547" spans="1:1" x14ac:dyDescent="0.25">
      <c r="A11547" s="17"/>
    </row>
    <row r="11548" spans="1:1" x14ac:dyDescent="0.25">
      <c r="A11548" s="17"/>
    </row>
    <row r="11549" spans="1:1" x14ac:dyDescent="0.25">
      <c r="A11549" s="17"/>
    </row>
    <row r="11550" spans="1:1" x14ac:dyDescent="0.25">
      <c r="A11550" s="17"/>
    </row>
    <row r="11551" spans="1:1" x14ac:dyDescent="0.25">
      <c r="A11551" s="17"/>
    </row>
    <row r="11552" spans="1:1" x14ac:dyDescent="0.25">
      <c r="A11552" s="17"/>
    </row>
    <row r="11553" spans="1:1" x14ac:dyDescent="0.25">
      <c r="A11553" s="17"/>
    </row>
    <row r="11554" spans="1:1" x14ac:dyDescent="0.25">
      <c r="A11554" s="17"/>
    </row>
    <row r="11555" spans="1:1" x14ac:dyDescent="0.25">
      <c r="A11555" s="17"/>
    </row>
    <row r="11556" spans="1:1" x14ac:dyDescent="0.25">
      <c r="A11556" s="17"/>
    </row>
    <row r="11557" spans="1:1" x14ac:dyDescent="0.25">
      <c r="A11557" s="17"/>
    </row>
    <row r="11558" spans="1:1" x14ac:dyDescent="0.25">
      <c r="A11558" s="17"/>
    </row>
    <row r="11559" spans="1:1" x14ac:dyDescent="0.25">
      <c r="A11559" s="17"/>
    </row>
    <row r="11560" spans="1:1" x14ac:dyDescent="0.25">
      <c r="A11560" s="17"/>
    </row>
    <row r="11561" spans="1:1" x14ac:dyDescent="0.25">
      <c r="A11561" s="17"/>
    </row>
    <row r="11562" spans="1:1" x14ac:dyDescent="0.25">
      <c r="A11562" s="17"/>
    </row>
    <row r="11563" spans="1:1" x14ac:dyDescent="0.25">
      <c r="A11563" s="17"/>
    </row>
    <row r="11564" spans="1:1" x14ac:dyDescent="0.25">
      <c r="A11564" s="17"/>
    </row>
    <row r="11565" spans="1:1" x14ac:dyDescent="0.25">
      <c r="A11565" s="17"/>
    </row>
    <row r="11566" spans="1:1" x14ac:dyDescent="0.25">
      <c r="A11566" s="17"/>
    </row>
    <row r="11567" spans="1:1" x14ac:dyDescent="0.25">
      <c r="A11567" s="17"/>
    </row>
    <row r="11568" spans="1:1" x14ac:dyDescent="0.25">
      <c r="A11568" s="17"/>
    </row>
    <row r="11569" spans="1:1" x14ac:dyDescent="0.25">
      <c r="A11569" s="17"/>
    </row>
    <row r="11570" spans="1:1" x14ac:dyDescent="0.25">
      <c r="A11570" s="17"/>
    </row>
    <row r="11571" spans="1:1" x14ac:dyDescent="0.25">
      <c r="A11571" s="17"/>
    </row>
    <row r="11572" spans="1:1" x14ac:dyDescent="0.25">
      <c r="A11572" s="17"/>
    </row>
    <row r="11573" spans="1:1" x14ac:dyDescent="0.25">
      <c r="A11573" s="17"/>
    </row>
    <row r="11574" spans="1:1" x14ac:dyDescent="0.25">
      <c r="A11574" s="17"/>
    </row>
    <row r="11575" spans="1:1" x14ac:dyDescent="0.25">
      <c r="A11575" s="17"/>
    </row>
    <row r="11576" spans="1:1" x14ac:dyDescent="0.25">
      <c r="A11576" s="17"/>
    </row>
    <row r="11577" spans="1:1" x14ac:dyDescent="0.25">
      <c r="A11577" s="17"/>
    </row>
    <row r="11578" spans="1:1" x14ac:dyDescent="0.25">
      <c r="A11578" s="17"/>
    </row>
    <row r="11579" spans="1:1" x14ac:dyDescent="0.25">
      <c r="A11579" s="17"/>
    </row>
    <row r="11580" spans="1:1" x14ac:dyDescent="0.25">
      <c r="A11580" s="17"/>
    </row>
    <row r="11581" spans="1:1" x14ac:dyDescent="0.25">
      <c r="A11581" s="17"/>
    </row>
    <row r="11582" spans="1:1" x14ac:dyDescent="0.25">
      <c r="A11582" s="17"/>
    </row>
    <row r="11583" spans="1:1" x14ac:dyDescent="0.25">
      <c r="A11583" s="17"/>
    </row>
    <row r="11584" spans="1:1" x14ac:dyDescent="0.25">
      <c r="A11584" s="17"/>
    </row>
    <row r="11585" spans="1:1" x14ac:dyDescent="0.25">
      <c r="A11585" s="17"/>
    </row>
    <row r="11586" spans="1:1" x14ac:dyDescent="0.25">
      <c r="A11586" s="17"/>
    </row>
    <row r="11587" spans="1:1" x14ac:dyDescent="0.25">
      <c r="A11587" s="17"/>
    </row>
    <row r="11588" spans="1:1" x14ac:dyDescent="0.25">
      <c r="A11588" s="17"/>
    </row>
    <row r="11589" spans="1:1" x14ac:dyDescent="0.25">
      <c r="A11589" s="17"/>
    </row>
    <row r="11590" spans="1:1" x14ac:dyDescent="0.25">
      <c r="A11590" s="17"/>
    </row>
    <row r="11591" spans="1:1" x14ac:dyDescent="0.25">
      <c r="A11591" s="17"/>
    </row>
    <row r="11592" spans="1:1" x14ac:dyDescent="0.25">
      <c r="A11592" s="17"/>
    </row>
    <row r="11593" spans="1:1" x14ac:dyDescent="0.25">
      <c r="A11593" s="17"/>
    </row>
    <row r="11594" spans="1:1" x14ac:dyDescent="0.25">
      <c r="A11594" s="17"/>
    </row>
    <row r="11595" spans="1:1" x14ac:dyDescent="0.25">
      <c r="A11595" s="17"/>
    </row>
    <row r="11596" spans="1:1" x14ac:dyDescent="0.25">
      <c r="A11596" s="17"/>
    </row>
    <row r="11597" spans="1:1" x14ac:dyDescent="0.25">
      <c r="A11597" s="17"/>
    </row>
    <row r="11598" spans="1:1" x14ac:dyDescent="0.25">
      <c r="A11598" s="17"/>
    </row>
    <row r="11599" spans="1:1" x14ac:dyDescent="0.25">
      <c r="A11599" s="17"/>
    </row>
    <row r="11600" spans="1:1" x14ac:dyDescent="0.25">
      <c r="A11600" s="17"/>
    </row>
    <row r="11601" spans="1:1" x14ac:dyDescent="0.25">
      <c r="A11601" s="17"/>
    </row>
    <row r="11602" spans="1:1" x14ac:dyDescent="0.25">
      <c r="A11602" s="17"/>
    </row>
    <row r="11603" spans="1:1" x14ac:dyDescent="0.25">
      <c r="A11603" s="17"/>
    </row>
    <row r="11604" spans="1:1" x14ac:dyDescent="0.25">
      <c r="A11604" s="17"/>
    </row>
    <row r="11605" spans="1:1" x14ac:dyDescent="0.25">
      <c r="A11605" s="17"/>
    </row>
    <row r="11606" spans="1:1" x14ac:dyDescent="0.25">
      <c r="A11606" s="17"/>
    </row>
    <row r="11607" spans="1:1" x14ac:dyDescent="0.25">
      <c r="A11607" s="17"/>
    </row>
    <row r="11608" spans="1:1" x14ac:dyDescent="0.25">
      <c r="A11608" s="17"/>
    </row>
    <row r="11609" spans="1:1" x14ac:dyDescent="0.25">
      <c r="A11609" s="17"/>
    </row>
    <row r="11610" spans="1:1" x14ac:dyDescent="0.25">
      <c r="A11610" s="17"/>
    </row>
    <row r="11611" spans="1:1" x14ac:dyDescent="0.25">
      <c r="A11611" s="17"/>
    </row>
    <row r="11612" spans="1:1" x14ac:dyDescent="0.25">
      <c r="A11612" s="17"/>
    </row>
    <row r="11613" spans="1:1" x14ac:dyDescent="0.25">
      <c r="A11613" s="17"/>
    </row>
    <row r="11614" spans="1:1" x14ac:dyDescent="0.25">
      <c r="A11614" s="17"/>
    </row>
    <row r="11615" spans="1:1" x14ac:dyDescent="0.25">
      <c r="A11615" s="17"/>
    </row>
    <row r="11616" spans="1:1" x14ac:dyDescent="0.25">
      <c r="A11616" s="17"/>
    </row>
    <row r="11617" spans="1:1" x14ac:dyDescent="0.25">
      <c r="A11617" s="17"/>
    </row>
    <row r="11618" spans="1:1" x14ac:dyDescent="0.25">
      <c r="A11618" s="17"/>
    </row>
    <row r="11619" spans="1:1" x14ac:dyDescent="0.25">
      <c r="A11619" s="17"/>
    </row>
    <row r="11620" spans="1:1" x14ac:dyDescent="0.25">
      <c r="A11620" s="17"/>
    </row>
    <row r="11621" spans="1:1" x14ac:dyDescent="0.25">
      <c r="A11621" s="17"/>
    </row>
    <row r="11622" spans="1:1" x14ac:dyDescent="0.25">
      <c r="A11622" s="17"/>
    </row>
    <row r="11623" spans="1:1" x14ac:dyDescent="0.25">
      <c r="A11623" s="17"/>
    </row>
    <row r="11624" spans="1:1" x14ac:dyDescent="0.25">
      <c r="A11624" s="17"/>
    </row>
    <row r="11625" spans="1:1" x14ac:dyDescent="0.25">
      <c r="A11625" s="17"/>
    </row>
    <row r="11626" spans="1:1" x14ac:dyDescent="0.25">
      <c r="A11626" s="17"/>
    </row>
    <row r="11627" spans="1:1" x14ac:dyDescent="0.25">
      <c r="A11627" s="17"/>
    </row>
    <row r="11628" spans="1:1" x14ac:dyDescent="0.25">
      <c r="A11628" s="17"/>
    </row>
    <row r="11629" spans="1:1" x14ac:dyDescent="0.25">
      <c r="A11629" s="17"/>
    </row>
    <row r="11630" spans="1:1" x14ac:dyDescent="0.25">
      <c r="A11630" s="17"/>
    </row>
    <row r="11631" spans="1:1" x14ac:dyDescent="0.25">
      <c r="A11631" s="17"/>
    </row>
    <row r="11632" spans="1:1" x14ac:dyDescent="0.25">
      <c r="A11632" s="17"/>
    </row>
    <row r="11633" spans="1:1" x14ac:dyDescent="0.25">
      <c r="A11633" s="17"/>
    </row>
    <row r="11634" spans="1:1" x14ac:dyDescent="0.25">
      <c r="A11634" s="17"/>
    </row>
    <row r="11635" spans="1:1" x14ac:dyDescent="0.25">
      <c r="A11635" s="17"/>
    </row>
    <row r="11636" spans="1:1" x14ac:dyDescent="0.25">
      <c r="A11636" s="17"/>
    </row>
    <row r="11637" spans="1:1" x14ac:dyDescent="0.25">
      <c r="A11637" s="17"/>
    </row>
    <row r="11638" spans="1:1" x14ac:dyDescent="0.25">
      <c r="A11638" s="17"/>
    </row>
    <row r="11639" spans="1:1" x14ac:dyDescent="0.25">
      <c r="A11639" s="17"/>
    </row>
    <row r="11640" spans="1:1" x14ac:dyDescent="0.25">
      <c r="A11640" s="17"/>
    </row>
    <row r="11641" spans="1:1" x14ac:dyDescent="0.25">
      <c r="A11641" s="17"/>
    </row>
    <row r="11642" spans="1:1" x14ac:dyDescent="0.25">
      <c r="A11642" s="17"/>
    </row>
    <row r="11643" spans="1:1" x14ac:dyDescent="0.25">
      <c r="A11643" s="17"/>
    </row>
    <row r="11644" spans="1:1" x14ac:dyDescent="0.25">
      <c r="A11644" s="17"/>
    </row>
    <row r="11645" spans="1:1" x14ac:dyDescent="0.25">
      <c r="A11645" s="17"/>
    </row>
    <row r="11646" spans="1:1" x14ac:dyDescent="0.25">
      <c r="A11646" s="17"/>
    </row>
    <row r="11647" spans="1:1" x14ac:dyDescent="0.25">
      <c r="A11647" s="17"/>
    </row>
    <row r="11648" spans="1:1" x14ac:dyDescent="0.25">
      <c r="A11648" s="17"/>
    </row>
    <row r="11649" spans="1:1" x14ac:dyDescent="0.25">
      <c r="A11649" s="17"/>
    </row>
    <row r="11650" spans="1:1" x14ac:dyDescent="0.25">
      <c r="A11650" s="17"/>
    </row>
    <row r="11651" spans="1:1" x14ac:dyDescent="0.25">
      <c r="A11651" s="17"/>
    </row>
    <row r="11652" spans="1:1" x14ac:dyDescent="0.25">
      <c r="A11652" s="17"/>
    </row>
    <row r="11653" spans="1:1" x14ac:dyDescent="0.25">
      <c r="A11653" s="17"/>
    </row>
    <row r="11654" spans="1:1" x14ac:dyDescent="0.25">
      <c r="A11654" s="17"/>
    </row>
    <row r="11655" spans="1:1" x14ac:dyDescent="0.25">
      <c r="A11655" s="17"/>
    </row>
    <row r="11656" spans="1:1" x14ac:dyDescent="0.25">
      <c r="A11656" s="17"/>
    </row>
    <row r="11657" spans="1:1" x14ac:dyDescent="0.25">
      <c r="A11657" s="17"/>
    </row>
    <row r="11658" spans="1:1" x14ac:dyDescent="0.25">
      <c r="A11658" s="17"/>
    </row>
    <row r="11659" spans="1:1" x14ac:dyDescent="0.25">
      <c r="A11659" s="17"/>
    </row>
    <row r="11660" spans="1:1" x14ac:dyDescent="0.25">
      <c r="A11660" s="17"/>
    </row>
    <row r="11661" spans="1:1" x14ac:dyDescent="0.25">
      <c r="A11661" s="17"/>
    </row>
    <row r="11662" spans="1:1" x14ac:dyDescent="0.25">
      <c r="A11662" s="17"/>
    </row>
    <row r="11663" spans="1:1" x14ac:dyDescent="0.25">
      <c r="A11663" s="17"/>
    </row>
    <row r="11664" spans="1:1" x14ac:dyDescent="0.25">
      <c r="A11664" s="17"/>
    </row>
    <row r="11665" spans="1:1" x14ac:dyDescent="0.25">
      <c r="A11665" s="17"/>
    </row>
    <row r="11666" spans="1:1" x14ac:dyDescent="0.25">
      <c r="A11666" s="17"/>
    </row>
    <row r="11667" spans="1:1" x14ac:dyDescent="0.25">
      <c r="A11667" s="17"/>
    </row>
    <row r="11668" spans="1:1" x14ac:dyDescent="0.25">
      <c r="A11668" s="17"/>
    </row>
    <row r="11669" spans="1:1" x14ac:dyDescent="0.25">
      <c r="A11669" s="17"/>
    </row>
    <row r="11670" spans="1:1" x14ac:dyDescent="0.25">
      <c r="A11670" s="17"/>
    </row>
    <row r="11671" spans="1:1" x14ac:dyDescent="0.25">
      <c r="A11671" s="17"/>
    </row>
    <row r="11672" spans="1:1" x14ac:dyDescent="0.25">
      <c r="A11672" s="17"/>
    </row>
    <row r="11673" spans="1:1" x14ac:dyDescent="0.25">
      <c r="A11673" s="17"/>
    </row>
    <row r="11674" spans="1:1" x14ac:dyDescent="0.25">
      <c r="A11674" s="17"/>
    </row>
    <row r="11675" spans="1:1" x14ac:dyDescent="0.25">
      <c r="A11675" s="17"/>
    </row>
    <row r="11676" spans="1:1" x14ac:dyDescent="0.25">
      <c r="A11676" s="17"/>
    </row>
    <row r="11677" spans="1:1" x14ac:dyDescent="0.25">
      <c r="A11677" s="17"/>
    </row>
    <row r="11678" spans="1:1" x14ac:dyDescent="0.25">
      <c r="A11678" s="17"/>
    </row>
    <row r="11679" spans="1:1" x14ac:dyDescent="0.25">
      <c r="A11679" s="17"/>
    </row>
    <row r="11680" spans="1:1" x14ac:dyDescent="0.25">
      <c r="A11680" s="17"/>
    </row>
    <row r="11681" spans="1:1" x14ac:dyDescent="0.25">
      <c r="A11681" s="17"/>
    </row>
    <row r="11682" spans="1:1" x14ac:dyDescent="0.25">
      <c r="A11682" s="17"/>
    </row>
    <row r="11683" spans="1:1" x14ac:dyDescent="0.25">
      <c r="A11683" s="17"/>
    </row>
    <row r="11684" spans="1:1" x14ac:dyDescent="0.25">
      <c r="A11684" s="17"/>
    </row>
    <row r="11685" spans="1:1" x14ac:dyDescent="0.25">
      <c r="A11685" s="17"/>
    </row>
    <row r="11686" spans="1:1" x14ac:dyDescent="0.25">
      <c r="A11686" s="17"/>
    </row>
    <row r="11687" spans="1:1" x14ac:dyDescent="0.25">
      <c r="A11687" s="17"/>
    </row>
    <row r="11688" spans="1:1" x14ac:dyDescent="0.25">
      <c r="A11688" s="17"/>
    </row>
    <row r="11689" spans="1:1" x14ac:dyDescent="0.25">
      <c r="A11689" s="17"/>
    </row>
    <row r="11690" spans="1:1" x14ac:dyDescent="0.25">
      <c r="A11690" s="17"/>
    </row>
    <row r="11691" spans="1:1" x14ac:dyDescent="0.25">
      <c r="A11691" s="17"/>
    </row>
    <row r="11692" spans="1:1" x14ac:dyDescent="0.25">
      <c r="A11692" s="17"/>
    </row>
    <row r="11693" spans="1:1" x14ac:dyDescent="0.25">
      <c r="A11693" s="17"/>
    </row>
    <row r="11694" spans="1:1" x14ac:dyDescent="0.25">
      <c r="A11694" s="17"/>
    </row>
    <row r="11695" spans="1:1" x14ac:dyDescent="0.25">
      <c r="A11695" s="17"/>
    </row>
    <row r="11696" spans="1:1" x14ac:dyDescent="0.25">
      <c r="A11696" s="17"/>
    </row>
    <row r="11697" spans="1:1" x14ac:dyDescent="0.25">
      <c r="A11697" s="17"/>
    </row>
    <row r="11698" spans="1:1" x14ac:dyDescent="0.25">
      <c r="A11698" s="17"/>
    </row>
    <row r="11699" spans="1:1" x14ac:dyDescent="0.25">
      <c r="A11699" s="17"/>
    </row>
    <row r="11700" spans="1:1" x14ac:dyDescent="0.25">
      <c r="A11700" s="17"/>
    </row>
    <row r="11701" spans="1:1" x14ac:dyDescent="0.25">
      <c r="A11701" s="17"/>
    </row>
    <row r="11702" spans="1:1" x14ac:dyDescent="0.25">
      <c r="A11702" s="17"/>
    </row>
    <row r="11703" spans="1:1" x14ac:dyDescent="0.25">
      <c r="A11703" s="17"/>
    </row>
    <row r="11704" spans="1:1" x14ac:dyDescent="0.25">
      <c r="A11704" s="17"/>
    </row>
    <row r="11705" spans="1:1" x14ac:dyDescent="0.25">
      <c r="A11705" s="17"/>
    </row>
    <row r="11706" spans="1:1" x14ac:dyDescent="0.25">
      <c r="A11706" s="17"/>
    </row>
    <row r="11707" spans="1:1" x14ac:dyDescent="0.25">
      <c r="A11707" s="17"/>
    </row>
    <row r="11708" spans="1:1" x14ac:dyDescent="0.25">
      <c r="A11708" s="17"/>
    </row>
    <row r="11709" spans="1:1" x14ac:dyDescent="0.25">
      <c r="A11709" s="17"/>
    </row>
    <row r="11710" spans="1:1" x14ac:dyDescent="0.25">
      <c r="A11710" s="17"/>
    </row>
    <row r="11711" spans="1:1" x14ac:dyDescent="0.25">
      <c r="A11711" s="17"/>
    </row>
    <row r="11712" spans="1:1" x14ac:dyDescent="0.25">
      <c r="A11712" s="17"/>
    </row>
    <row r="11713" spans="1:1" x14ac:dyDescent="0.25">
      <c r="A11713" s="17"/>
    </row>
    <row r="11714" spans="1:1" x14ac:dyDescent="0.25">
      <c r="A11714" s="17"/>
    </row>
    <row r="11715" spans="1:1" x14ac:dyDescent="0.25">
      <c r="A11715" s="17"/>
    </row>
    <row r="11716" spans="1:1" x14ac:dyDescent="0.25">
      <c r="A11716" s="17"/>
    </row>
    <row r="11717" spans="1:1" x14ac:dyDescent="0.25">
      <c r="A11717" s="17"/>
    </row>
    <row r="11718" spans="1:1" x14ac:dyDescent="0.25">
      <c r="A11718" s="17"/>
    </row>
    <row r="11719" spans="1:1" x14ac:dyDescent="0.25">
      <c r="A11719" s="17"/>
    </row>
    <row r="11720" spans="1:1" x14ac:dyDescent="0.25">
      <c r="A11720" s="17"/>
    </row>
    <row r="11721" spans="1:1" x14ac:dyDescent="0.25">
      <c r="A11721" s="17"/>
    </row>
    <row r="11722" spans="1:1" x14ac:dyDescent="0.25">
      <c r="A11722" s="17"/>
    </row>
    <row r="11723" spans="1:1" x14ac:dyDescent="0.25">
      <c r="A11723" s="17"/>
    </row>
    <row r="11724" spans="1:1" x14ac:dyDescent="0.25">
      <c r="A11724" s="17"/>
    </row>
    <row r="11725" spans="1:1" x14ac:dyDescent="0.25">
      <c r="A11725" s="17"/>
    </row>
    <row r="11726" spans="1:1" x14ac:dyDescent="0.25">
      <c r="A11726" s="17"/>
    </row>
    <row r="11727" spans="1:1" x14ac:dyDescent="0.25">
      <c r="A11727" s="17"/>
    </row>
    <row r="11728" spans="1:1" x14ac:dyDescent="0.25">
      <c r="A11728" s="17"/>
    </row>
    <row r="11729" spans="1:1" x14ac:dyDescent="0.25">
      <c r="A11729" s="17"/>
    </row>
    <row r="11730" spans="1:1" x14ac:dyDescent="0.25">
      <c r="A11730" s="17"/>
    </row>
    <row r="11731" spans="1:1" x14ac:dyDescent="0.25">
      <c r="A11731" s="17"/>
    </row>
    <row r="11732" spans="1:1" x14ac:dyDescent="0.25">
      <c r="A11732" s="17"/>
    </row>
    <row r="11733" spans="1:1" x14ac:dyDescent="0.25">
      <c r="A11733" s="17"/>
    </row>
    <row r="11734" spans="1:1" x14ac:dyDescent="0.25">
      <c r="A11734" s="17"/>
    </row>
    <row r="11735" spans="1:1" x14ac:dyDescent="0.25">
      <c r="A11735" s="17"/>
    </row>
    <row r="11736" spans="1:1" x14ac:dyDescent="0.25">
      <c r="A11736" s="17"/>
    </row>
    <row r="11737" spans="1:1" x14ac:dyDescent="0.25">
      <c r="A11737" s="17"/>
    </row>
    <row r="11738" spans="1:1" x14ac:dyDescent="0.25">
      <c r="A11738" s="17"/>
    </row>
    <row r="11739" spans="1:1" x14ac:dyDescent="0.25">
      <c r="A11739" s="17"/>
    </row>
    <row r="11740" spans="1:1" x14ac:dyDescent="0.25">
      <c r="A11740" s="17"/>
    </row>
    <row r="11741" spans="1:1" x14ac:dyDescent="0.25">
      <c r="A11741" s="17"/>
    </row>
    <row r="11742" spans="1:1" x14ac:dyDescent="0.25">
      <c r="A11742" s="17"/>
    </row>
    <row r="11743" spans="1:1" x14ac:dyDescent="0.25">
      <c r="A11743" s="17"/>
    </row>
    <row r="11744" spans="1:1" x14ac:dyDescent="0.25">
      <c r="A11744" s="17"/>
    </row>
    <row r="11745" spans="1:1" x14ac:dyDescent="0.25">
      <c r="A11745" s="17"/>
    </row>
    <row r="11746" spans="1:1" x14ac:dyDescent="0.25">
      <c r="A11746" s="17"/>
    </row>
    <row r="11747" spans="1:1" x14ac:dyDescent="0.25">
      <c r="A11747" s="17"/>
    </row>
    <row r="11748" spans="1:1" x14ac:dyDescent="0.25">
      <c r="A11748" s="17"/>
    </row>
    <row r="11749" spans="1:1" x14ac:dyDescent="0.25">
      <c r="A11749" s="17"/>
    </row>
    <row r="11750" spans="1:1" x14ac:dyDescent="0.25">
      <c r="A11750" s="17"/>
    </row>
    <row r="11751" spans="1:1" x14ac:dyDescent="0.25">
      <c r="A11751" s="17"/>
    </row>
    <row r="11752" spans="1:1" x14ac:dyDescent="0.25">
      <c r="A11752" s="17"/>
    </row>
    <row r="11753" spans="1:1" x14ac:dyDescent="0.25">
      <c r="A11753" s="17"/>
    </row>
    <row r="11754" spans="1:1" x14ac:dyDescent="0.25">
      <c r="A11754" s="17"/>
    </row>
    <row r="11755" spans="1:1" x14ac:dyDescent="0.25">
      <c r="A11755" s="17"/>
    </row>
    <row r="11756" spans="1:1" x14ac:dyDescent="0.25">
      <c r="A11756" s="17"/>
    </row>
    <row r="11757" spans="1:1" x14ac:dyDescent="0.25">
      <c r="A11757" s="17"/>
    </row>
    <row r="11758" spans="1:1" x14ac:dyDescent="0.25">
      <c r="A11758" s="17"/>
    </row>
    <row r="11759" spans="1:1" x14ac:dyDescent="0.25">
      <c r="A11759" s="17"/>
    </row>
    <row r="11760" spans="1:1" x14ac:dyDescent="0.25">
      <c r="A11760" s="17"/>
    </row>
    <row r="11761" spans="1:1" x14ac:dyDescent="0.25">
      <c r="A11761" s="17"/>
    </row>
    <row r="11762" spans="1:1" x14ac:dyDescent="0.25">
      <c r="A11762" s="17"/>
    </row>
    <row r="11763" spans="1:1" x14ac:dyDescent="0.25">
      <c r="A11763" s="17"/>
    </row>
    <row r="11764" spans="1:1" x14ac:dyDescent="0.25">
      <c r="A11764" s="17"/>
    </row>
    <row r="11765" spans="1:1" x14ac:dyDescent="0.25">
      <c r="A11765" s="17"/>
    </row>
    <row r="11766" spans="1:1" x14ac:dyDescent="0.25">
      <c r="A11766" s="17"/>
    </row>
    <row r="11767" spans="1:1" x14ac:dyDescent="0.25">
      <c r="A11767" s="17"/>
    </row>
    <row r="11768" spans="1:1" x14ac:dyDescent="0.25">
      <c r="A11768" s="17"/>
    </row>
    <row r="11769" spans="1:1" x14ac:dyDescent="0.25">
      <c r="A11769" s="17"/>
    </row>
    <row r="11770" spans="1:1" x14ac:dyDescent="0.25">
      <c r="A11770" s="17"/>
    </row>
    <row r="11771" spans="1:1" x14ac:dyDescent="0.25">
      <c r="A11771" s="17"/>
    </row>
    <row r="11772" spans="1:1" x14ac:dyDescent="0.25">
      <c r="A11772" s="17"/>
    </row>
    <row r="11773" spans="1:1" x14ac:dyDescent="0.25">
      <c r="A11773" s="17"/>
    </row>
    <row r="11774" spans="1:1" x14ac:dyDescent="0.25">
      <c r="A11774" s="17"/>
    </row>
    <row r="11775" spans="1:1" x14ac:dyDescent="0.25">
      <c r="A11775" s="17"/>
    </row>
    <row r="11776" spans="1:1" x14ac:dyDescent="0.25">
      <c r="A11776" s="17"/>
    </row>
    <row r="11777" spans="1:1" x14ac:dyDescent="0.25">
      <c r="A11777" s="17"/>
    </row>
    <row r="11778" spans="1:1" x14ac:dyDescent="0.25">
      <c r="A11778" s="17"/>
    </row>
    <row r="11779" spans="1:1" x14ac:dyDescent="0.25">
      <c r="A11779" s="17"/>
    </row>
    <row r="11780" spans="1:1" x14ac:dyDescent="0.25">
      <c r="A11780" s="17"/>
    </row>
    <row r="11781" spans="1:1" x14ac:dyDescent="0.25">
      <c r="A11781" s="17"/>
    </row>
    <row r="11782" spans="1:1" x14ac:dyDescent="0.25">
      <c r="A11782" s="17"/>
    </row>
    <row r="11783" spans="1:1" x14ac:dyDescent="0.25">
      <c r="A11783" s="17"/>
    </row>
    <row r="11784" spans="1:1" x14ac:dyDescent="0.25">
      <c r="A11784" s="17"/>
    </row>
    <row r="11785" spans="1:1" x14ac:dyDescent="0.25">
      <c r="A11785" s="17"/>
    </row>
    <row r="11786" spans="1:1" x14ac:dyDescent="0.25">
      <c r="A11786" s="17"/>
    </row>
    <row r="11787" spans="1:1" x14ac:dyDescent="0.25">
      <c r="A11787" s="17"/>
    </row>
    <row r="11788" spans="1:1" x14ac:dyDescent="0.25">
      <c r="A11788" s="17"/>
    </row>
    <row r="11789" spans="1:1" x14ac:dyDescent="0.25">
      <c r="A11789" s="17"/>
    </row>
    <row r="11790" spans="1:1" x14ac:dyDescent="0.25">
      <c r="A11790" s="17"/>
    </row>
    <row r="11791" spans="1:1" x14ac:dyDescent="0.25">
      <c r="A11791" s="17"/>
    </row>
    <row r="11792" spans="1:1" x14ac:dyDescent="0.25">
      <c r="A11792" s="17"/>
    </row>
    <row r="11793" spans="1:1" x14ac:dyDescent="0.25">
      <c r="A11793" s="17"/>
    </row>
    <row r="11794" spans="1:1" x14ac:dyDescent="0.25">
      <c r="A11794" s="17"/>
    </row>
    <row r="11795" spans="1:1" x14ac:dyDescent="0.25">
      <c r="A11795" s="17"/>
    </row>
    <row r="11796" spans="1:1" x14ac:dyDescent="0.25">
      <c r="A11796" s="17"/>
    </row>
    <row r="11797" spans="1:1" x14ac:dyDescent="0.25">
      <c r="A11797" s="17"/>
    </row>
    <row r="11798" spans="1:1" x14ac:dyDescent="0.25">
      <c r="A11798" s="17"/>
    </row>
    <row r="11799" spans="1:1" x14ac:dyDescent="0.25">
      <c r="A11799" s="17"/>
    </row>
    <row r="11800" spans="1:1" x14ac:dyDescent="0.25">
      <c r="A11800" s="17"/>
    </row>
    <row r="11801" spans="1:1" x14ac:dyDescent="0.25">
      <c r="A11801" s="17"/>
    </row>
    <row r="11802" spans="1:1" x14ac:dyDescent="0.25">
      <c r="A11802" s="17"/>
    </row>
    <row r="11803" spans="1:1" x14ac:dyDescent="0.25">
      <c r="A11803" s="17"/>
    </row>
    <row r="11804" spans="1:1" x14ac:dyDescent="0.25">
      <c r="A11804" s="17"/>
    </row>
    <row r="11805" spans="1:1" x14ac:dyDescent="0.25">
      <c r="A11805" s="17"/>
    </row>
    <row r="11806" spans="1:1" x14ac:dyDescent="0.25">
      <c r="A11806" s="17"/>
    </row>
    <row r="11807" spans="1:1" x14ac:dyDescent="0.25">
      <c r="A11807" s="17"/>
    </row>
    <row r="11808" spans="1:1" x14ac:dyDescent="0.25">
      <c r="A11808" s="17"/>
    </row>
    <row r="11809" spans="1:1" x14ac:dyDescent="0.25">
      <c r="A11809" s="17"/>
    </row>
    <row r="11810" spans="1:1" x14ac:dyDescent="0.25">
      <c r="A11810" s="17"/>
    </row>
    <row r="11811" spans="1:1" x14ac:dyDescent="0.25">
      <c r="A11811" s="17"/>
    </row>
    <row r="11812" spans="1:1" x14ac:dyDescent="0.25">
      <c r="A11812" s="17"/>
    </row>
    <row r="11813" spans="1:1" x14ac:dyDescent="0.25">
      <c r="A11813" s="17"/>
    </row>
    <row r="11814" spans="1:1" x14ac:dyDescent="0.25">
      <c r="A11814" s="17"/>
    </row>
    <row r="11815" spans="1:1" x14ac:dyDescent="0.25">
      <c r="A11815" s="17"/>
    </row>
    <row r="11816" spans="1:1" x14ac:dyDescent="0.25">
      <c r="A11816" s="17"/>
    </row>
    <row r="11817" spans="1:1" x14ac:dyDescent="0.25">
      <c r="A11817" s="17"/>
    </row>
    <row r="11818" spans="1:1" x14ac:dyDescent="0.25">
      <c r="A11818" s="17"/>
    </row>
    <row r="11819" spans="1:1" x14ac:dyDescent="0.25">
      <c r="A11819" s="17"/>
    </row>
    <row r="11820" spans="1:1" x14ac:dyDescent="0.25">
      <c r="A11820" s="17"/>
    </row>
    <row r="11821" spans="1:1" x14ac:dyDescent="0.25">
      <c r="A11821" s="17"/>
    </row>
    <row r="11822" spans="1:1" x14ac:dyDescent="0.25">
      <c r="A11822" s="17"/>
    </row>
    <row r="11823" spans="1:1" x14ac:dyDescent="0.25">
      <c r="A11823" s="17"/>
    </row>
    <row r="11824" spans="1:1" x14ac:dyDescent="0.25">
      <c r="A11824" s="17"/>
    </row>
    <row r="11825" spans="1:1" x14ac:dyDescent="0.25">
      <c r="A11825" s="17"/>
    </row>
    <row r="11826" spans="1:1" x14ac:dyDescent="0.25">
      <c r="A11826" s="17"/>
    </row>
    <row r="11827" spans="1:1" x14ac:dyDescent="0.25">
      <c r="A11827" s="17"/>
    </row>
    <row r="11828" spans="1:1" x14ac:dyDescent="0.25">
      <c r="A11828" s="17"/>
    </row>
    <row r="11829" spans="1:1" x14ac:dyDescent="0.25">
      <c r="A11829" s="17"/>
    </row>
    <row r="11830" spans="1:1" x14ac:dyDescent="0.25">
      <c r="A11830" s="17"/>
    </row>
    <row r="11831" spans="1:1" x14ac:dyDescent="0.25">
      <c r="A11831" s="17"/>
    </row>
    <row r="11832" spans="1:1" x14ac:dyDescent="0.25">
      <c r="A11832" s="17"/>
    </row>
    <row r="11833" spans="1:1" x14ac:dyDescent="0.25">
      <c r="A11833" s="17"/>
    </row>
    <row r="11834" spans="1:1" x14ac:dyDescent="0.25">
      <c r="A11834" s="17"/>
    </row>
    <row r="11835" spans="1:1" x14ac:dyDescent="0.25">
      <c r="A11835" s="17"/>
    </row>
    <row r="11836" spans="1:1" x14ac:dyDescent="0.25">
      <c r="A11836" s="17"/>
    </row>
    <row r="11837" spans="1:1" x14ac:dyDescent="0.25">
      <c r="A11837" s="17"/>
    </row>
    <row r="11838" spans="1:1" x14ac:dyDescent="0.25">
      <c r="A11838" s="17"/>
    </row>
    <row r="11839" spans="1:1" x14ac:dyDescent="0.25">
      <c r="A11839" s="17"/>
    </row>
    <row r="11840" spans="1:1" x14ac:dyDescent="0.25">
      <c r="A11840" s="17"/>
    </row>
    <row r="11841" spans="1:1" x14ac:dyDescent="0.25">
      <c r="A11841" s="17"/>
    </row>
    <row r="11842" spans="1:1" x14ac:dyDescent="0.25">
      <c r="A11842" s="17"/>
    </row>
    <row r="11843" spans="1:1" x14ac:dyDescent="0.25">
      <c r="A11843" s="17"/>
    </row>
    <row r="11844" spans="1:1" x14ac:dyDescent="0.25">
      <c r="A11844" s="17"/>
    </row>
    <row r="11845" spans="1:1" x14ac:dyDescent="0.25">
      <c r="A11845" s="17"/>
    </row>
    <row r="11846" spans="1:1" x14ac:dyDescent="0.25">
      <c r="A11846" s="17"/>
    </row>
    <row r="11847" spans="1:1" x14ac:dyDescent="0.25">
      <c r="A11847" s="17"/>
    </row>
    <row r="11848" spans="1:1" x14ac:dyDescent="0.25">
      <c r="A11848" s="17"/>
    </row>
    <row r="11849" spans="1:1" x14ac:dyDescent="0.25">
      <c r="A11849" s="17"/>
    </row>
    <row r="11850" spans="1:1" x14ac:dyDescent="0.25">
      <c r="A11850" s="17"/>
    </row>
    <row r="11851" spans="1:1" x14ac:dyDescent="0.25">
      <c r="A11851" s="17"/>
    </row>
    <row r="11852" spans="1:1" x14ac:dyDescent="0.25">
      <c r="A11852" s="17"/>
    </row>
    <row r="11853" spans="1:1" x14ac:dyDescent="0.25">
      <c r="A11853" s="17"/>
    </row>
    <row r="11854" spans="1:1" x14ac:dyDescent="0.25">
      <c r="A11854" s="17"/>
    </row>
    <row r="11855" spans="1:1" x14ac:dyDescent="0.25">
      <c r="A11855" s="17"/>
    </row>
    <row r="11856" spans="1:1" x14ac:dyDescent="0.25">
      <c r="A11856" s="17"/>
    </row>
    <row r="11857" spans="1:1" x14ac:dyDescent="0.25">
      <c r="A11857" s="17"/>
    </row>
    <row r="11858" spans="1:1" x14ac:dyDescent="0.25">
      <c r="A11858" s="17"/>
    </row>
    <row r="11859" spans="1:1" x14ac:dyDescent="0.25">
      <c r="A11859" s="17"/>
    </row>
    <row r="11860" spans="1:1" x14ac:dyDescent="0.25">
      <c r="A11860" s="17"/>
    </row>
    <row r="11861" spans="1:1" x14ac:dyDescent="0.25">
      <c r="A11861" s="17"/>
    </row>
    <row r="11862" spans="1:1" x14ac:dyDescent="0.25">
      <c r="A11862" s="17"/>
    </row>
    <row r="11863" spans="1:1" x14ac:dyDescent="0.25">
      <c r="A11863" s="17"/>
    </row>
    <row r="11864" spans="1:1" x14ac:dyDescent="0.25">
      <c r="A11864" s="17"/>
    </row>
    <row r="11865" spans="1:1" x14ac:dyDescent="0.25">
      <c r="A11865" s="17"/>
    </row>
    <row r="11866" spans="1:1" x14ac:dyDescent="0.25">
      <c r="A11866" s="17"/>
    </row>
    <row r="11867" spans="1:1" x14ac:dyDescent="0.25">
      <c r="A11867" s="17"/>
    </row>
    <row r="11868" spans="1:1" x14ac:dyDescent="0.25">
      <c r="A11868" s="17"/>
    </row>
    <row r="11869" spans="1:1" x14ac:dyDescent="0.25">
      <c r="A11869" s="17"/>
    </row>
    <row r="11870" spans="1:1" x14ac:dyDescent="0.25">
      <c r="A11870" s="17"/>
    </row>
    <row r="11871" spans="1:1" x14ac:dyDescent="0.25">
      <c r="A11871" s="17"/>
    </row>
    <row r="11872" spans="1:1" x14ac:dyDescent="0.25">
      <c r="A11872" s="17"/>
    </row>
    <row r="11873" spans="1:1" x14ac:dyDescent="0.25">
      <c r="A11873" s="17"/>
    </row>
    <row r="11874" spans="1:1" x14ac:dyDescent="0.25">
      <c r="A11874" s="17"/>
    </row>
    <row r="11875" spans="1:1" x14ac:dyDescent="0.25">
      <c r="A11875" s="17"/>
    </row>
    <row r="11876" spans="1:1" x14ac:dyDescent="0.25">
      <c r="A11876" s="17"/>
    </row>
    <row r="11877" spans="1:1" x14ac:dyDescent="0.25">
      <c r="A11877" s="17"/>
    </row>
    <row r="11878" spans="1:1" x14ac:dyDescent="0.25">
      <c r="A11878" s="17"/>
    </row>
    <row r="11879" spans="1:1" x14ac:dyDescent="0.25">
      <c r="A11879" s="17"/>
    </row>
    <row r="11880" spans="1:1" x14ac:dyDescent="0.25">
      <c r="A11880" s="17"/>
    </row>
    <row r="11881" spans="1:1" x14ac:dyDescent="0.25">
      <c r="A11881" s="17"/>
    </row>
    <row r="11882" spans="1:1" x14ac:dyDescent="0.25">
      <c r="A11882" s="17"/>
    </row>
    <row r="11883" spans="1:1" x14ac:dyDescent="0.25">
      <c r="A11883" s="17"/>
    </row>
    <row r="11884" spans="1:1" x14ac:dyDescent="0.25">
      <c r="A11884" s="17"/>
    </row>
    <row r="11885" spans="1:1" x14ac:dyDescent="0.25">
      <c r="A11885" s="17"/>
    </row>
    <row r="11886" spans="1:1" x14ac:dyDescent="0.25">
      <c r="A11886" s="17"/>
    </row>
    <row r="11887" spans="1:1" x14ac:dyDescent="0.25">
      <c r="A11887" s="17"/>
    </row>
    <row r="11888" spans="1:1" x14ac:dyDescent="0.25">
      <c r="A11888" s="17"/>
    </row>
    <row r="11889" spans="1:1" x14ac:dyDescent="0.25">
      <c r="A11889" s="17"/>
    </row>
    <row r="11890" spans="1:1" x14ac:dyDescent="0.25">
      <c r="A11890" s="17"/>
    </row>
    <row r="11891" spans="1:1" x14ac:dyDescent="0.25">
      <c r="A11891" s="17"/>
    </row>
    <row r="11892" spans="1:1" x14ac:dyDescent="0.25">
      <c r="A11892" s="17"/>
    </row>
    <row r="11893" spans="1:1" x14ac:dyDescent="0.25">
      <c r="A11893" s="17"/>
    </row>
    <row r="11894" spans="1:1" x14ac:dyDescent="0.25">
      <c r="A11894" s="17"/>
    </row>
    <row r="11895" spans="1:1" x14ac:dyDescent="0.25">
      <c r="A11895" s="17"/>
    </row>
    <row r="11896" spans="1:1" x14ac:dyDescent="0.25">
      <c r="A11896" s="17"/>
    </row>
    <row r="11897" spans="1:1" x14ac:dyDescent="0.25">
      <c r="A11897" s="17"/>
    </row>
    <row r="11898" spans="1:1" x14ac:dyDescent="0.25">
      <c r="A11898" s="17"/>
    </row>
    <row r="11899" spans="1:1" x14ac:dyDescent="0.25">
      <c r="A11899" s="17"/>
    </row>
    <row r="11900" spans="1:1" x14ac:dyDescent="0.25">
      <c r="A11900" s="17"/>
    </row>
    <row r="11901" spans="1:1" x14ac:dyDescent="0.25">
      <c r="A11901" s="17"/>
    </row>
    <row r="11902" spans="1:1" x14ac:dyDescent="0.25">
      <c r="A11902" s="17"/>
    </row>
    <row r="11903" spans="1:1" x14ac:dyDescent="0.25">
      <c r="A11903" s="17"/>
    </row>
    <row r="11904" spans="1:1" x14ac:dyDescent="0.25">
      <c r="A11904" s="17"/>
    </row>
    <row r="11905" spans="1:1" x14ac:dyDescent="0.25">
      <c r="A11905" s="17"/>
    </row>
    <row r="11906" spans="1:1" x14ac:dyDescent="0.25">
      <c r="A11906" s="17"/>
    </row>
    <row r="11907" spans="1:1" x14ac:dyDescent="0.25">
      <c r="A11907" s="17"/>
    </row>
    <row r="11908" spans="1:1" x14ac:dyDescent="0.25">
      <c r="A11908" s="17"/>
    </row>
    <row r="11909" spans="1:1" x14ac:dyDescent="0.25">
      <c r="A11909" s="17"/>
    </row>
    <row r="11910" spans="1:1" x14ac:dyDescent="0.25">
      <c r="A11910" s="17"/>
    </row>
    <row r="11911" spans="1:1" x14ac:dyDescent="0.25">
      <c r="A11911" s="17"/>
    </row>
    <row r="11912" spans="1:1" x14ac:dyDescent="0.25">
      <c r="A11912" s="17"/>
    </row>
    <row r="11913" spans="1:1" x14ac:dyDescent="0.25">
      <c r="A11913" s="17"/>
    </row>
    <row r="11914" spans="1:1" x14ac:dyDescent="0.25">
      <c r="A11914" s="17"/>
    </row>
    <row r="11915" spans="1:1" x14ac:dyDescent="0.25">
      <c r="A11915" s="17"/>
    </row>
    <row r="11916" spans="1:1" x14ac:dyDescent="0.25">
      <c r="A11916" s="17"/>
    </row>
    <row r="11917" spans="1:1" x14ac:dyDescent="0.25">
      <c r="A11917" s="17"/>
    </row>
    <row r="11918" spans="1:1" x14ac:dyDescent="0.25">
      <c r="A11918" s="17"/>
    </row>
    <row r="11919" spans="1:1" x14ac:dyDescent="0.25">
      <c r="A11919" s="17"/>
    </row>
    <row r="11920" spans="1:1" x14ac:dyDescent="0.25">
      <c r="A11920" s="17"/>
    </row>
    <row r="11921" spans="1:1" x14ac:dyDescent="0.25">
      <c r="A11921" s="17"/>
    </row>
    <row r="11922" spans="1:1" x14ac:dyDescent="0.25">
      <c r="A11922" s="17"/>
    </row>
    <row r="11923" spans="1:1" x14ac:dyDescent="0.25">
      <c r="A11923" s="17"/>
    </row>
    <row r="11924" spans="1:1" x14ac:dyDescent="0.25">
      <c r="A11924" s="17"/>
    </row>
    <row r="11925" spans="1:1" x14ac:dyDescent="0.25">
      <c r="A11925" s="17"/>
    </row>
    <row r="11926" spans="1:1" x14ac:dyDescent="0.25">
      <c r="A11926" s="17"/>
    </row>
    <row r="11927" spans="1:1" x14ac:dyDescent="0.25">
      <c r="A11927" s="17"/>
    </row>
    <row r="11928" spans="1:1" x14ac:dyDescent="0.25">
      <c r="A11928" s="17"/>
    </row>
    <row r="11929" spans="1:1" x14ac:dyDescent="0.25">
      <c r="A11929" s="17"/>
    </row>
    <row r="11930" spans="1:1" x14ac:dyDescent="0.25">
      <c r="A11930" s="17"/>
    </row>
    <row r="11931" spans="1:1" x14ac:dyDescent="0.25">
      <c r="A11931" s="17"/>
    </row>
    <row r="11932" spans="1:1" x14ac:dyDescent="0.25">
      <c r="A11932" s="17"/>
    </row>
    <row r="11933" spans="1:1" x14ac:dyDescent="0.25">
      <c r="A11933" s="17"/>
    </row>
    <row r="11934" spans="1:1" x14ac:dyDescent="0.25">
      <c r="A11934" s="17"/>
    </row>
    <row r="11935" spans="1:1" x14ac:dyDescent="0.25">
      <c r="A11935" s="17"/>
    </row>
    <row r="11936" spans="1:1" x14ac:dyDescent="0.25">
      <c r="A11936" s="17"/>
    </row>
    <row r="11937" spans="1:1" x14ac:dyDescent="0.25">
      <c r="A11937" s="17"/>
    </row>
    <row r="11938" spans="1:1" x14ac:dyDescent="0.25">
      <c r="A11938" s="17"/>
    </row>
    <row r="11939" spans="1:1" x14ac:dyDescent="0.25">
      <c r="A11939" s="17"/>
    </row>
    <row r="11940" spans="1:1" x14ac:dyDescent="0.25">
      <c r="A11940" s="17"/>
    </row>
    <row r="11941" spans="1:1" x14ac:dyDescent="0.25">
      <c r="A11941" s="17"/>
    </row>
    <row r="11942" spans="1:1" x14ac:dyDescent="0.25">
      <c r="A11942" s="17"/>
    </row>
    <row r="11943" spans="1:1" x14ac:dyDescent="0.25">
      <c r="A11943" s="17"/>
    </row>
    <row r="11944" spans="1:1" x14ac:dyDescent="0.25">
      <c r="A11944" s="17"/>
    </row>
    <row r="11945" spans="1:1" x14ac:dyDescent="0.25">
      <c r="A11945" s="17"/>
    </row>
    <row r="11946" spans="1:1" x14ac:dyDescent="0.25">
      <c r="A11946" s="17"/>
    </row>
    <row r="11947" spans="1:1" x14ac:dyDescent="0.25">
      <c r="A11947" s="17"/>
    </row>
    <row r="11948" spans="1:1" x14ac:dyDescent="0.25">
      <c r="A11948" s="17"/>
    </row>
    <row r="11949" spans="1:1" x14ac:dyDescent="0.25">
      <c r="A11949" s="17"/>
    </row>
    <row r="11950" spans="1:1" x14ac:dyDescent="0.25">
      <c r="A11950" s="17"/>
    </row>
    <row r="11951" spans="1:1" x14ac:dyDescent="0.25">
      <c r="A11951" s="17"/>
    </row>
    <row r="11952" spans="1:1" x14ac:dyDescent="0.25">
      <c r="A11952" s="17"/>
    </row>
    <row r="11953" spans="1:1" x14ac:dyDescent="0.25">
      <c r="A11953" s="17"/>
    </row>
    <row r="11954" spans="1:1" x14ac:dyDescent="0.25">
      <c r="A11954" s="17"/>
    </row>
    <row r="11955" spans="1:1" x14ac:dyDescent="0.25">
      <c r="A11955" s="17"/>
    </row>
    <row r="11956" spans="1:1" x14ac:dyDescent="0.25">
      <c r="A11956" s="17"/>
    </row>
    <row r="11957" spans="1:1" x14ac:dyDescent="0.25">
      <c r="A11957" s="17"/>
    </row>
    <row r="11958" spans="1:1" x14ac:dyDescent="0.25">
      <c r="A11958" s="17"/>
    </row>
    <row r="11959" spans="1:1" x14ac:dyDescent="0.25">
      <c r="A11959" s="17"/>
    </row>
    <row r="11960" spans="1:1" x14ac:dyDescent="0.25">
      <c r="A11960" s="17"/>
    </row>
    <row r="11961" spans="1:1" x14ac:dyDescent="0.25">
      <c r="A11961" s="17"/>
    </row>
    <row r="11962" spans="1:1" x14ac:dyDescent="0.25">
      <c r="A11962" s="17"/>
    </row>
    <row r="11963" spans="1:1" x14ac:dyDescent="0.25">
      <c r="A11963" s="17"/>
    </row>
    <row r="11964" spans="1:1" x14ac:dyDescent="0.25">
      <c r="A11964" s="17"/>
    </row>
    <row r="11965" spans="1:1" x14ac:dyDescent="0.25">
      <c r="A11965" s="17"/>
    </row>
    <row r="11966" spans="1:1" x14ac:dyDescent="0.25">
      <c r="A11966" s="17"/>
    </row>
    <row r="11967" spans="1:1" x14ac:dyDescent="0.25">
      <c r="A11967" s="17"/>
    </row>
    <row r="11968" spans="1:1" x14ac:dyDescent="0.25">
      <c r="A11968" s="17"/>
    </row>
    <row r="11969" spans="1:1" x14ac:dyDescent="0.25">
      <c r="A11969" s="17"/>
    </row>
    <row r="11970" spans="1:1" x14ac:dyDescent="0.25">
      <c r="A11970" s="17"/>
    </row>
    <row r="11971" spans="1:1" x14ac:dyDescent="0.25">
      <c r="A11971" s="17"/>
    </row>
    <row r="11972" spans="1:1" x14ac:dyDescent="0.25">
      <c r="A11972" s="17"/>
    </row>
    <row r="11973" spans="1:1" x14ac:dyDescent="0.25">
      <c r="A11973" s="17"/>
    </row>
    <row r="11974" spans="1:1" x14ac:dyDescent="0.25">
      <c r="A11974" s="17"/>
    </row>
    <row r="11975" spans="1:1" x14ac:dyDescent="0.25">
      <c r="A11975" s="17"/>
    </row>
    <row r="11976" spans="1:1" x14ac:dyDescent="0.25">
      <c r="A11976" s="17"/>
    </row>
    <row r="11977" spans="1:1" x14ac:dyDescent="0.25">
      <c r="A11977" s="17"/>
    </row>
    <row r="11978" spans="1:1" x14ac:dyDescent="0.25">
      <c r="A11978" s="17"/>
    </row>
    <row r="11979" spans="1:1" x14ac:dyDescent="0.25">
      <c r="A11979" s="17"/>
    </row>
    <row r="11980" spans="1:1" x14ac:dyDescent="0.25">
      <c r="A11980" s="17"/>
    </row>
    <row r="11981" spans="1:1" x14ac:dyDescent="0.25">
      <c r="A11981" s="17"/>
    </row>
    <row r="11982" spans="1:1" x14ac:dyDescent="0.25">
      <c r="A11982" s="17"/>
    </row>
    <row r="11983" spans="1:1" x14ac:dyDescent="0.25">
      <c r="A11983" s="17"/>
    </row>
    <row r="11984" spans="1:1" x14ac:dyDescent="0.25">
      <c r="A11984" s="17"/>
    </row>
    <row r="11985" spans="1:1" x14ac:dyDescent="0.25">
      <c r="A11985" s="17"/>
    </row>
    <row r="11986" spans="1:1" x14ac:dyDescent="0.25">
      <c r="A11986" s="17"/>
    </row>
    <row r="11987" spans="1:1" x14ac:dyDescent="0.25">
      <c r="A11987" s="17"/>
    </row>
    <row r="11988" spans="1:1" x14ac:dyDescent="0.25">
      <c r="A11988" s="17"/>
    </row>
    <row r="11989" spans="1:1" x14ac:dyDescent="0.25">
      <c r="A11989" s="17"/>
    </row>
    <row r="11990" spans="1:1" x14ac:dyDescent="0.25">
      <c r="A11990" s="17"/>
    </row>
    <row r="11991" spans="1:1" x14ac:dyDescent="0.25">
      <c r="A11991" s="17"/>
    </row>
    <row r="11992" spans="1:1" x14ac:dyDescent="0.25">
      <c r="A11992" s="17"/>
    </row>
    <row r="11993" spans="1:1" x14ac:dyDescent="0.25">
      <c r="A11993" s="17"/>
    </row>
    <row r="11994" spans="1:1" x14ac:dyDescent="0.25">
      <c r="A11994" s="17"/>
    </row>
    <row r="11995" spans="1:1" x14ac:dyDescent="0.25">
      <c r="A11995" s="17"/>
    </row>
    <row r="11996" spans="1:1" x14ac:dyDescent="0.25">
      <c r="A11996" s="17"/>
    </row>
    <row r="11997" spans="1:1" x14ac:dyDescent="0.25">
      <c r="A11997" s="17"/>
    </row>
    <row r="11998" spans="1:1" x14ac:dyDescent="0.25">
      <c r="A11998" s="17"/>
    </row>
    <row r="11999" spans="1:1" x14ac:dyDescent="0.25">
      <c r="A11999" s="17"/>
    </row>
    <row r="12000" spans="1:1" x14ac:dyDescent="0.25">
      <c r="A12000" s="17"/>
    </row>
    <row r="12001" spans="1:1" x14ac:dyDescent="0.25">
      <c r="A12001" s="17"/>
    </row>
    <row r="12002" spans="1:1" x14ac:dyDescent="0.25">
      <c r="A12002" s="17"/>
    </row>
    <row r="12003" spans="1:1" x14ac:dyDescent="0.25">
      <c r="A12003" s="17"/>
    </row>
    <row r="12004" spans="1:1" x14ac:dyDescent="0.25">
      <c r="A12004" s="17"/>
    </row>
    <row r="12005" spans="1:1" x14ac:dyDescent="0.25">
      <c r="A12005" s="17"/>
    </row>
    <row r="12006" spans="1:1" x14ac:dyDescent="0.25">
      <c r="A12006" s="17"/>
    </row>
    <row r="12007" spans="1:1" x14ac:dyDescent="0.25">
      <c r="A12007" s="17"/>
    </row>
    <row r="12008" spans="1:1" x14ac:dyDescent="0.25">
      <c r="A12008" s="17"/>
    </row>
    <row r="12009" spans="1:1" x14ac:dyDescent="0.25">
      <c r="A12009" s="17"/>
    </row>
    <row r="12010" spans="1:1" x14ac:dyDescent="0.25">
      <c r="A12010" s="17"/>
    </row>
    <row r="12011" spans="1:1" x14ac:dyDescent="0.25">
      <c r="A12011" s="17"/>
    </row>
    <row r="12012" spans="1:1" x14ac:dyDescent="0.25">
      <c r="A12012" s="17"/>
    </row>
    <row r="12013" spans="1:1" x14ac:dyDescent="0.25">
      <c r="A12013" s="17"/>
    </row>
    <row r="12014" spans="1:1" x14ac:dyDescent="0.25">
      <c r="A12014" s="17"/>
    </row>
    <row r="12015" spans="1:1" x14ac:dyDescent="0.25">
      <c r="A12015" s="17"/>
    </row>
    <row r="12016" spans="1:1" x14ac:dyDescent="0.25">
      <c r="A12016" s="17"/>
    </row>
    <row r="12017" spans="1:1" x14ac:dyDescent="0.25">
      <c r="A12017" s="17"/>
    </row>
    <row r="12018" spans="1:1" x14ac:dyDescent="0.25">
      <c r="A12018" s="17"/>
    </row>
    <row r="12019" spans="1:1" x14ac:dyDescent="0.25">
      <c r="A12019" s="17"/>
    </row>
    <row r="12020" spans="1:1" x14ac:dyDescent="0.25">
      <c r="A12020" s="17"/>
    </row>
    <row r="12021" spans="1:1" x14ac:dyDescent="0.25">
      <c r="A12021" s="17"/>
    </row>
    <row r="12022" spans="1:1" x14ac:dyDescent="0.25">
      <c r="A12022" s="17"/>
    </row>
    <row r="12023" spans="1:1" x14ac:dyDescent="0.25">
      <c r="A12023" s="17"/>
    </row>
    <row r="12024" spans="1:1" x14ac:dyDescent="0.25">
      <c r="A12024" s="17"/>
    </row>
    <row r="12025" spans="1:1" x14ac:dyDescent="0.25">
      <c r="A12025" s="17"/>
    </row>
    <row r="12026" spans="1:1" x14ac:dyDescent="0.25">
      <c r="A12026" s="17"/>
    </row>
    <row r="12027" spans="1:1" x14ac:dyDescent="0.25">
      <c r="A12027" s="17"/>
    </row>
    <row r="12028" spans="1:1" x14ac:dyDescent="0.25">
      <c r="A12028" s="17"/>
    </row>
    <row r="12029" spans="1:1" x14ac:dyDescent="0.25">
      <c r="A12029" s="17"/>
    </row>
    <row r="12030" spans="1:1" x14ac:dyDescent="0.25">
      <c r="A12030" s="17"/>
    </row>
    <row r="12031" spans="1:1" x14ac:dyDescent="0.25">
      <c r="A12031" s="17"/>
    </row>
    <row r="12032" spans="1:1" x14ac:dyDescent="0.25">
      <c r="A12032" s="17"/>
    </row>
    <row r="12033" spans="1:1" x14ac:dyDescent="0.25">
      <c r="A12033" s="17"/>
    </row>
    <row r="12034" spans="1:1" x14ac:dyDescent="0.25">
      <c r="A12034" s="17"/>
    </row>
    <row r="12035" spans="1:1" x14ac:dyDescent="0.25">
      <c r="A12035" s="17"/>
    </row>
    <row r="12036" spans="1:1" x14ac:dyDescent="0.25">
      <c r="A12036" s="17"/>
    </row>
    <row r="12037" spans="1:1" x14ac:dyDescent="0.25">
      <c r="A12037" s="17"/>
    </row>
    <row r="12038" spans="1:1" x14ac:dyDescent="0.25">
      <c r="A12038" s="17"/>
    </row>
    <row r="12039" spans="1:1" x14ac:dyDescent="0.25">
      <c r="A12039" s="17"/>
    </row>
    <row r="12040" spans="1:1" x14ac:dyDescent="0.25">
      <c r="A12040" s="17"/>
    </row>
    <row r="12041" spans="1:1" x14ac:dyDescent="0.25">
      <c r="A12041" s="17"/>
    </row>
    <row r="12042" spans="1:1" x14ac:dyDescent="0.25">
      <c r="A12042" s="17"/>
    </row>
    <row r="12043" spans="1:1" x14ac:dyDescent="0.25">
      <c r="A12043" s="17"/>
    </row>
    <row r="12044" spans="1:1" x14ac:dyDescent="0.25">
      <c r="A12044" s="17"/>
    </row>
    <row r="12045" spans="1:1" x14ac:dyDescent="0.25">
      <c r="A12045" s="17"/>
    </row>
    <row r="12046" spans="1:1" x14ac:dyDescent="0.25">
      <c r="A12046" s="17"/>
    </row>
    <row r="12047" spans="1:1" x14ac:dyDescent="0.25">
      <c r="A12047" s="17"/>
    </row>
    <row r="12048" spans="1:1" x14ac:dyDescent="0.25">
      <c r="A12048" s="17"/>
    </row>
    <row r="12049" spans="1:1" x14ac:dyDescent="0.25">
      <c r="A12049" s="17"/>
    </row>
    <row r="12050" spans="1:1" x14ac:dyDescent="0.25">
      <c r="A12050" s="17"/>
    </row>
    <row r="12051" spans="1:1" x14ac:dyDescent="0.25">
      <c r="A12051" s="17"/>
    </row>
    <row r="12052" spans="1:1" x14ac:dyDescent="0.25">
      <c r="A12052" s="17"/>
    </row>
    <row r="12053" spans="1:1" x14ac:dyDescent="0.25">
      <c r="A12053" s="17"/>
    </row>
    <row r="12054" spans="1:1" x14ac:dyDescent="0.25">
      <c r="A12054" s="17"/>
    </row>
    <row r="12055" spans="1:1" x14ac:dyDescent="0.25">
      <c r="A12055" s="17"/>
    </row>
    <row r="12056" spans="1:1" x14ac:dyDescent="0.25">
      <c r="A12056" s="17"/>
    </row>
    <row r="12057" spans="1:1" x14ac:dyDescent="0.25">
      <c r="A12057" s="17"/>
    </row>
    <row r="12058" spans="1:1" x14ac:dyDescent="0.25">
      <c r="A12058" s="17"/>
    </row>
    <row r="12059" spans="1:1" x14ac:dyDescent="0.25">
      <c r="A12059" s="17"/>
    </row>
    <row r="12060" spans="1:1" x14ac:dyDescent="0.25">
      <c r="A12060" s="17"/>
    </row>
    <row r="12061" spans="1:1" x14ac:dyDescent="0.25">
      <c r="A12061" s="17"/>
    </row>
    <row r="12062" spans="1:1" x14ac:dyDescent="0.25">
      <c r="A12062" s="17"/>
    </row>
    <row r="12063" spans="1:1" x14ac:dyDescent="0.25">
      <c r="A12063" s="17"/>
    </row>
    <row r="12064" spans="1:1" x14ac:dyDescent="0.25">
      <c r="A12064" s="17"/>
    </row>
    <row r="12065" spans="1:1" x14ac:dyDescent="0.25">
      <c r="A12065" s="17"/>
    </row>
    <row r="12066" spans="1:1" x14ac:dyDescent="0.25">
      <c r="A12066" s="17"/>
    </row>
    <row r="12067" spans="1:1" x14ac:dyDescent="0.25">
      <c r="A12067" s="17"/>
    </row>
    <row r="12068" spans="1:1" x14ac:dyDescent="0.25">
      <c r="A12068" s="17"/>
    </row>
    <row r="12069" spans="1:1" x14ac:dyDescent="0.25">
      <c r="A12069" s="17"/>
    </row>
    <row r="12070" spans="1:1" x14ac:dyDescent="0.25">
      <c r="A12070" s="17"/>
    </row>
    <row r="12071" spans="1:1" x14ac:dyDescent="0.25">
      <c r="A12071" s="17"/>
    </row>
    <row r="12072" spans="1:1" x14ac:dyDescent="0.25">
      <c r="A12072" s="17"/>
    </row>
    <row r="12073" spans="1:1" x14ac:dyDescent="0.25">
      <c r="A12073" s="17"/>
    </row>
    <row r="12074" spans="1:1" x14ac:dyDescent="0.25">
      <c r="A12074" s="17"/>
    </row>
    <row r="12075" spans="1:1" x14ac:dyDescent="0.25">
      <c r="A12075" s="17"/>
    </row>
    <row r="12076" spans="1:1" x14ac:dyDescent="0.25">
      <c r="A12076" s="17"/>
    </row>
    <row r="12077" spans="1:1" x14ac:dyDescent="0.25">
      <c r="A12077" s="17"/>
    </row>
    <row r="12078" spans="1:1" x14ac:dyDescent="0.25">
      <c r="A12078" s="17"/>
    </row>
    <row r="12079" spans="1:1" x14ac:dyDescent="0.25">
      <c r="A12079" s="17"/>
    </row>
    <row r="12080" spans="1:1" x14ac:dyDescent="0.25">
      <c r="A12080" s="17"/>
    </row>
    <row r="12081" spans="1:1" x14ac:dyDescent="0.25">
      <c r="A12081" s="17"/>
    </row>
    <row r="12082" spans="1:1" x14ac:dyDescent="0.25">
      <c r="A12082" s="17"/>
    </row>
    <row r="12083" spans="1:1" x14ac:dyDescent="0.25">
      <c r="A12083" s="17"/>
    </row>
    <row r="12084" spans="1:1" x14ac:dyDescent="0.25">
      <c r="A12084" s="17"/>
    </row>
    <row r="12085" spans="1:1" x14ac:dyDescent="0.25">
      <c r="A12085" s="17"/>
    </row>
    <row r="12086" spans="1:1" x14ac:dyDescent="0.25">
      <c r="A12086" s="17"/>
    </row>
    <row r="12087" spans="1:1" x14ac:dyDescent="0.25">
      <c r="A12087" s="17"/>
    </row>
    <row r="12088" spans="1:1" x14ac:dyDescent="0.25">
      <c r="A12088" s="17"/>
    </row>
    <row r="12089" spans="1:1" x14ac:dyDescent="0.25">
      <c r="A12089" s="17"/>
    </row>
    <row r="12090" spans="1:1" x14ac:dyDescent="0.25">
      <c r="A12090" s="17"/>
    </row>
    <row r="12091" spans="1:1" x14ac:dyDescent="0.25">
      <c r="A12091" s="17"/>
    </row>
    <row r="12092" spans="1:1" x14ac:dyDescent="0.25">
      <c r="A12092" s="17"/>
    </row>
    <row r="12093" spans="1:1" x14ac:dyDescent="0.25">
      <c r="A12093" s="17"/>
    </row>
    <row r="12094" spans="1:1" x14ac:dyDescent="0.25">
      <c r="A12094" s="17"/>
    </row>
    <row r="12095" spans="1:1" x14ac:dyDescent="0.25">
      <c r="A12095" s="17"/>
    </row>
    <row r="12096" spans="1:1" x14ac:dyDescent="0.25">
      <c r="A12096" s="17"/>
    </row>
    <row r="12097" spans="1:1" x14ac:dyDescent="0.25">
      <c r="A12097" s="17"/>
    </row>
    <row r="12098" spans="1:1" x14ac:dyDescent="0.25">
      <c r="A12098" s="17"/>
    </row>
    <row r="12099" spans="1:1" x14ac:dyDescent="0.25">
      <c r="A12099" s="17"/>
    </row>
    <row r="12100" spans="1:1" x14ac:dyDescent="0.25">
      <c r="A12100" s="17"/>
    </row>
    <row r="12101" spans="1:1" x14ac:dyDescent="0.25">
      <c r="A12101" s="17"/>
    </row>
    <row r="12102" spans="1:1" x14ac:dyDescent="0.25">
      <c r="A12102" s="17"/>
    </row>
    <row r="12103" spans="1:1" x14ac:dyDescent="0.25">
      <c r="A12103" s="17"/>
    </row>
    <row r="12104" spans="1:1" x14ac:dyDescent="0.25">
      <c r="A12104" s="17"/>
    </row>
    <row r="12105" spans="1:1" x14ac:dyDescent="0.25">
      <c r="A12105" s="17"/>
    </row>
    <row r="12106" spans="1:1" x14ac:dyDescent="0.25">
      <c r="A12106" s="17"/>
    </row>
    <row r="12107" spans="1:1" x14ac:dyDescent="0.25">
      <c r="A12107" s="17"/>
    </row>
    <row r="12108" spans="1:1" x14ac:dyDescent="0.25">
      <c r="A12108" s="17"/>
    </row>
    <row r="12109" spans="1:1" x14ac:dyDescent="0.25">
      <c r="A12109" s="17"/>
    </row>
    <row r="12110" spans="1:1" x14ac:dyDescent="0.25">
      <c r="A12110" s="17"/>
    </row>
    <row r="12111" spans="1:1" x14ac:dyDescent="0.25">
      <c r="A12111" s="17"/>
    </row>
    <row r="12112" spans="1:1" x14ac:dyDescent="0.25">
      <c r="A12112" s="17"/>
    </row>
    <row r="12113" spans="1:1" x14ac:dyDescent="0.25">
      <c r="A12113" s="17"/>
    </row>
    <row r="12114" spans="1:1" x14ac:dyDescent="0.25">
      <c r="A12114" s="17"/>
    </row>
    <row r="12115" spans="1:1" x14ac:dyDescent="0.25">
      <c r="A12115" s="17"/>
    </row>
    <row r="12116" spans="1:1" x14ac:dyDescent="0.25">
      <c r="A12116" s="17"/>
    </row>
    <row r="12117" spans="1:1" x14ac:dyDescent="0.25">
      <c r="A12117" s="17"/>
    </row>
    <row r="12118" spans="1:1" x14ac:dyDescent="0.25">
      <c r="A12118" s="17"/>
    </row>
    <row r="12119" spans="1:1" x14ac:dyDescent="0.25">
      <c r="A12119" s="17"/>
    </row>
    <row r="12120" spans="1:1" x14ac:dyDescent="0.25">
      <c r="A12120" s="17"/>
    </row>
    <row r="12121" spans="1:1" x14ac:dyDescent="0.25">
      <c r="A12121" s="17"/>
    </row>
    <row r="12122" spans="1:1" x14ac:dyDescent="0.25">
      <c r="A12122" s="17"/>
    </row>
    <row r="12123" spans="1:1" x14ac:dyDescent="0.25">
      <c r="A12123" s="17"/>
    </row>
    <row r="12124" spans="1:1" x14ac:dyDescent="0.25">
      <c r="A12124" s="17"/>
    </row>
    <row r="12125" spans="1:1" x14ac:dyDescent="0.25">
      <c r="A12125" s="17"/>
    </row>
    <row r="12126" spans="1:1" x14ac:dyDescent="0.25">
      <c r="A12126" s="17"/>
    </row>
    <row r="12127" spans="1:1" x14ac:dyDescent="0.25">
      <c r="A12127" s="17"/>
    </row>
    <row r="12128" spans="1:1" x14ac:dyDescent="0.25">
      <c r="A12128" s="17"/>
    </row>
    <row r="12129" spans="1:1" x14ac:dyDescent="0.25">
      <c r="A12129" s="17"/>
    </row>
    <row r="12130" spans="1:1" x14ac:dyDescent="0.25">
      <c r="A12130" s="17"/>
    </row>
    <row r="12131" spans="1:1" x14ac:dyDescent="0.25">
      <c r="A12131" s="17"/>
    </row>
    <row r="12132" spans="1:1" x14ac:dyDescent="0.25">
      <c r="A12132" s="17"/>
    </row>
    <row r="12133" spans="1:1" x14ac:dyDescent="0.25">
      <c r="A12133" s="17"/>
    </row>
    <row r="12134" spans="1:1" x14ac:dyDescent="0.25">
      <c r="A12134" s="17"/>
    </row>
    <row r="12135" spans="1:1" x14ac:dyDescent="0.25">
      <c r="A12135" s="17"/>
    </row>
    <row r="12136" spans="1:1" x14ac:dyDescent="0.25">
      <c r="A12136" s="17"/>
    </row>
    <row r="12137" spans="1:1" x14ac:dyDescent="0.25">
      <c r="A12137" s="17"/>
    </row>
    <row r="12138" spans="1:1" x14ac:dyDescent="0.25">
      <c r="A12138" s="17"/>
    </row>
    <row r="12139" spans="1:1" x14ac:dyDescent="0.25">
      <c r="A12139" s="17"/>
    </row>
    <row r="12140" spans="1:1" x14ac:dyDescent="0.25">
      <c r="A12140" s="17"/>
    </row>
    <row r="12141" spans="1:1" x14ac:dyDescent="0.25">
      <c r="A12141" s="17"/>
    </row>
    <row r="12142" spans="1:1" x14ac:dyDescent="0.25">
      <c r="A12142" s="17"/>
    </row>
    <row r="12143" spans="1:1" x14ac:dyDescent="0.25">
      <c r="A12143" s="17"/>
    </row>
    <row r="12144" spans="1:1" x14ac:dyDescent="0.25">
      <c r="A12144" s="17"/>
    </row>
    <row r="12145" spans="1:1" x14ac:dyDescent="0.25">
      <c r="A12145" s="17"/>
    </row>
    <row r="12146" spans="1:1" x14ac:dyDescent="0.25">
      <c r="A12146" s="17"/>
    </row>
    <row r="12147" spans="1:1" x14ac:dyDescent="0.25">
      <c r="A12147" s="17"/>
    </row>
    <row r="12148" spans="1:1" x14ac:dyDescent="0.25">
      <c r="A12148" s="17"/>
    </row>
    <row r="12149" spans="1:1" x14ac:dyDescent="0.25">
      <c r="A12149" s="17"/>
    </row>
    <row r="12150" spans="1:1" x14ac:dyDescent="0.25">
      <c r="A12150" s="17"/>
    </row>
    <row r="12151" spans="1:1" x14ac:dyDescent="0.25">
      <c r="A12151" s="17"/>
    </row>
    <row r="12152" spans="1:1" x14ac:dyDescent="0.25">
      <c r="A12152" s="17"/>
    </row>
    <row r="12153" spans="1:1" x14ac:dyDescent="0.25">
      <c r="A12153" s="17"/>
    </row>
    <row r="12154" spans="1:1" x14ac:dyDescent="0.25">
      <c r="A12154" s="17"/>
    </row>
    <row r="12155" spans="1:1" x14ac:dyDescent="0.25">
      <c r="A12155" s="17"/>
    </row>
    <row r="12156" spans="1:1" x14ac:dyDescent="0.25">
      <c r="A12156" s="17"/>
    </row>
    <row r="12157" spans="1:1" x14ac:dyDescent="0.25">
      <c r="A12157" s="17"/>
    </row>
    <row r="12158" spans="1:1" x14ac:dyDescent="0.25">
      <c r="A12158" s="17"/>
    </row>
    <row r="12159" spans="1:1" x14ac:dyDescent="0.25">
      <c r="A12159" s="17"/>
    </row>
    <row r="12160" spans="1:1" x14ac:dyDescent="0.25">
      <c r="A12160" s="17"/>
    </row>
    <row r="12161" spans="1:1" x14ac:dyDescent="0.25">
      <c r="A12161" s="17"/>
    </row>
    <row r="12162" spans="1:1" x14ac:dyDescent="0.25">
      <c r="A12162" s="17"/>
    </row>
    <row r="12163" spans="1:1" x14ac:dyDescent="0.25">
      <c r="A12163" s="17"/>
    </row>
    <row r="12164" spans="1:1" x14ac:dyDescent="0.25">
      <c r="A12164" s="17"/>
    </row>
    <row r="12165" spans="1:1" x14ac:dyDescent="0.25">
      <c r="A12165" s="17"/>
    </row>
    <row r="12166" spans="1:1" x14ac:dyDescent="0.25">
      <c r="A12166" s="17"/>
    </row>
    <row r="12167" spans="1:1" x14ac:dyDescent="0.25">
      <c r="A12167" s="17"/>
    </row>
    <row r="12168" spans="1:1" x14ac:dyDescent="0.25">
      <c r="A12168" s="17"/>
    </row>
    <row r="12169" spans="1:1" x14ac:dyDescent="0.25">
      <c r="A12169" s="17"/>
    </row>
    <row r="12170" spans="1:1" x14ac:dyDescent="0.25">
      <c r="A12170" s="17"/>
    </row>
    <row r="12171" spans="1:1" x14ac:dyDescent="0.25">
      <c r="A12171" s="17"/>
    </row>
    <row r="12172" spans="1:1" x14ac:dyDescent="0.25">
      <c r="A12172" s="17"/>
    </row>
    <row r="12173" spans="1:1" x14ac:dyDescent="0.25">
      <c r="A12173" s="17"/>
    </row>
    <row r="12174" spans="1:1" x14ac:dyDescent="0.25">
      <c r="A12174" s="17"/>
    </row>
    <row r="12175" spans="1:1" x14ac:dyDescent="0.25">
      <c r="A12175" s="17"/>
    </row>
    <row r="12176" spans="1:1" x14ac:dyDescent="0.25">
      <c r="A12176" s="17"/>
    </row>
    <row r="12177" spans="1:1" x14ac:dyDescent="0.25">
      <c r="A12177" s="17"/>
    </row>
    <row r="12178" spans="1:1" x14ac:dyDescent="0.25">
      <c r="A12178" s="17"/>
    </row>
    <row r="12179" spans="1:1" x14ac:dyDescent="0.25">
      <c r="A12179" s="17"/>
    </row>
    <row r="12180" spans="1:1" x14ac:dyDescent="0.25">
      <c r="A12180" s="17"/>
    </row>
    <row r="12181" spans="1:1" x14ac:dyDescent="0.25">
      <c r="A12181" s="17"/>
    </row>
    <row r="12182" spans="1:1" x14ac:dyDescent="0.25">
      <c r="A12182" s="17"/>
    </row>
    <row r="12183" spans="1:1" x14ac:dyDescent="0.25">
      <c r="A12183" s="17"/>
    </row>
    <row r="12184" spans="1:1" x14ac:dyDescent="0.25">
      <c r="A12184" s="17"/>
    </row>
    <row r="12185" spans="1:1" x14ac:dyDescent="0.25">
      <c r="A12185" s="17"/>
    </row>
    <row r="12186" spans="1:1" x14ac:dyDescent="0.25">
      <c r="A12186" s="17"/>
    </row>
    <row r="12187" spans="1:1" x14ac:dyDescent="0.25">
      <c r="A12187" s="17"/>
    </row>
    <row r="12188" spans="1:1" x14ac:dyDescent="0.25">
      <c r="A12188" s="17"/>
    </row>
    <row r="12189" spans="1:1" x14ac:dyDescent="0.25">
      <c r="A12189" s="17"/>
    </row>
    <row r="12190" spans="1:1" x14ac:dyDescent="0.25">
      <c r="A12190" s="17"/>
    </row>
    <row r="12191" spans="1:1" x14ac:dyDescent="0.25">
      <c r="A12191" s="17"/>
    </row>
    <row r="12192" spans="1:1" x14ac:dyDescent="0.25">
      <c r="A12192" s="17"/>
    </row>
    <row r="12193" spans="1:1" x14ac:dyDescent="0.25">
      <c r="A12193" s="17"/>
    </row>
    <row r="12194" spans="1:1" x14ac:dyDescent="0.25">
      <c r="A12194" s="17"/>
    </row>
    <row r="12195" spans="1:1" x14ac:dyDescent="0.25">
      <c r="A12195" s="17"/>
    </row>
    <row r="12196" spans="1:1" x14ac:dyDescent="0.25">
      <c r="A12196" s="17"/>
    </row>
    <row r="12197" spans="1:1" x14ac:dyDescent="0.25">
      <c r="A12197" s="17"/>
    </row>
    <row r="12198" spans="1:1" x14ac:dyDescent="0.25">
      <c r="A12198" s="17"/>
    </row>
    <row r="12199" spans="1:1" x14ac:dyDescent="0.25">
      <c r="A12199" s="17"/>
    </row>
    <row r="12200" spans="1:1" x14ac:dyDescent="0.25">
      <c r="A12200" s="17"/>
    </row>
    <row r="12201" spans="1:1" x14ac:dyDescent="0.25">
      <c r="A12201" s="17"/>
    </row>
    <row r="12202" spans="1:1" x14ac:dyDescent="0.25">
      <c r="A12202" s="17"/>
    </row>
    <row r="12203" spans="1:1" x14ac:dyDescent="0.25">
      <c r="A12203" s="17"/>
    </row>
    <row r="12204" spans="1:1" x14ac:dyDescent="0.25">
      <c r="A12204" s="17"/>
    </row>
    <row r="12205" spans="1:1" x14ac:dyDescent="0.25">
      <c r="A12205" s="17"/>
    </row>
    <row r="12206" spans="1:1" x14ac:dyDescent="0.25">
      <c r="A12206" s="17"/>
    </row>
    <row r="12207" spans="1:1" x14ac:dyDescent="0.25">
      <c r="A12207" s="17"/>
    </row>
    <row r="12208" spans="1:1" x14ac:dyDescent="0.25">
      <c r="A12208" s="17"/>
    </row>
    <row r="12209" spans="1:1" x14ac:dyDescent="0.25">
      <c r="A12209" s="17"/>
    </row>
    <row r="12210" spans="1:1" x14ac:dyDescent="0.25">
      <c r="A12210" s="17"/>
    </row>
    <row r="12211" spans="1:1" x14ac:dyDescent="0.25">
      <c r="A12211" s="17"/>
    </row>
    <row r="12212" spans="1:1" x14ac:dyDescent="0.25">
      <c r="A12212" s="17"/>
    </row>
    <row r="12213" spans="1:1" x14ac:dyDescent="0.25">
      <c r="A12213" s="17"/>
    </row>
    <row r="12214" spans="1:1" x14ac:dyDescent="0.25">
      <c r="A12214" s="17"/>
    </row>
    <row r="12215" spans="1:1" x14ac:dyDescent="0.25">
      <c r="A12215" s="17"/>
    </row>
    <row r="12216" spans="1:1" x14ac:dyDescent="0.25">
      <c r="A12216" s="17"/>
    </row>
    <row r="12217" spans="1:1" x14ac:dyDescent="0.25">
      <c r="A12217" s="17"/>
    </row>
    <row r="12218" spans="1:1" x14ac:dyDescent="0.25">
      <c r="A12218" s="17"/>
    </row>
    <row r="12219" spans="1:1" x14ac:dyDescent="0.25">
      <c r="A12219" s="17"/>
    </row>
    <row r="12220" spans="1:1" x14ac:dyDescent="0.25">
      <c r="A12220" s="17"/>
    </row>
    <row r="12221" spans="1:1" x14ac:dyDescent="0.25">
      <c r="A12221" s="17"/>
    </row>
    <row r="12222" spans="1:1" x14ac:dyDescent="0.25">
      <c r="A12222" s="17"/>
    </row>
    <row r="12223" spans="1:1" x14ac:dyDescent="0.25">
      <c r="A12223" s="17"/>
    </row>
    <row r="12224" spans="1:1" x14ac:dyDescent="0.25">
      <c r="A12224" s="17"/>
    </row>
    <row r="12225" spans="1:1" x14ac:dyDescent="0.25">
      <c r="A12225" s="17"/>
    </row>
    <row r="12226" spans="1:1" x14ac:dyDescent="0.25">
      <c r="A12226" s="17"/>
    </row>
    <row r="12227" spans="1:1" x14ac:dyDescent="0.25">
      <c r="A12227" s="17"/>
    </row>
    <row r="12228" spans="1:1" x14ac:dyDescent="0.25">
      <c r="A12228" s="17"/>
    </row>
    <row r="12229" spans="1:1" x14ac:dyDescent="0.25">
      <c r="A12229" s="17"/>
    </row>
    <row r="12230" spans="1:1" x14ac:dyDescent="0.25">
      <c r="A12230" s="17"/>
    </row>
    <row r="12231" spans="1:1" x14ac:dyDescent="0.25">
      <c r="A12231" s="17"/>
    </row>
    <row r="12232" spans="1:1" x14ac:dyDescent="0.25">
      <c r="A12232" s="17"/>
    </row>
    <row r="12233" spans="1:1" x14ac:dyDescent="0.25">
      <c r="A12233" s="17"/>
    </row>
    <row r="12234" spans="1:1" x14ac:dyDescent="0.25">
      <c r="A12234" s="17"/>
    </row>
    <row r="12235" spans="1:1" x14ac:dyDescent="0.25">
      <c r="A12235" s="17"/>
    </row>
    <row r="12236" spans="1:1" x14ac:dyDescent="0.25">
      <c r="A12236" s="17"/>
    </row>
    <row r="12237" spans="1:1" x14ac:dyDescent="0.25">
      <c r="A12237" s="17"/>
    </row>
    <row r="12238" spans="1:1" x14ac:dyDescent="0.25">
      <c r="A12238" s="17"/>
    </row>
    <row r="12239" spans="1:1" x14ac:dyDescent="0.25">
      <c r="A12239" s="17"/>
    </row>
    <row r="12240" spans="1:1" x14ac:dyDescent="0.25">
      <c r="A12240" s="17"/>
    </row>
    <row r="12241" spans="1:1" x14ac:dyDescent="0.25">
      <c r="A12241" s="17"/>
    </row>
    <row r="12242" spans="1:1" x14ac:dyDescent="0.25">
      <c r="A12242" s="17"/>
    </row>
    <row r="12243" spans="1:1" x14ac:dyDescent="0.25">
      <c r="A12243" s="17"/>
    </row>
    <row r="12244" spans="1:1" x14ac:dyDescent="0.25">
      <c r="A12244" s="17"/>
    </row>
    <row r="12245" spans="1:1" x14ac:dyDescent="0.25">
      <c r="A12245" s="17"/>
    </row>
    <row r="12246" spans="1:1" x14ac:dyDescent="0.25">
      <c r="A12246" s="17"/>
    </row>
    <row r="12247" spans="1:1" x14ac:dyDescent="0.25">
      <c r="A12247" s="17"/>
    </row>
    <row r="12248" spans="1:1" x14ac:dyDescent="0.25">
      <c r="A12248" s="17"/>
    </row>
    <row r="12249" spans="1:1" x14ac:dyDescent="0.25">
      <c r="A12249" s="17"/>
    </row>
    <row r="12250" spans="1:1" x14ac:dyDescent="0.25">
      <c r="A12250" s="17"/>
    </row>
    <row r="12251" spans="1:1" x14ac:dyDescent="0.25">
      <c r="A12251" s="17"/>
    </row>
    <row r="12252" spans="1:1" x14ac:dyDescent="0.25">
      <c r="A12252" s="17"/>
    </row>
    <row r="12253" spans="1:1" x14ac:dyDescent="0.25">
      <c r="A12253" s="17"/>
    </row>
    <row r="12254" spans="1:1" x14ac:dyDescent="0.25">
      <c r="A12254" s="17"/>
    </row>
    <row r="12255" spans="1:1" x14ac:dyDescent="0.25">
      <c r="A12255" s="17"/>
    </row>
    <row r="12256" spans="1:1" x14ac:dyDescent="0.25">
      <c r="A12256" s="17"/>
    </row>
    <row r="12257" spans="1:1" x14ac:dyDescent="0.25">
      <c r="A12257" s="17"/>
    </row>
    <row r="12258" spans="1:1" x14ac:dyDescent="0.25">
      <c r="A12258" s="17"/>
    </row>
    <row r="12259" spans="1:1" x14ac:dyDescent="0.25">
      <c r="A12259" s="17"/>
    </row>
    <row r="12260" spans="1:1" x14ac:dyDescent="0.25">
      <c r="A12260" s="17"/>
    </row>
    <row r="12261" spans="1:1" x14ac:dyDescent="0.25">
      <c r="A12261" s="17"/>
    </row>
    <row r="12262" spans="1:1" x14ac:dyDescent="0.25">
      <c r="A12262" s="17"/>
    </row>
    <row r="12263" spans="1:1" x14ac:dyDescent="0.25">
      <c r="A12263" s="17"/>
    </row>
    <row r="12264" spans="1:1" x14ac:dyDescent="0.25">
      <c r="A12264" s="17"/>
    </row>
    <row r="12265" spans="1:1" x14ac:dyDescent="0.25">
      <c r="A12265" s="17"/>
    </row>
    <row r="12266" spans="1:1" x14ac:dyDescent="0.25">
      <c r="A12266" s="17"/>
    </row>
    <row r="12267" spans="1:1" x14ac:dyDescent="0.25">
      <c r="A12267" s="17"/>
    </row>
    <row r="12268" spans="1:1" x14ac:dyDescent="0.25">
      <c r="A12268" s="17"/>
    </row>
    <row r="12269" spans="1:1" x14ac:dyDescent="0.25">
      <c r="A12269" s="17"/>
    </row>
    <row r="12270" spans="1:1" x14ac:dyDescent="0.25">
      <c r="A12270" s="17"/>
    </row>
    <row r="12271" spans="1:1" x14ac:dyDescent="0.25">
      <c r="A12271" s="17"/>
    </row>
    <row r="12272" spans="1:1" x14ac:dyDescent="0.25">
      <c r="A12272" s="17"/>
    </row>
    <row r="12273" spans="1:1" x14ac:dyDescent="0.25">
      <c r="A12273" s="17"/>
    </row>
    <row r="12274" spans="1:1" x14ac:dyDescent="0.25">
      <c r="A12274" s="17"/>
    </row>
    <row r="12275" spans="1:1" x14ac:dyDescent="0.25">
      <c r="A12275" s="17"/>
    </row>
    <row r="12276" spans="1:1" x14ac:dyDescent="0.25">
      <c r="A12276" s="17"/>
    </row>
    <row r="12277" spans="1:1" x14ac:dyDescent="0.25">
      <c r="A12277" s="17"/>
    </row>
    <row r="12278" spans="1:1" x14ac:dyDescent="0.25">
      <c r="A12278" s="17"/>
    </row>
    <row r="12279" spans="1:1" x14ac:dyDescent="0.25">
      <c r="A12279" s="17"/>
    </row>
    <row r="12280" spans="1:1" x14ac:dyDescent="0.25">
      <c r="A12280" s="17"/>
    </row>
    <row r="12281" spans="1:1" x14ac:dyDescent="0.25">
      <c r="A12281" s="17"/>
    </row>
    <row r="12282" spans="1:1" x14ac:dyDescent="0.25">
      <c r="A12282" s="17"/>
    </row>
    <row r="12283" spans="1:1" x14ac:dyDescent="0.25">
      <c r="A12283" s="17"/>
    </row>
    <row r="12284" spans="1:1" x14ac:dyDescent="0.25">
      <c r="A12284" s="17"/>
    </row>
    <row r="12285" spans="1:1" x14ac:dyDescent="0.25">
      <c r="A12285" s="17"/>
    </row>
    <row r="12286" spans="1:1" x14ac:dyDescent="0.25">
      <c r="A12286" s="17"/>
    </row>
    <row r="12287" spans="1:1" x14ac:dyDescent="0.25">
      <c r="A12287" s="17"/>
    </row>
    <row r="12288" spans="1:1" x14ac:dyDescent="0.25">
      <c r="A12288" s="17"/>
    </row>
    <row r="12289" spans="1:1" x14ac:dyDescent="0.25">
      <c r="A12289" s="17"/>
    </row>
    <row r="12290" spans="1:1" x14ac:dyDescent="0.25">
      <c r="A12290" s="17"/>
    </row>
    <row r="12291" spans="1:1" x14ac:dyDescent="0.25">
      <c r="A12291" s="17"/>
    </row>
    <row r="12292" spans="1:1" x14ac:dyDescent="0.25">
      <c r="A12292" s="17"/>
    </row>
    <row r="12293" spans="1:1" x14ac:dyDescent="0.25">
      <c r="A12293" s="17"/>
    </row>
    <row r="12294" spans="1:1" x14ac:dyDescent="0.25">
      <c r="A12294" s="17"/>
    </row>
    <row r="12295" spans="1:1" x14ac:dyDescent="0.25">
      <c r="A12295" s="17"/>
    </row>
    <row r="12296" spans="1:1" x14ac:dyDescent="0.25">
      <c r="A12296" s="17"/>
    </row>
    <row r="12297" spans="1:1" x14ac:dyDescent="0.25">
      <c r="A12297" s="17"/>
    </row>
    <row r="12298" spans="1:1" x14ac:dyDescent="0.25">
      <c r="A12298" s="17"/>
    </row>
    <row r="12299" spans="1:1" x14ac:dyDescent="0.25">
      <c r="A12299" s="17"/>
    </row>
    <row r="12300" spans="1:1" x14ac:dyDescent="0.25">
      <c r="A12300" s="17"/>
    </row>
    <row r="12301" spans="1:1" x14ac:dyDescent="0.25">
      <c r="A12301" s="17"/>
    </row>
    <row r="12302" spans="1:1" x14ac:dyDescent="0.25">
      <c r="A12302" s="17"/>
    </row>
    <row r="12303" spans="1:1" x14ac:dyDescent="0.25">
      <c r="A12303" s="17"/>
    </row>
    <row r="12304" spans="1:1" x14ac:dyDescent="0.25">
      <c r="A12304" s="17"/>
    </row>
    <row r="12305" spans="1:1" x14ac:dyDescent="0.25">
      <c r="A12305" s="17"/>
    </row>
    <row r="12306" spans="1:1" x14ac:dyDescent="0.25">
      <c r="A12306" s="17"/>
    </row>
    <row r="12307" spans="1:1" x14ac:dyDescent="0.25">
      <c r="A12307" s="17"/>
    </row>
    <row r="12308" spans="1:1" x14ac:dyDescent="0.25">
      <c r="A12308" s="17"/>
    </row>
    <row r="12309" spans="1:1" x14ac:dyDescent="0.25">
      <c r="A12309" s="17"/>
    </row>
    <row r="12310" spans="1:1" x14ac:dyDescent="0.25">
      <c r="A12310" s="17"/>
    </row>
    <row r="12311" spans="1:1" x14ac:dyDescent="0.25">
      <c r="A12311" s="17"/>
    </row>
    <row r="12312" spans="1:1" x14ac:dyDescent="0.25">
      <c r="A12312" s="17"/>
    </row>
    <row r="12313" spans="1:1" x14ac:dyDescent="0.25">
      <c r="A12313" s="17"/>
    </row>
    <row r="12314" spans="1:1" x14ac:dyDescent="0.25">
      <c r="A12314" s="17"/>
    </row>
    <row r="12315" spans="1:1" x14ac:dyDescent="0.25">
      <c r="A12315" s="17"/>
    </row>
    <row r="12316" spans="1:1" x14ac:dyDescent="0.25">
      <c r="A12316" s="17"/>
    </row>
    <row r="12317" spans="1:1" x14ac:dyDescent="0.25">
      <c r="A12317" s="17"/>
    </row>
    <row r="12318" spans="1:1" x14ac:dyDescent="0.25">
      <c r="A12318" s="17"/>
    </row>
    <row r="12319" spans="1:1" x14ac:dyDescent="0.25">
      <c r="A12319" s="17"/>
    </row>
    <row r="12320" spans="1:1" x14ac:dyDescent="0.25">
      <c r="A12320" s="17"/>
    </row>
    <row r="12321" spans="1:1" x14ac:dyDescent="0.25">
      <c r="A12321" s="17"/>
    </row>
    <row r="12322" spans="1:1" x14ac:dyDescent="0.25">
      <c r="A12322" s="17"/>
    </row>
    <row r="12323" spans="1:1" x14ac:dyDescent="0.25">
      <c r="A12323" s="17"/>
    </row>
    <row r="12324" spans="1:1" x14ac:dyDescent="0.25">
      <c r="A12324" s="17"/>
    </row>
    <row r="12325" spans="1:1" x14ac:dyDescent="0.25">
      <c r="A12325" s="17"/>
    </row>
    <row r="12326" spans="1:1" x14ac:dyDescent="0.25">
      <c r="A12326" s="17"/>
    </row>
    <row r="12327" spans="1:1" x14ac:dyDescent="0.25">
      <c r="A12327" s="17"/>
    </row>
    <row r="12328" spans="1:1" x14ac:dyDescent="0.25">
      <c r="A12328" s="17"/>
    </row>
    <row r="12329" spans="1:1" x14ac:dyDescent="0.25">
      <c r="A12329" s="17"/>
    </row>
    <row r="12330" spans="1:1" x14ac:dyDescent="0.25">
      <c r="A12330" s="17"/>
    </row>
    <row r="12331" spans="1:1" x14ac:dyDescent="0.25">
      <c r="A12331" s="17"/>
    </row>
    <row r="12332" spans="1:1" x14ac:dyDescent="0.25">
      <c r="A12332" s="17"/>
    </row>
    <row r="12333" spans="1:1" x14ac:dyDescent="0.25">
      <c r="A12333" s="17"/>
    </row>
    <row r="12334" spans="1:1" x14ac:dyDescent="0.25">
      <c r="A12334" s="17"/>
    </row>
    <row r="12335" spans="1:1" x14ac:dyDescent="0.25">
      <c r="A12335" s="17"/>
    </row>
    <row r="12336" spans="1:1" x14ac:dyDescent="0.25">
      <c r="A12336" s="17"/>
    </row>
    <row r="12337" spans="1:1" x14ac:dyDescent="0.25">
      <c r="A12337" s="17"/>
    </row>
    <row r="12338" spans="1:1" x14ac:dyDescent="0.25">
      <c r="A12338" s="17"/>
    </row>
    <row r="12339" spans="1:1" x14ac:dyDescent="0.25">
      <c r="A12339" s="17"/>
    </row>
    <row r="12340" spans="1:1" x14ac:dyDescent="0.25">
      <c r="A12340" s="17"/>
    </row>
    <row r="12341" spans="1:1" x14ac:dyDescent="0.25">
      <c r="A12341" s="17"/>
    </row>
    <row r="12342" spans="1:1" x14ac:dyDescent="0.25">
      <c r="A12342" s="17"/>
    </row>
    <row r="12343" spans="1:1" x14ac:dyDescent="0.25">
      <c r="A12343" s="17"/>
    </row>
    <row r="12344" spans="1:1" x14ac:dyDescent="0.25">
      <c r="A12344" s="17"/>
    </row>
    <row r="12345" spans="1:1" x14ac:dyDescent="0.25">
      <c r="A12345" s="17"/>
    </row>
    <row r="12346" spans="1:1" x14ac:dyDescent="0.25">
      <c r="A12346" s="17"/>
    </row>
    <row r="12347" spans="1:1" x14ac:dyDescent="0.25">
      <c r="A12347" s="17"/>
    </row>
    <row r="12348" spans="1:1" x14ac:dyDescent="0.25">
      <c r="A12348" s="17"/>
    </row>
    <row r="12349" spans="1:1" x14ac:dyDescent="0.25">
      <c r="A12349" s="17"/>
    </row>
    <row r="12350" spans="1:1" x14ac:dyDescent="0.25">
      <c r="A12350" s="17"/>
    </row>
    <row r="12351" spans="1:1" x14ac:dyDescent="0.25">
      <c r="A12351" s="17"/>
    </row>
    <row r="12352" spans="1:1" x14ac:dyDescent="0.25">
      <c r="A12352" s="17"/>
    </row>
    <row r="12353" spans="1:1" x14ac:dyDescent="0.25">
      <c r="A12353" s="17"/>
    </row>
    <row r="12354" spans="1:1" x14ac:dyDescent="0.25">
      <c r="A12354" s="17"/>
    </row>
    <row r="12355" spans="1:1" x14ac:dyDescent="0.25">
      <c r="A12355" s="17"/>
    </row>
    <row r="12356" spans="1:1" x14ac:dyDescent="0.25">
      <c r="A12356" s="17"/>
    </row>
    <row r="12357" spans="1:1" x14ac:dyDescent="0.25">
      <c r="A12357" s="17"/>
    </row>
    <row r="12358" spans="1:1" x14ac:dyDescent="0.25">
      <c r="A12358" s="17"/>
    </row>
    <row r="12359" spans="1:1" x14ac:dyDescent="0.25">
      <c r="A12359" s="17"/>
    </row>
    <row r="12360" spans="1:1" x14ac:dyDescent="0.25">
      <c r="A12360" s="17"/>
    </row>
    <row r="12361" spans="1:1" x14ac:dyDescent="0.25">
      <c r="A12361" s="17"/>
    </row>
    <row r="12362" spans="1:1" x14ac:dyDescent="0.25">
      <c r="A12362" s="17"/>
    </row>
    <row r="12363" spans="1:1" x14ac:dyDescent="0.25">
      <c r="A12363" s="17"/>
    </row>
    <row r="12364" spans="1:1" x14ac:dyDescent="0.25">
      <c r="A12364" s="17"/>
    </row>
    <row r="12365" spans="1:1" x14ac:dyDescent="0.25">
      <c r="A12365" s="17"/>
    </row>
    <row r="12366" spans="1:1" x14ac:dyDescent="0.25">
      <c r="A12366" s="17"/>
    </row>
    <row r="12367" spans="1:1" x14ac:dyDescent="0.25">
      <c r="A12367" s="17"/>
    </row>
    <row r="12368" spans="1:1" x14ac:dyDescent="0.25">
      <c r="A12368" s="17"/>
    </row>
    <row r="12369" spans="1:1" x14ac:dyDescent="0.25">
      <c r="A12369" s="17"/>
    </row>
    <row r="12370" spans="1:1" x14ac:dyDescent="0.25">
      <c r="A12370" s="17"/>
    </row>
    <row r="12371" spans="1:1" x14ac:dyDescent="0.25">
      <c r="A12371" s="17"/>
    </row>
    <row r="12372" spans="1:1" x14ac:dyDescent="0.25">
      <c r="A12372" s="17"/>
    </row>
    <row r="12373" spans="1:1" x14ac:dyDescent="0.25">
      <c r="A12373" s="17"/>
    </row>
    <row r="12374" spans="1:1" x14ac:dyDescent="0.25">
      <c r="A12374" s="17"/>
    </row>
    <row r="12375" spans="1:1" x14ac:dyDescent="0.25">
      <c r="A12375" s="17"/>
    </row>
    <row r="12376" spans="1:1" x14ac:dyDescent="0.25">
      <c r="A12376" s="17"/>
    </row>
    <row r="12377" spans="1:1" x14ac:dyDescent="0.25">
      <c r="A12377" s="17"/>
    </row>
    <row r="12378" spans="1:1" x14ac:dyDescent="0.25">
      <c r="A12378" s="17"/>
    </row>
    <row r="12379" spans="1:1" x14ac:dyDescent="0.25">
      <c r="A12379" s="17"/>
    </row>
    <row r="12380" spans="1:1" x14ac:dyDescent="0.25">
      <c r="A12380" s="17"/>
    </row>
    <row r="12381" spans="1:1" x14ac:dyDescent="0.25">
      <c r="A12381" s="17"/>
    </row>
    <row r="12382" spans="1:1" x14ac:dyDescent="0.25">
      <c r="A12382" s="17"/>
    </row>
    <row r="12383" spans="1:1" x14ac:dyDescent="0.25">
      <c r="A12383" s="17"/>
    </row>
    <row r="12384" spans="1:1" x14ac:dyDescent="0.25">
      <c r="A12384" s="17"/>
    </row>
    <row r="12385" spans="1:1" x14ac:dyDescent="0.25">
      <c r="A12385" s="17"/>
    </row>
    <row r="12386" spans="1:1" x14ac:dyDescent="0.25">
      <c r="A12386" s="17"/>
    </row>
    <row r="12387" spans="1:1" x14ac:dyDescent="0.25">
      <c r="A12387" s="17"/>
    </row>
    <row r="12388" spans="1:1" x14ac:dyDescent="0.25">
      <c r="A12388" s="17"/>
    </row>
    <row r="12389" spans="1:1" x14ac:dyDescent="0.25">
      <c r="A12389" s="17"/>
    </row>
    <row r="12390" spans="1:1" x14ac:dyDescent="0.25">
      <c r="A12390" s="17"/>
    </row>
    <row r="12391" spans="1:1" x14ac:dyDescent="0.25">
      <c r="A12391" s="17"/>
    </row>
    <row r="12392" spans="1:1" x14ac:dyDescent="0.25">
      <c r="A12392" s="17"/>
    </row>
    <row r="12393" spans="1:1" x14ac:dyDescent="0.25">
      <c r="A12393" s="17"/>
    </row>
    <row r="12394" spans="1:1" x14ac:dyDescent="0.25">
      <c r="A12394" s="17"/>
    </row>
    <row r="12395" spans="1:1" x14ac:dyDescent="0.25">
      <c r="A12395" s="17"/>
    </row>
    <row r="12396" spans="1:1" x14ac:dyDescent="0.25">
      <c r="A12396" s="17"/>
    </row>
    <row r="12397" spans="1:1" x14ac:dyDescent="0.25">
      <c r="A12397" s="17"/>
    </row>
    <row r="12398" spans="1:1" x14ac:dyDescent="0.25">
      <c r="A12398" s="17"/>
    </row>
    <row r="12399" spans="1:1" x14ac:dyDescent="0.25">
      <c r="A12399" s="17"/>
    </row>
    <row r="12400" spans="1:1" x14ac:dyDescent="0.25">
      <c r="A12400" s="17"/>
    </row>
    <row r="12401" spans="1:1" x14ac:dyDescent="0.25">
      <c r="A12401" s="17"/>
    </row>
    <row r="12402" spans="1:1" x14ac:dyDescent="0.25">
      <c r="A12402" s="17"/>
    </row>
    <row r="12403" spans="1:1" x14ac:dyDescent="0.25">
      <c r="A12403" s="17"/>
    </row>
    <row r="12404" spans="1:1" x14ac:dyDescent="0.25">
      <c r="A12404" s="17"/>
    </row>
    <row r="12405" spans="1:1" x14ac:dyDescent="0.25">
      <c r="A12405" s="17"/>
    </row>
    <row r="12406" spans="1:1" x14ac:dyDescent="0.25">
      <c r="A12406" s="17"/>
    </row>
    <row r="12407" spans="1:1" x14ac:dyDescent="0.25">
      <c r="A12407" s="17"/>
    </row>
    <row r="12408" spans="1:1" x14ac:dyDescent="0.25">
      <c r="A12408" s="17"/>
    </row>
    <row r="12409" spans="1:1" x14ac:dyDescent="0.25">
      <c r="A12409" s="17"/>
    </row>
    <row r="12410" spans="1:1" x14ac:dyDescent="0.25">
      <c r="A12410" s="17"/>
    </row>
    <row r="12411" spans="1:1" x14ac:dyDescent="0.25">
      <c r="A12411" s="17"/>
    </row>
    <row r="12412" spans="1:1" x14ac:dyDescent="0.25">
      <c r="A12412" s="17"/>
    </row>
    <row r="12413" spans="1:1" x14ac:dyDescent="0.25">
      <c r="A12413" s="17"/>
    </row>
    <row r="12414" spans="1:1" x14ac:dyDescent="0.25">
      <c r="A12414" s="17"/>
    </row>
    <row r="12415" spans="1:1" x14ac:dyDescent="0.25">
      <c r="A12415" s="17"/>
    </row>
    <row r="12416" spans="1:1" x14ac:dyDescent="0.25">
      <c r="A12416" s="17"/>
    </row>
    <row r="12417" spans="1:1" x14ac:dyDescent="0.25">
      <c r="A12417" s="17"/>
    </row>
    <row r="12418" spans="1:1" x14ac:dyDescent="0.25">
      <c r="A12418" s="17"/>
    </row>
    <row r="12419" spans="1:1" x14ac:dyDescent="0.25">
      <c r="A12419" s="17"/>
    </row>
    <row r="12420" spans="1:1" x14ac:dyDescent="0.25">
      <c r="A12420" s="17"/>
    </row>
    <row r="12421" spans="1:1" x14ac:dyDescent="0.25">
      <c r="A12421" s="17"/>
    </row>
    <row r="12422" spans="1:1" x14ac:dyDescent="0.25">
      <c r="A12422" s="17"/>
    </row>
    <row r="12423" spans="1:1" x14ac:dyDescent="0.25">
      <c r="A12423" s="17"/>
    </row>
    <row r="12424" spans="1:1" x14ac:dyDescent="0.25">
      <c r="A12424" s="17"/>
    </row>
    <row r="12425" spans="1:1" x14ac:dyDescent="0.25">
      <c r="A12425" s="17"/>
    </row>
    <row r="12426" spans="1:1" x14ac:dyDescent="0.25">
      <c r="A12426" s="17"/>
    </row>
    <row r="12427" spans="1:1" x14ac:dyDescent="0.25">
      <c r="A12427" s="17"/>
    </row>
    <row r="12428" spans="1:1" x14ac:dyDescent="0.25">
      <c r="A12428" s="17"/>
    </row>
    <row r="12429" spans="1:1" x14ac:dyDescent="0.25">
      <c r="A12429" s="17"/>
    </row>
    <row r="12430" spans="1:1" x14ac:dyDescent="0.25">
      <c r="A12430" s="17"/>
    </row>
    <row r="12431" spans="1:1" x14ac:dyDescent="0.25">
      <c r="A12431" s="17"/>
    </row>
    <row r="12432" spans="1:1" x14ac:dyDescent="0.25">
      <c r="A12432" s="17"/>
    </row>
    <row r="12433" spans="1:1" x14ac:dyDescent="0.25">
      <c r="A12433" s="17"/>
    </row>
    <row r="12434" spans="1:1" x14ac:dyDescent="0.25">
      <c r="A12434" s="17"/>
    </row>
    <row r="12435" spans="1:1" x14ac:dyDescent="0.25">
      <c r="A12435" s="17"/>
    </row>
    <row r="12436" spans="1:1" x14ac:dyDescent="0.25">
      <c r="A12436" s="17"/>
    </row>
    <row r="12437" spans="1:1" x14ac:dyDescent="0.25">
      <c r="A12437" s="17"/>
    </row>
    <row r="12438" spans="1:1" x14ac:dyDescent="0.25">
      <c r="A12438" s="17"/>
    </row>
    <row r="12439" spans="1:1" x14ac:dyDescent="0.25">
      <c r="A12439" s="17"/>
    </row>
    <row r="12440" spans="1:1" x14ac:dyDescent="0.25">
      <c r="A12440" s="17"/>
    </row>
    <row r="12441" spans="1:1" x14ac:dyDescent="0.25">
      <c r="A12441" s="17"/>
    </row>
    <row r="12442" spans="1:1" x14ac:dyDescent="0.25">
      <c r="A12442" s="17"/>
    </row>
    <row r="12443" spans="1:1" x14ac:dyDescent="0.25">
      <c r="A12443" s="17"/>
    </row>
    <row r="12444" spans="1:1" x14ac:dyDescent="0.25">
      <c r="A12444" s="17"/>
    </row>
    <row r="12445" spans="1:1" x14ac:dyDescent="0.25">
      <c r="A12445" s="17"/>
    </row>
    <row r="12446" spans="1:1" x14ac:dyDescent="0.25">
      <c r="A12446" s="17"/>
    </row>
    <row r="12447" spans="1:1" x14ac:dyDescent="0.25">
      <c r="A12447" s="17"/>
    </row>
    <row r="12448" spans="1:1" x14ac:dyDescent="0.25">
      <c r="A12448" s="17"/>
    </row>
    <row r="12449" spans="1:1" x14ac:dyDescent="0.25">
      <c r="A12449" s="17"/>
    </row>
    <row r="12450" spans="1:1" x14ac:dyDescent="0.25">
      <c r="A12450" s="17"/>
    </row>
    <row r="12451" spans="1:1" x14ac:dyDescent="0.25">
      <c r="A12451" s="17"/>
    </row>
    <row r="12452" spans="1:1" x14ac:dyDescent="0.25">
      <c r="A12452" s="17"/>
    </row>
    <row r="12453" spans="1:1" x14ac:dyDescent="0.25">
      <c r="A12453" s="17"/>
    </row>
    <row r="12454" spans="1:1" x14ac:dyDescent="0.25">
      <c r="A12454" s="17"/>
    </row>
    <row r="12455" spans="1:1" x14ac:dyDescent="0.25">
      <c r="A12455" s="17"/>
    </row>
    <row r="12456" spans="1:1" x14ac:dyDescent="0.25">
      <c r="A12456" s="17"/>
    </row>
    <row r="12457" spans="1:1" x14ac:dyDescent="0.25">
      <c r="A12457" s="17"/>
    </row>
    <row r="12458" spans="1:1" x14ac:dyDescent="0.25">
      <c r="A12458" s="17"/>
    </row>
    <row r="12459" spans="1:1" x14ac:dyDescent="0.25">
      <c r="A12459" s="17"/>
    </row>
    <row r="12460" spans="1:1" x14ac:dyDescent="0.25">
      <c r="A12460" s="17"/>
    </row>
    <row r="12461" spans="1:1" x14ac:dyDescent="0.25">
      <c r="A12461" s="17"/>
    </row>
    <row r="12462" spans="1:1" x14ac:dyDescent="0.25">
      <c r="A12462" s="17"/>
    </row>
    <row r="12463" spans="1:1" x14ac:dyDescent="0.25">
      <c r="A12463" s="17"/>
    </row>
    <row r="12464" spans="1:1" x14ac:dyDescent="0.25">
      <c r="A12464" s="17"/>
    </row>
    <row r="12465" spans="1:1" x14ac:dyDescent="0.25">
      <c r="A12465" s="17"/>
    </row>
    <row r="12466" spans="1:1" x14ac:dyDescent="0.25">
      <c r="A12466" s="17"/>
    </row>
    <row r="12467" spans="1:1" x14ac:dyDescent="0.25">
      <c r="A12467" s="17"/>
    </row>
    <row r="12468" spans="1:1" x14ac:dyDescent="0.25">
      <c r="A12468" s="17"/>
    </row>
    <row r="12469" spans="1:1" x14ac:dyDescent="0.25">
      <c r="A12469" s="17"/>
    </row>
    <row r="12470" spans="1:1" x14ac:dyDescent="0.25">
      <c r="A12470" s="17"/>
    </row>
    <row r="12471" spans="1:1" x14ac:dyDescent="0.25">
      <c r="A12471" s="17"/>
    </row>
    <row r="12472" spans="1:1" x14ac:dyDescent="0.25">
      <c r="A12472" s="17"/>
    </row>
    <row r="12473" spans="1:1" x14ac:dyDescent="0.25">
      <c r="A12473" s="17"/>
    </row>
    <row r="12474" spans="1:1" x14ac:dyDescent="0.25">
      <c r="A12474" s="17"/>
    </row>
    <row r="12475" spans="1:1" x14ac:dyDescent="0.25">
      <c r="A12475" s="17"/>
    </row>
    <row r="12476" spans="1:1" x14ac:dyDescent="0.25">
      <c r="A12476" s="17"/>
    </row>
    <row r="12477" spans="1:1" x14ac:dyDescent="0.25">
      <c r="A12477" s="17"/>
    </row>
    <row r="12478" spans="1:1" x14ac:dyDescent="0.25">
      <c r="A12478" s="17"/>
    </row>
    <row r="12479" spans="1:1" x14ac:dyDescent="0.25">
      <c r="A12479" s="17"/>
    </row>
    <row r="12480" spans="1:1" x14ac:dyDescent="0.25">
      <c r="A12480" s="17"/>
    </row>
    <row r="12481" spans="1:1" x14ac:dyDescent="0.25">
      <c r="A12481" s="17"/>
    </row>
    <row r="12482" spans="1:1" x14ac:dyDescent="0.25">
      <c r="A12482" s="17"/>
    </row>
    <row r="12483" spans="1:1" x14ac:dyDescent="0.25">
      <c r="A12483" s="17"/>
    </row>
    <row r="12484" spans="1:1" x14ac:dyDescent="0.25">
      <c r="A12484" s="17"/>
    </row>
    <row r="12485" spans="1:1" x14ac:dyDescent="0.25">
      <c r="A12485" s="17"/>
    </row>
    <row r="12486" spans="1:1" x14ac:dyDescent="0.25">
      <c r="A12486" s="17"/>
    </row>
    <row r="12487" spans="1:1" x14ac:dyDescent="0.25">
      <c r="A12487" s="17"/>
    </row>
    <row r="12488" spans="1:1" x14ac:dyDescent="0.25">
      <c r="A12488" s="17"/>
    </row>
    <row r="12489" spans="1:1" x14ac:dyDescent="0.25">
      <c r="A12489" s="17"/>
    </row>
    <row r="12490" spans="1:1" x14ac:dyDescent="0.25">
      <c r="A12490" s="17"/>
    </row>
    <row r="12491" spans="1:1" x14ac:dyDescent="0.25">
      <c r="A12491" s="17"/>
    </row>
    <row r="12492" spans="1:1" x14ac:dyDescent="0.25">
      <c r="A12492" s="17"/>
    </row>
    <row r="12493" spans="1:1" x14ac:dyDescent="0.25">
      <c r="A12493" s="17"/>
    </row>
    <row r="12494" spans="1:1" x14ac:dyDescent="0.25">
      <c r="A12494" s="17"/>
    </row>
    <row r="12495" spans="1:1" x14ac:dyDescent="0.25">
      <c r="A12495" s="17"/>
    </row>
    <row r="12496" spans="1:1" x14ac:dyDescent="0.25">
      <c r="A12496" s="17"/>
    </row>
    <row r="12497" spans="1:1" x14ac:dyDescent="0.25">
      <c r="A12497" s="17"/>
    </row>
    <row r="12498" spans="1:1" x14ac:dyDescent="0.25">
      <c r="A12498" s="17"/>
    </row>
    <row r="12499" spans="1:1" x14ac:dyDescent="0.25">
      <c r="A12499" s="17"/>
    </row>
    <row r="12500" spans="1:1" x14ac:dyDescent="0.25">
      <c r="A12500" s="17"/>
    </row>
    <row r="12501" spans="1:1" x14ac:dyDescent="0.25">
      <c r="A12501" s="17"/>
    </row>
    <row r="12502" spans="1:1" x14ac:dyDescent="0.25">
      <c r="A12502" s="17"/>
    </row>
    <row r="12503" spans="1:1" x14ac:dyDescent="0.25">
      <c r="A12503" s="17"/>
    </row>
    <row r="12504" spans="1:1" x14ac:dyDescent="0.25">
      <c r="A12504" s="17"/>
    </row>
    <row r="12505" spans="1:1" x14ac:dyDescent="0.25">
      <c r="A12505" s="17"/>
    </row>
    <row r="12506" spans="1:1" x14ac:dyDescent="0.25">
      <c r="A12506" s="17"/>
    </row>
    <row r="12507" spans="1:1" x14ac:dyDescent="0.25">
      <c r="A12507" s="17"/>
    </row>
    <row r="12508" spans="1:1" x14ac:dyDescent="0.25">
      <c r="A12508" s="17"/>
    </row>
    <row r="12509" spans="1:1" x14ac:dyDescent="0.25">
      <c r="A12509" s="17"/>
    </row>
    <row r="12510" spans="1:1" x14ac:dyDescent="0.25">
      <c r="A12510" s="17"/>
    </row>
    <row r="12511" spans="1:1" x14ac:dyDescent="0.25">
      <c r="A12511" s="17"/>
    </row>
    <row r="12512" spans="1:1" x14ac:dyDescent="0.25">
      <c r="A12512" s="17"/>
    </row>
    <row r="12513" spans="1:1" x14ac:dyDescent="0.25">
      <c r="A12513" s="17"/>
    </row>
    <row r="12514" spans="1:1" x14ac:dyDescent="0.25">
      <c r="A12514" s="17"/>
    </row>
    <row r="12515" spans="1:1" x14ac:dyDescent="0.25">
      <c r="A12515" s="17"/>
    </row>
    <row r="12516" spans="1:1" x14ac:dyDescent="0.25">
      <c r="A12516" s="17"/>
    </row>
    <row r="12517" spans="1:1" x14ac:dyDescent="0.25">
      <c r="A12517" s="17"/>
    </row>
    <row r="12518" spans="1:1" x14ac:dyDescent="0.25">
      <c r="A12518" s="17"/>
    </row>
    <row r="12519" spans="1:1" x14ac:dyDescent="0.25">
      <c r="A12519" s="17"/>
    </row>
    <row r="12520" spans="1:1" x14ac:dyDescent="0.25">
      <c r="A12520" s="17"/>
    </row>
    <row r="12521" spans="1:1" x14ac:dyDescent="0.25">
      <c r="A12521" s="17"/>
    </row>
    <row r="12522" spans="1:1" x14ac:dyDescent="0.25">
      <c r="A12522" s="17"/>
    </row>
    <row r="12523" spans="1:1" x14ac:dyDescent="0.25">
      <c r="A12523" s="17"/>
    </row>
    <row r="12524" spans="1:1" x14ac:dyDescent="0.25">
      <c r="A12524" s="17"/>
    </row>
    <row r="12525" spans="1:1" x14ac:dyDescent="0.25">
      <c r="A12525" s="17"/>
    </row>
    <row r="12526" spans="1:1" x14ac:dyDescent="0.25">
      <c r="A12526" s="17"/>
    </row>
    <row r="12527" spans="1:1" x14ac:dyDescent="0.25">
      <c r="A12527" s="17"/>
    </row>
    <row r="12528" spans="1:1" x14ac:dyDescent="0.25">
      <c r="A12528" s="17"/>
    </row>
    <row r="12529" spans="1:1" x14ac:dyDescent="0.25">
      <c r="A12529" s="17"/>
    </row>
    <row r="12530" spans="1:1" x14ac:dyDescent="0.25">
      <c r="A12530" s="17"/>
    </row>
    <row r="12531" spans="1:1" x14ac:dyDescent="0.25">
      <c r="A12531" s="17"/>
    </row>
    <row r="12532" spans="1:1" x14ac:dyDescent="0.25">
      <c r="A12532" s="17"/>
    </row>
    <row r="12533" spans="1:1" x14ac:dyDescent="0.25">
      <c r="A12533" s="17"/>
    </row>
    <row r="12534" spans="1:1" x14ac:dyDescent="0.25">
      <c r="A12534" s="17"/>
    </row>
    <row r="12535" spans="1:1" x14ac:dyDescent="0.25">
      <c r="A12535" s="17"/>
    </row>
    <row r="12536" spans="1:1" x14ac:dyDescent="0.25">
      <c r="A12536" s="17"/>
    </row>
    <row r="12537" spans="1:1" x14ac:dyDescent="0.25">
      <c r="A12537" s="17"/>
    </row>
    <row r="12538" spans="1:1" x14ac:dyDescent="0.25">
      <c r="A12538" s="17"/>
    </row>
    <row r="12539" spans="1:1" x14ac:dyDescent="0.25">
      <c r="A12539" s="17"/>
    </row>
    <row r="12540" spans="1:1" x14ac:dyDescent="0.25">
      <c r="A12540" s="17"/>
    </row>
    <row r="12541" spans="1:1" x14ac:dyDescent="0.25">
      <c r="A12541" s="17"/>
    </row>
    <row r="12542" spans="1:1" x14ac:dyDescent="0.25">
      <c r="A12542" s="17"/>
    </row>
    <row r="12543" spans="1:1" x14ac:dyDescent="0.25">
      <c r="A12543" s="17"/>
    </row>
    <row r="12544" spans="1:1" x14ac:dyDescent="0.25">
      <c r="A12544" s="17"/>
    </row>
    <row r="12545" spans="1:1" x14ac:dyDescent="0.25">
      <c r="A12545" s="17"/>
    </row>
    <row r="12546" spans="1:1" x14ac:dyDescent="0.25">
      <c r="A12546" s="17"/>
    </row>
    <row r="12547" spans="1:1" x14ac:dyDescent="0.25">
      <c r="A12547" s="17"/>
    </row>
    <row r="12548" spans="1:1" x14ac:dyDescent="0.25">
      <c r="A12548" s="17"/>
    </row>
    <row r="12549" spans="1:1" x14ac:dyDescent="0.25">
      <c r="A12549" s="17"/>
    </row>
    <row r="12550" spans="1:1" x14ac:dyDescent="0.25">
      <c r="A12550" s="17"/>
    </row>
    <row r="12551" spans="1:1" x14ac:dyDescent="0.25">
      <c r="A12551" s="17"/>
    </row>
    <row r="12552" spans="1:1" x14ac:dyDescent="0.25">
      <c r="A12552" s="17"/>
    </row>
    <row r="12553" spans="1:1" x14ac:dyDescent="0.25">
      <c r="A12553" s="17"/>
    </row>
    <row r="12554" spans="1:1" x14ac:dyDescent="0.25">
      <c r="A12554" s="17"/>
    </row>
    <row r="12555" spans="1:1" x14ac:dyDescent="0.25">
      <c r="A12555" s="17"/>
    </row>
    <row r="12556" spans="1:1" x14ac:dyDescent="0.25">
      <c r="A12556" s="17"/>
    </row>
    <row r="12557" spans="1:1" x14ac:dyDescent="0.25">
      <c r="A12557" s="17"/>
    </row>
    <row r="12558" spans="1:1" x14ac:dyDescent="0.25">
      <c r="A12558" s="17"/>
    </row>
    <row r="12559" spans="1:1" x14ac:dyDescent="0.25">
      <c r="A12559" s="17"/>
    </row>
    <row r="12560" spans="1:1" x14ac:dyDescent="0.25">
      <c r="A12560" s="17"/>
    </row>
    <row r="12561" spans="1:1" x14ac:dyDescent="0.25">
      <c r="A12561" s="17"/>
    </row>
    <row r="12562" spans="1:1" x14ac:dyDescent="0.25">
      <c r="A12562" s="17"/>
    </row>
    <row r="12563" spans="1:1" x14ac:dyDescent="0.25">
      <c r="A12563" s="17"/>
    </row>
    <row r="12564" spans="1:1" x14ac:dyDescent="0.25">
      <c r="A12564" s="17"/>
    </row>
    <row r="12565" spans="1:1" x14ac:dyDescent="0.25">
      <c r="A12565" s="17"/>
    </row>
    <row r="12566" spans="1:1" x14ac:dyDescent="0.25">
      <c r="A12566" s="17"/>
    </row>
    <row r="12567" spans="1:1" x14ac:dyDescent="0.25">
      <c r="A12567" s="17"/>
    </row>
    <row r="12568" spans="1:1" x14ac:dyDescent="0.25">
      <c r="A12568" s="17"/>
    </row>
    <row r="12569" spans="1:1" x14ac:dyDescent="0.25">
      <c r="A12569" s="17"/>
    </row>
    <row r="12570" spans="1:1" x14ac:dyDescent="0.25">
      <c r="A12570" s="17"/>
    </row>
    <row r="12571" spans="1:1" x14ac:dyDescent="0.25">
      <c r="A12571" s="17"/>
    </row>
    <row r="12572" spans="1:1" x14ac:dyDescent="0.25">
      <c r="A12572" s="17"/>
    </row>
    <row r="12573" spans="1:1" x14ac:dyDescent="0.25">
      <c r="A12573" s="17"/>
    </row>
    <row r="12574" spans="1:1" x14ac:dyDescent="0.25">
      <c r="A12574" s="17"/>
    </row>
    <row r="12575" spans="1:1" x14ac:dyDescent="0.25">
      <c r="A12575" s="17"/>
    </row>
    <row r="12576" spans="1:1" x14ac:dyDescent="0.25">
      <c r="A12576" s="17"/>
    </row>
    <row r="12577" spans="1:1" x14ac:dyDescent="0.25">
      <c r="A12577" s="17"/>
    </row>
    <row r="12578" spans="1:1" x14ac:dyDescent="0.25">
      <c r="A12578" s="17"/>
    </row>
    <row r="12579" spans="1:1" x14ac:dyDescent="0.25">
      <c r="A12579" s="17"/>
    </row>
    <row r="12580" spans="1:1" x14ac:dyDescent="0.25">
      <c r="A12580" s="17"/>
    </row>
    <row r="12581" spans="1:1" x14ac:dyDescent="0.25">
      <c r="A12581" s="17"/>
    </row>
    <row r="12582" spans="1:1" x14ac:dyDescent="0.25">
      <c r="A12582" s="17"/>
    </row>
    <row r="12583" spans="1:1" x14ac:dyDescent="0.25">
      <c r="A12583" s="17"/>
    </row>
    <row r="12584" spans="1:1" x14ac:dyDescent="0.25">
      <c r="A12584" s="17"/>
    </row>
    <row r="12585" spans="1:1" x14ac:dyDescent="0.25">
      <c r="A12585" s="17"/>
    </row>
    <row r="12586" spans="1:1" x14ac:dyDescent="0.25">
      <c r="A12586" s="17"/>
    </row>
    <row r="12587" spans="1:1" x14ac:dyDescent="0.25">
      <c r="A12587" s="17"/>
    </row>
    <row r="12588" spans="1:1" x14ac:dyDescent="0.25">
      <c r="A12588" s="17"/>
    </row>
    <row r="12589" spans="1:1" x14ac:dyDescent="0.25">
      <c r="A12589" s="17"/>
    </row>
    <row r="12590" spans="1:1" x14ac:dyDescent="0.25">
      <c r="A12590" s="17"/>
    </row>
    <row r="12591" spans="1:1" x14ac:dyDescent="0.25">
      <c r="A12591" s="17"/>
    </row>
    <row r="12592" spans="1:1" x14ac:dyDescent="0.25">
      <c r="A12592" s="17"/>
    </row>
    <row r="12593" spans="1:1" x14ac:dyDescent="0.25">
      <c r="A12593" s="17"/>
    </row>
    <row r="12594" spans="1:1" x14ac:dyDescent="0.25">
      <c r="A12594" s="17"/>
    </row>
    <row r="12595" spans="1:1" x14ac:dyDescent="0.25">
      <c r="A12595" s="17"/>
    </row>
    <row r="12596" spans="1:1" x14ac:dyDescent="0.25">
      <c r="A12596" s="17"/>
    </row>
    <row r="12597" spans="1:1" x14ac:dyDescent="0.25">
      <c r="A12597" s="17"/>
    </row>
    <row r="12598" spans="1:1" x14ac:dyDescent="0.25">
      <c r="A12598" s="17"/>
    </row>
    <row r="12599" spans="1:1" x14ac:dyDescent="0.25">
      <c r="A12599" s="17"/>
    </row>
    <row r="12600" spans="1:1" x14ac:dyDescent="0.25">
      <c r="A12600" s="17"/>
    </row>
    <row r="12601" spans="1:1" x14ac:dyDescent="0.25">
      <c r="A12601" s="17"/>
    </row>
    <row r="12602" spans="1:1" x14ac:dyDescent="0.25">
      <c r="A12602" s="17"/>
    </row>
    <row r="12603" spans="1:1" x14ac:dyDescent="0.25">
      <c r="A12603" s="17"/>
    </row>
    <row r="12604" spans="1:1" x14ac:dyDescent="0.25">
      <c r="A12604" s="17"/>
    </row>
    <row r="12605" spans="1:1" x14ac:dyDescent="0.25">
      <c r="A12605" s="17"/>
    </row>
    <row r="12606" spans="1:1" x14ac:dyDescent="0.25">
      <c r="A12606" s="17"/>
    </row>
    <row r="12607" spans="1:1" x14ac:dyDescent="0.25">
      <c r="A12607" s="17"/>
    </row>
    <row r="12608" spans="1:1" x14ac:dyDescent="0.25">
      <c r="A12608" s="17"/>
    </row>
    <row r="12609" spans="1:1" x14ac:dyDescent="0.25">
      <c r="A12609" s="17"/>
    </row>
    <row r="12610" spans="1:1" x14ac:dyDescent="0.25">
      <c r="A12610" s="17"/>
    </row>
    <row r="12611" spans="1:1" x14ac:dyDescent="0.25">
      <c r="A12611" s="17"/>
    </row>
    <row r="12612" spans="1:1" x14ac:dyDescent="0.25">
      <c r="A12612" s="17"/>
    </row>
    <row r="12613" spans="1:1" x14ac:dyDescent="0.25">
      <c r="A12613" s="17"/>
    </row>
    <row r="12614" spans="1:1" x14ac:dyDescent="0.25">
      <c r="A12614" s="17"/>
    </row>
    <row r="12615" spans="1:1" x14ac:dyDescent="0.25">
      <c r="A12615" s="17"/>
    </row>
    <row r="12616" spans="1:1" x14ac:dyDescent="0.25">
      <c r="A12616" s="17"/>
    </row>
    <row r="12617" spans="1:1" x14ac:dyDescent="0.25">
      <c r="A12617" s="17"/>
    </row>
    <row r="12618" spans="1:1" x14ac:dyDescent="0.25">
      <c r="A12618" s="17"/>
    </row>
    <row r="12619" spans="1:1" x14ac:dyDescent="0.25">
      <c r="A12619" s="17"/>
    </row>
    <row r="12620" spans="1:1" x14ac:dyDescent="0.25">
      <c r="A12620" s="17"/>
    </row>
    <row r="12621" spans="1:1" x14ac:dyDescent="0.25">
      <c r="A12621" s="17"/>
    </row>
    <row r="12622" spans="1:1" x14ac:dyDescent="0.25">
      <c r="A12622" s="17"/>
    </row>
    <row r="12623" spans="1:1" x14ac:dyDescent="0.25">
      <c r="A12623" s="17"/>
    </row>
    <row r="12624" spans="1:1" x14ac:dyDescent="0.25">
      <c r="A12624" s="17"/>
    </row>
    <row r="12625" spans="1:1" x14ac:dyDescent="0.25">
      <c r="A12625" s="17"/>
    </row>
    <row r="12626" spans="1:1" x14ac:dyDescent="0.25">
      <c r="A12626" s="17"/>
    </row>
    <row r="12627" spans="1:1" x14ac:dyDescent="0.25">
      <c r="A12627" s="17"/>
    </row>
    <row r="12628" spans="1:1" x14ac:dyDescent="0.25">
      <c r="A12628" s="17"/>
    </row>
    <row r="12629" spans="1:1" x14ac:dyDescent="0.25">
      <c r="A12629" s="17"/>
    </row>
    <row r="12630" spans="1:1" x14ac:dyDescent="0.25">
      <c r="A12630" s="17"/>
    </row>
    <row r="12631" spans="1:1" x14ac:dyDescent="0.25">
      <c r="A12631" s="17"/>
    </row>
    <row r="12632" spans="1:1" x14ac:dyDescent="0.25">
      <c r="A12632" s="17"/>
    </row>
    <row r="12633" spans="1:1" x14ac:dyDescent="0.25">
      <c r="A12633" s="17"/>
    </row>
    <row r="12634" spans="1:1" x14ac:dyDescent="0.25">
      <c r="A12634" s="17"/>
    </row>
    <row r="12635" spans="1:1" x14ac:dyDescent="0.25">
      <c r="A12635" s="17"/>
    </row>
    <row r="12636" spans="1:1" x14ac:dyDescent="0.25">
      <c r="A12636" s="17"/>
    </row>
    <row r="12637" spans="1:1" x14ac:dyDescent="0.25">
      <c r="A12637" s="17"/>
    </row>
    <row r="12638" spans="1:1" x14ac:dyDescent="0.25">
      <c r="A12638" s="17"/>
    </row>
    <row r="12639" spans="1:1" x14ac:dyDescent="0.25">
      <c r="A12639" s="17"/>
    </row>
    <row r="12640" spans="1:1" x14ac:dyDescent="0.25">
      <c r="A12640" s="17"/>
    </row>
    <row r="12641" spans="1:1" x14ac:dyDescent="0.25">
      <c r="A12641" s="17"/>
    </row>
    <row r="12642" spans="1:1" x14ac:dyDescent="0.25">
      <c r="A12642" s="17"/>
    </row>
    <row r="12643" spans="1:1" x14ac:dyDescent="0.25">
      <c r="A12643" s="17"/>
    </row>
    <row r="12644" spans="1:1" x14ac:dyDescent="0.25">
      <c r="A12644" s="17"/>
    </row>
    <row r="12645" spans="1:1" x14ac:dyDescent="0.25">
      <c r="A12645" s="17"/>
    </row>
    <row r="12646" spans="1:1" x14ac:dyDescent="0.25">
      <c r="A12646" s="17"/>
    </row>
    <row r="12647" spans="1:1" x14ac:dyDescent="0.25">
      <c r="A12647" s="17"/>
    </row>
    <row r="12648" spans="1:1" x14ac:dyDescent="0.25">
      <c r="A12648" s="17"/>
    </row>
    <row r="12649" spans="1:1" x14ac:dyDescent="0.25">
      <c r="A12649" s="17"/>
    </row>
    <row r="12650" spans="1:1" x14ac:dyDescent="0.25">
      <c r="A12650" s="17"/>
    </row>
    <row r="12651" spans="1:1" x14ac:dyDescent="0.25">
      <c r="A12651" s="17"/>
    </row>
    <row r="12652" spans="1:1" x14ac:dyDescent="0.25">
      <c r="A12652" s="17"/>
    </row>
    <row r="12653" spans="1:1" x14ac:dyDescent="0.25">
      <c r="A12653" s="17"/>
    </row>
    <row r="12654" spans="1:1" x14ac:dyDescent="0.25">
      <c r="A12654" s="17"/>
    </row>
    <row r="12655" spans="1:1" x14ac:dyDescent="0.25">
      <c r="A12655" s="17"/>
    </row>
    <row r="12656" spans="1:1" x14ac:dyDescent="0.25">
      <c r="A12656" s="17"/>
    </row>
    <row r="12657" spans="1:1" x14ac:dyDescent="0.25">
      <c r="A12657" s="17"/>
    </row>
    <row r="12658" spans="1:1" x14ac:dyDescent="0.25">
      <c r="A12658" s="17"/>
    </row>
    <row r="12659" spans="1:1" x14ac:dyDescent="0.25">
      <c r="A12659" s="17"/>
    </row>
    <row r="12660" spans="1:1" x14ac:dyDescent="0.25">
      <c r="A12660" s="17"/>
    </row>
    <row r="12661" spans="1:1" x14ac:dyDescent="0.25">
      <c r="A12661" s="17"/>
    </row>
    <row r="12662" spans="1:1" x14ac:dyDescent="0.25">
      <c r="A12662" s="17"/>
    </row>
    <row r="12663" spans="1:1" x14ac:dyDescent="0.25">
      <c r="A12663" s="17"/>
    </row>
    <row r="12664" spans="1:1" x14ac:dyDescent="0.25">
      <c r="A12664" s="17"/>
    </row>
    <row r="12665" spans="1:1" x14ac:dyDescent="0.25">
      <c r="A12665" s="17"/>
    </row>
    <row r="12666" spans="1:1" x14ac:dyDescent="0.25">
      <c r="A12666" s="17"/>
    </row>
    <row r="12667" spans="1:1" x14ac:dyDescent="0.25">
      <c r="A12667" s="17"/>
    </row>
    <row r="12668" spans="1:1" x14ac:dyDescent="0.25">
      <c r="A12668" s="17"/>
    </row>
    <row r="12669" spans="1:1" x14ac:dyDescent="0.25">
      <c r="A12669" s="17"/>
    </row>
    <row r="12670" spans="1:1" x14ac:dyDescent="0.25">
      <c r="A12670" s="17"/>
    </row>
    <row r="12671" spans="1:1" x14ac:dyDescent="0.25">
      <c r="A12671" s="17"/>
    </row>
    <row r="12672" spans="1:1" x14ac:dyDescent="0.25">
      <c r="A12672" s="17"/>
    </row>
    <row r="12673" spans="1:1" x14ac:dyDescent="0.25">
      <c r="A12673" s="17"/>
    </row>
    <row r="12674" spans="1:1" x14ac:dyDescent="0.25">
      <c r="A12674" s="17"/>
    </row>
    <row r="12675" spans="1:1" x14ac:dyDescent="0.25">
      <c r="A12675" s="17"/>
    </row>
    <row r="12676" spans="1:1" x14ac:dyDescent="0.25">
      <c r="A12676" s="17"/>
    </row>
    <row r="12677" spans="1:1" x14ac:dyDescent="0.25">
      <c r="A12677" s="17"/>
    </row>
    <row r="12678" spans="1:1" x14ac:dyDescent="0.25">
      <c r="A12678" s="17"/>
    </row>
    <row r="12679" spans="1:1" x14ac:dyDescent="0.25">
      <c r="A12679" s="17"/>
    </row>
    <row r="12680" spans="1:1" x14ac:dyDescent="0.25">
      <c r="A12680" s="17"/>
    </row>
    <row r="12681" spans="1:1" x14ac:dyDescent="0.25">
      <c r="A12681" s="17"/>
    </row>
    <row r="12682" spans="1:1" x14ac:dyDescent="0.25">
      <c r="A12682" s="17"/>
    </row>
    <row r="12683" spans="1:1" x14ac:dyDescent="0.25">
      <c r="A12683" s="17"/>
    </row>
    <row r="12684" spans="1:1" x14ac:dyDescent="0.25">
      <c r="A12684" s="17"/>
    </row>
    <row r="12685" spans="1:1" x14ac:dyDescent="0.25">
      <c r="A12685" s="17"/>
    </row>
    <row r="12686" spans="1:1" x14ac:dyDescent="0.25">
      <c r="A12686" s="17"/>
    </row>
    <row r="12687" spans="1:1" x14ac:dyDescent="0.25">
      <c r="A12687" s="17"/>
    </row>
    <row r="12688" spans="1:1" x14ac:dyDescent="0.25">
      <c r="A12688" s="17"/>
    </row>
    <row r="12689" spans="1:1" x14ac:dyDescent="0.25">
      <c r="A12689" s="17"/>
    </row>
    <row r="12690" spans="1:1" x14ac:dyDescent="0.25">
      <c r="A12690" s="17"/>
    </row>
    <row r="12691" spans="1:1" x14ac:dyDescent="0.25">
      <c r="A12691" s="17"/>
    </row>
    <row r="12692" spans="1:1" x14ac:dyDescent="0.25">
      <c r="A12692" s="17"/>
    </row>
    <row r="12693" spans="1:1" x14ac:dyDescent="0.25">
      <c r="A12693" s="17"/>
    </row>
    <row r="12694" spans="1:1" x14ac:dyDescent="0.25">
      <c r="A12694" s="17"/>
    </row>
    <row r="12695" spans="1:1" x14ac:dyDescent="0.25">
      <c r="A12695" s="17"/>
    </row>
    <row r="12696" spans="1:1" x14ac:dyDescent="0.25">
      <c r="A12696" s="17"/>
    </row>
    <row r="12697" spans="1:1" x14ac:dyDescent="0.25">
      <c r="A12697" s="17"/>
    </row>
    <row r="12698" spans="1:1" x14ac:dyDescent="0.25">
      <c r="A12698" s="17"/>
    </row>
    <row r="12699" spans="1:1" x14ac:dyDescent="0.25">
      <c r="A12699" s="17"/>
    </row>
    <row r="12700" spans="1:1" x14ac:dyDescent="0.25">
      <c r="A12700" s="17"/>
    </row>
    <row r="12701" spans="1:1" x14ac:dyDescent="0.25">
      <c r="A12701" s="17"/>
    </row>
    <row r="12702" spans="1:1" x14ac:dyDescent="0.25">
      <c r="A12702" s="17"/>
    </row>
    <row r="12703" spans="1:1" x14ac:dyDescent="0.25">
      <c r="A12703" s="17"/>
    </row>
    <row r="12704" spans="1:1" x14ac:dyDescent="0.25">
      <c r="A12704" s="17"/>
    </row>
    <row r="12705" spans="1:1" x14ac:dyDescent="0.25">
      <c r="A12705" s="17"/>
    </row>
    <row r="12706" spans="1:1" x14ac:dyDescent="0.25">
      <c r="A12706" s="17"/>
    </row>
    <row r="12707" spans="1:1" x14ac:dyDescent="0.25">
      <c r="A12707" s="17"/>
    </row>
    <row r="12708" spans="1:1" x14ac:dyDescent="0.25">
      <c r="A12708" s="17"/>
    </row>
    <row r="12709" spans="1:1" x14ac:dyDescent="0.25">
      <c r="A12709" s="17"/>
    </row>
    <row r="12710" spans="1:1" x14ac:dyDescent="0.25">
      <c r="A12710" s="17"/>
    </row>
    <row r="12711" spans="1:1" x14ac:dyDescent="0.25">
      <c r="A12711" s="17"/>
    </row>
    <row r="12712" spans="1:1" x14ac:dyDescent="0.25">
      <c r="A12712" s="17"/>
    </row>
    <row r="12713" spans="1:1" x14ac:dyDescent="0.25">
      <c r="A12713" s="17"/>
    </row>
    <row r="12714" spans="1:1" x14ac:dyDescent="0.25">
      <c r="A12714" s="17"/>
    </row>
    <row r="12715" spans="1:1" x14ac:dyDescent="0.25">
      <c r="A12715" s="17"/>
    </row>
    <row r="12716" spans="1:1" x14ac:dyDescent="0.25">
      <c r="A12716" s="17"/>
    </row>
    <row r="12717" spans="1:1" x14ac:dyDescent="0.25">
      <c r="A12717" s="17"/>
    </row>
    <row r="12718" spans="1:1" x14ac:dyDescent="0.25">
      <c r="A12718" s="17"/>
    </row>
    <row r="12719" spans="1:1" x14ac:dyDescent="0.25">
      <c r="A12719" s="17"/>
    </row>
    <row r="12720" spans="1:1" x14ac:dyDescent="0.25">
      <c r="A12720" s="17"/>
    </row>
    <row r="12721" spans="1:1" x14ac:dyDescent="0.25">
      <c r="A12721" s="17"/>
    </row>
    <row r="12722" spans="1:1" x14ac:dyDescent="0.25">
      <c r="A12722" s="17"/>
    </row>
    <row r="12723" spans="1:1" x14ac:dyDescent="0.25">
      <c r="A12723" s="17"/>
    </row>
    <row r="12724" spans="1:1" x14ac:dyDescent="0.25">
      <c r="A12724" s="17"/>
    </row>
    <row r="12725" spans="1:1" x14ac:dyDescent="0.25">
      <c r="A12725" s="17"/>
    </row>
    <row r="12726" spans="1:1" x14ac:dyDescent="0.25">
      <c r="A12726" s="17"/>
    </row>
    <row r="12727" spans="1:1" x14ac:dyDescent="0.25">
      <c r="A12727" s="17"/>
    </row>
    <row r="12728" spans="1:1" x14ac:dyDescent="0.25">
      <c r="A12728" s="17"/>
    </row>
    <row r="12729" spans="1:1" x14ac:dyDescent="0.25">
      <c r="A12729" s="17"/>
    </row>
    <row r="12730" spans="1:1" x14ac:dyDescent="0.25">
      <c r="A12730" s="17"/>
    </row>
    <row r="12731" spans="1:1" x14ac:dyDescent="0.25">
      <c r="A12731" s="17"/>
    </row>
    <row r="12732" spans="1:1" x14ac:dyDescent="0.25">
      <c r="A12732" s="17"/>
    </row>
    <row r="12733" spans="1:1" x14ac:dyDescent="0.25">
      <c r="A12733" s="17"/>
    </row>
    <row r="12734" spans="1:1" x14ac:dyDescent="0.25">
      <c r="A12734" s="17"/>
    </row>
    <row r="12735" spans="1:1" x14ac:dyDescent="0.25">
      <c r="A12735" s="17"/>
    </row>
    <row r="12736" spans="1:1" x14ac:dyDescent="0.25">
      <c r="A12736" s="17"/>
    </row>
    <row r="12737" spans="1:1" x14ac:dyDescent="0.25">
      <c r="A12737" s="17"/>
    </row>
    <row r="12738" spans="1:1" x14ac:dyDescent="0.25">
      <c r="A12738" s="17"/>
    </row>
    <row r="12739" spans="1:1" x14ac:dyDescent="0.25">
      <c r="A12739" s="17"/>
    </row>
    <row r="12740" spans="1:1" x14ac:dyDescent="0.25">
      <c r="A12740" s="17"/>
    </row>
    <row r="12741" spans="1:1" x14ac:dyDescent="0.25">
      <c r="A12741" s="17"/>
    </row>
    <row r="12742" spans="1:1" x14ac:dyDescent="0.25">
      <c r="A12742" s="17"/>
    </row>
    <row r="12743" spans="1:1" x14ac:dyDescent="0.25">
      <c r="A12743" s="17"/>
    </row>
    <row r="12744" spans="1:1" x14ac:dyDescent="0.25">
      <c r="A12744" s="17"/>
    </row>
    <row r="12745" spans="1:1" x14ac:dyDescent="0.25">
      <c r="A12745" s="17"/>
    </row>
    <row r="12746" spans="1:1" x14ac:dyDescent="0.25">
      <c r="A12746" s="17"/>
    </row>
    <row r="12747" spans="1:1" x14ac:dyDescent="0.25">
      <c r="A12747" s="17"/>
    </row>
    <row r="12748" spans="1:1" x14ac:dyDescent="0.25">
      <c r="A12748" s="17"/>
    </row>
    <row r="12749" spans="1:1" x14ac:dyDescent="0.25">
      <c r="A12749" s="17"/>
    </row>
    <row r="12750" spans="1:1" x14ac:dyDescent="0.25">
      <c r="A12750" s="17"/>
    </row>
    <row r="12751" spans="1:1" x14ac:dyDescent="0.25">
      <c r="A12751" s="17"/>
    </row>
    <row r="12752" spans="1:1" x14ac:dyDescent="0.25">
      <c r="A12752" s="17"/>
    </row>
    <row r="12753" spans="1:1" x14ac:dyDescent="0.25">
      <c r="A12753" s="17"/>
    </row>
    <row r="12754" spans="1:1" x14ac:dyDescent="0.25">
      <c r="A12754" s="17"/>
    </row>
    <row r="12755" spans="1:1" x14ac:dyDescent="0.25">
      <c r="A12755" s="17"/>
    </row>
    <row r="12756" spans="1:1" x14ac:dyDescent="0.25">
      <c r="A12756" s="17"/>
    </row>
    <row r="12757" spans="1:1" x14ac:dyDescent="0.25">
      <c r="A12757" s="17"/>
    </row>
    <row r="12758" spans="1:1" x14ac:dyDescent="0.25">
      <c r="A12758" s="17"/>
    </row>
    <row r="12759" spans="1:1" x14ac:dyDescent="0.25">
      <c r="A12759" s="17"/>
    </row>
    <row r="12760" spans="1:1" x14ac:dyDescent="0.25">
      <c r="A12760" s="17"/>
    </row>
    <row r="12761" spans="1:1" x14ac:dyDescent="0.25">
      <c r="A12761" s="17"/>
    </row>
    <row r="12762" spans="1:1" x14ac:dyDescent="0.25">
      <c r="A12762" s="17"/>
    </row>
    <row r="12763" spans="1:1" x14ac:dyDescent="0.25">
      <c r="A12763" s="17"/>
    </row>
    <row r="12764" spans="1:1" x14ac:dyDescent="0.25">
      <c r="A12764" s="17"/>
    </row>
    <row r="12765" spans="1:1" x14ac:dyDescent="0.25">
      <c r="A12765" s="17"/>
    </row>
    <row r="12766" spans="1:1" x14ac:dyDescent="0.25">
      <c r="A12766" s="17"/>
    </row>
    <row r="12767" spans="1:1" x14ac:dyDescent="0.25">
      <c r="A12767" s="17"/>
    </row>
    <row r="12768" spans="1:1" x14ac:dyDescent="0.25">
      <c r="A12768" s="17"/>
    </row>
    <row r="12769" spans="1:1" x14ac:dyDescent="0.25">
      <c r="A12769" s="17"/>
    </row>
    <row r="12770" spans="1:1" x14ac:dyDescent="0.25">
      <c r="A12770" s="17"/>
    </row>
    <row r="12771" spans="1:1" x14ac:dyDescent="0.25">
      <c r="A12771" s="17"/>
    </row>
    <row r="12772" spans="1:1" x14ac:dyDescent="0.25">
      <c r="A12772" s="17"/>
    </row>
    <row r="12773" spans="1:1" x14ac:dyDescent="0.25">
      <c r="A12773" s="17"/>
    </row>
    <row r="12774" spans="1:1" x14ac:dyDescent="0.25">
      <c r="A12774" s="17"/>
    </row>
    <row r="12775" spans="1:1" x14ac:dyDescent="0.25">
      <c r="A12775" s="17"/>
    </row>
    <row r="12776" spans="1:1" x14ac:dyDescent="0.25">
      <c r="A12776" s="17"/>
    </row>
    <row r="12777" spans="1:1" x14ac:dyDescent="0.25">
      <c r="A12777" s="17"/>
    </row>
    <row r="12778" spans="1:1" x14ac:dyDescent="0.25">
      <c r="A12778" s="17"/>
    </row>
    <row r="12779" spans="1:1" x14ac:dyDescent="0.25">
      <c r="A12779" s="17"/>
    </row>
    <row r="12780" spans="1:1" x14ac:dyDescent="0.25">
      <c r="A12780" s="17"/>
    </row>
    <row r="12781" spans="1:1" x14ac:dyDescent="0.25">
      <c r="A12781" s="17"/>
    </row>
    <row r="12782" spans="1:1" x14ac:dyDescent="0.25">
      <c r="A12782" s="17"/>
    </row>
    <row r="12783" spans="1:1" x14ac:dyDescent="0.25">
      <c r="A12783" s="17"/>
    </row>
    <row r="12784" spans="1:1" x14ac:dyDescent="0.25">
      <c r="A12784" s="17"/>
    </row>
    <row r="12785" spans="1:1" x14ac:dyDescent="0.25">
      <c r="A12785" s="17"/>
    </row>
    <row r="12786" spans="1:1" x14ac:dyDescent="0.25">
      <c r="A12786" s="17"/>
    </row>
    <row r="12787" spans="1:1" x14ac:dyDescent="0.25">
      <c r="A12787" s="17"/>
    </row>
    <row r="12788" spans="1:1" x14ac:dyDescent="0.25">
      <c r="A12788" s="17"/>
    </row>
    <row r="12789" spans="1:1" x14ac:dyDescent="0.25">
      <c r="A12789" s="17"/>
    </row>
    <row r="12790" spans="1:1" x14ac:dyDescent="0.25">
      <c r="A12790" s="17"/>
    </row>
    <row r="12791" spans="1:1" x14ac:dyDescent="0.25">
      <c r="A12791" s="17"/>
    </row>
    <row r="12792" spans="1:1" x14ac:dyDescent="0.25">
      <c r="A12792" s="17"/>
    </row>
    <row r="12793" spans="1:1" x14ac:dyDescent="0.25">
      <c r="A12793" s="17"/>
    </row>
    <row r="12794" spans="1:1" x14ac:dyDescent="0.25">
      <c r="A12794" s="17"/>
    </row>
    <row r="12795" spans="1:1" x14ac:dyDescent="0.25">
      <c r="A12795" s="17"/>
    </row>
    <row r="12796" spans="1:1" x14ac:dyDescent="0.25">
      <c r="A12796" s="17"/>
    </row>
    <row r="12797" spans="1:1" x14ac:dyDescent="0.25">
      <c r="A12797" s="17"/>
    </row>
    <row r="12798" spans="1:1" x14ac:dyDescent="0.25">
      <c r="A12798" s="17"/>
    </row>
    <row r="12799" spans="1:1" x14ac:dyDescent="0.25">
      <c r="A12799" s="17"/>
    </row>
    <row r="12800" spans="1:1" x14ac:dyDescent="0.25">
      <c r="A12800" s="17"/>
    </row>
    <row r="12801" spans="1:1" x14ac:dyDescent="0.25">
      <c r="A12801" s="17"/>
    </row>
    <row r="12802" spans="1:1" x14ac:dyDescent="0.25">
      <c r="A12802" s="17"/>
    </row>
    <row r="12803" spans="1:1" x14ac:dyDescent="0.25">
      <c r="A12803" s="17"/>
    </row>
    <row r="12804" spans="1:1" x14ac:dyDescent="0.25">
      <c r="A12804" s="17"/>
    </row>
    <row r="12805" spans="1:1" x14ac:dyDescent="0.25">
      <c r="A12805" s="17"/>
    </row>
    <row r="12806" spans="1:1" x14ac:dyDescent="0.25">
      <c r="A12806" s="17"/>
    </row>
    <row r="12807" spans="1:1" x14ac:dyDescent="0.25">
      <c r="A12807" s="17"/>
    </row>
    <row r="12808" spans="1:1" x14ac:dyDescent="0.25">
      <c r="A12808" s="17"/>
    </row>
    <row r="12809" spans="1:1" x14ac:dyDescent="0.25">
      <c r="A12809" s="17"/>
    </row>
    <row r="12810" spans="1:1" x14ac:dyDescent="0.25">
      <c r="A12810" s="17"/>
    </row>
    <row r="12811" spans="1:1" x14ac:dyDescent="0.25">
      <c r="A12811" s="17"/>
    </row>
    <row r="12812" spans="1:1" x14ac:dyDescent="0.25">
      <c r="A12812" s="17"/>
    </row>
    <row r="12813" spans="1:1" x14ac:dyDescent="0.25">
      <c r="A12813" s="17"/>
    </row>
    <row r="12814" spans="1:1" x14ac:dyDescent="0.25">
      <c r="A12814" s="17"/>
    </row>
    <row r="12815" spans="1:1" x14ac:dyDescent="0.25">
      <c r="A12815" s="17"/>
    </row>
    <row r="12816" spans="1:1" x14ac:dyDescent="0.25">
      <c r="A12816" s="17"/>
    </row>
    <row r="12817" spans="1:1" x14ac:dyDescent="0.25">
      <c r="A12817" s="17"/>
    </row>
    <row r="12818" spans="1:1" x14ac:dyDescent="0.25">
      <c r="A12818" s="17"/>
    </row>
    <row r="12819" spans="1:1" x14ac:dyDescent="0.25">
      <c r="A12819" s="17"/>
    </row>
    <row r="12820" spans="1:1" x14ac:dyDescent="0.25">
      <c r="A12820" s="17"/>
    </row>
    <row r="12821" spans="1:1" x14ac:dyDescent="0.25">
      <c r="A12821" s="17"/>
    </row>
    <row r="12822" spans="1:1" x14ac:dyDescent="0.25">
      <c r="A12822" s="17"/>
    </row>
    <row r="12823" spans="1:1" x14ac:dyDescent="0.25">
      <c r="A12823" s="17"/>
    </row>
    <row r="12824" spans="1:1" x14ac:dyDescent="0.25">
      <c r="A12824" s="17"/>
    </row>
    <row r="12825" spans="1:1" x14ac:dyDescent="0.25">
      <c r="A12825" s="17"/>
    </row>
    <row r="12826" spans="1:1" x14ac:dyDescent="0.25">
      <c r="A12826" s="17"/>
    </row>
    <row r="12827" spans="1:1" x14ac:dyDescent="0.25">
      <c r="A12827" s="17"/>
    </row>
    <row r="12828" spans="1:1" x14ac:dyDescent="0.25">
      <c r="A12828" s="17"/>
    </row>
    <row r="12829" spans="1:1" x14ac:dyDescent="0.25">
      <c r="A12829" s="17"/>
    </row>
    <row r="12830" spans="1:1" x14ac:dyDescent="0.25">
      <c r="A12830" s="17"/>
    </row>
    <row r="12831" spans="1:1" x14ac:dyDescent="0.25">
      <c r="A12831" s="17"/>
    </row>
    <row r="12832" spans="1:1" x14ac:dyDescent="0.25">
      <c r="A12832" s="17"/>
    </row>
    <row r="12833" spans="1:1" x14ac:dyDescent="0.25">
      <c r="A12833" s="17"/>
    </row>
    <row r="12834" spans="1:1" x14ac:dyDescent="0.25">
      <c r="A12834" s="17"/>
    </row>
    <row r="12835" spans="1:1" x14ac:dyDescent="0.25">
      <c r="A12835" s="17"/>
    </row>
    <row r="12836" spans="1:1" x14ac:dyDescent="0.25">
      <c r="A12836" s="17"/>
    </row>
    <row r="12837" spans="1:1" x14ac:dyDescent="0.25">
      <c r="A12837" s="17"/>
    </row>
    <row r="12838" spans="1:1" x14ac:dyDescent="0.25">
      <c r="A12838" s="17"/>
    </row>
    <row r="12839" spans="1:1" x14ac:dyDescent="0.25">
      <c r="A12839" s="17"/>
    </row>
    <row r="12840" spans="1:1" x14ac:dyDescent="0.25">
      <c r="A12840" s="17"/>
    </row>
    <row r="12841" spans="1:1" x14ac:dyDescent="0.25">
      <c r="A12841" s="17"/>
    </row>
    <row r="12842" spans="1:1" x14ac:dyDescent="0.25">
      <c r="A12842" s="17"/>
    </row>
    <row r="12843" spans="1:1" x14ac:dyDescent="0.25">
      <c r="A12843" s="17"/>
    </row>
    <row r="12844" spans="1:1" x14ac:dyDescent="0.25">
      <c r="A12844" s="17"/>
    </row>
    <row r="12845" spans="1:1" x14ac:dyDescent="0.25">
      <c r="A12845" s="17"/>
    </row>
    <row r="12846" spans="1:1" x14ac:dyDescent="0.25">
      <c r="A12846" s="17"/>
    </row>
    <row r="12847" spans="1:1" x14ac:dyDescent="0.25">
      <c r="A12847" s="17"/>
    </row>
    <row r="12848" spans="1:1" x14ac:dyDescent="0.25">
      <c r="A12848" s="17"/>
    </row>
    <row r="12849" spans="1:1" x14ac:dyDescent="0.25">
      <c r="A12849" s="17"/>
    </row>
    <row r="12850" spans="1:1" x14ac:dyDescent="0.25">
      <c r="A12850" s="17"/>
    </row>
    <row r="12851" spans="1:1" x14ac:dyDescent="0.25">
      <c r="A12851" s="17"/>
    </row>
    <row r="12852" spans="1:1" x14ac:dyDescent="0.25">
      <c r="A12852" s="17"/>
    </row>
    <row r="12853" spans="1:1" x14ac:dyDescent="0.25">
      <c r="A12853" s="17"/>
    </row>
  </sheetData>
  <autoFilter ref="A3:W931">
    <filterColumn colId="12" showButton="0"/>
    <filterColumn colId="14" showButton="0"/>
  </autoFilter>
  <mergeCells count="4">
    <mergeCell ref="O1:P1"/>
    <mergeCell ref="O2:P2"/>
    <mergeCell ref="O3:P3"/>
    <mergeCell ref="M1:N3"/>
  </mergeCells>
  <pageMargins left="0.7" right="0.7" top="0.75" bottom="0.75" header="0.3" footer="0.3"/>
  <pageSetup paperSize="256" orientation="portrait" horizontalDpi="203" verticalDpi="20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7C42D9C-870A-4E2E-B3AE-EE3CE13DF4AC}">
  <ds:schemaRefs/>
</ds:datastoreItem>
</file>

<file path=customXml/itemProps2.xml><?xml version="1.0" encoding="utf-8"?>
<ds:datastoreItem xmlns:ds="http://schemas.openxmlformats.org/officeDocument/2006/customXml" ds:itemID="{869AE6B4-43D4-4CBC-86BF-3F72B4572CA0}">
  <ds:schemaRefs/>
</ds:datastoreItem>
</file>

<file path=customXml/itemProps3.xml><?xml version="1.0" encoding="utf-8"?>
<ds:datastoreItem xmlns:ds="http://schemas.openxmlformats.org/officeDocument/2006/customXml" ds:itemID="{F418FCE7-CDB0-42C0-A7C3-013D584F289F}">
  <ds:schemaRefs/>
</ds:datastoreItem>
</file>

<file path=customXml/itemProps4.xml><?xml version="1.0" encoding="utf-8"?>
<ds:datastoreItem xmlns:ds="http://schemas.openxmlformats.org/officeDocument/2006/customXml" ds:itemID="{6D52A569-4422-4F7A-BBDA-4BA74D4070A0}">
  <ds:schemaRefs/>
</ds:datastoreItem>
</file>

<file path=customXml/itemProps5.xml><?xml version="1.0" encoding="utf-8"?>
<ds:datastoreItem xmlns:ds="http://schemas.openxmlformats.org/officeDocument/2006/customXml" ds:itemID="{6D118B7A-F0E7-41CC-B7C4-822BC9936BF4}">
  <ds:schemaRefs/>
</ds:datastoreItem>
</file>

<file path=customXml/itemProps6.xml><?xml version="1.0" encoding="utf-8"?>
<ds:datastoreItem xmlns:ds="http://schemas.openxmlformats.org/officeDocument/2006/customXml" ds:itemID="{6A470430-099C-482C-9523-FF3A4273F78C}">
  <ds:schemaRefs/>
</ds:datastoreItem>
</file>

<file path=customXml/itemProps7.xml><?xml version="1.0" encoding="utf-8"?>
<ds:datastoreItem xmlns:ds="http://schemas.openxmlformats.org/officeDocument/2006/customXml" ds:itemID="{5989EBE7-5C04-474E-AEB4-0A202D8495E2}">
  <ds:schemaRefs/>
</ds:datastoreItem>
</file>

<file path=customXml/itemProps8.xml><?xml version="1.0" encoding="utf-8"?>
<ds:datastoreItem xmlns:ds="http://schemas.openxmlformats.org/officeDocument/2006/customXml" ds:itemID="{3095485B-766B-4D1B-BE70-D49EBE0F949D}">
  <ds:schemaRefs/>
</ds:datastoreItem>
</file>

<file path=customXml/itemProps9.xml><?xml version="1.0" encoding="utf-8"?>
<ds:datastoreItem xmlns:ds="http://schemas.openxmlformats.org/officeDocument/2006/customXml" ds:itemID="{07711FAD-182F-4F6B-B51D-5E42AB55E964}">
  <ds:schemaRefs/>
</ds:datastoreItem>
</file>

<file path=customXml/itemProps10.xml><?xml version="1.0" encoding="utf-8"?>
<ds:datastoreItem xmlns:ds="http://schemas.openxmlformats.org/officeDocument/2006/customXml" ds:itemID="{08D787F4-B658-40AA-A628-AE8898A5AD7B}">
  <ds:schemaRefs/>
</ds:datastoreItem>
</file>

<file path=customXml/itemProps11.xml><?xml version="1.0" encoding="utf-8"?>
<ds:datastoreItem xmlns:ds="http://schemas.openxmlformats.org/officeDocument/2006/customXml" ds:itemID="{BEA20093-763D-450D-A6E4-0C91BB69F8FA}">
  <ds:schemaRefs/>
</ds:datastoreItem>
</file>

<file path=customXml/itemProps12.xml><?xml version="1.0" encoding="utf-8"?>
<ds:datastoreItem xmlns:ds="http://schemas.openxmlformats.org/officeDocument/2006/customXml" ds:itemID="{E8F7D598-6896-4E84-A034-A0D01BD73463}">
  <ds:schemaRefs/>
</ds:datastoreItem>
</file>

<file path=customXml/itemProps13.xml><?xml version="1.0" encoding="utf-8"?>
<ds:datastoreItem xmlns:ds="http://schemas.openxmlformats.org/officeDocument/2006/customXml" ds:itemID="{4D10E537-63B6-4EDE-BD93-720B4D52DDFD}">
  <ds:schemaRefs/>
</ds:datastoreItem>
</file>

<file path=customXml/itemProps14.xml><?xml version="1.0" encoding="utf-8"?>
<ds:datastoreItem xmlns:ds="http://schemas.openxmlformats.org/officeDocument/2006/customXml" ds:itemID="{3AB371C4-44C6-4BA1-9CE7-4A9FC06CDD22}">
  <ds:schemaRefs/>
</ds:datastoreItem>
</file>

<file path=customXml/itemProps15.xml><?xml version="1.0" encoding="utf-8"?>
<ds:datastoreItem xmlns:ds="http://schemas.openxmlformats.org/officeDocument/2006/customXml" ds:itemID="{C7DEB18C-733B-4752-A6D1-4926AFAAE9FF}">
  <ds:schemaRefs/>
</ds:datastoreItem>
</file>

<file path=customXml/itemProps16.xml><?xml version="1.0" encoding="utf-8"?>
<ds:datastoreItem xmlns:ds="http://schemas.openxmlformats.org/officeDocument/2006/customXml" ds:itemID="{079C5359-229B-4316-A583-7FE11DB98B65}">
  <ds:schemaRefs/>
</ds:datastoreItem>
</file>

<file path=customXml/itemProps17.xml><?xml version="1.0" encoding="utf-8"?>
<ds:datastoreItem xmlns:ds="http://schemas.openxmlformats.org/officeDocument/2006/customXml" ds:itemID="{76F6CC3C-4C9D-428B-A396-99ED0A327000}">
  <ds:schemaRefs/>
</ds:datastoreItem>
</file>

<file path=customXml/itemProps18.xml><?xml version="1.0" encoding="utf-8"?>
<ds:datastoreItem xmlns:ds="http://schemas.openxmlformats.org/officeDocument/2006/customXml" ds:itemID="{7A3EBF08-E2C9-4200-BF5C-157E5B9526F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Setup</vt:lpstr>
      <vt:lpstr>xxTEMPLATExx</vt:lpstr>
      <vt:lpstr>TEMPLATE</vt:lpstr>
      <vt:lpstr>SKU Maintenance</vt:lpstr>
      <vt:lpstr>Data</vt:lpstr>
      <vt:lpstr>ITEM NOT FOUND</vt:lpstr>
      <vt:lpstr>UPLOADING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Direc1</dc:creator>
  <cp:lastModifiedBy>Marck Anthony Illao</cp:lastModifiedBy>
  <dcterms:created xsi:type="dcterms:W3CDTF">2016-05-19T03:25:12Z</dcterms:created>
  <dcterms:modified xsi:type="dcterms:W3CDTF">2022-09-13T05:32:52Z</dcterms:modified>
</cp:coreProperties>
</file>